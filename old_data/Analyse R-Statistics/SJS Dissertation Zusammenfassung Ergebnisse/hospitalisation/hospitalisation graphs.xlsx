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hospitalisation\"/>
    </mc:Choice>
  </mc:AlternateContent>
  <xr:revisionPtr revIDLastSave="0" documentId="13_ncr:1_{077547A3-0032-4464-8E16-FD705941A922}" xr6:coauthVersionLast="47" xr6:coauthVersionMax="47" xr10:uidLastSave="{00000000-0000-0000-0000-000000000000}"/>
  <bookViews>
    <workbookView xWindow="-120" yWindow="-120" windowWidth="29040" windowHeight="15840" tabRatio="272" xr2:uid="{0A722C16-D939-4F3B-85D5-333D9059E0ED}"/>
  </bookViews>
  <sheets>
    <sheet name="Test group amounts" sheetId="1" r:id="rId1"/>
    <sheet name="Test group reaso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" l="1"/>
  <c r="J5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K10" i="2" s="1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5" i="2"/>
  <c r="H6" i="2"/>
  <c r="H7" i="2"/>
  <c r="H8" i="2"/>
  <c r="H9" i="2"/>
  <c r="H10" i="2"/>
  <c r="H11" i="2"/>
  <c r="H12" i="2"/>
  <c r="H13" i="2"/>
  <c r="H14" i="2"/>
  <c r="H4" i="2"/>
  <c r="G5" i="2"/>
  <c r="G6" i="2"/>
  <c r="G9" i="2"/>
  <c r="G10" i="2"/>
  <c r="G11" i="2"/>
  <c r="G13" i="2"/>
  <c r="G14" i="2"/>
  <c r="G15" i="2"/>
  <c r="G17" i="2"/>
  <c r="G18" i="2"/>
  <c r="G19" i="2"/>
  <c r="G20" i="2"/>
  <c r="G21" i="2"/>
  <c r="G22" i="2"/>
  <c r="G23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6" i="2"/>
  <c r="G48" i="2"/>
  <c r="G49" i="2"/>
  <c r="G50" i="2"/>
  <c r="G51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4" i="2"/>
  <c r="G92" i="2"/>
  <c r="G93" i="2"/>
  <c r="G94" i="2"/>
  <c r="G95" i="2"/>
  <c r="G96" i="2"/>
  <c r="G97" i="2"/>
  <c r="G98" i="2"/>
  <c r="G99" i="2"/>
  <c r="G100" i="2"/>
  <c r="G102" i="2"/>
  <c r="G103" i="2"/>
  <c r="G104" i="2"/>
  <c r="G105" i="2"/>
  <c r="G108" i="2"/>
  <c r="G109" i="2"/>
  <c r="G110" i="2"/>
  <c r="G111" i="2"/>
  <c r="G112" i="2"/>
  <c r="G113" i="2"/>
  <c r="G114" i="2"/>
  <c r="G115" i="2"/>
  <c r="G117" i="2"/>
  <c r="G118" i="2"/>
  <c r="G119" i="2"/>
  <c r="G120" i="2"/>
  <c r="G121" i="2"/>
  <c r="G122" i="2"/>
  <c r="G123" i="2"/>
  <c r="G124" i="2"/>
  <c r="G125" i="2"/>
  <c r="G126" i="2"/>
  <c r="G128" i="2"/>
  <c r="G129" i="2"/>
  <c r="G130" i="2"/>
  <c r="G131" i="2"/>
  <c r="G132" i="2"/>
  <c r="G133" i="2"/>
  <c r="G134" i="2"/>
  <c r="G136" i="2"/>
  <c r="G137" i="2"/>
  <c r="G138" i="2"/>
  <c r="G139" i="2"/>
  <c r="G140" i="2"/>
  <c r="G141" i="2"/>
  <c r="G142" i="2"/>
  <c r="G143" i="2"/>
  <c r="G144" i="2"/>
  <c r="G145" i="2"/>
  <c r="G147" i="2"/>
  <c r="G148" i="2"/>
  <c r="G149" i="2"/>
  <c r="G151" i="2"/>
  <c r="G152" i="2"/>
  <c r="G154" i="2"/>
  <c r="G155" i="2"/>
  <c r="G156" i="2"/>
  <c r="G157" i="2"/>
  <c r="G158" i="2"/>
  <c r="G159" i="2"/>
  <c r="G161" i="2"/>
  <c r="G162" i="2"/>
  <c r="G164" i="2"/>
  <c r="G165" i="2"/>
  <c r="G166" i="2"/>
  <c r="G167" i="2"/>
  <c r="J10" i="2" s="1"/>
  <c r="G168" i="2"/>
  <c r="G169" i="2"/>
  <c r="G170" i="2"/>
  <c r="G172" i="2"/>
  <c r="G173" i="2"/>
  <c r="G174" i="2"/>
  <c r="G175" i="2"/>
  <c r="G176" i="2"/>
  <c r="G177" i="2"/>
  <c r="G179" i="2"/>
  <c r="G180" i="2"/>
  <c r="G181" i="2"/>
  <c r="G182" i="2"/>
  <c r="G184" i="2"/>
  <c r="G185" i="2"/>
  <c r="G186" i="2"/>
  <c r="G189" i="2"/>
  <c r="G190" i="2"/>
  <c r="G191" i="2"/>
  <c r="G192" i="2"/>
  <c r="G193" i="2"/>
  <c r="G194" i="2"/>
  <c r="G197" i="2"/>
  <c r="G198" i="2"/>
  <c r="G200" i="2"/>
  <c r="G201" i="2"/>
  <c r="G202" i="2"/>
  <c r="G203" i="2"/>
  <c r="G204" i="2"/>
  <c r="G206" i="2"/>
  <c r="G207" i="2"/>
  <c r="G208" i="2"/>
  <c r="G209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J15" i="2" s="1"/>
  <c r="G268" i="2"/>
  <c r="G270" i="2"/>
  <c r="G271" i="2"/>
  <c r="G272" i="2"/>
  <c r="G273" i="2"/>
  <c r="G274" i="2"/>
  <c r="G275" i="2"/>
  <c r="G278" i="2"/>
  <c r="G279" i="2"/>
  <c r="G280" i="2"/>
  <c r="G281" i="2"/>
  <c r="G70" i="2"/>
  <c r="G71" i="2"/>
  <c r="G72" i="2"/>
  <c r="G73" i="2"/>
  <c r="G74" i="2"/>
  <c r="G75" i="2"/>
  <c r="G76" i="2"/>
  <c r="G77" i="2"/>
  <c r="G78" i="2"/>
  <c r="G69" i="2"/>
  <c r="G80" i="2"/>
  <c r="G81" i="2"/>
  <c r="G82" i="2"/>
  <c r="G83" i="2"/>
  <c r="G84" i="2"/>
  <c r="G85" i="2"/>
  <c r="G86" i="2"/>
  <c r="G87" i="2"/>
  <c r="G89" i="2"/>
  <c r="G91" i="2"/>
  <c r="G79" i="2"/>
  <c r="W2" i="1"/>
  <c r="V2" i="1"/>
  <c r="S2" i="1"/>
  <c r="R2" i="1"/>
  <c r="O131" i="1"/>
  <c r="N131" i="1"/>
  <c r="K15" i="2" l="1"/>
</calcChain>
</file>

<file path=xl/sharedStrings.xml><?xml version="1.0" encoding="utf-8"?>
<sst xmlns="http://schemas.openxmlformats.org/spreadsheetml/2006/main" count="326" uniqueCount="41">
  <si>
    <t>stationär</t>
  </si>
  <si>
    <t xml:space="preserve">SJS_Diclo </t>
  </si>
  <si>
    <t>nur 1 Fall nicht hospitalisiert</t>
  </si>
  <si>
    <t>unbekannt</t>
  </si>
  <si>
    <t>SJS_Ibu</t>
  </si>
  <si>
    <t>SJS_Para</t>
  </si>
  <si>
    <t>Haut_Diclo</t>
  </si>
  <si>
    <t>Haut_Ibu</t>
  </si>
  <si>
    <t>Haut_Para</t>
  </si>
  <si>
    <t>alle hospitalisiert</t>
  </si>
  <si>
    <t>ambulant</t>
  </si>
  <si>
    <t>BfArM Nummer</t>
  </si>
  <si>
    <t>Kathegorie</t>
  </si>
  <si>
    <t>Edited_BfArM Nummer2</t>
  </si>
  <si>
    <t>Treatment</t>
  </si>
  <si>
    <t xml:space="preserve">SJS_Ibu </t>
  </si>
  <si>
    <t xml:space="preserve">SJS_Para </t>
  </si>
  <si>
    <t>12088444 =   12100613 =  12111434</t>
  </si>
  <si>
    <t>Leber_Diclo</t>
  </si>
  <si>
    <t>8127397 = 8130089</t>
  </si>
  <si>
    <t>10030897 = 10027550</t>
  </si>
  <si>
    <t>11014307 = 11014313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</si>
  <si>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</si>
  <si>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</si>
  <si>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</si>
  <si>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</si>
  <si>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</si>
  <si>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</si>
  <si>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</si>
  <si>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</si>
  <si>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</si>
  <si>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</si>
  <si>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</si>
  <si>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Dauer Krankenhausaufenthalt (Tage)</t>
  </si>
  <si>
    <t>Dauer Diagnose bis Entlassung (Tage)</t>
  </si>
  <si>
    <t>Leber_diclo</t>
  </si>
  <si>
    <t>Unbekannt</t>
  </si>
  <si>
    <t>stationär wegen sonstigem</t>
  </si>
  <si>
    <t>stationär wegen Arzneimittelreaktion</t>
  </si>
  <si>
    <t>Leber_ibu</t>
  </si>
  <si>
    <t>Leber_para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</si>
</sst>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1" fillId="3" borderId="1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center" vertical="top"/>
    </xf>
    <xf numFmtId="0" fontId="0" fillId="4" borderId="0" xfId="0" applyFill="1"/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6" borderId="0" xfId="0" applyFill="1"/>
    <xf numFmtId="0" fontId="0" fillId="2" borderId="3" xfId="0" applyFill="1" applyBorder="1" applyAlignment="1">
      <alignment wrapText="1"/>
    </xf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Leber_Diclo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C2-4FD6-B95C-34CCD22F43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C2-4FD6-B95C-34CCD22F43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C2-4FD6-B95C-34CCD22F43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amounts'!$N$1:$P$1</c:f>
              <c:strCache>
                <c:ptCount val="3"/>
                <c:pt idx="0">
                  <c:v>ambulant</c:v>
                </c:pt>
                <c:pt idx="1">
                  <c:v>stationär</c:v>
                </c:pt>
                <c:pt idx="2">
                  <c:v>unbekannt</c:v>
                </c:pt>
              </c:strCache>
            </c:strRef>
          </c:cat>
          <c:val>
            <c:numRef>
              <c:f>'Test group amounts'!$N$2:$P$2</c:f>
              <c:numCache>
                <c:formatCode>General</c:formatCode>
                <c:ptCount val="3"/>
                <c:pt idx="0">
                  <c:v>20</c:v>
                </c:pt>
                <c:pt idx="1">
                  <c:v>94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C2-4FD6-B95C-34CCD22F431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Leber_Ibu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9F-482B-852A-64257BEC54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9F-482B-852A-64257BEC54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9F-482B-852A-64257BEC54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amounts'!$R$1:$T$1</c:f>
              <c:strCache>
                <c:ptCount val="3"/>
                <c:pt idx="0">
                  <c:v>ambulant</c:v>
                </c:pt>
                <c:pt idx="1">
                  <c:v>stationär</c:v>
                </c:pt>
                <c:pt idx="2">
                  <c:v>unbekannt</c:v>
                </c:pt>
              </c:strCache>
            </c:strRef>
          </c:cat>
          <c:val>
            <c:numRef>
              <c:f>'Test group amounts'!$R$2:$T$2</c:f>
              <c:numCache>
                <c:formatCode>General</c:formatCode>
                <c:ptCount val="3"/>
                <c:pt idx="0">
                  <c:v>11</c:v>
                </c:pt>
                <c:pt idx="1">
                  <c:v>59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9F-482B-852A-64257BEC54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Leber_Para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98-400E-9E56-E0D20E59B3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98-400E-9E56-E0D20E59B3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98-400E-9E56-E0D20E59B3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amounts'!$V$1:$X$1</c:f>
              <c:strCache>
                <c:ptCount val="3"/>
                <c:pt idx="0">
                  <c:v>ambulant</c:v>
                </c:pt>
                <c:pt idx="1">
                  <c:v>stationär</c:v>
                </c:pt>
                <c:pt idx="2">
                  <c:v>unbekannt</c:v>
                </c:pt>
              </c:strCache>
            </c:strRef>
          </c:cat>
          <c:val>
            <c:numRef>
              <c:f>'Test group amounts'!$V$2:$X$2</c:f>
              <c:numCache>
                <c:formatCode>General</c:formatCode>
                <c:ptCount val="3"/>
                <c:pt idx="0">
                  <c:v>4</c:v>
                </c:pt>
                <c:pt idx="1">
                  <c:v>62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98-400E-9E56-E0D20E59B3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Leber_diclo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AF-4442-B692-CF21E16F1B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AF-4442-B692-CF21E16F1B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AF-4442-B692-CF21E16F1B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reasons'!$J$4:$L$4</c:f>
              <c:strCache>
                <c:ptCount val="3"/>
                <c:pt idx="0">
                  <c:v>stationär wegen Arzneimittelreaktion</c:v>
                </c:pt>
                <c:pt idx="1">
                  <c:v>stationär wegen sonstigem</c:v>
                </c:pt>
                <c:pt idx="2">
                  <c:v>Unbekannt</c:v>
                </c:pt>
              </c:strCache>
            </c:strRef>
          </c:cat>
          <c:val>
            <c:numRef>
              <c:f>'Test group reasons'!$J$5:$L$5</c:f>
              <c:numCache>
                <c:formatCode>General</c:formatCode>
                <c:ptCount val="3"/>
                <c:pt idx="0">
                  <c:v>32</c:v>
                </c:pt>
                <c:pt idx="1">
                  <c:v>12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2-4672-85AA-9D4E1FE353C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Leber_ibu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C3-45EF-BB03-9AE2273A67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C3-45EF-BB03-9AE2273A67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C3-45EF-BB03-9AE2273A67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reasons'!$J$9:$L$9</c:f>
              <c:strCache>
                <c:ptCount val="3"/>
                <c:pt idx="0">
                  <c:v>stationär wegen Arzneimittelreaktion</c:v>
                </c:pt>
                <c:pt idx="1">
                  <c:v>stationär wegen sonstigem</c:v>
                </c:pt>
                <c:pt idx="2">
                  <c:v>unbekannt</c:v>
                </c:pt>
              </c:strCache>
            </c:strRef>
          </c:cat>
          <c:val>
            <c:numRef>
              <c:f>'Test group reasons'!$J$10:$L$10</c:f>
              <c:numCache>
                <c:formatCode>General</c:formatCode>
                <c:ptCount val="3"/>
                <c:pt idx="0">
                  <c:v>22</c:v>
                </c:pt>
                <c:pt idx="1">
                  <c:v>3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7-4794-91E5-11FC71FD37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Leber_para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63-446F-B736-0F0952AD31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63-446F-B736-0F0952AD31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63-446F-B736-0F0952AD31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group reasons'!$J$14:$L$14</c:f>
              <c:strCache>
                <c:ptCount val="3"/>
                <c:pt idx="0">
                  <c:v>stationär wegen Arzneimittelreaktion</c:v>
                </c:pt>
                <c:pt idx="1">
                  <c:v>stationär wegen sonstigem</c:v>
                </c:pt>
                <c:pt idx="2">
                  <c:v>unbekannt</c:v>
                </c:pt>
              </c:strCache>
            </c:strRef>
          </c:cat>
          <c:val>
            <c:numRef>
              <c:f>'Test group reasons'!$J$15:$L$15</c:f>
              <c:numCache>
                <c:formatCode>General</c:formatCode>
                <c:ptCount val="3"/>
                <c:pt idx="0">
                  <c:v>14</c:v>
                </c:pt>
                <c:pt idx="1">
                  <c:v>7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0-4291-BE4D-CA16177E368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161925</xdr:rowOff>
    </xdr:from>
    <xdr:to>
      <xdr:col>6</xdr:col>
      <xdr:colOff>323850</xdr:colOff>
      <xdr:row>16</xdr:row>
      <xdr:rowOff>47625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04C222BA-490B-4189-B2C2-5382E6585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16</xdr:row>
      <xdr:rowOff>161925</xdr:rowOff>
    </xdr:from>
    <xdr:to>
      <xdr:col>6</xdr:col>
      <xdr:colOff>342900</xdr:colOff>
      <xdr:row>31</xdr:row>
      <xdr:rowOff>47625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AC9DBC65-71CF-4F92-A375-4B4FC8AA8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31</xdr:row>
      <xdr:rowOff>180975</xdr:rowOff>
    </xdr:from>
    <xdr:to>
      <xdr:col>6</xdr:col>
      <xdr:colOff>352425</xdr:colOff>
      <xdr:row>46</xdr:row>
      <xdr:rowOff>66675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36C1674B-B1B0-4CD5-B3E4-89BD1983D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690562</xdr:colOff>
      <xdr:row>2</xdr:row>
      <xdr:rowOff>176212</xdr:rowOff>
    </xdr:from>
    <xdr:to>
      <xdr:col>20</xdr:col>
      <xdr:colOff>690562</xdr:colOff>
      <xdr:row>17</xdr:row>
      <xdr:rowOff>61912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7383B29-93B6-6496-E1F3-2F47F6D6B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695325</xdr:colOff>
      <xdr:row>17</xdr:row>
      <xdr:rowOff>157162</xdr:rowOff>
    </xdr:from>
    <xdr:to>
      <xdr:col>20</xdr:col>
      <xdr:colOff>695325</xdr:colOff>
      <xdr:row>32</xdr:row>
      <xdr:rowOff>42862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735C4F4-D33A-1E35-2598-BE29E190A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695325</xdr:colOff>
      <xdr:row>32</xdr:row>
      <xdr:rowOff>119062</xdr:rowOff>
    </xdr:from>
    <xdr:to>
      <xdr:col>20</xdr:col>
      <xdr:colOff>695325</xdr:colOff>
      <xdr:row>47</xdr:row>
      <xdr:rowOff>4762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ED328BD-EB74-C331-E50B-EB42D9B82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FA8F-BE85-46FC-B2E3-18294E567FA4}">
  <dimension ref="H1:X131"/>
  <sheetViews>
    <sheetView tabSelected="1" workbookViewId="0">
      <selection activeCell="H32" sqref="H32"/>
    </sheetView>
  </sheetViews>
  <sheetFormatPr baseColWidth="10" defaultRowHeight="15" x14ac:dyDescent="0.25"/>
  <sheetData>
    <row r="1" spans="8:24" x14ac:dyDescent="0.25">
      <c r="N1" s="1" t="s">
        <v>10</v>
      </c>
      <c r="O1" s="1" t="s">
        <v>0</v>
      </c>
      <c r="P1" s="2" t="s">
        <v>3</v>
      </c>
      <c r="R1" s="1" t="s">
        <v>10</v>
      </c>
      <c r="S1" s="1" t="s">
        <v>0</v>
      </c>
      <c r="T1" s="2" t="s">
        <v>3</v>
      </c>
      <c r="V1" s="1" t="s">
        <v>10</v>
      </c>
      <c r="W1" s="1" t="s">
        <v>0</v>
      </c>
      <c r="X1" s="2" t="s">
        <v>3</v>
      </c>
    </row>
    <row r="2" spans="8:24" x14ac:dyDescent="0.25">
      <c r="N2">
        <v>20</v>
      </c>
      <c r="O2">
        <v>94</v>
      </c>
      <c r="P2">
        <v>13</v>
      </c>
      <c r="R2">
        <f>COUNTA(R3:R77)</f>
        <v>11</v>
      </c>
      <c r="S2">
        <f>COUNTA(S3:S77)</f>
        <v>59</v>
      </c>
      <c r="T2">
        <v>5</v>
      </c>
      <c r="V2">
        <f>COUNTA(V3:V93)</f>
        <v>4</v>
      </c>
      <c r="W2">
        <f>COUNTA(W3:W108)</f>
        <v>62</v>
      </c>
      <c r="X2">
        <v>11</v>
      </c>
    </row>
    <row r="3" spans="8:24" x14ac:dyDescent="0.25">
      <c r="O3">
        <v>1</v>
      </c>
      <c r="S3">
        <v>1</v>
      </c>
      <c r="W3">
        <v>1</v>
      </c>
    </row>
    <row r="4" spans="8:24" x14ac:dyDescent="0.25">
      <c r="O4">
        <v>1</v>
      </c>
      <c r="S4">
        <v>1</v>
      </c>
    </row>
    <row r="5" spans="8:24" x14ac:dyDescent="0.25">
      <c r="H5" t="s">
        <v>1</v>
      </c>
      <c r="I5" t="s">
        <v>2</v>
      </c>
      <c r="O5">
        <v>1</v>
      </c>
      <c r="S5">
        <v>1</v>
      </c>
      <c r="W5">
        <v>1</v>
      </c>
    </row>
    <row r="6" spans="8:24" x14ac:dyDescent="0.25">
      <c r="H6" t="s">
        <v>4</v>
      </c>
      <c r="I6" t="s">
        <v>9</v>
      </c>
      <c r="N6">
        <v>1</v>
      </c>
      <c r="S6">
        <v>1</v>
      </c>
      <c r="W6">
        <v>1</v>
      </c>
    </row>
    <row r="7" spans="8:24" x14ac:dyDescent="0.25">
      <c r="H7" t="s">
        <v>5</v>
      </c>
      <c r="I7" t="s">
        <v>9</v>
      </c>
      <c r="N7">
        <v>1</v>
      </c>
      <c r="S7">
        <v>1</v>
      </c>
      <c r="W7">
        <v>1</v>
      </c>
    </row>
    <row r="8" spans="8:24" x14ac:dyDescent="0.25">
      <c r="H8" t="s">
        <v>6</v>
      </c>
      <c r="I8" t="s">
        <v>9</v>
      </c>
      <c r="O8">
        <v>1</v>
      </c>
      <c r="W8">
        <v>1</v>
      </c>
    </row>
    <row r="9" spans="8:24" x14ac:dyDescent="0.25">
      <c r="H9" t="s">
        <v>7</v>
      </c>
      <c r="I9" t="s">
        <v>9</v>
      </c>
      <c r="N9">
        <v>1</v>
      </c>
    </row>
    <row r="10" spans="8:24" x14ac:dyDescent="0.25">
      <c r="H10" t="s">
        <v>8</v>
      </c>
      <c r="I10" t="s">
        <v>9</v>
      </c>
      <c r="N10">
        <v>1</v>
      </c>
      <c r="S10">
        <v>1</v>
      </c>
    </row>
    <row r="11" spans="8:24" x14ac:dyDescent="0.25">
      <c r="N11">
        <v>1</v>
      </c>
      <c r="S11">
        <v>1</v>
      </c>
      <c r="W11">
        <v>1</v>
      </c>
    </row>
    <row r="12" spans="8:24" x14ac:dyDescent="0.25">
      <c r="O12">
        <v>1</v>
      </c>
      <c r="S12">
        <v>1</v>
      </c>
      <c r="W12">
        <v>1</v>
      </c>
    </row>
    <row r="13" spans="8:24" x14ac:dyDescent="0.25">
      <c r="O13">
        <v>1</v>
      </c>
      <c r="S13">
        <v>1</v>
      </c>
      <c r="W13">
        <v>1</v>
      </c>
    </row>
    <row r="14" spans="8:24" x14ac:dyDescent="0.25">
      <c r="O14">
        <v>1</v>
      </c>
      <c r="S14">
        <v>1</v>
      </c>
      <c r="W14">
        <v>1</v>
      </c>
    </row>
    <row r="15" spans="8:24" x14ac:dyDescent="0.25">
      <c r="O15">
        <v>1</v>
      </c>
      <c r="S15">
        <v>1</v>
      </c>
      <c r="W15">
        <v>1</v>
      </c>
    </row>
    <row r="16" spans="8:24" x14ac:dyDescent="0.25">
      <c r="N16">
        <v>1</v>
      </c>
      <c r="W16">
        <v>1</v>
      </c>
    </row>
    <row r="17" spans="14:23" x14ac:dyDescent="0.25">
      <c r="N17">
        <v>1</v>
      </c>
      <c r="R17">
        <v>1</v>
      </c>
      <c r="W17">
        <v>1</v>
      </c>
    </row>
    <row r="18" spans="14:23" x14ac:dyDescent="0.25">
      <c r="N18">
        <v>1</v>
      </c>
      <c r="S18">
        <v>1</v>
      </c>
      <c r="W18">
        <v>1</v>
      </c>
    </row>
    <row r="19" spans="14:23" x14ac:dyDescent="0.25">
      <c r="N19">
        <v>1</v>
      </c>
      <c r="S19">
        <v>1</v>
      </c>
      <c r="W19">
        <v>1</v>
      </c>
    </row>
    <row r="20" spans="14:23" x14ac:dyDescent="0.25">
      <c r="O20">
        <v>1</v>
      </c>
      <c r="S20">
        <v>1</v>
      </c>
    </row>
    <row r="21" spans="14:23" x14ac:dyDescent="0.25">
      <c r="O21">
        <v>1</v>
      </c>
    </row>
    <row r="22" spans="14:23" x14ac:dyDescent="0.25">
      <c r="O22">
        <v>1</v>
      </c>
      <c r="S22">
        <v>1</v>
      </c>
      <c r="W22">
        <v>1</v>
      </c>
    </row>
    <row r="23" spans="14:23" x14ac:dyDescent="0.25">
      <c r="O23">
        <v>1</v>
      </c>
      <c r="S23">
        <v>1</v>
      </c>
    </row>
    <row r="24" spans="14:23" x14ac:dyDescent="0.25">
      <c r="O24">
        <v>1</v>
      </c>
      <c r="S24">
        <v>1</v>
      </c>
      <c r="W24">
        <v>1</v>
      </c>
    </row>
    <row r="25" spans="14:23" x14ac:dyDescent="0.25">
      <c r="O25">
        <v>1</v>
      </c>
      <c r="R25">
        <v>1</v>
      </c>
      <c r="W25">
        <v>1</v>
      </c>
    </row>
    <row r="26" spans="14:23" x14ac:dyDescent="0.25">
      <c r="O26">
        <v>1</v>
      </c>
      <c r="S26">
        <v>1</v>
      </c>
      <c r="W26">
        <v>1</v>
      </c>
    </row>
    <row r="27" spans="14:23" x14ac:dyDescent="0.25">
      <c r="O27">
        <v>1</v>
      </c>
    </row>
    <row r="28" spans="14:23" x14ac:dyDescent="0.25">
      <c r="O28">
        <v>1</v>
      </c>
      <c r="S28">
        <v>1</v>
      </c>
      <c r="W28">
        <v>1</v>
      </c>
    </row>
    <row r="29" spans="14:23" x14ac:dyDescent="0.25">
      <c r="O29">
        <v>1</v>
      </c>
      <c r="S29">
        <v>1</v>
      </c>
    </row>
    <row r="30" spans="14:23" x14ac:dyDescent="0.25">
      <c r="O30">
        <v>1</v>
      </c>
      <c r="S30">
        <v>1</v>
      </c>
      <c r="W30">
        <v>1</v>
      </c>
    </row>
    <row r="31" spans="14:23" x14ac:dyDescent="0.25">
      <c r="O31">
        <v>1</v>
      </c>
      <c r="S31">
        <v>1</v>
      </c>
      <c r="W31">
        <v>1</v>
      </c>
    </row>
    <row r="32" spans="14:23" x14ac:dyDescent="0.25">
      <c r="O32">
        <v>1</v>
      </c>
      <c r="R32">
        <v>1</v>
      </c>
      <c r="W32">
        <v>1</v>
      </c>
    </row>
    <row r="33" spans="14:23" x14ac:dyDescent="0.25">
      <c r="O33">
        <v>1</v>
      </c>
      <c r="S33">
        <v>1</v>
      </c>
      <c r="W33">
        <v>1</v>
      </c>
    </row>
    <row r="34" spans="14:23" x14ac:dyDescent="0.25">
      <c r="O34">
        <v>1</v>
      </c>
      <c r="R34">
        <v>1</v>
      </c>
    </row>
    <row r="35" spans="14:23" x14ac:dyDescent="0.25">
      <c r="O35">
        <v>1</v>
      </c>
      <c r="S35">
        <v>1</v>
      </c>
    </row>
    <row r="36" spans="14:23" x14ac:dyDescent="0.25">
      <c r="O36">
        <v>1</v>
      </c>
      <c r="S36">
        <v>1</v>
      </c>
      <c r="W36">
        <v>1</v>
      </c>
    </row>
    <row r="37" spans="14:23" x14ac:dyDescent="0.25">
      <c r="O37">
        <v>1</v>
      </c>
      <c r="S37">
        <v>1</v>
      </c>
    </row>
    <row r="38" spans="14:23" x14ac:dyDescent="0.25">
      <c r="N38">
        <v>1</v>
      </c>
      <c r="S38">
        <v>1</v>
      </c>
      <c r="W38">
        <v>1</v>
      </c>
    </row>
    <row r="39" spans="14:23" x14ac:dyDescent="0.25">
      <c r="O39">
        <v>1</v>
      </c>
      <c r="S39">
        <v>1</v>
      </c>
      <c r="W39">
        <v>1</v>
      </c>
    </row>
    <row r="40" spans="14:23" x14ac:dyDescent="0.25">
      <c r="O40">
        <v>1</v>
      </c>
      <c r="S40">
        <v>1</v>
      </c>
      <c r="W40">
        <v>1</v>
      </c>
    </row>
    <row r="41" spans="14:23" x14ac:dyDescent="0.25">
      <c r="O41">
        <v>1</v>
      </c>
      <c r="S41">
        <v>1</v>
      </c>
      <c r="W41">
        <v>1</v>
      </c>
    </row>
    <row r="42" spans="14:23" x14ac:dyDescent="0.25">
      <c r="O42">
        <v>1</v>
      </c>
      <c r="S42">
        <v>1</v>
      </c>
      <c r="W42">
        <v>1</v>
      </c>
    </row>
    <row r="43" spans="14:23" x14ac:dyDescent="0.25">
      <c r="N43">
        <v>1</v>
      </c>
      <c r="S43">
        <v>1</v>
      </c>
      <c r="V43">
        <v>1</v>
      </c>
    </row>
    <row r="44" spans="14:23" x14ac:dyDescent="0.25">
      <c r="O44">
        <v>1</v>
      </c>
      <c r="S44">
        <v>1</v>
      </c>
      <c r="V44">
        <v>1</v>
      </c>
    </row>
    <row r="45" spans="14:23" x14ac:dyDescent="0.25">
      <c r="N45">
        <v>1</v>
      </c>
      <c r="S45">
        <v>1</v>
      </c>
      <c r="W45">
        <v>1</v>
      </c>
    </row>
    <row r="46" spans="14:23" x14ac:dyDescent="0.25">
      <c r="O46">
        <v>1</v>
      </c>
      <c r="S46">
        <v>1</v>
      </c>
      <c r="W46">
        <v>1</v>
      </c>
    </row>
    <row r="47" spans="14:23" x14ac:dyDescent="0.25">
      <c r="O47">
        <v>1</v>
      </c>
      <c r="S47">
        <v>1</v>
      </c>
      <c r="V47">
        <v>1</v>
      </c>
    </row>
    <row r="48" spans="14:23" x14ac:dyDescent="0.25">
      <c r="O48">
        <v>1</v>
      </c>
      <c r="S48">
        <v>1</v>
      </c>
      <c r="W48">
        <v>1</v>
      </c>
    </row>
    <row r="49" spans="14:23" x14ac:dyDescent="0.25">
      <c r="O49">
        <v>1</v>
      </c>
      <c r="S49">
        <v>1</v>
      </c>
      <c r="W49">
        <v>1</v>
      </c>
    </row>
    <row r="50" spans="14:23" x14ac:dyDescent="0.25">
      <c r="O50">
        <v>1</v>
      </c>
      <c r="S50">
        <v>1</v>
      </c>
      <c r="W50">
        <v>1</v>
      </c>
    </row>
    <row r="51" spans="14:23" x14ac:dyDescent="0.25">
      <c r="O51">
        <v>1</v>
      </c>
      <c r="S51">
        <v>1</v>
      </c>
      <c r="W51">
        <v>1</v>
      </c>
    </row>
    <row r="52" spans="14:23" x14ac:dyDescent="0.25">
      <c r="O52">
        <v>1</v>
      </c>
      <c r="S52">
        <v>1</v>
      </c>
      <c r="W52">
        <v>1</v>
      </c>
    </row>
    <row r="53" spans="14:23" x14ac:dyDescent="0.25">
      <c r="N53">
        <v>1</v>
      </c>
      <c r="S53">
        <v>1</v>
      </c>
      <c r="W53">
        <v>1</v>
      </c>
    </row>
    <row r="54" spans="14:23" x14ac:dyDescent="0.25">
      <c r="O54">
        <v>1</v>
      </c>
      <c r="S54">
        <v>1</v>
      </c>
      <c r="W54">
        <v>1</v>
      </c>
    </row>
    <row r="55" spans="14:23" x14ac:dyDescent="0.25">
      <c r="O55">
        <v>1</v>
      </c>
      <c r="S55">
        <v>1</v>
      </c>
      <c r="W55">
        <v>1</v>
      </c>
    </row>
    <row r="56" spans="14:23" x14ac:dyDescent="0.25">
      <c r="O56">
        <v>1</v>
      </c>
      <c r="R56">
        <v>1</v>
      </c>
      <c r="W56">
        <v>1</v>
      </c>
    </row>
    <row r="57" spans="14:23" x14ac:dyDescent="0.25">
      <c r="O57">
        <v>1</v>
      </c>
      <c r="S57">
        <v>1</v>
      </c>
      <c r="W57">
        <v>1</v>
      </c>
    </row>
    <row r="58" spans="14:23" x14ac:dyDescent="0.25">
      <c r="O58">
        <v>1</v>
      </c>
      <c r="S58">
        <v>1</v>
      </c>
      <c r="W58">
        <v>1</v>
      </c>
    </row>
    <row r="59" spans="14:23" x14ac:dyDescent="0.25">
      <c r="N59">
        <v>1</v>
      </c>
      <c r="S59">
        <v>1</v>
      </c>
      <c r="W59">
        <v>1</v>
      </c>
    </row>
    <row r="60" spans="14:23" x14ac:dyDescent="0.25">
      <c r="N60">
        <v>1</v>
      </c>
      <c r="S60">
        <v>1</v>
      </c>
      <c r="W60">
        <v>1</v>
      </c>
    </row>
    <row r="61" spans="14:23" x14ac:dyDescent="0.25">
      <c r="O61">
        <v>1</v>
      </c>
      <c r="S61">
        <v>1</v>
      </c>
      <c r="W61">
        <v>1</v>
      </c>
    </row>
    <row r="62" spans="14:23" x14ac:dyDescent="0.25">
      <c r="N62">
        <v>1</v>
      </c>
      <c r="S62">
        <v>1</v>
      </c>
      <c r="W62">
        <v>1</v>
      </c>
    </row>
    <row r="63" spans="14:23" x14ac:dyDescent="0.25">
      <c r="N63">
        <v>1</v>
      </c>
      <c r="S63">
        <v>1</v>
      </c>
      <c r="W63">
        <v>1</v>
      </c>
    </row>
    <row r="64" spans="14:23" x14ac:dyDescent="0.25">
      <c r="O64">
        <v>1</v>
      </c>
      <c r="S64">
        <v>1</v>
      </c>
      <c r="W64">
        <v>1</v>
      </c>
    </row>
    <row r="65" spans="14:23" x14ac:dyDescent="0.25">
      <c r="N65">
        <v>1</v>
      </c>
      <c r="R65">
        <v>1</v>
      </c>
      <c r="W65">
        <v>1</v>
      </c>
    </row>
    <row r="66" spans="14:23" x14ac:dyDescent="0.25">
      <c r="R66">
        <v>1</v>
      </c>
      <c r="W66">
        <v>1</v>
      </c>
    </row>
    <row r="67" spans="14:23" x14ac:dyDescent="0.25">
      <c r="N67">
        <v>1</v>
      </c>
      <c r="S67">
        <v>1</v>
      </c>
      <c r="W67">
        <v>1</v>
      </c>
    </row>
    <row r="68" spans="14:23" x14ac:dyDescent="0.25">
      <c r="O68">
        <v>1</v>
      </c>
      <c r="R68">
        <v>1</v>
      </c>
      <c r="W68">
        <v>1</v>
      </c>
    </row>
    <row r="69" spans="14:23" x14ac:dyDescent="0.25">
      <c r="R69">
        <v>1</v>
      </c>
      <c r="W69">
        <v>1</v>
      </c>
    </row>
    <row r="70" spans="14:23" x14ac:dyDescent="0.25">
      <c r="O70">
        <v>1</v>
      </c>
      <c r="S70">
        <v>1</v>
      </c>
      <c r="W70">
        <v>1</v>
      </c>
    </row>
    <row r="71" spans="14:23" x14ac:dyDescent="0.25">
      <c r="O71">
        <v>1</v>
      </c>
      <c r="R71">
        <v>1</v>
      </c>
      <c r="W71">
        <v>1</v>
      </c>
    </row>
    <row r="72" spans="14:23" x14ac:dyDescent="0.25">
      <c r="O72">
        <v>1</v>
      </c>
      <c r="R72">
        <v>1</v>
      </c>
      <c r="W72">
        <v>1</v>
      </c>
    </row>
    <row r="73" spans="14:23" x14ac:dyDescent="0.25">
      <c r="O73">
        <v>1</v>
      </c>
      <c r="S73">
        <v>1</v>
      </c>
      <c r="W73">
        <v>1</v>
      </c>
    </row>
    <row r="74" spans="14:23" x14ac:dyDescent="0.25">
      <c r="S74">
        <v>1</v>
      </c>
      <c r="W74">
        <v>1</v>
      </c>
    </row>
    <row r="75" spans="14:23" x14ac:dyDescent="0.25">
      <c r="O75">
        <v>1</v>
      </c>
      <c r="S75">
        <v>1</v>
      </c>
      <c r="W75">
        <v>1</v>
      </c>
    </row>
    <row r="76" spans="14:23" x14ac:dyDescent="0.25">
      <c r="O76">
        <v>1</v>
      </c>
      <c r="S76">
        <v>1</v>
      </c>
      <c r="W76">
        <v>1</v>
      </c>
    </row>
    <row r="77" spans="14:23" x14ac:dyDescent="0.25">
      <c r="O77">
        <v>1</v>
      </c>
      <c r="S77">
        <v>1</v>
      </c>
      <c r="V77">
        <v>1</v>
      </c>
    </row>
    <row r="78" spans="14:23" x14ac:dyDescent="0.25">
      <c r="O78">
        <v>1</v>
      </c>
      <c r="W78">
        <v>1</v>
      </c>
    </row>
    <row r="79" spans="14:23" x14ac:dyDescent="0.25">
      <c r="O79">
        <v>1</v>
      </c>
      <c r="W79">
        <v>1</v>
      </c>
    </row>
    <row r="80" spans="14:23" x14ac:dyDescent="0.25">
      <c r="O80">
        <v>1</v>
      </c>
    </row>
    <row r="81" spans="15:15" x14ac:dyDescent="0.25">
      <c r="O81">
        <v>1</v>
      </c>
    </row>
    <row r="82" spans="15:15" x14ac:dyDescent="0.25">
      <c r="O82">
        <v>1</v>
      </c>
    </row>
    <row r="83" spans="15:15" x14ac:dyDescent="0.25">
      <c r="O83">
        <v>1</v>
      </c>
    </row>
    <row r="85" spans="15:15" x14ac:dyDescent="0.25">
      <c r="O85">
        <v>1</v>
      </c>
    </row>
    <row r="86" spans="15:15" x14ac:dyDescent="0.25">
      <c r="O86">
        <v>1</v>
      </c>
    </row>
    <row r="87" spans="15:15" x14ac:dyDescent="0.25">
      <c r="O87">
        <v>1</v>
      </c>
    </row>
    <row r="88" spans="15:15" x14ac:dyDescent="0.25">
      <c r="O88">
        <v>1</v>
      </c>
    </row>
    <row r="89" spans="15:15" x14ac:dyDescent="0.25">
      <c r="O89">
        <v>1</v>
      </c>
    </row>
    <row r="91" spans="15:15" x14ac:dyDescent="0.25">
      <c r="O91">
        <v>1</v>
      </c>
    </row>
    <row r="92" spans="15:15" x14ac:dyDescent="0.25">
      <c r="O92">
        <v>1</v>
      </c>
    </row>
    <row r="93" spans="15:15" x14ac:dyDescent="0.25">
      <c r="O93">
        <v>1</v>
      </c>
    </row>
    <row r="94" spans="15:15" x14ac:dyDescent="0.25">
      <c r="O94">
        <v>1</v>
      </c>
    </row>
    <row r="95" spans="15:15" x14ac:dyDescent="0.25">
      <c r="O95">
        <v>1</v>
      </c>
    </row>
    <row r="97" spans="14:15" x14ac:dyDescent="0.25">
      <c r="O97">
        <v>1</v>
      </c>
    </row>
    <row r="98" spans="14:15" x14ac:dyDescent="0.25">
      <c r="O98">
        <v>1</v>
      </c>
    </row>
    <row r="99" spans="14:15" x14ac:dyDescent="0.25">
      <c r="O99">
        <v>1</v>
      </c>
    </row>
    <row r="100" spans="14:15" x14ac:dyDescent="0.25">
      <c r="O100">
        <v>1</v>
      </c>
    </row>
    <row r="101" spans="14:15" x14ac:dyDescent="0.25">
      <c r="O101">
        <v>1</v>
      </c>
    </row>
    <row r="102" spans="14:15" x14ac:dyDescent="0.25">
      <c r="O102">
        <v>1</v>
      </c>
    </row>
    <row r="103" spans="14:15" x14ac:dyDescent="0.25">
      <c r="O103">
        <v>1</v>
      </c>
    </row>
    <row r="104" spans="14:15" x14ac:dyDescent="0.25">
      <c r="O104">
        <v>1</v>
      </c>
    </row>
    <row r="105" spans="14:15" x14ac:dyDescent="0.25">
      <c r="O105">
        <v>1</v>
      </c>
    </row>
    <row r="106" spans="14:15" x14ac:dyDescent="0.25">
      <c r="O106">
        <v>1</v>
      </c>
    </row>
    <row r="107" spans="14:15" x14ac:dyDescent="0.25">
      <c r="O107">
        <v>1</v>
      </c>
    </row>
    <row r="108" spans="14:15" x14ac:dyDescent="0.25">
      <c r="N108">
        <v>1</v>
      </c>
    </row>
    <row r="110" spans="14:15" x14ac:dyDescent="0.25">
      <c r="O110">
        <v>1</v>
      </c>
    </row>
    <row r="111" spans="14:15" x14ac:dyDescent="0.25">
      <c r="O111">
        <v>1</v>
      </c>
    </row>
    <row r="116" spans="15:15" x14ac:dyDescent="0.25">
      <c r="O116">
        <v>1</v>
      </c>
    </row>
    <row r="117" spans="15:15" x14ac:dyDescent="0.25">
      <c r="O117">
        <v>1</v>
      </c>
    </row>
    <row r="118" spans="15:15" x14ac:dyDescent="0.25">
      <c r="O118">
        <v>1</v>
      </c>
    </row>
    <row r="119" spans="15:15" x14ac:dyDescent="0.25">
      <c r="O119">
        <v>1</v>
      </c>
    </row>
    <row r="120" spans="15:15" x14ac:dyDescent="0.25">
      <c r="O120">
        <v>1</v>
      </c>
    </row>
    <row r="121" spans="15:15" x14ac:dyDescent="0.25">
      <c r="O121">
        <v>1</v>
      </c>
    </row>
    <row r="122" spans="15:15" x14ac:dyDescent="0.25">
      <c r="O122">
        <v>1</v>
      </c>
    </row>
    <row r="124" spans="15:15" x14ac:dyDescent="0.25">
      <c r="O124">
        <v>1</v>
      </c>
    </row>
    <row r="125" spans="15:15" x14ac:dyDescent="0.25">
      <c r="O125">
        <v>1</v>
      </c>
    </row>
    <row r="126" spans="15:15" x14ac:dyDescent="0.25">
      <c r="O126">
        <v>1</v>
      </c>
    </row>
    <row r="127" spans="15:15" x14ac:dyDescent="0.25">
      <c r="O127">
        <v>1</v>
      </c>
    </row>
    <row r="129" spans="14:15" x14ac:dyDescent="0.25">
      <c r="O129">
        <v>1</v>
      </c>
    </row>
    <row r="131" spans="14:15" x14ac:dyDescent="0.25">
      <c r="N131">
        <f>COUNTA(N2:N129)</f>
        <v>21</v>
      </c>
      <c r="O131">
        <f>COUNTA(O2:O129)</f>
        <v>95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A569-182D-4909-956C-D0380F4F03E9}">
  <dimension ref="A2:L373"/>
  <sheetViews>
    <sheetView workbookViewId="0">
      <pane xSplit="2" ySplit="2" topLeftCell="E157" activePane="bottomRight" state="frozen"/>
      <selection pane="topRight" activeCell="C1" sqref="C1"/>
      <selection pane="bottomLeft" activeCell="A3" sqref="A3"/>
      <selection pane="bottomRight" activeCell="E167" sqref="E167:F167"/>
    </sheetView>
  </sheetViews>
  <sheetFormatPr baseColWidth="10" defaultRowHeight="15" x14ac:dyDescent="0.25"/>
  <cols>
    <col min="2" max="2" width="11.85546875" customWidth="1"/>
  </cols>
  <sheetData>
    <row r="2" spans="1:12" ht="75" x14ac:dyDescent="0.25">
      <c r="A2" s="3" t="s">
        <v>11</v>
      </c>
      <c r="B2" s="3" t="s">
        <v>12</v>
      </c>
      <c r="C2" s="1" t="s">
        <v>10</v>
      </c>
      <c r="D2" s="1" t="s">
        <v>0</v>
      </c>
      <c r="E2" s="1" t="s">
        <v>33</v>
      </c>
      <c r="F2" s="1" t="s">
        <v>34</v>
      </c>
      <c r="G2" s="12" t="s">
        <v>38</v>
      </c>
      <c r="H2" s="12" t="s">
        <v>37</v>
      </c>
    </row>
    <row r="3" spans="1:12" x14ac:dyDescent="0.25">
      <c r="A3" s="4" t="s">
        <v>13</v>
      </c>
      <c r="B3" s="5" t="s">
        <v>14</v>
      </c>
      <c r="J3" t="s">
        <v>35</v>
      </c>
    </row>
    <row r="4" spans="1:12" x14ac:dyDescent="0.25">
      <c r="A4">
        <v>7072184</v>
      </c>
      <c r="B4" t="s">
        <v>1</v>
      </c>
      <c r="D4">
        <v>1</v>
      </c>
      <c r="G4" t="b">
        <f>IF(E4&lt;F4,"1")</f>
        <v>0</v>
      </c>
      <c r="H4" t="b">
        <f>IF(E4&gt;F4,"1")</f>
        <v>0</v>
      </c>
      <c r="J4" t="s">
        <v>38</v>
      </c>
      <c r="K4" t="s">
        <v>37</v>
      </c>
      <c r="L4" t="s">
        <v>36</v>
      </c>
    </row>
    <row r="5" spans="1:12" x14ac:dyDescent="0.25">
      <c r="A5">
        <v>9108231</v>
      </c>
      <c r="B5" t="s">
        <v>1</v>
      </c>
      <c r="C5">
        <v>1</v>
      </c>
      <c r="G5" t="b">
        <f t="shared" ref="G5:G68" si="0">IF(E5&lt;F5,"1")</f>
        <v>0</v>
      </c>
      <c r="H5" t="b">
        <f t="shared" ref="H5:H68" si="1">IF(E5&gt;F5,"1")</f>
        <v>0</v>
      </c>
      <c r="J5">
        <f>COUNTIF(G63:G157,"1")</f>
        <v>32</v>
      </c>
      <c r="K5">
        <f>COUNTIF(H63:H157,"1")</f>
        <v>12</v>
      </c>
      <c r="L5">
        <v>52</v>
      </c>
    </row>
    <row r="6" spans="1:12" x14ac:dyDescent="0.25">
      <c r="A6">
        <v>12061933</v>
      </c>
      <c r="B6" t="s">
        <v>1</v>
      </c>
      <c r="D6">
        <v>1</v>
      </c>
      <c r="G6" t="b">
        <f t="shared" si="0"/>
        <v>0</v>
      </c>
      <c r="H6" t="b">
        <f t="shared" si="1"/>
        <v>0</v>
      </c>
    </row>
    <row r="7" spans="1:12" x14ac:dyDescent="0.25">
      <c r="A7">
        <v>95005911</v>
      </c>
      <c r="B7" t="s">
        <v>1</v>
      </c>
      <c r="D7">
        <v>1</v>
      </c>
      <c r="E7">
        <v>36</v>
      </c>
      <c r="F7">
        <v>36</v>
      </c>
      <c r="G7">
        <v>1</v>
      </c>
      <c r="H7" t="b">
        <f t="shared" si="1"/>
        <v>0</v>
      </c>
    </row>
    <row r="8" spans="1:12" x14ac:dyDescent="0.25">
      <c r="A8">
        <v>99001908</v>
      </c>
      <c r="B8" t="s">
        <v>1</v>
      </c>
      <c r="D8">
        <v>1</v>
      </c>
      <c r="E8">
        <v>44</v>
      </c>
      <c r="F8">
        <v>44</v>
      </c>
      <c r="G8">
        <v>1</v>
      </c>
      <c r="H8" t="b">
        <f t="shared" si="1"/>
        <v>0</v>
      </c>
      <c r="J8" t="s">
        <v>39</v>
      </c>
    </row>
    <row r="9" spans="1:12" x14ac:dyDescent="0.25">
      <c r="A9">
        <v>99004067</v>
      </c>
      <c r="B9" t="s">
        <v>1</v>
      </c>
      <c r="D9">
        <v>1</v>
      </c>
      <c r="G9" t="b">
        <f t="shared" si="0"/>
        <v>0</v>
      </c>
      <c r="H9" t="b">
        <f t="shared" si="1"/>
        <v>0</v>
      </c>
      <c r="J9" t="s">
        <v>38</v>
      </c>
      <c r="K9" t="s">
        <v>37</v>
      </c>
      <c r="L9" t="s">
        <v>3</v>
      </c>
    </row>
    <row r="10" spans="1:12" x14ac:dyDescent="0.25">
      <c r="A10">
        <v>97002136</v>
      </c>
      <c r="B10" t="s">
        <v>1</v>
      </c>
      <c r="D10">
        <v>1</v>
      </c>
      <c r="G10" t="b">
        <f t="shared" si="0"/>
        <v>0</v>
      </c>
      <c r="H10" t="b">
        <f t="shared" si="1"/>
        <v>0</v>
      </c>
      <c r="J10">
        <f>COUNTIF(G159:G218,"1")</f>
        <v>22</v>
      </c>
      <c r="K10">
        <f>COUNTIF(H159:H218,"1")</f>
        <v>3</v>
      </c>
      <c r="L10">
        <v>34</v>
      </c>
    </row>
    <row r="11" spans="1:12" x14ac:dyDescent="0.25">
      <c r="A11">
        <v>1502</v>
      </c>
      <c r="B11" t="s">
        <v>1</v>
      </c>
      <c r="D11">
        <v>1</v>
      </c>
      <c r="G11" t="b">
        <f t="shared" si="0"/>
        <v>0</v>
      </c>
      <c r="H11" t="b">
        <f t="shared" si="1"/>
        <v>0</v>
      </c>
    </row>
    <row r="12" spans="1:12" x14ac:dyDescent="0.25">
      <c r="A12">
        <v>4003543</v>
      </c>
      <c r="B12" t="s">
        <v>1</v>
      </c>
      <c r="D12">
        <v>1</v>
      </c>
      <c r="E12">
        <v>12</v>
      </c>
      <c r="F12">
        <v>12</v>
      </c>
      <c r="G12">
        <v>1</v>
      </c>
      <c r="H12" t="b">
        <f t="shared" si="1"/>
        <v>0</v>
      </c>
    </row>
    <row r="13" spans="1:12" x14ac:dyDescent="0.25">
      <c r="A13">
        <v>4900261</v>
      </c>
      <c r="B13" t="s">
        <v>1</v>
      </c>
      <c r="D13">
        <v>1</v>
      </c>
      <c r="G13" t="b">
        <f t="shared" si="0"/>
        <v>0</v>
      </c>
      <c r="H13" t="b">
        <f t="shared" si="1"/>
        <v>0</v>
      </c>
      <c r="J13" t="s">
        <v>40</v>
      </c>
    </row>
    <row r="14" spans="1:12" x14ac:dyDescent="0.25">
      <c r="G14" t="b">
        <f t="shared" si="0"/>
        <v>0</v>
      </c>
      <c r="H14" t="b">
        <f t="shared" si="1"/>
        <v>0</v>
      </c>
      <c r="J14" t="s">
        <v>38</v>
      </c>
      <c r="K14" t="s">
        <v>37</v>
      </c>
      <c r="L14" t="s">
        <v>3</v>
      </c>
    </row>
    <row r="15" spans="1:12" x14ac:dyDescent="0.25">
      <c r="A15">
        <v>14242856</v>
      </c>
      <c r="B15" t="s">
        <v>15</v>
      </c>
      <c r="D15">
        <v>1</v>
      </c>
      <c r="G15" t="b">
        <f t="shared" si="0"/>
        <v>0</v>
      </c>
      <c r="H15" t="b">
        <f t="shared" si="1"/>
        <v>0</v>
      </c>
      <c r="J15">
        <f>COUNTIF(G220:G281,"1")</f>
        <v>14</v>
      </c>
      <c r="K15">
        <f>COUNTIF(H220:H281,"1")</f>
        <v>7</v>
      </c>
      <c r="L15">
        <v>41</v>
      </c>
    </row>
    <row r="16" spans="1:12" x14ac:dyDescent="0.25">
      <c r="A16">
        <v>99001183</v>
      </c>
      <c r="B16" t="s">
        <v>15</v>
      </c>
      <c r="D16">
        <v>1</v>
      </c>
      <c r="E16">
        <v>17</v>
      </c>
      <c r="F16">
        <v>17</v>
      </c>
      <c r="G16">
        <v>1</v>
      </c>
      <c r="H16" t="b">
        <f t="shared" si="1"/>
        <v>0</v>
      </c>
    </row>
    <row r="17" spans="1:8" x14ac:dyDescent="0.25">
      <c r="A17">
        <v>3000983</v>
      </c>
      <c r="B17" t="s">
        <v>15</v>
      </c>
      <c r="D17">
        <v>1</v>
      </c>
      <c r="E17">
        <v>404</v>
      </c>
      <c r="F17">
        <v>405</v>
      </c>
      <c r="G17" t="str">
        <f t="shared" si="0"/>
        <v>1</v>
      </c>
      <c r="H17" t="b">
        <f t="shared" si="1"/>
        <v>0</v>
      </c>
    </row>
    <row r="18" spans="1:8" x14ac:dyDescent="0.25">
      <c r="A18">
        <v>10064335</v>
      </c>
      <c r="B18" t="s">
        <v>15</v>
      </c>
      <c r="D18">
        <v>1</v>
      </c>
      <c r="G18" t="b">
        <f t="shared" si="0"/>
        <v>0</v>
      </c>
      <c r="H18" t="b">
        <f t="shared" si="1"/>
        <v>0</v>
      </c>
    </row>
    <row r="19" spans="1:8" x14ac:dyDescent="0.25">
      <c r="A19" s="6"/>
      <c r="B19" s="6"/>
      <c r="G19" t="b">
        <f t="shared" si="0"/>
        <v>0</v>
      </c>
      <c r="H19" t="b">
        <f t="shared" si="1"/>
        <v>0</v>
      </c>
    </row>
    <row r="20" spans="1:8" x14ac:dyDescent="0.25">
      <c r="A20">
        <v>1480</v>
      </c>
      <c r="B20" t="s">
        <v>16</v>
      </c>
      <c r="D20">
        <v>1</v>
      </c>
      <c r="G20" t="b">
        <f t="shared" si="0"/>
        <v>0</v>
      </c>
      <c r="H20" t="b">
        <f t="shared" si="1"/>
        <v>0</v>
      </c>
    </row>
    <row r="21" spans="1:8" x14ac:dyDescent="0.25">
      <c r="A21">
        <v>7063959</v>
      </c>
      <c r="B21" t="s">
        <v>16</v>
      </c>
      <c r="D21">
        <v>1</v>
      </c>
      <c r="G21" t="b">
        <f t="shared" si="0"/>
        <v>0</v>
      </c>
      <c r="H21" t="b">
        <f t="shared" si="1"/>
        <v>0</v>
      </c>
    </row>
    <row r="22" spans="1:8" x14ac:dyDescent="0.25">
      <c r="A22">
        <v>1003215</v>
      </c>
      <c r="B22" t="s">
        <v>16</v>
      </c>
      <c r="D22">
        <v>1</v>
      </c>
      <c r="E22">
        <v>15</v>
      </c>
      <c r="F22">
        <v>22</v>
      </c>
      <c r="G22" t="str">
        <f t="shared" si="0"/>
        <v>1</v>
      </c>
      <c r="H22" t="b">
        <f t="shared" si="1"/>
        <v>0</v>
      </c>
    </row>
    <row r="23" spans="1:8" x14ac:dyDescent="0.25">
      <c r="A23">
        <v>99000802</v>
      </c>
      <c r="B23" t="s">
        <v>16</v>
      </c>
      <c r="D23">
        <v>1</v>
      </c>
      <c r="G23" t="b">
        <f t="shared" si="0"/>
        <v>0</v>
      </c>
      <c r="H23" t="b">
        <f t="shared" si="1"/>
        <v>0</v>
      </c>
    </row>
    <row r="24" spans="1:8" x14ac:dyDescent="0.25">
      <c r="A24">
        <v>99000892</v>
      </c>
      <c r="B24" t="s">
        <v>16</v>
      </c>
      <c r="D24">
        <v>1</v>
      </c>
      <c r="E24">
        <v>16</v>
      </c>
      <c r="F24">
        <v>16</v>
      </c>
      <c r="G24">
        <v>1</v>
      </c>
      <c r="H24" t="b">
        <f t="shared" si="1"/>
        <v>0</v>
      </c>
    </row>
    <row r="25" spans="1:8" x14ac:dyDescent="0.25">
      <c r="A25">
        <v>1000192</v>
      </c>
      <c r="B25" t="s">
        <v>16</v>
      </c>
      <c r="D25">
        <v>1</v>
      </c>
      <c r="G25" t="b">
        <f t="shared" si="0"/>
        <v>0</v>
      </c>
      <c r="H25" t="b">
        <f t="shared" si="1"/>
        <v>0</v>
      </c>
    </row>
    <row r="26" spans="1:8" x14ac:dyDescent="0.25">
      <c r="A26">
        <v>1506</v>
      </c>
      <c r="B26" t="s">
        <v>16</v>
      </c>
      <c r="D26">
        <v>1</v>
      </c>
      <c r="G26" t="b">
        <f t="shared" si="0"/>
        <v>0</v>
      </c>
      <c r="H26" t="b">
        <f t="shared" si="1"/>
        <v>0</v>
      </c>
    </row>
    <row r="27" spans="1:8" x14ac:dyDescent="0.25">
      <c r="A27">
        <v>99000894</v>
      </c>
      <c r="B27" t="s">
        <v>16</v>
      </c>
      <c r="D27">
        <v>1</v>
      </c>
      <c r="E27">
        <v>45</v>
      </c>
      <c r="F27">
        <v>27</v>
      </c>
      <c r="G27" t="b">
        <f t="shared" si="0"/>
        <v>0</v>
      </c>
      <c r="H27" t="str">
        <f t="shared" si="1"/>
        <v>1</v>
      </c>
    </row>
    <row r="28" spans="1:8" x14ac:dyDescent="0.25">
      <c r="A28">
        <v>99000897</v>
      </c>
      <c r="B28" t="s">
        <v>16</v>
      </c>
      <c r="D28">
        <v>1</v>
      </c>
      <c r="E28">
        <v>18</v>
      </c>
      <c r="F28">
        <v>19</v>
      </c>
      <c r="G28" t="str">
        <f t="shared" si="0"/>
        <v>1</v>
      </c>
      <c r="H28" t="b">
        <f t="shared" si="1"/>
        <v>0</v>
      </c>
    </row>
    <row r="29" spans="1:8" x14ac:dyDescent="0.25">
      <c r="A29">
        <v>99001245</v>
      </c>
      <c r="B29" t="s">
        <v>16</v>
      </c>
      <c r="D29">
        <v>1</v>
      </c>
      <c r="E29">
        <v>7</v>
      </c>
      <c r="F29">
        <v>8</v>
      </c>
      <c r="G29" t="str">
        <f t="shared" si="0"/>
        <v>1</v>
      </c>
      <c r="H29" t="b">
        <f t="shared" si="1"/>
        <v>0</v>
      </c>
    </row>
    <row r="30" spans="1:8" x14ac:dyDescent="0.25">
      <c r="A30">
        <v>99001902</v>
      </c>
      <c r="B30" t="s">
        <v>16</v>
      </c>
      <c r="D30">
        <v>1</v>
      </c>
      <c r="E30">
        <v>15</v>
      </c>
      <c r="F30">
        <v>17</v>
      </c>
      <c r="G30" t="str">
        <f t="shared" si="0"/>
        <v>1</v>
      </c>
      <c r="H30" t="b">
        <f t="shared" si="1"/>
        <v>0</v>
      </c>
    </row>
    <row r="31" spans="1:8" x14ac:dyDescent="0.25">
      <c r="A31">
        <v>99001912</v>
      </c>
      <c r="B31" t="s">
        <v>16</v>
      </c>
      <c r="D31">
        <v>1</v>
      </c>
      <c r="E31">
        <v>34</v>
      </c>
      <c r="F31">
        <v>35</v>
      </c>
      <c r="G31" t="str">
        <f t="shared" si="0"/>
        <v>1</v>
      </c>
      <c r="H31" t="b">
        <f t="shared" si="1"/>
        <v>0</v>
      </c>
    </row>
    <row r="32" spans="1:8" x14ac:dyDescent="0.25">
      <c r="A32">
        <v>99001913</v>
      </c>
      <c r="B32" t="s">
        <v>16</v>
      </c>
      <c r="D32">
        <v>1</v>
      </c>
      <c r="E32">
        <v>26</v>
      </c>
      <c r="F32">
        <v>27</v>
      </c>
      <c r="G32" t="str">
        <f t="shared" si="0"/>
        <v>1</v>
      </c>
      <c r="H32" t="b">
        <f t="shared" si="1"/>
        <v>0</v>
      </c>
    </row>
    <row r="33" spans="1:8" x14ac:dyDescent="0.25">
      <c r="A33">
        <v>99001937</v>
      </c>
      <c r="B33" t="s">
        <v>16</v>
      </c>
      <c r="D33">
        <v>1</v>
      </c>
      <c r="E33">
        <v>70</v>
      </c>
      <c r="F33">
        <v>32</v>
      </c>
      <c r="G33" t="b">
        <f t="shared" si="0"/>
        <v>0</v>
      </c>
      <c r="H33" t="str">
        <f t="shared" si="1"/>
        <v>1</v>
      </c>
    </row>
    <row r="34" spans="1:8" x14ac:dyDescent="0.25">
      <c r="A34">
        <v>99001943</v>
      </c>
      <c r="B34" t="s">
        <v>16</v>
      </c>
      <c r="D34">
        <v>1</v>
      </c>
      <c r="E34">
        <v>39</v>
      </c>
      <c r="F34">
        <v>35</v>
      </c>
      <c r="G34" t="b">
        <f t="shared" si="0"/>
        <v>0</v>
      </c>
      <c r="H34" t="str">
        <f t="shared" si="1"/>
        <v>1</v>
      </c>
    </row>
    <row r="35" spans="1:8" x14ac:dyDescent="0.25">
      <c r="A35">
        <v>99001927</v>
      </c>
      <c r="B35" t="s">
        <v>16</v>
      </c>
      <c r="D35">
        <v>1</v>
      </c>
      <c r="E35">
        <v>44</v>
      </c>
      <c r="F35">
        <v>47</v>
      </c>
      <c r="G35" t="str">
        <f t="shared" si="0"/>
        <v>1</v>
      </c>
      <c r="H35" t="b">
        <f t="shared" si="1"/>
        <v>0</v>
      </c>
    </row>
    <row r="36" spans="1:8" x14ac:dyDescent="0.25">
      <c r="A36">
        <v>1505</v>
      </c>
      <c r="B36" t="s">
        <v>16</v>
      </c>
      <c r="D36">
        <v>1</v>
      </c>
      <c r="G36" t="b">
        <f t="shared" si="0"/>
        <v>0</v>
      </c>
      <c r="H36" t="b">
        <f t="shared" si="1"/>
        <v>0</v>
      </c>
    </row>
    <row r="37" spans="1:8" x14ac:dyDescent="0.25">
      <c r="A37">
        <v>1000197</v>
      </c>
      <c r="B37" t="s">
        <v>16</v>
      </c>
      <c r="D37">
        <v>1</v>
      </c>
      <c r="G37" t="b">
        <f t="shared" si="0"/>
        <v>0</v>
      </c>
      <c r="H37" t="b">
        <f t="shared" si="1"/>
        <v>0</v>
      </c>
    </row>
    <row r="38" spans="1:8" x14ac:dyDescent="0.25">
      <c r="A38">
        <v>96018835</v>
      </c>
      <c r="B38" t="s">
        <v>16</v>
      </c>
      <c r="D38">
        <v>1</v>
      </c>
      <c r="G38" t="b">
        <f t="shared" si="0"/>
        <v>0</v>
      </c>
      <c r="H38" t="b">
        <f t="shared" si="1"/>
        <v>0</v>
      </c>
    </row>
    <row r="39" spans="1:8" x14ac:dyDescent="0.25">
      <c r="A39">
        <v>98008326</v>
      </c>
      <c r="B39" t="s">
        <v>16</v>
      </c>
      <c r="D39">
        <v>1</v>
      </c>
      <c r="E39">
        <v>15</v>
      </c>
      <c r="F39">
        <v>25</v>
      </c>
      <c r="G39" t="str">
        <f t="shared" si="0"/>
        <v>1</v>
      </c>
      <c r="H39" t="b">
        <f t="shared" si="1"/>
        <v>0</v>
      </c>
    </row>
    <row r="40" spans="1:8" x14ac:dyDescent="0.25">
      <c r="A40">
        <v>99000717</v>
      </c>
      <c r="B40" t="s">
        <v>16</v>
      </c>
      <c r="D40">
        <v>1</v>
      </c>
      <c r="G40" t="b">
        <f t="shared" si="0"/>
        <v>0</v>
      </c>
      <c r="H40" t="b">
        <f t="shared" si="1"/>
        <v>0</v>
      </c>
    </row>
    <row r="41" spans="1:8" x14ac:dyDescent="0.25">
      <c r="G41" t="b">
        <f t="shared" si="0"/>
        <v>0</v>
      </c>
      <c r="H41" t="b">
        <f t="shared" si="1"/>
        <v>0</v>
      </c>
    </row>
    <row r="42" spans="1:8" x14ac:dyDescent="0.25">
      <c r="A42">
        <v>6016435</v>
      </c>
      <c r="B42" t="s">
        <v>6</v>
      </c>
      <c r="D42">
        <v>1</v>
      </c>
      <c r="G42" t="b">
        <f t="shared" si="0"/>
        <v>0</v>
      </c>
      <c r="H42" t="b">
        <f t="shared" si="1"/>
        <v>0</v>
      </c>
    </row>
    <row r="43" spans="1:8" x14ac:dyDescent="0.25">
      <c r="A43">
        <v>8045149</v>
      </c>
      <c r="B43" t="s">
        <v>6</v>
      </c>
      <c r="D43">
        <v>1</v>
      </c>
      <c r="G43" t="b">
        <f t="shared" si="0"/>
        <v>0</v>
      </c>
      <c r="H43" t="b">
        <f t="shared" si="1"/>
        <v>0</v>
      </c>
    </row>
    <row r="44" spans="1:8" x14ac:dyDescent="0.25">
      <c r="A44">
        <v>10023001</v>
      </c>
      <c r="B44" t="s">
        <v>6</v>
      </c>
      <c r="D44">
        <v>1</v>
      </c>
      <c r="G44" t="b">
        <f t="shared" si="0"/>
        <v>0</v>
      </c>
      <c r="H44" t="b">
        <f t="shared" si="1"/>
        <v>0</v>
      </c>
    </row>
    <row r="45" spans="1:8" x14ac:dyDescent="0.25">
      <c r="A45">
        <v>10027526</v>
      </c>
      <c r="B45" t="s">
        <v>6</v>
      </c>
      <c r="D45">
        <v>1</v>
      </c>
      <c r="E45">
        <v>3</v>
      </c>
      <c r="F45">
        <v>3</v>
      </c>
      <c r="G45">
        <v>1</v>
      </c>
      <c r="H45" t="b">
        <f t="shared" si="1"/>
        <v>0</v>
      </c>
    </row>
    <row r="46" spans="1:8" x14ac:dyDescent="0.25">
      <c r="A46">
        <v>14222171</v>
      </c>
      <c r="B46" t="s">
        <v>6</v>
      </c>
      <c r="D46">
        <v>1</v>
      </c>
      <c r="G46" t="b">
        <f t="shared" si="0"/>
        <v>0</v>
      </c>
      <c r="H46" t="b">
        <f t="shared" si="1"/>
        <v>0</v>
      </c>
    </row>
    <row r="47" spans="1:8" x14ac:dyDescent="0.25">
      <c r="A47">
        <v>1006143</v>
      </c>
      <c r="B47" t="s">
        <v>6</v>
      </c>
      <c r="D47">
        <v>1</v>
      </c>
      <c r="E47">
        <v>15</v>
      </c>
      <c r="F47">
        <v>15</v>
      </c>
      <c r="G47">
        <v>1</v>
      </c>
      <c r="H47" t="b">
        <f t="shared" si="1"/>
        <v>0</v>
      </c>
    </row>
    <row r="48" spans="1:8" x14ac:dyDescent="0.25">
      <c r="A48">
        <v>6006917</v>
      </c>
      <c r="B48" t="s">
        <v>6</v>
      </c>
      <c r="D48">
        <v>1</v>
      </c>
      <c r="G48" t="b">
        <f t="shared" si="0"/>
        <v>0</v>
      </c>
      <c r="H48" t="b">
        <f t="shared" si="1"/>
        <v>0</v>
      </c>
    </row>
    <row r="49" spans="1:8" x14ac:dyDescent="0.25">
      <c r="G49" t="b">
        <f t="shared" si="0"/>
        <v>0</v>
      </c>
      <c r="H49" t="b">
        <f t="shared" si="1"/>
        <v>0</v>
      </c>
    </row>
    <row r="50" spans="1:8" x14ac:dyDescent="0.25">
      <c r="A50">
        <v>8057159</v>
      </c>
      <c r="B50" t="s">
        <v>7</v>
      </c>
      <c r="D50">
        <v>1</v>
      </c>
      <c r="F50">
        <v>11</v>
      </c>
      <c r="G50" t="str">
        <f t="shared" si="0"/>
        <v>1</v>
      </c>
      <c r="H50" t="b">
        <f t="shared" si="1"/>
        <v>0</v>
      </c>
    </row>
    <row r="51" spans="1:8" x14ac:dyDescent="0.25">
      <c r="A51">
        <v>9140312</v>
      </c>
      <c r="B51" t="s">
        <v>7</v>
      </c>
      <c r="D51">
        <v>1</v>
      </c>
      <c r="G51" t="b">
        <f t="shared" si="0"/>
        <v>0</v>
      </c>
      <c r="H51" t="b">
        <f t="shared" si="1"/>
        <v>0</v>
      </c>
    </row>
    <row r="52" spans="1:8" x14ac:dyDescent="0.25">
      <c r="A52">
        <v>12008230</v>
      </c>
      <c r="B52" t="s">
        <v>7</v>
      </c>
      <c r="D52">
        <v>1</v>
      </c>
      <c r="E52">
        <v>12</v>
      </c>
      <c r="F52">
        <v>12</v>
      </c>
      <c r="G52">
        <v>1</v>
      </c>
      <c r="H52" t="b">
        <f t="shared" si="1"/>
        <v>0</v>
      </c>
    </row>
    <row r="53" spans="1:8" x14ac:dyDescent="0.25">
      <c r="A53" t="s">
        <v>17</v>
      </c>
      <c r="B53" t="s">
        <v>7</v>
      </c>
      <c r="D53">
        <v>1</v>
      </c>
      <c r="E53">
        <v>9</v>
      </c>
      <c r="F53">
        <v>13</v>
      </c>
      <c r="G53" t="str">
        <f t="shared" si="0"/>
        <v>1</v>
      </c>
      <c r="H53" t="b">
        <f t="shared" si="1"/>
        <v>0</v>
      </c>
    </row>
    <row r="54" spans="1:8" x14ac:dyDescent="0.25">
      <c r="A54">
        <v>13118872</v>
      </c>
      <c r="B54" t="s">
        <v>7</v>
      </c>
      <c r="D54">
        <v>1</v>
      </c>
      <c r="E54">
        <v>32</v>
      </c>
      <c r="F54">
        <v>7</v>
      </c>
      <c r="G54" t="b">
        <f t="shared" si="0"/>
        <v>0</v>
      </c>
      <c r="H54" t="str">
        <f t="shared" si="1"/>
        <v>1</v>
      </c>
    </row>
    <row r="55" spans="1:8" x14ac:dyDescent="0.25">
      <c r="A55">
        <v>12012030</v>
      </c>
      <c r="B55" t="s">
        <v>7</v>
      </c>
      <c r="D55">
        <v>1</v>
      </c>
      <c r="E55">
        <v>14</v>
      </c>
      <c r="F55">
        <v>27</v>
      </c>
      <c r="G55" t="str">
        <f t="shared" si="0"/>
        <v>1</v>
      </c>
      <c r="H55" t="b">
        <f t="shared" si="1"/>
        <v>0</v>
      </c>
    </row>
    <row r="56" spans="1:8" x14ac:dyDescent="0.25">
      <c r="G56" t="b">
        <f t="shared" si="0"/>
        <v>0</v>
      </c>
      <c r="H56" t="b">
        <f t="shared" si="1"/>
        <v>0</v>
      </c>
    </row>
    <row r="57" spans="1:8" x14ac:dyDescent="0.25">
      <c r="A57">
        <v>9074418</v>
      </c>
      <c r="B57" t="s">
        <v>8</v>
      </c>
      <c r="D57">
        <v>1</v>
      </c>
      <c r="F57">
        <v>21</v>
      </c>
      <c r="G57" t="str">
        <f t="shared" si="0"/>
        <v>1</v>
      </c>
      <c r="H57" t="b">
        <f t="shared" si="1"/>
        <v>0</v>
      </c>
    </row>
    <row r="58" spans="1:8" x14ac:dyDescent="0.25">
      <c r="A58">
        <v>1263</v>
      </c>
      <c r="B58" t="s">
        <v>8</v>
      </c>
      <c r="D58">
        <v>1</v>
      </c>
      <c r="E58">
        <v>9</v>
      </c>
      <c r="F58">
        <v>11</v>
      </c>
      <c r="G58" t="str">
        <f t="shared" si="0"/>
        <v>1</v>
      </c>
      <c r="H58" t="b">
        <f t="shared" si="1"/>
        <v>0</v>
      </c>
    </row>
    <row r="59" spans="1:8" x14ac:dyDescent="0.25">
      <c r="A59">
        <v>98004910</v>
      </c>
      <c r="B59" t="s">
        <v>8</v>
      </c>
      <c r="D59">
        <v>1</v>
      </c>
      <c r="F59">
        <v>4</v>
      </c>
      <c r="G59" t="str">
        <f t="shared" si="0"/>
        <v>1</v>
      </c>
      <c r="H59" t="b">
        <f t="shared" si="1"/>
        <v>0</v>
      </c>
    </row>
    <row r="60" spans="1:8" x14ac:dyDescent="0.25">
      <c r="A60">
        <v>7103068</v>
      </c>
      <c r="B60" t="s">
        <v>8</v>
      </c>
      <c r="D60">
        <v>1</v>
      </c>
      <c r="G60" t="b">
        <f t="shared" si="0"/>
        <v>0</v>
      </c>
      <c r="H60" t="b">
        <f t="shared" si="1"/>
        <v>0</v>
      </c>
    </row>
    <row r="61" spans="1:8" x14ac:dyDescent="0.25">
      <c r="A61">
        <v>11240728</v>
      </c>
      <c r="B61" t="s">
        <v>8</v>
      </c>
      <c r="D61">
        <v>1</v>
      </c>
      <c r="G61" t="b">
        <f t="shared" si="0"/>
        <v>0</v>
      </c>
      <c r="H61" t="b">
        <f t="shared" si="1"/>
        <v>0</v>
      </c>
    </row>
    <row r="62" spans="1:8" x14ac:dyDescent="0.25">
      <c r="G62" t="b">
        <f t="shared" si="0"/>
        <v>0</v>
      </c>
      <c r="H62" t="b">
        <f t="shared" si="1"/>
        <v>0</v>
      </c>
    </row>
    <row r="63" spans="1:8" x14ac:dyDescent="0.25">
      <c r="A63">
        <v>5015869</v>
      </c>
      <c r="B63" t="s">
        <v>18</v>
      </c>
      <c r="G63" t="b">
        <f t="shared" si="0"/>
        <v>0</v>
      </c>
      <c r="H63" t="b">
        <f t="shared" si="1"/>
        <v>0</v>
      </c>
    </row>
    <row r="64" spans="1:8" x14ac:dyDescent="0.25">
      <c r="A64">
        <v>5016969</v>
      </c>
      <c r="B64" t="s">
        <v>18</v>
      </c>
      <c r="D64">
        <v>1</v>
      </c>
      <c r="G64" t="b">
        <f t="shared" si="0"/>
        <v>0</v>
      </c>
      <c r="H64" t="b">
        <f t="shared" si="1"/>
        <v>0</v>
      </c>
    </row>
    <row r="65" spans="1:8" x14ac:dyDescent="0.25">
      <c r="A65">
        <v>6023231</v>
      </c>
      <c r="B65" t="s">
        <v>18</v>
      </c>
      <c r="D65">
        <v>1</v>
      </c>
      <c r="G65" t="b">
        <f t="shared" si="0"/>
        <v>0</v>
      </c>
      <c r="H65" t="b">
        <f t="shared" si="1"/>
        <v>0</v>
      </c>
    </row>
    <row r="66" spans="1:8" x14ac:dyDescent="0.25">
      <c r="A66">
        <v>6011198</v>
      </c>
      <c r="B66" t="s">
        <v>18</v>
      </c>
      <c r="D66">
        <v>1</v>
      </c>
      <c r="G66" t="b">
        <f t="shared" si="0"/>
        <v>0</v>
      </c>
      <c r="H66" t="b">
        <f t="shared" si="1"/>
        <v>0</v>
      </c>
    </row>
    <row r="67" spans="1:8" x14ac:dyDescent="0.25">
      <c r="A67">
        <v>6045127</v>
      </c>
      <c r="B67" t="s">
        <v>18</v>
      </c>
      <c r="D67">
        <v>1</v>
      </c>
      <c r="G67" t="b">
        <f t="shared" si="0"/>
        <v>0</v>
      </c>
      <c r="H67" t="b">
        <f t="shared" si="1"/>
        <v>0</v>
      </c>
    </row>
    <row r="68" spans="1:8" x14ac:dyDescent="0.25">
      <c r="A68">
        <v>7082707</v>
      </c>
      <c r="B68" t="s">
        <v>18</v>
      </c>
      <c r="D68">
        <v>1</v>
      </c>
      <c r="G68" t="b">
        <f t="shared" si="0"/>
        <v>0</v>
      </c>
      <c r="H68" t="b">
        <f t="shared" si="1"/>
        <v>0</v>
      </c>
    </row>
    <row r="69" spans="1:8" x14ac:dyDescent="0.25">
      <c r="A69">
        <v>7083159</v>
      </c>
      <c r="B69" t="s">
        <v>18</v>
      </c>
      <c r="D69">
        <v>1</v>
      </c>
      <c r="G69" t="b">
        <f>IF(E69&lt;F69,"1")</f>
        <v>0</v>
      </c>
      <c r="H69" t="b">
        <f t="shared" ref="H69:H132" si="2">IF(E69&gt;F69,"1")</f>
        <v>0</v>
      </c>
    </row>
    <row r="70" spans="1:8" x14ac:dyDescent="0.25">
      <c r="A70">
        <v>7084659</v>
      </c>
      <c r="B70" t="s">
        <v>18</v>
      </c>
      <c r="D70">
        <v>1</v>
      </c>
      <c r="G70" t="b">
        <f t="shared" ref="G70:G78" si="3">IF(E70&lt;F70,"1")</f>
        <v>0</v>
      </c>
      <c r="H70" t="b">
        <f t="shared" si="2"/>
        <v>0</v>
      </c>
    </row>
    <row r="71" spans="1:8" x14ac:dyDescent="0.25">
      <c r="A71">
        <v>7076814</v>
      </c>
      <c r="B71" t="s">
        <v>18</v>
      </c>
      <c r="D71">
        <v>1</v>
      </c>
      <c r="G71" t="b">
        <f t="shared" si="3"/>
        <v>0</v>
      </c>
      <c r="H71" t="b">
        <f t="shared" si="2"/>
        <v>0</v>
      </c>
    </row>
    <row r="72" spans="1:8" x14ac:dyDescent="0.25">
      <c r="A72">
        <v>8091779</v>
      </c>
      <c r="B72" t="s">
        <v>18</v>
      </c>
      <c r="D72">
        <v>1</v>
      </c>
      <c r="G72" t="b">
        <f t="shared" si="3"/>
        <v>0</v>
      </c>
      <c r="H72" t="b">
        <f t="shared" si="2"/>
        <v>0</v>
      </c>
    </row>
    <row r="73" spans="1:8" x14ac:dyDescent="0.25">
      <c r="A73">
        <v>8112522</v>
      </c>
      <c r="B73" t="s">
        <v>18</v>
      </c>
      <c r="D73">
        <v>1</v>
      </c>
      <c r="G73" t="b">
        <f t="shared" si="3"/>
        <v>0</v>
      </c>
      <c r="H73" t="b">
        <f t="shared" si="2"/>
        <v>0</v>
      </c>
    </row>
    <row r="74" spans="1:8" x14ac:dyDescent="0.25">
      <c r="A74" t="s">
        <v>19</v>
      </c>
      <c r="B74" t="s">
        <v>18</v>
      </c>
      <c r="D74">
        <v>1</v>
      </c>
      <c r="G74" t="b">
        <f t="shared" si="3"/>
        <v>0</v>
      </c>
      <c r="H74" t="b">
        <f t="shared" si="2"/>
        <v>0</v>
      </c>
    </row>
    <row r="75" spans="1:8" x14ac:dyDescent="0.25">
      <c r="A75">
        <v>8130998</v>
      </c>
      <c r="B75" t="s">
        <v>18</v>
      </c>
      <c r="D75">
        <v>1</v>
      </c>
      <c r="F75">
        <v>4</v>
      </c>
      <c r="G75" t="str">
        <f t="shared" si="3"/>
        <v>1</v>
      </c>
      <c r="H75" t="b">
        <f t="shared" si="2"/>
        <v>0</v>
      </c>
    </row>
    <row r="76" spans="1:8" x14ac:dyDescent="0.25">
      <c r="A76">
        <v>9002836</v>
      </c>
      <c r="B76" t="s">
        <v>18</v>
      </c>
      <c r="D76">
        <v>1</v>
      </c>
      <c r="G76" t="b">
        <f t="shared" si="3"/>
        <v>0</v>
      </c>
      <c r="H76" t="b">
        <f t="shared" si="2"/>
        <v>0</v>
      </c>
    </row>
    <row r="77" spans="1:8" x14ac:dyDescent="0.25">
      <c r="A77">
        <v>9003331</v>
      </c>
      <c r="B77" t="s">
        <v>18</v>
      </c>
      <c r="D77">
        <v>1</v>
      </c>
      <c r="G77" t="b">
        <f t="shared" si="3"/>
        <v>0</v>
      </c>
      <c r="H77" t="b">
        <f t="shared" si="2"/>
        <v>0</v>
      </c>
    </row>
    <row r="78" spans="1:8" x14ac:dyDescent="0.25">
      <c r="A78">
        <v>9003370</v>
      </c>
      <c r="B78" t="s">
        <v>18</v>
      </c>
      <c r="D78">
        <v>1</v>
      </c>
      <c r="G78" t="b">
        <f t="shared" si="3"/>
        <v>0</v>
      </c>
      <c r="H78" t="b">
        <f t="shared" si="2"/>
        <v>0</v>
      </c>
    </row>
    <row r="79" spans="1:8" x14ac:dyDescent="0.25">
      <c r="A79">
        <v>9016278</v>
      </c>
      <c r="B79" t="s">
        <v>18</v>
      </c>
      <c r="D79">
        <v>1</v>
      </c>
      <c r="E79">
        <v>17</v>
      </c>
      <c r="F79">
        <v>10</v>
      </c>
      <c r="G79" t="b">
        <f>IF(E79&lt;F79,"1")</f>
        <v>0</v>
      </c>
      <c r="H79" t="str">
        <f t="shared" si="2"/>
        <v>1</v>
      </c>
    </row>
    <row r="80" spans="1:8" x14ac:dyDescent="0.25">
      <c r="A80">
        <v>9030684</v>
      </c>
      <c r="B80" t="s">
        <v>18</v>
      </c>
      <c r="D80">
        <v>1</v>
      </c>
      <c r="G80" t="b">
        <f t="shared" ref="G80:G143" si="4">IF(E80&lt;F80,"1")</f>
        <v>0</v>
      </c>
      <c r="H80" t="b">
        <f t="shared" si="2"/>
        <v>0</v>
      </c>
    </row>
    <row r="81" spans="1:8" x14ac:dyDescent="0.25">
      <c r="A81">
        <v>9031387</v>
      </c>
      <c r="B81" t="s">
        <v>18</v>
      </c>
      <c r="D81">
        <v>1</v>
      </c>
      <c r="G81" t="b">
        <f t="shared" si="4"/>
        <v>0</v>
      </c>
      <c r="H81" t="b">
        <f t="shared" si="2"/>
        <v>0</v>
      </c>
    </row>
    <row r="82" spans="1:8" x14ac:dyDescent="0.25">
      <c r="A82">
        <v>9038676</v>
      </c>
      <c r="B82" t="s">
        <v>18</v>
      </c>
      <c r="D82">
        <v>1</v>
      </c>
      <c r="G82" t="b">
        <f t="shared" si="4"/>
        <v>0</v>
      </c>
      <c r="H82" t="b">
        <f t="shared" si="2"/>
        <v>0</v>
      </c>
    </row>
    <row r="83" spans="1:8" x14ac:dyDescent="0.25">
      <c r="A83">
        <v>9039416</v>
      </c>
      <c r="B83" t="s">
        <v>18</v>
      </c>
      <c r="D83">
        <v>1</v>
      </c>
      <c r="E83">
        <v>11</v>
      </c>
      <c r="F83">
        <v>14</v>
      </c>
      <c r="G83" t="str">
        <f t="shared" si="4"/>
        <v>1</v>
      </c>
      <c r="H83" t="b">
        <f t="shared" si="2"/>
        <v>0</v>
      </c>
    </row>
    <row r="84" spans="1:8" x14ac:dyDescent="0.25">
      <c r="A84">
        <v>9042861</v>
      </c>
      <c r="B84" t="s">
        <v>18</v>
      </c>
      <c r="D84">
        <v>1</v>
      </c>
      <c r="E84">
        <v>14</v>
      </c>
      <c r="F84">
        <v>17</v>
      </c>
      <c r="G84" t="str">
        <f t="shared" si="4"/>
        <v>1</v>
      </c>
      <c r="H84" t="b">
        <f t="shared" si="2"/>
        <v>0</v>
      </c>
    </row>
    <row r="85" spans="1:8" x14ac:dyDescent="0.25">
      <c r="A85">
        <v>9044899</v>
      </c>
      <c r="B85" t="s">
        <v>18</v>
      </c>
      <c r="D85">
        <v>1</v>
      </c>
      <c r="E85">
        <v>22</v>
      </c>
      <c r="F85">
        <v>13</v>
      </c>
      <c r="G85" t="b">
        <f t="shared" si="4"/>
        <v>0</v>
      </c>
      <c r="H85" t="str">
        <f t="shared" si="2"/>
        <v>1</v>
      </c>
    </row>
    <row r="86" spans="1:8" x14ac:dyDescent="0.25">
      <c r="A86">
        <v>9052398</v>
      </c>
      <c r="B86" t="s">
        <v>18</v>
      </c>
      <c r="D86">
        <v>1</v>
      </c>
      <c r="G86" t="b">
        <f t="shared" si="4"/>
        <v>0</v>
      </c>
      <c r="H86" t="b">
        <f t="shared" si="2"/>
        <v>0</v>
      </c>
    </row>
    <row r="87" spans="1:8" x14ac:dyDescent="0.25">
      <c r="A87">
        <v>9085204</v>
      </c>
      <c r="B87" t="s">
        <v>18</v>
      </c>
      <c r="D87">
        <v>1</v>
      </c>
      <c r="E87">
        <v>7</v>
      </c>
      <c r="F87">
        <v>10</v>
      </c>
      <c r="G87" t="str">
        <f t="shared" si="4"/>
        <v>1</v>
      </c>
      <c r="H87" t="b">
        <f t="shared" si="2"/>
        <v>0</v>
      </c>
    </row>
    <row r="88" spans="1:8" x14ac:dyDescent="0.25">
      <c r="A88">
        <v>9105492</v>
      </c>
      <c r="B88" t="s">
        <v>18</v>
      </c>
      <c r="D88">
        <v>1</v>
      </c>
      <c r="E88">
        <v>18</v>
      </c>
      <c r="F88">
        <v>18</v>
      </c>
      <c r="G88">
        <v>1</v>
      </c>
      <c r="H88" t="b">
        <f t="shared" si="2"/>
        <v>0</v>
      </c>
    </row>
    <row r="89" spans="1:8" x14ac:dyDescent="0.25">
      <c r="A89">
        <v>9138470</v>
      </c>
      <c r="B89" t="s">
        <v>18</v>
      </c>
      <c r="D89">
        <v>1</v>
      </c>
      <c r="G89" t="b">
        <f t="shared" si="4"/>
        <v>0</v>
      </c>
      <c r="H89" t="b">
        <f t="shared" si="2"/>
        <v>0</v>
      </c>
    </row>
    <row r="90" spans="1:8" x14ac:dyDescent="0.25">
      <c r="A90">
        <v>10010926</v>
      </c>
      <c r="B90" t="s">
        <v>18</v>
      </c>
      <c r="D90">
        <v>1</v>
      </c>
      <c r="E90">
        <v>15</v>
      </c>
      <c r="F90">
        <v>15</v>
      </c>
      <c r="G90">
        <v>1</v>
      </c>
      <c r="H90" t="b">
        <f t="shared" si="2"/>
        <v>0</v>
      </c>
    </row>
    <row r="91" spans="1:8" x14ac:dyDescent="0.25">
      <c r="A91" t="s">
        <v>20</v>
      </c>
      <c r="B91" t="s">
        <v>18</v>
      </c>
      <c r="D91">
        <v>1</v>
      </c>
      <c r="E91">
        <v>109</v>
      </c>
      <c r="F91">
        <v>45</v>
      </c>
      <c r="G91" t="b">
        <f t="shared" si="4"/>
        <v>0</v>
      </c>
      <c r="H91" t="str">
        <f t="shared" si="2"/>
        <v>1</v>
      </c>
    </row>
    <row r="92" spans="1:8" x14ac:dyDescent="0.25">
      <c r="A92">
        <v>10091530</v>
      </c>
      <c r="B92" t="s">
        <v>18</v>
      </c>
      <c r="D92">
        <v>1</v>
      </c>
      <c r="F92">
        <v>23</v>
      </c>
      <c r="G92" t="str">
        <f t="shared" si="4"/>
        <v>1</v>
      </c>
      <c r="H92" t="b">
        <f t="shared" si="2"/>
        <v>0</v>
      </c>
    </row>
    <row r="93" spans="1:8" x14ac:dyDescent="0.25">
      <c r="A93">
        <v>10102052</v>
      </c>
      <c r="B93" t="s">
        <v>18</v>
      </c>
      <c r="D93">
        <v>1</v>
      </c>
      <c r="F93">
        <v>23</v>
      </c>
      <c r="G93" t="str">
        <f t="shared" si="4"/>
        <v>1</v>
      </c>
      <c r="H93" t="b">
        <f t="shared" si="2"/>
        <v>0</v>
      </c>
    </row>
    <row r="94" spans="1:8" x14ac:dyDescent="0.25">
      <c r="A94">
        <v>10131550</v>
      </c>
      <c r="B94" t="s">
        <v>18</v>
      </c>
      <c r="D94">
        <v>1</v>
      </c>
      <c r="G94" t="b">
        <f t="shared" si="4"/>
        <v>0</v>
      </c>
      <c r="H94" t="b">
        <f t="shared" si="2"/>
        <v>0</v>
      </c>
    </row>
    <row r="95" spans="1:8" x14ac:dyDescent="0.25">
      <c r="A95">
        <v>10145202</v>
      </c>
      <c r="B95" t="s">
        <v>18</v>
      </c>
      <c r="D95">
        <v>1</v>
      </c>
      <c r="E95">
        <v>21</v>
      </c>
      <c r="F95">
        <v>23</v>
      </c>
      <c r="G95" t="str">
        <f t="shared" si="4"/>
        <v>1</v>
      </c>
      <c r="H95" t="b">
        <f t="shared" si="2"/>
        <v>0</v>
      </c>
    </row>
    <row r="96" spans="1:8" x14ac:dyDescent="0.25">
      <c r="A96">
        <v>10158770</v>
      </c>
      <c r="B96" t="s">
        <v>18</v>
      </c>
      <c r="D96">
        <v>1</v>
      </c>
      <c r="G96" t="b">
        <f t="shared" si="4"/>
        <v>0</v>
      </c>
      <c r="H96" t="b">
        <f t="shared" si="2"/>
        <v>0</v>
      </c>
    </row>
    <row r="97" spans="1:8" x14ac:dyDescent="0.25">
      <c r="A97">
        <v>10162949</v>
      </c>
      <c r="B97" t="s">
        <v>18</v>
      </c>
      <c r="D97">
        <v>1</v>
      </c>
      <c r="G97" t="b">
        <f t="shared" si="4"/>
        <v>0</v>
      </c>
      <c r="H97" t="b">
        <f t="shared" si="2"/>
        <v>0</v>
      </c>
    </row>
    <row r="98" spans="1:8" x14ac:dyDescent="0.25">
      <c r="A98">
        <v>10171633</v>
      </c>
      <c r="B98" t="s">
        <v>18</v>
      </c>
      <c r="D98">
        <v>1</v>
      </c>
      <c r="E98">
        <v>18</v>
      </c>
      <c r="F98">
        <v>23</v>
      </c>
      <c r="G98" t="str">
        <f t="shared" si="4"/>
        <v>1</v>
      </c>
      <c r="H98" t="b">
        <f t="shared" si="2"/>
        <v>0</v>
      </c>
    </row>
    <row r="99" spans="1:8" x14ac:dyDescent="0.25">
      <c r="A99">
        <v>11005762</v>
      </c>
      <c r="B99" t="s">
        <v>18</v>
      </c>
      <c r="D99">
        <v>1</v>
      </c>
      <c r="G99" t="b">
        <f t="shared" si="4"/>
        <v>0</v>
      </c>
      <c r="H99" t="b">
        <f t="shared" si="2"/>
        <v>0</v>
      </c>
    </row>
    <row r="100" spans="1:8" x14ac:dyDescent="0.25">
      <c r="A100" t="s">
        <v>21</v>
      </c>
      <c r="B100" t="s">
        <v>18</v>
      </c>
      <c r="D100">
        <v>1</v>
      </c>
      <c r="E100">
        <v>43</v>
      </c>
      <c r="F100">
        <v>26</v>
      </c>
      <c r="G100" t="b">
        <f t="shared" si="4"/>
        <v>0</v>
      </c>
      <c r="H100" t="str">
        <f t="shared" si="2"/>
        <v>1</v>
      </c>
    </row>
    <row r="101" spans="1:8" x14ac:dyDescent="0.25">
      <c r="A101">
        <v>11018341</v>
      </c>
      <c r="B101" t="s">
        <v>18</v>
      </c>
      <c r="D101">
        <v>1</v>
      </c>
      <c r="E101">
        <v>20</v>
      </c>
      <c r="F101">
        <v>20</v>
      </c>
      <c r="G101">
        <v>1</v>
      </c>
      <c r="H101" t="b">
        <f t="shared" si="2"/>
        <v>0</v>
      </c>
    </row>
    <row r="102" spans="1:8" x14ac:dyDescent="0.25">
      <c r="A102">
        <v>11025151</v>
      </c>
      <c r="B102" t="s">
        <v>18</v>
      </c>
      <c r="D102">
        <v>1</v>
      </c>
      <c r="E102">
        <v>29</v>
      </c>
      <c r="F102">
        <v>31</v>
      </c>
      <c r="G102" t="str">
        <f t="shared" si="4"/>
        <v>1</v>
      </c>
      <c r="H102" t="b">
        <f t="shared" si="2"/>
        <v>0</v>
      </c>
    </row>
    <row r="103" spans="1:8" x14ac:dyDescent="0.25">
      <c r="A103">
        <v>11039110</v>
      </c>
      <c r="B103" t="s">
        <v>18</v>
      </c>
      <c r="D103">
        <v>1</v>
      </c>
      <c r="E103">
        <v>3</v>
      </c>
      <c r="F103">
        <v>1</v>
      </c>
      <c r="G103" t="b">
        <f t="shared" si="4"/>
        <v>0</v>
      </c>
      <c r="H103" t="str">
        <f t="shared" si="2"/>
        <v>1</v>
      </c>
    </row>
    <row r="104" spans="1:8" x14ac:dyDescent="0.25">
      <c r="A104">
        <v>11108410</v>
      </c>
      <c r="B104" t="s">
        <v>18</v>
      </c>
      <c r="D104">
        <v>1</v>
      </c>
      <c r="E104">
        <v>28</v>
      </c>
      <c r="F104">
        <v>24</v>
      </c>
      <c r="G104" t="b">
        <f t="shared" si="4"/>
        <v>0</v>
      </c>
      <c r="H104" t="str">
        <f t="shared" si="2"/>
        <v>1</v>
      </c>
    </row>
    <row r="105" spans="1:8" x14ac:dyDescent="0.25">
      <c r="A105">
        <v>11139605</v>
      </c>
      <c r="B105" t="s">
        <v>18</v>
      </c>
      <c r="D105">
        <v>1</v>
      </c>
      <c r="G105" t="b">
        <f t="shared" si="4"/>
        <v>0</v>
      </c>
      <c r="H105" t="b">
        <f t="shared" si="2"/>
        <v>0</v>
      </c>
    </row>
    <row r="106" spans="1:8" x14ac:dyDescent="0.25">
      <c r="A106">
        <v>11201694</v>
      </c>
      <c r="B106" t="s">
        <v>18</v>
      </c>
      <c r="D106">
        <v>1</v>
      </c>
      <c r="E106">
        <v>4</v>
      </c>
      <c r="F106">
        <v>4</v>
      </c>
      <c r="G106">
        <v>1</v>
      </c>
      <c r="H106" t="b">
        <f t="shared" si="2"/>
        <v>0</v>
      </c>
    </row>
    <row r="107" spans="1:8" x14ac:dyDescent="0.25">
      <c r="A107">
        <v>12006449</v>
      </c>
      <c r="B107" t="s">
        <v>18</v>
      </c>
      <c r="D107">
        <v>1</v>
      </c>
      <c r="E107">
        <v>18</v>
      </c>
      <c r="F107">
        <v>18</v>
      </c>
      <c r="G107">
        <v>1</v>
      </c>
      <c r="H107" t="b">
        <f t="shared" si="2"/>
        <v>0</v>
      </c>
    </row>
    <row r="108" spans="1:8" x14ac:dyDescent="0.25">
      <c r="A108">
        <v>12229481</v>
      </c>
      <c r="B108" t="s">
        <v>18</v>
      </c>
      <c r="D108">
        <v>1</v>
      </c>
      <c r="G108" t="b">
        <f t="shared" si="4"/>
        <v>0</v>
      </c>
      <c r="H108" t="b">
        <f t="shared" si="2"/>
        <v>0</v>
      </c>
    </row>
    <row r="109" spans="1:8" x14ac:dyDescent="0.25">
      <c r="A109">
        <v>13005942</v>
      </c>
      <c r="B109" t="s">
        <v>18</v>
      </c>
      <c r="D109">
        <v>1</v>
      </c>
      <c r="G109" t="b">
        <f t="shared" si="4"/>
        <v>0</v>
      </c>
      <c r="H109" t="b">
        <f t="shared" si="2"/>
        <v>0</v>
      </c>
    </row>
    <row r="110" spans="1:8" x14ac:dyDescent="0.25">
      <c r="A110">
        <v>3909</v>
      </c>
      <c r="B110" t="s">
        <v>18</v>
      </c>
      <c r="D110">
        <v>1</v>
      </c>
      <c r="G110" t="b">
        <f t="shared" si="4"/>
        <v>0</v>
      </c>
      <c r="H110" t="b">
        <f t="shared" si="2"/>
        <v>0</v>
      </c>
    </row>
    <row r="111" spans="1:8" x14ac:dyDescent="0.25">
      <c r="A111">
        <v>4663</v>
      </c>
      <c r="B111" t="s">
        <v>18</v>
      </c>
      <c r="D111">
        <v>1</v>
      </c>
      <c r="G111" t="b">
        <f t="shared" si="4"/>
        <v>0</v>
      </c>
      <c r="H111" t="b">
        <f t="shared" si="2"/>
        <v>0</v>
      </c>
    </row>
    <row r="112" spans="1:8" x14ac:dyDescent="0.25">
      <c r="A112">
        <v>1005522</v>
      </c>
      <c r="B112" t="s">
        <v>18</v>
      </c>
      <c r="D112">
        <v>1</v>
      </c>
      <c r="G112" t="b">
        <f t="shared" si="4"/>
        <v>0</v>
      </c>
      <c r="H112" t="b">
        <f t="shared" si="2"/>
        <v>0</v>
      </c>
    </row>
    <row r="113" spans="1:8" x14ac:dyDescent="0.25">
      <c r="A113">
        <v>1007631</v>
      </c>
      <c r="B113" t="s">
        <v>18</v>
      </c>
      <c r="D113">
        <v>1</v>
      </c>
      <c r="E113">
        <v>4</v>
      </c>
      <c r="F113">
        <v>5</v>
      </c>
      <c r="G113" t="str">
        <f t="shared" si="4"/>
        <v>1</v>
      </c>
      <c r="H113" t="b">
        <f t="shared" si="2"/>
        <v>0</v>
      </c>
    </row>
    <row r="114" spans="1:8" x14ac:dyDescent="0.25">
      <c r="A114">
        <v>2000646</v>
      </c>
      <c r="B114" t="s">
        <v>18</v>
      </c>
      <c r="D114">
        <v>1</v>
      </c>
      <c r="G114" t="b">
        <f t="shared" si="4"/>
        <v>0</v>
      </c>
      <c r="H114" t="b">
        <f t="shared" si="2"/>
        <v>0</v>
      </c>
    </row>
    <row r="115" spans="1:8" x14ac:dyDescent="0.25">
      <c r="A115">
        <v>2003761</v>
      </c>
      <c r="B115" t="s">
        <v>18</v>
      </c>
      <c r="D115">
        <v>1</v>
      </c>
      <c r="G115" t="b">
        <f t="shared" si="4"/>
        <v>0</v>
      </c>
      <c r="H115" t="b">
        <f t="shared" si="2"/>
        <v>0</v>
      </c>
    </row>
    <row r="116" spans="1:8" x14ac:dyDescent="0.25">
      <c r="A116">
        <v>2004061</v>
      </c>
      <c r="B116" t="s">
        <v>18</v>
      </c>
      <c r="D116">
        <v>1</v>
      </c>
      <c r="E116">
        <v>4</v>
      </c>
      <c r="F116">
        <v>4</v>
      </c>
      <c r="G116">
        <v>1</v>
      </c>
      <c r="H116" t="b">
        <f t="shared" si="2"/>
        <v>0</v>
      </c>
    </row>
    <row r="117" spans="1:8" x14ac:dyDescent="0.25">
      <c r="A117">
        <v>2006469</v>
      </c>
      <c r="B117" t="s">
        <v>18</v>
      </c>
      <c r="D117">
        <v>1</v>
      </c>
      <c r="G117" t="b">
        <f t="shared" si="4"/>
        <v>0</v>
      </c>
      <c r="H117" t="b">
        <f t="shared" si="2"/>
        <v>0</v>
      </c>
    </row>
    <row r="118" spans="1:8" x14ac:dyDescent="0.25">
      <c r="A118">
        <v>3005132</v>
      </c>
      <c r="B118" t="s">
        <v>18</v>
      </c>
      <c r="D118">
        <v>1</v>
      </c>
      <c r="G118" t="b">
        <f t="shared" si="4"/>
        <v>0</v>
      </c>
      <c r="H118" t="b">
        <f t="shared" si="2"/>
        <v>0</v>
      </c>
    </row>
    <row r="119" spans="1:8" x14ac:dyDescent="0.25">
      <c r="A119">
        <v>3009119</v>
      </c>
      <c r="B119" t="s">
        <v>18</v>
      </c>
      <c r="D119">
        <v>1</v>
      </c>
      <c r="G119" t="b">
        <f t="shared" si="4"/>
        <v>0</v>
      </c>
      <c r="H119" t="b">
        <f t="shared" si="2"/>
        <v>0</v>
      </c>
    </row>
    <row r="120" spans="1:8" x14ac:dyDescent="0.25">
      <c r="A120">
        <v>3009936</v>
      </c>
      <c r="B120" t="s">
        <v>18</v>
      </c>
      <c r="D120">
        <v>1</v>
      </c>
      <c r="G120" t="b">
        <f t="shared" si="4"/>
        <v>0</v>
      </c>
      <c r="H120" t="b">
        <f t="shared" si="2"/>
        <v>0</v>
      </c>
    </row>
    <row r="121" spans="1:8" x14ac:dyDescent="0.25">
      <c r="A121">
        <v>3011094</v>
      </c>
      <c r="B121" t="s">
        <v>18</v>
      </c>
      <c r="D121">
        <v>1</v>
      </c>
      <c r="G121" t="b">
        <f t="shared" si="4"/>
        <v>0</v>
      </c>
      <c r="H121" t="b">
        <f t="shared" si="2"/>
        <v>0</v>
      </c>
    </row>
    <row r="122" spans="1:8" x14ac:dyDescent="0.25">
      <c r="A122">
        <v>3014643</v>
      </c>
      <c r="B122" t="s">
        <v>18</v>
      </c>
      <c r="D122">
        <v>1</v>
      </c>
      <c r="E122">
        <v>4</v>
      </c>
      <c r="F122">
        <v>11</v>
      </c>
      <c r="G122" t="str">
        <f t="shared" si="4"/>
        <v>1</v>
      </c>
      <c r="H122" t="b">
        <f t="shared" si="2"/>
        <v>0</v>
      </c>
    </row>
    <row r="123" spans="1:8" x14ac:dyDescent="0.25">
      <c r="A123">
        <v>3900219</v>
      </c>
      <c r="B123" t="s">
        <v>18</v>
      </c>
      <c r="D123">
        <v>1</v>
      </c>
      <c r="E123">
        <v>25</v>
      </c>
      <c r="F123">
        <v>16</v>
      </c>
      <c r="G123" t="b">
        <f t="shared" si="4"/>
        <v>0</v>
      </c>
      <c r="H123" t="str">
        <f t="shared" si="2"/>
        <v>1</v>
      </c>
    </row>
    <row r="124" spans="1:8" x14ac:dyDescent="0.25">
      <c r="A124">
        <v>4000158</v>
      </c>
      <c r="B124" t="s">
        <v>18</v>
      </c>
      <c r="D124">
        <v>1</v>
      </c>
      <c r="E124">
        <v>9</v>
      </c>
      <c r="F124">
        <v>11</v>
      </c>
      <c r="G124" t="str">
        <f t="shared" si="4"/>
        <v>1</v>
      </c>
      <c r="H124" t="b">
        <f t="shared" si="2"/>
        <v>0</v>
      </c>
    </row>
    <row r="125" spans="1:8" x14ac:dyDescent="0.25">
      <c r="A125">
        <v>4000304</v>
      </c>
      <c r="B125" t="s">
        <v>18</v>
      </c>
      <c r="D125">
        <v>1</v>
      </c>
      <c r="G125" t="b">
        <f t="shared" si="4"/>
        <v>0</v>
      </c>
      <c r="H125" t="b">
        <f t="shared" si="2"/>
        <v>0</v>
      </c>
    </row>
    <row r="126" spans="1:8" x14ac:dyDescent="0.25">
      <c r="A126">
        <v>4001905</v>
      </c>
      <c r="B126" t="s">
        <v>18</v>
      </c>
      <c r="D126">
        <v>1</v>
      </c>
      <c r="E126">
        <v>4</v>
      </c>
      <c r="F126">
        <v>5</v>
      </c>
      <c r="G126" t="str">
        <f t="shared" si="4"/>
        <v>1</v>
      </c>
      <c r="H126" t="b">
        <f t="shared" si="2"/>
        <v>0</v>
      </c>
    </row>
    <row r="127" spans="1:8" x14ac:dyDescent="0.25">
      <c r="A127">
        <v>4002206</v>
      </c>
      <c r="B127" t="s">
        <v>18</v>
      </c>
      <c r="D127">
        <v>1</v>
      </c>
      <c r="E127">
        <v>8</v>
      </c>
      <c r="F127">
        <v>8</v>
      </c>
      <c r="G127">
        <v>1</v>
      </c>
      <c r="H127" t="b">
        <f t="shared" si="2"/>
        <v>0</v>
      </c>
    </row>
    <row r="128" spans="1:8" x14ac:dyDescent="0.25">
      <c r="A128">
        <v>4003924</v>
      </c>
      <c r="B128" t="s">
        <v>18</v>
      </c>
      <c r="D128">
        <v>1</v>
      </c>
      <c r="G128" t="b">
        <f t="shared" si="4"/>
        <v>0</v>
      </c>
      <c r="H128" t="b">
        <f t="shared" si="2"/>
        <v>0</v>
      </c>
    </row>
    <row r="129" spans="1:8" x14ac:dyDescent="0.25">
      <c r="A129">
        <v>4006051</v>
      </c>
      <c r="B129" t="s">
        <v>18</v>
      </c>
      <c r="D129">
        <v>1</v>
      </c>
      <c r="G129" t="b">
        <f t="shared" si="4"/>
        <v>0</v>
      </c>
      <c r="H129" t="b">
        <f t="shared" si="2"/>
        <v>0</v>
      </c>
    </row>
    <row r="130" spans="1:8" x14ac:dyDescent="0.25">
      <c r="A130">
        <v>4008140</v>
      </c>
      <c r="B130" t="s">
        <v>18</v>
      </c>
      <c r="D130">
        <v>1</v>
      </c>
      <c r="E130">
        <v>12</v>
      </c>
      <c r="F130">
        <v>17</v>
      </c>
      <c r="G130" t="str">
        <f t="shared" si="4"/>
        <v>1</v>
      </c>
      <c r="H130" t="b">
        <f t="shared" si="2"/>
        <v>0</v>
      </c>
    </row>
    <row r="131" spans="1:8" x14ac:dyDescent="0.25">
      <c r="A131">
        <v>4009906</v>
      </c>
      <c r="B131" t="s">
        <v>18</v>
      </c>
      <c r="D131">
        <v>1</v>
      </c>
      <c r="G131" t="b">
        <f t="shared" si="4"/>
        <v>0</v>
      </c>
      <c r="H131" t="b">
        <f t="shared" si="2"/>
        <v>0</v>
      </c>
    </row>
    <row r="132" spans="1:8" x14ac:dyDescent="0.25">
      <c r="A132">
        <v>4011027</v>
      </c>
      <c r="B132" t="s">
        <v>18</v>
      </c>
      <c r="D132">
        <v>1</v>
      </c>
      <c r="E132">
        <v>18</v>
      </c>
      <c r="F132">
        <v>19</v>
      </c>
      <c r="G132" t="str">
        <f t="shared" si="4"/>
        <v>1</v>
      </c>
      <c r="H132" t="b">
        <f t="shared" si="2"/>
        <v>0</v>
      </c>
    </row>
    <row r="133" spans="1:8" x14ac:dyDescent="0.25">
      <c r="A133">
        <v>4012248</v>
      </c>
      <c r="B133" t="s">
        <v>18</v>
      </c>
      <c r="D133">
        <v>1</v>
      </c>
      <c r="E133">
        <v>40</v>
      </c>
      <c r="F133">
        <v>25</v>
      </c>
      <c r="G133" t="b">
        <f t="shared" si="4"/>
        <v>0</v>
      </c>
      <c r="H133" t="str">
        <f t="shared" ref="H133:H196" si="5">IF(E133&gt;F133,"1")</f>
        <v>1</v>
      </c>
    </row>
    <row r="134" spans="1:8" x14ac:dyDescent="0.25">
      <c r="A134">
        <v>4013603</v>
      </c>
      <c r="B134" t="s">
        <v>18</v>
      </c>
      <c r="D134">
        <v>1</v>
      </c>
      <c r="E134">
        <v>6</v>
      </c>
      <c r="F134">
        <v>37</v>
      </c>
      <c r="G134" t="str">
        <f t="shared" si="4"/>
        <v>1</v>
      </c>
      <c r="H134" t="b">
        <f t="shared" si="5"/>
        <v>0</v>
      </c>
    </row>
    <row r="135" spans="1:8" x14ac:dyDescent="0.25">
      <c r="A135">
        <v>5004654</v>
      </c>
      <c r="B135" t="s">
        <v>18</v>
      </c>
      <c r="D135">
        <v>1</v>
      </c>
      <c r="E135">
        <v>17</v>
      </c>
      <c r="F135">
        <v>17</v>
      </c>
      <c r="G135">
        <v>1</v>
      </c>
      <c r="H135" t="b">
        <f t="shared" si="5"/>
        <v>0</v>
      </c>
    </row>
    <row r="136" spans="1:8" x14ac:dyDescent="0.25">
      <c r="A136">
        <v>5008807</v>
      </c>
      <c r="B136" t="s">
        <v>18</v>
      </c>
      <c r="D136">
        <v>1</v>
      </c>
      <c r="F136">
        <v>20</v>
      </c>
      <c r="G136" t="str">
        <f t="shared" si="4"/>
        <v>1</v>
      </c>
      <c r="H136" t="b">
        <f t="shared" si="5"/>
        <v>0</v>
      </c>
    </row>
    <row r="137" spans="1:8" x14ac:dyDescent="0.25">
      <c r="A137">
        <v>5009400</v>
      </c>
      <c r="B137" t="s">
        <v>18</v>
      </c>
      <c r="D137">
        <v>1</v>
      </c>
      <c r="G137" t="b">
        <f t="shared" si="4"/>
        <v>0</v>
      </c>
      <c r="H137" t="b">
        <f t="shared" si="5"/>
        <v>0</v>
      </c>
    </row>
    <row r="138" spans="1:8" x14ac:dyDescent="0.25">
      <c r="A138">
        <v>5016255</v>
      </c>
      <c r="B138" t="s">
        <v>18</v>
      </c>
      <c r="D138">
        <v>1</v>
      </c>
      <c r="G138" t="b">
        <f t="shared" si="4"/>
        <v>0</v>
      </c>
      <c r="H138" t="b">
        <f t="shared" si="5"/>
        <v>0</v>
      </c>
    </row>
    <row r="139" spans="1:8" x14ac:dyDescent="0.25">
      <c r="A139">
        <v>6012448</v>
      </c>
      <c r="B139" t="s">
        <v>18</v>
      </c>
      <c r="D139">
        <v>1</v>
      </c>
      <c r="E139">
        <v>5</v>
      </c>
      <c r="F139">
        <v>8</v>
      </c>
      <c r="G139" t="str">
        <f t="shared" si="4"/>
        <v>1</v>
      </c>
      <c r="H139" t="b">
        <f t="shared" si="5"/>
        <v>0</v>
      </c>
    </row>
    <row r="140" spans="1:8" x14ac:dyDescent="0.25">
      <c r="A140">
        <v>7000457</v>
      </c>
      <c r="B140" t="s">
        <v>18</v>
      </c>
      <c r="D140">
        <v>1</v>
      </c>
      <c r="G140" t="b">
        <f t="shared" si="4"/>
        <v>0</v>
      </c>
      <c r="H140" t="b">
        <f t="shared" si="5"/>
        <v>0</v>
      </c>
    </row>
    <row r="141" spans="1:8" x14ac:dyDescent="0.25">
      <c r="A141">
        <v>7072644</v>
      </c>
      <c r="B141" t="s">
        <v>18</v>
      </c>
      <c r="D141">
        <v>1</v>
      </c>
      <c r="E141">
        <v>16</v>
      </c>
      <c r="F141">
        <v>18</v>
      </c>
      <c r="G141" t="str">
        <f t="shared" si="4"/>
        <v>1</v>
      </c>
      <c r="H141" t="b">
        <f t="shared" si="5"/>
        <v>0</v>
      </c>
    </row>
    <row r="142" spans="1:8" x14ac:dyDescent="0.25">
      <c r="A142">
        <v>7126387</v>
      </c>
      <c r="B142" t="s">
        <v>18</v>
      </c>
      <c r="D142">
        <v>1</v>
      </c>
      <c r="E142">
        <v>87</v>
      </c>
      <c r="F142">
        <v>77</v>
      </c>
      <c r="G142" t="b">
        <f t="shared" si="4"/>
        <v>0</v>
      </c>
      <c r="H142" t="str">
        <f t="shared" si="5"/>
        <v>1</v>
      </c>
    </row>
    <row r="143" spans="1:8" x14ac:dyDescent="0.25">
      <c r="A143">
        <v>10185935</v>
      </c>
      <c r="B143" t="s">
        <v>18</v>
      </c>
      <c r="D143">
        <v>1</v>
      </c>
      <c r="E143">
        <v>7</v>
      </c>
      <c r="F143">
        <v>8</v>
      </c>
      <c r="G143" t="str">
        <f t="shared" si="4"/>
        <v>1</v>
      </c>
      <c r="H143" t="b">
        <f t="shared" si="5"/>
        <v>0</v>
      </c>
    </row>
    <row r="144" spans="1:8" x14ac:dyDescent="0.25">
      <c r="A144">
        <v>93016155</v>
      </c>
      <c r="B144" t="s">
        <v>18</v>
      </c>
      <c r="D144">
        <v>1</v>
      </c>
      <c r="G144" t="b">
        <f t="shared" ref="G144:G207" si="6">IF(E144&lt;F144,"1")</f>
        <v>0</v>
      </c>
      <c r="H144" t="b">
        <f t="shared" si="5"/>
        <v>0</v>
      </c>
    </row>
    <row r="145" spans="1:8" x14ac:dyDescent="0.25">
      <c r="A145">
        <v>93018845</v>
      </c>
      <c r="B145" t="s">
        <v>18</v>
      </c>
      <c r="D145">
        <v>1</v>
      </c>
      <c r="E145">
        <v>31</v>
      </c>
      <c r="F145">
        <v>15</v>
      </c>
      <c r="G145" t="b">
        <f t="shared" si="6"/>
        <v>0</v>
      </c>
      <c r="H145" t="str">
        <f t="shared" si="5"/>
        <v>1</v>
      </c>
    </row>
    <row r="146" spans="1:8" x14ac:dyDescent="0.25">
      <c r="A146">
        <v>94901890</v>
      </c>
      <c r="B146" t="s">
        <v>18</v>
      </c>
      <c r="D146">
        <v>1</v>
      </c>
      <c r="E146">
        <v>10</v>
      </c>
      <c r="F146">
        <v>10</v>
      </c>
      <c r="G146">
        <v>1</v>
      </c>
      <c r="H146" t="b">
        <f t="shared" si="5"/>
        <v>0</v>
      </c>
    </row>
    <row r="147" spans="1:8" x14ac:dyDescent="0.25">
      <c r="A147">
        <v>95001046</v>
      </c>
      <c r="B147" t="s">
        <v>18</v>
      </c>
      <c r="D147">
        <v>1</v>
      </c>
      <c r="G147" t="b">
        <f t="shared" si="6"/>
        <v>0</v>
      </c>
      <c r="H147" t="b">
        <f t="shared" si="5"/>
        <v>0</v>
      </c>
    </row>
    <row r="148" spans="1:8" x14ac:dyDescent="0.25">
      <c r="A148">
        <v>96004031</v>
      </c>
      <c r="B148" t="s">
        <v>18</v>
      </c>
      <c r="D148">
        <v>1</v>
      </c>
      <c r="E148">
        <v>12</v>
      </c>
      <c r="F148">
        <v>13</v>
      </c>
      <c r="G148" t="str">
        <f t="shared" si="6"/>
        <v>1</v>
      </c>
      <c r="H148" t="b">
        <f t="shared" si="5"/>
        <v>0</v>
      </c>
    </row>
    <row r="149" spans="1:8" x14ac:dyDescent="0.25">
      <c r="A149">
        <v>97004458</v>
      </c>
      <c r="B149" t="s">
        <v>18</v>
      </c>
      <c r="D149">
        <v>1</v>
      </c>
      <c r="E149">
        <v>65</v>
      </c>
      <c r="F149">
        <v>51</v>
      </c>
      <c r="G149" t="b">
        <f t="shared" si="6"/>
        <v>0</v>
      </c>
      <c r="H149" t="str">
        <f t="shared" si="5"/>
        <v>1</v>
      </c>
    </row>
    <row r="150" spans="1:8" x14ac:dyDescent="0.25">
      <c r="A150">
        <v>97009212</v>
      </c>
      <c r="B150" t="s">
        <v>18</v>
      </c>
      <c r="D150">
        <v>1</v>
      </c>
      <c r="E150">
        <v>50</v>
      </c>
      <c r="F150">
        <v>50</v>
      </c>
      <c r="G150">
        <v>1</v>
      </c>
      <c r="H150" t="b">
        <f t="shared" si="5"/>
        <v>0</v>
      </c>
    </row>
    <row r="151" spans="1:8" x14ac:dyDescent="0.25">
      <c r="A151">
        <v>98006038</v>
      </c>
      <c r="B151" t="s">
        <v>18</v>
      </c>
      <c r="D151">
        <v>1</v>
      </c>
      <c r="G151" t="b">
        <f t="shared" si="6"/>
        <v>0</v>
      </c>
      <c r="H151" t="b">
        <f t="shared" si="5"/>
        <v>0</v>
      </c>
    </row>
    <row r="152" spans="1:8" x14ac:dyDescent="0.25">
      <c r="A152">
        <v>98009041</v>
      </c>
      <c r="B152" t="s">
        <v>18</v>
      </c>
      <c r="D152">
        <v>1</v>
      </c>
      <c r="E152">
        <v>58</v>
      </c>
      <c r="F152">
        <v>23</v>
      </c>
      <c r="G152" t="b">
        <f t="shared" si="6"/>
        <v>0</v>
      </c>
      <c r="H152" t="str">
        <f t="shared" si="5"/>
        <v>1</v>
      </c>
    </row>
    <row r="153" spans="1:8" x14ac:dyDescent="0.25">
      <c r="A153">
        <v>99007116</v>
      </c>
      <c r="B153" t="s">
        <v>18</v>
      </c>
      <c r="D153">
        <v>1</v>
      </c>
      <c r="E153">
        <v>16</v>
      </c>
      <c r="F153">
        <v>16</v>
      </c>
      <c r="G153">
        <v>1</v>
      </c>
      <c r="H153" t="b">
        <f t="shared" si="5"/>
        <v>0</v>
      </c>
    </row>
    <row r="154" spans="1:8" x14ac:dyDescent="0.25">
      <c r="A154">
        <v>99901293</v>
      </c>
      <c r="B154" t="s">
        <v>18</v>
      </c>
      <c r="D154">
        <v>1</v>
      </c>
      <c r="G154" t="b">
        <f t="shared" si="6"/>
        <v>0</v>
      </c>
      <c r="H154" t="b">
        <f t="shared" si="5"/>
        <v>0</v>
      </c>
    </row>
    <row r="155" spans="1:8" x14ac:dyDescent="0.25">
      <c r="A155">
        <v>99901604</v>
      </c>
      <c r="B155" t="s">
        <v>18</v>
      </c>
      <c r="D155">
        <v>1</v>
      </c>
      <c r="G155" t="b">
        <f t="shared" si="6"/>
        <v>0</v>
      </c>
      <c r="H155" t="b">
        <f t="shared" si="5"/>
        <v>0</v>
      </c>
    </row>
    <row r="156" spans="1:8" x14ac:dyDescent="0.25">
      <c r="A156">
        <v>3017227</v>
      </c>
      <c r="B156" t="s">
        <v>18</v>
      </c>
      <c r="D156">
        <v>1</v>
      </c>
      <c r="G156" t="b">
        <f t="shared" si="6"/>
        <v>0</v>
      </c>
      <c r="H156" t="b">
        <f t="shared" si="5"/>
        <v>0</v>
      </c>
    </row>
    <row r="157" spans="1:8" x14ac:dyDescent="0.25">
      <c r="A157" s="7">
        <v>3008510</v>
      </c>
      <c r="B157" t="s">
        <v>18</v>
      </c>
      <c r="D157">
        <v>1</v>
      </c>
      <c r="G157" t="b">
        <f t="shared" si="6"/>
        <v>0</v>
      </c>
      <c r="H157" t="b">
        <f t="shared" si="5"/>
        <v>0</v>
      </c>
    </row>
    <row r="158" spans="1:8" x14ac:dyDescent="0.25">
      <c r="G158" t="b">
        <f t="shared" si="6"/>
        <v>0</v>
      </c>
      <c r="H158" t="b">
        <f t="shared" si="5"/>
        <v>0</v>
      </c>
    </row>
    <row r="159" spans="1:8" x14ac:dyDescent="0.25">
      <c r="A159">
        <v>4289</v>
      </c>
      <c r="B159" t="s">
        <v>22</v>
      </c>
      <c r="D159">
        <v>1</v>
      </c>
      <c r="G159" t="b">
        <f t="shared" si="6"/>
        <v>0</v>
      </c>
      <c r="H159" t="b">
        <f t="shared" si="5"/>
        <v>0</v>
      </c>
    </row>
    <row r="160" spans="1:8" x14ac:dyDescent="0.25">
      <c r="A160">
        <v>500245</v>
      </c>
      <c r="B160" t="s">
        <v>22</v>
      </c>
      <c r="D160">
        <v>1</v>
      </c>
      <c r="E160">
        <v>13</v>
      </c>
      <c r="F160">
        <v>13</v>
      </c>
      <c r="G160">
        <v>1</v>
      </c>
      <c r="H160" t="b">
        <f t="shared" si="5"/>
        <v>0</v>
      </c>
    </row>
    <row r="161" spans="1:8" x14ac:dyDescent="0.25">
      <c r="A161">
        <v>2002573</v>
      </c>
      <c r="B161" t="s">
        <v>22</v>
      </c>
      <c r="D161">
        <v>1</v>
      </c>
      <c r="E161">
        <v>11</v>
      </c>
      <c r="F161">
        <v>19</v>
      </c>
      <c r="G161" t="str">
        <f t="shared" si="6"/>
        <v>1</v>
      </c>
      <c r="H161" t="b">
        <f t="shared" si="5"/>
        <v>0</v>
      </c>
    </row>
    <row r="162" spans="1:8" x14ac:dyDescent="0.25">
      <c r="A162">
        <v>2003539</v>
      </c>
      <c r="B162" t="s">
        <v>22</v>
      </c>
      <c r="D162">
        <v>1</v>
      </c>
      <c r="G162" t="b">
        <f t="shared" si="6"/>
        <v>0</v>
      </c>
      <c r="H162" t="b">
        <f t="shared" si="5"/>
        <v>0</v>
      </c>
    </row>
    <row r="163" spans="1:8" x14ac:dyDescent="0.25">
      <c r="A163">
        <v>2003649</v>
      </c>
      <c r="B163" t="s">
        <v>22</v>
      </c>
      <c r="D163">
        <v>1</v>
      </c>
      <c r="E163">
        <v>58</v>
      </c>
      <c r="F163">
        <v>58</v>
      </c>
      <c r="G163">
        <v>1</v>
      </c>
      <c r="H163" t="b">
        <f t="shared" si="5"/>
        <v>0</v>
      </c>
    </row>
    <row r="164" spans="1:8" x14ac:dyDescent="0.25">
      <c r="A164">
        <v>3009633</v>
      </c>
      <c r="B164" t="s">
        <v>22</v>
      </c>
      <c r="D164">
        <v>1</v>
      </c>
      <c r="G164" t="b">
        <f t="shared" si="6"/>
        <v>0</v>
      </c>
      <c r="H164" t="b">
        <f t="shared" si="5"/>
        <v>0</v>
      </c>
    </row>
    <row r="165" spans="1:8" x14ac:dyDescent="0.25">
      <c r="A165">
        <v>3010583</v>
      </c>
      <c r="B165" t="s">
        <v>22</v>
      </c>
      <c r="D165">
        <v>1</v>
      </c>
      <c r="G165" t="b">
        <f t="shared" si="6"/>
        <v>0</v>
      </c>
      <c r="H165" t="b">
        <f t="shared" si="5"/>
        <v>0</v>
      </c>
    </row>
    <row r="166" spans="1:8" x14ac:dyDescent="0.25">
      <c r="A166" s="8">
        <v>3011892</v>
      </c>
      <c r="B166" t="s">
        <v>22</v>
      </c>
      <c r="D166">
        <v>1</v>
      </c>
      <c r="G166" t="b">
        <f t="shared" si="6"/>
        <v>0</v>
      </c>
      <c r="H166" t="b">
        <f t="shared" si="5"/>
        <v>0</v>
      </c>
    </row>
    <row r="167" spans="1:8" x14ac:dyDescent="0.25">
      <c r="A167">
        <v>4001382</v>
      </c>
      <c r="B167" t="s">
        <v>22</v>
      </c>
      <c r="D167">
        <v>1</v>
      </c>
      <c r="G167" t="b">
        <f t="shared" si="6"/>
        <v>0</v>
      </c>
      <c r="H167" t="b">
        <f t="shared" si="5"/>
        <v>0</v>
      </c>
    </row>
    <row r="168" spans="1:8" x14ac:dyDescent="0.25">
      <c r="A168">
        <v>5018675</v>
      </c>
      <c r="B168" t="s">
        <v>22</v>
      </c>
      <c r="D168">
        <v>1</v>
      </c>
      <c r="G168" t="b">
        <f t="shared" si="6"/>
        <v>0</v>
      </c>
      <c r="H168" t="b">
        <f t="shared" si="5"/>
        <v>0</v>
      </c>
    </row>
    <row r="169" spans="1:8" x14ac:dyDescent="0.25">
      <c r="A169">
        <v>6050168</v>
      </c>
      <c r="B169" t="s">
        <v>22</v>
      </c>
      <c r="D169">
        <v>1</v>
      </c>
      <c r="E169">
        <v>11</v>
      </c>
      <c r="F169">
        <v>12</v>
      </c>
      <c r="G169" t="str">
        <f t="shared" si="6"/>
        <v>1</v>
      </c>
      <c r="H169" t="b">
        <f t="shared" si="5"/>
        <v>0</v>
      </c>
    </row>
    <row r="170" spans="1:8" x14ac:dyDescent="0.25">
      <c r="A170">
        <v>13020792</v>
      </c>
      <c r="B170" t="s">
        <v>22</v>
      </c>
      <c r="D170">
        <v>1</v>
      </c>
      <c r="G170" t="b">
        <f t="shared" si="6"/>
        <v>0</v>
      </c>
      <c r="H170" t="b">
        <f t="shared" si="5"/>
        <v>0</v>
      </c>
    </row>
    <row r="171" spans="1:8" x14ac:dyDescent="0.25">
      <c r="A171">
        <v>97005797</v>
      </c>
      <c r="B171" t="s">
        <v>22</v>
      </c>
      <c r="D171">
        <v>1</v>
      </c>
      <c r="E171">
        <v>12</v>
      </c>
      <c r="F171">
        <v>12</v>
      </c>
      <c r="G171">
        <v>1</v>
      </c>
      <c r="H171" t="b">
        <f t="shared" si="5"/>
        <v>0</v>
      </c>
    </row>
    <row r="172" spans="1:8" x14ac:dyDescent="0.25">
      <c r="A172">
        <v>99000345</v>
      </c>
      <c r="B172" t="s">
        <v>22</v>
      </c>
      <c r="D172">
        <v>1</v>
      </c>
      <c r="G172" t="b">
        <f t="shared" si="6"/>
        <v>0</v>
      </c>
      <c r="H172" t="b">
        <f t="shared" si="5"/>
        <v>0</v>
      </c>
    </row>
    <row r="173" spans="1:8" x14ac:dyDescent="0.25">
      <c r="A173">
        <v>5006592</v>
      </c>
      <c r="B173" t="s">
        <v>22</v>
      </c>
      <c r="G173" t="b">
        <f t="shared" si="6"/>
        <v>0</v>
      </c>
      <c r="H173" t="b">
        <f t="shared" si="5"/>
        <v>0</v>
      </c>
    </row>
    <row r="174" spans="1:8" x14ac:dyDescent="0.25">
      <c r="A174">
        <v>5007274</v>
      </c>
      <c r="B174" t="s">
        <v>22</v>
      </c>
      <c r="D174">
        <v>1</v>
      </c>
      <c r="G174" t="b">
        <f t="shared" si="6"/>
        <v>0</v>
      </c>
      <c r="H174" t="b">
        <f t="shared" si="5"/>
        <v>0</v>
      </c>
    </row>
    <row r="175" spans="1:8" x14ac:dyDescent="0.25">
      <c r="A175">
        <v>5015851</v>
      </c>
      <c r="B175" t="s">
        <v>22</v>
      </c>
      <c r="D175">
        <v>1</v>
      </c>
      <c r="G175" t="b">
        <f t="shared" si="6"/>
        <v>0</v>
      </c>
      <c r="H175" t="b">
        <f t="shared" si="5"/>
        <v>0</v>
      </c>
    </row>
    <row r="176" spans="1:8" x14ac:dyDescent="0.25">
      <c r="A176">
        <v>6015647</v>
      </c>
      <c r="B176" t="s">
        <v>22</v>
      </c>
      <c r="D176">
        <v>1</v>
      </c>
      <c r="G176" t="b">
        <f t="shared" si="6"/>
        <v>0</v>
      </c>
      <c r="H176" t="b">
        <f t="shared" si="5"/>
        <v>0</v>
      </c>
    </row>
    <row r="177" spans="1:8" x14ac:dyDescent="0.25">
      <c r="A177">
        <v>7086224</v>
      </c>
      <c r="B177" t="s">
        <v>22</v>
      </c>
      <c r="D177">
        <v>1</v>
      </c>
      <c r="G177" t="b">
        <f t="shared" si="6"/>
        <v>0</v>
      </c>
      <c r="H177" t="b">
        <f t="shared" si="5"/>
        <v>0</v>
      </c>
    </row>
    <row r="178" spans="1:8" x14ac:dyDescent="0.25">
      <c r="A178">
        <v>8107048</v>
      </c>
      <c r="B178" t="s">
        <v>22</v>
      </c>
      <c r="D178">
        <v>1</v>
      </c>
      <c r="E178">
        <v>12</v>
      </c>
      <c r="F178">
        <v>12</v>
      </c>
      <c r="G178">
        <v>1</v>
      </c>
      <c r="H178" t="b">
        <f t="shared" si="5"/>
        <v>0</v>
      </c>
    </row>
    <row r="179" spans="1:8" x14ac:dyDescent="0.25">
      <c r="A179">
        <v>8124044</v>
      </c>
      <c r="B179" t="s">
        <v>22</v>
      </c>
      <c r="D179">
        <v>1</v>
      </c>
      <c r="E179">
        <v>16</v>
      </c>
      <c r="F179">
        <v>27</v>
      </c>
      <c r="G179" t="str">
        <f t="shared" si="6"/>
        <v>1</v>
      </c>
      <c r="H179" t="b">
        <f t="shared" si="5"/>
        <v>0</v>
      </c>
    </row>
    <row r="180" spans="1:8" x14ac:dyDescent="0.25">
      <c r="A180">
        <v>8142949</v>
      </c>
      <c r="B180" t="s">
        <v>22</v>
      </c>
      <c r="D180">
        <v>1</v>
      </c>
      <c r="G180" t="b">
        <f t="shared" si="6"/>
        <v>0</v>
      </c>
      <c r="H180" t="b">
        <f t="shared" si="5"/>
        <v>0</v>
      </c>
    </row>
    <row r="181" spans="1:8" x14ac:dyDescent="0.25">
      <c r="A181">
        <v>9023306</v>
      </c>
      <c r="B181" t="s">
        <v>22</v>
      </c>
      <c r="D181">
        <v>1</v>
      </c>
      <c r="G181" t="b">
        <f t="shared" si="6"/>
        <v>0</v>
      </c>
      <c r="H181" t="b">
        <f t="shared" si="5"/>
        <v>0</v>
      </c>
    </row>
    <row r="182" spans="1:8" x14ac:dyDescent="0.25">
      <c r="A182">
        <v>9040167</v>
      </c>
      <c r="B182" t="s">
        <v>22</v>
      </c>
      <c r="D182">
        <v>1</v>
      </c>
      <c r="E182">
        <v>9</v>
      </c>
      <c r="F182">
        <v>7</v>
      </c>
      <c r="G182" t="b">
        <f t="shared" si="6"/>
        <v>0</v>
      </c>
      <c r="H182" t="str">
        <f t="shared" si="5"/>
        <v>1</v>
      </c>
    </row>
    <row r="183" spans="1:8" x14ac:dyDescent="0.25">
      <c r="A183">
        <v>9083682</v>
      </c>
      <c r="B183" t="s">
        <v>22</v>
      </c>
      <c r="D183">
        <v>1</v>
      </c>
      <c r="E183">
        <v>17</v>
      </c>
      <c r="F183">
        <v>17</v>
      </c>
      <c r="G183">
        <v>1</v>
      </c>
      <c r="H183" t="b">
        <f t="shared" si="5"/>
        <v>0</v>
      </c>
    </row>
    <row r="184" spans="1:8" x14ac:dyDescent="0.25">
      <c r="A184">
        <v>9102044</v>
      </c>
      <c r="B184" t="s">
        <v>22</v>
      </c>
      <c r="D184">
        <v>1</v>
      </c>
      <c r="G184" t="b">
        <f t="shared" si="6"/>
        <v>0</v>
      </c>
      <c r="H184" t="b">
        <f t="shared" si="5"/>
        <v>0</v>
      </c>
    </row>
    <row r="185" spans="1:8" x14ac:dyDescent="0.25">
      <c r="A185">
        <v>9119854</v>
      </c>
      <c r="B185" t="s">
        <v>22</v>
      </c>
      <c r="D185">
        <v>1</v>
      </c>
      <c r="E185">
        <v>30</v>
      </c>
      <c r="F185">
        <v>25</v>
      </c>
      <c r="G185" t="b">
        <f t="shared" si="6"/>
        <v>0</v>
      </c>
      <c r="H185" t="str">
        <f t="shared" si="5"/>
        <v>1</v>
      </c>
    </row>
    <row r="186" spans="1:8" x14ac:dyDescent="0.25">
      <c r="A186">
        <v>9125126</v>
      </c>
      <c r="B186" t="s">
        <v>22</v>
      </c>
      <c r="D186">
        <v>1</v>
      </c>
      <c r="E186">
        <v>6</v>
      </c>
      <c r="F186">
        <v>12</v>
      </c>
      <c r="G186" t="str">
        <f t="shared" si="6"/>
        <v>1</v>
      </c>
      <c r="H186" t="b">
        <f t="shared" si="5"/>
        <v>0</v>
      </c>
    </row>
    <row r="187" spans="1:8" x14ac:dyDescent="0.25">
      <c r="A187">
        <v>9174811</v>
      </c>
      <c r="B187" t="s">
        <v>22</v>
      </c>
      <c r="D187">
        <v>1</v>
      </c>
      <c r="E187">
        <v>2</v>
      </c>
      <c r="F187">
        <v>2</v>
      </c>
      <c r="G187">
        <v>1</v>
      </c>
      <c r="H187" t="b">
        <f t="shared" si="5"/>
        <v>0</v>
      </c>
    </row>
    <row r="188" spans="1:8" x14ac:dyDescent="0.25">
      <c r="A188">
        <v>10002875</v>
      </c>
      <c r="B188" t="s">
        <v>22</v>
      </c>
      <c r="D188">
        <v>1</v>
      </c>
      <c r="E188">
        <v>7</v>
      </c>
      <c r="F188">
        <v>7</v>
      </c>
      <c r="G188">
        <v>1</v>
      </c>
      <c r="H188" t="b">
        <f t="shared" si="5"/>
        <v>0</v>
      </c>
    </row>
    <row r="189" spans="1:8" x14ac:dyDescent="0.25">
      <c r="A189">
        <v>10023080</v>
      </c>
      <c r="B189" t="s">
        <v>22</v>
      </c>
      <c r="D189">
        <v>1</v>
      </c>
      <c r="E189">
        <v>3</v>
      </c>
      <c r="F189">
        <v>30</v>
      </c>
      <c r="G189" t="str">
        <f t="shared" si="6"/>
        <v>1</v>
      </c>
      <c r="H189" t="b">
        <f t="shared" si="5"/>
        <v>0</v>
      </c>
    </row>
    <row r="190" spans="1:8" x14ac:dyDescent="0.25">
      <c r="A190">
        <v>10025212</v>
      </c>
      <c r="B190" t="s">
        <v>22</v>
      </c>
      <c r="D190">
        <v>1</v>
      </c>
      <c r="G190" t="b">
        <f t="shared" si="6"/>
        <v>0</v>
      </c>
      <c r="H190" t="b">
        <f t="shared" si="5"/>
        <v>0</v>
      </c>
    </row>
    <row r="191" spans="1:8" x14ac:dyDescent="0.25">
      <c r="A191">
        <v>10069407</v>
      </c>
      <c r="B191" t="s">
        <v>22</v>
      </c>
      <c r="D191">
        <v>1</v>
      </c>
      <c r="G191" t="b">
        <f t="shared" si="6"/>
        <v>0</v>
      </c>
      <c r="H191" t="b">
        <f t="shared" si="5"/>
        <v>0</v>
      </c>
    </row>
    <row r="192" spans="1:8" x14ac:dyDescent="0.25">
      <c r="A192">
        <v>10071135</v>
      </c>
      <c r="B192" t="s">
        <v>22</v>
      </c>
      <c r="D192">
        <v>1</v>
      </c>
      <c r="E192">
        <v>9</v>
      </c>
      <c r="F192">
        <v>21</v>
      </c>
      <c r="G192" t="str">
        <f t="shared" si="6"/>
        <v>1</v>
      </c>
      <c r="H192" t="b">
        <f t="shared" si="5"/>
        <v>0</v>
      </c>
    </row>
    <row r="193" spans="1:8" x14ac:dyDescent="0.25">
      <c r="A193">
        <v>10083649</v>
      </c>
      <c r="B193" t="s">
        <v>22</v>
      </c>
      <c r="D193">
        <v>1</v>
      </c>
      <c r="G193" t="b">
        <f t="shared" si="6"/>
        <v>0</v>
      </c>
      <c r="H193" t="b">
        <f t="shared" si="5"/>
        <v>0</v>
      </c>
    </row>
    <row r="194" spans="1:8" x14ac:dyDescent="0.25">
      <c r="A194">
        <v>10102021</v>
      </c>
      <c r="B194" t="s">
        <v>22</v>
      </c>
      <c r="D194">
        <v>1</v>
      </c>
      <c r="G194" t="b">
        <f t="shared" si="6"/>
        <v>0</v>
      </c>
      <c r="H194" t="b">
        <f t="shared" si="5"/>
        <v>0</v>
      </c>
    </row>
    <row r="195" spans="1:8" x14ac:dyDescent="0.25">
      <c r="A195">
        <v>10123729</v>
      </c>
      <c r="B195" t="s">
        <v>22</v>
      </c>
      <c r="D195">
        <v>1</v>
      </c>
      <c r="E195">
        <v>23</v>
      </c>
      <c r="F195">
        <v>23</v>
      </c>
      <c r="G195">
        <v>1</v>
      </c>
      <c r="H195" t="b">
        <f t="shared" si="5"/>
        <v>0</v>
      </c>
    </row>
    <row r="196" spans="1:8" x14ac:dyDescent="0.25">
      <c r="A196">
        <v>10144736</v>
      </c>
      <c r="B196" t="s">
        <v>22</v>
      </c>
      <c r="D196">
        <v>1</v>
      </c>
      <c r="E196">
        <v>4</v>
      </c>
      <c r="F196">
        <v>4</v>
      </c>
      <c r="G196">
        <v>1</v>
      </c>
      <c r="H196" t="b">
        <f t="shared" si="5"/>
        <v>0</v>
      </c>
    </row>
    <row r="197" spans="1:8" x14ac:dyDescent="0.25">
      <c r="A197">
        <v>10157275</v>
      </c>
      <c r="B197" t="s">
        <v>22</v>
      </c>
      <c r="D197">
        <v>1</v>
      </c>
      <c r="G197" t="b">
        <f t="shared" si="6"/>
        <v>0</v>
      </c>
      <c r="H197" t="b">
        <f t="shared" ref="H197:H260" si="7">IF(E197&gt;F197,"1")</f>
        <v>0</v>
      </c>
    </row>
    <row r="198" spans="1:8" x14ac:dyDescent="0.25">
      <c r="A198">
        <v>10190869</v>
      </c>
      <c r="B198" t="s">
        <v>22</v>
      </c>
      <c r="D198">
        <v>1</v>
      </c>
      <c r="G198" t="b">
        <f t="shared" si="6"/>
        <v>0</v>
      </c>
      <c r="H198" t="b">
        <f t="shared" si="7"/>
        <v>0</v>
      </c>
    </row>
    <row r="199" spans="1:8" x14ac:dyDescent="0.25">
      <c r="A199">
        <v>11008417</v>
      </c>
      <c r="B199" t="s">
        <v>22</v>
      </c>
      <c r="D199">
        <v>1</v>
      </c>
      <c r="E199">
        <v>39</v>
      </c>
      <c r="F199">
        <v>39</v>
      </c>
      <c r="G199">
        <v>1</v>
      </c>
      <c r="H199" t="b">
        <f t="shared" si="7"/>
        <v>0</v>
      </c>
    </row>
    <row r="200" spans="1:8" x14ac:dyDescent="0.25">
      <c r="A200">
        <v>11043926</v>
      </c>
      <c r="B200" t="s">
        <v>22</v>
      </c>
      <c r="D200">
        <v>1</v>
      </c>
      <c r="G200" t="b">
        <f t="shared" si="6"/>
        <v>0</v>
      </c>
      <c r="H200" t="b">
        <f t="shared" si="7"/>
        <v>0</v>
      </c>
    </row>
    <row r="201" spans="1:8" x14ac:dyDescent="0.25">
      <c r="A201">
        <v>11049060</v>
      </c>
      <c r="B201" t="s">
        <v>22</v>
      </c>
      <c r="D201">
        <v>1</v>
      </c>
      <c r="G201" t="b">
        <f t="shared" si="6"/>
        <v>0</v>
      </c>
      <c r="H201" t="b">
        <f t="shared" si="7"/>
        <v>0</v>
      </c>
    </row>
    <row r="202" spans="1:8" x14ac:dyDescent="0.25">
      <c r="A202">
        <v>11058012</v>
      </c>
      <c r="B202" t="s">
        <v>22</v>
      </c>
      <c r="D202">
        <v>1</v>
      </c>
      <c r="E202">
        <v>14</v>
      </c>
      <c r="G202" t="b">
        <f t="shared" si="6"/>
        <v>0</v>
      </c>
      <c r="H202" t="str">
        <f t="shared" si="7"/>
        <v>1</v>
      </c>
    </row>
    <row r="203" spans="1:8" x14ac:dyDescent="0.25">
      <c r="A203">
        <v>11082290</v>
      </c>
      <c r="B203" t="s">
        <v>22</v>
      </c>
      <c r="D203">
        <v>1</v>
      </c>
      <c r="G203" t="b">
        <f t="shared" si="6"/>
        <v>0</v>
      </c>
      <c r="H203" t="b">
        <f t="shared" si="7"/>
        <v>0</v>
      </c>
    </row>
    <row r="204" spans="1:8" x14ac:dyDescent="0.25">
      <c r="A204">
        <v>11105672</v>
      </c>
      <c r="B204" t="s">
        <v>22</v>
      </c>
      <c r="D204">
        <v>1</v>
      </c>
      <c r="E204">
        <v>113</v>
      </c>
      <c r="F204">
        <v>117</v>
      </c>
      <c r="G204" t="str">
        <f t="shared" si="6"/>
        <v>1</v>
      </c>
      <c r="H204" t="b">
        <f t="shared" si="7"/>
        <v>0</v>
      </c>
    </row>
    <row r="205" spans="1:8" x14ac:dyDescent="0.25">
      <c r="A205" t="s">
        <v>23</v>
      </c>
      <c r="B205" t="s">
        <v>22</v>
      </c>
      <c r="D205">
        <v>1</v>
      </c>
      <c r="E205">
        <v>38</v>
      </c>
      <c r="F205">
        <v>38</v>
      </c>
      <c r="G205">
        <v>1</v>
      </c>
      <c r="H205" t="b">
        <f t="shared" si="7"/>
        <v>0</v>
      </c>
    </row>
    <row r="206" spans="1:8" x14ac:dyDescent="0.25">
      <c r="A206">
        <v>11136262</v>
      </c>
      <c r="B206" t="s">
        <v>22</v>
      </c>
      <c r="D206">
        <v>1</v>
      </c>
      <c r="G206" t="b">
        <f t="shared" si="6"/>
        <v>0</v>
      </c>
      <c r="H206" t="b">
        <f t="shared" si="7"/>
        <v>0</v>
      </c>
    </row>
    <row r="207" spans="1:8" x14ac:dyDescent="0.25">
      <c r="A207">
        <v>11178455</v>
      </c>
      <c r="B207" t="s">
        <v>22</v>
      </c>
      <c r="D207">
        <v>1</v>
      </c>
      <c r="E207">
        <v>4</v>
      </c>
      <c r="F207">
        <v>5</v>
      </c>
      <c r="G207" t="str">
        <f t="shared" si="6"/>
        <v>1</v>
      </c>
      <c r="H207" t="b">
        <f t="shared" si="7"/>
        <v>0</v>
      </c>
    </row>
    <row r="208" spans="1:8" x14ac:dyDescent="0.25">
      <c r="A208">
        <v>11179526</v>
      </c>
      <c r="B208" t="s">
        <v>22</v>
      </c>
      <c r="D208">
        <v>1</v>
      </c>
      <c r="E208">
        <v>6</v>
      </c>
      <c r="F208">
        <v>7</v>
      </c>
      <c r="G208" t="str">
        <f t="shared" ref="G208:G271" si="8">IF(E208&lt;F208,"1")</f>
        <v>1</v>
      </c>
      <c r="H208" t="b">
        <f t="shared" si="7"/>
        <v>0</v>
      </c>
    </row>
    <row r="209" spans="1:8" x14ac:dyDescent="0.25">
      <c r="A209">
        <v>11187511</v>
      </c>
      <c r="B209" t="s">
        <v>22</v>
      </c>
      <c r="D209">
        <v>1</v>
      </c>
      <c r="G209" t="b">
        <f t="shared" si="8"/>
        <v>0</v>
      </c>
      <c r="H209" t="b">
        <f t="shared" si="7"/>
        <v>0</v>
      </c>
    </row>
    <row r="210" spans="1:8" x14ac:dyDescent="0.25">
      <c r="A210">
        <v>11223290</v>
      </c>
      <c r="B210" t="s">
        <v>22</v>
      </c>
      <c r="D210">
        <v>1</v>
      </c>
      <c r="E210">
        <v>4</v>
      </c>
      <c r="F210">
        <v>4</v>
      </c>
      <c r="G210">
        <v>1</v>
      </c>
      <c r="H210" t="b">
        <f t="shared" si="7"/>
        <v>0</v>
      </c>
    </row>
    <row r="211" spans="1:8" x14ac:dyDescent="0.25">
      <c r="A211">
        <v>11228365</v>
      </c>
      <c r="B211" t="s">
        <v>22</v>
      </c>
      <c r="D211">
        <v>1</v>
      </c>
      <c r="G211" t="b">
        <f t="shared" si="8"/>
        <v>0</v>
      </c>
      <c r="H211" t="b">
        <f t="shared" si="7"/>
        <v>0</v>
      </c>
    </row>
    <row r="212" spans="1:8" x14ac:dyDescent="0.25">
      <c r="A212">
        <v>12111578</v>
      </c>
      <c r="B212" t="s">
        <v>22</v>
      </c>
      <c r="D212">
        <v>1</v>
      </c>
      <c r="G212" t="b">
        <f t="shared" si="8"/>
        <v>0</v>
      </c>
      <c r="H212" t="b">
        <f t="shared" si="7"/>
        <v>0</v>
      </c>
    </row>
    <row r="213" spans="1:8" x14ac:dyDescent="0.25">
      <c r="A213">
        <v>12164269</v>
      </c>
      <c r="B213" t="s">
        <v>22</v>
      </c>
      <c r="D213">
        <v>1</v>
      </c>
      <c r="G213" t="b">
        <f t="shared" si="8"/>
        <v>0</v>
      </c>
      <c r="H213" t="b">
        <f t="shared" si="7"/>
        <v>0</v>
      </c>
    </row>
    <row r="214" spans="1:8" x14ac:dyDescent="0.25">
      <c r="A214">
        <v>12311081</v>
      </c>
      <c r="B214" t="s">
        <v>22</v>
      </c>
      <c r="D214">
        <v>1</v>
      </c>
      <c r="G214" t="b">
        <f t="shared" si="8"/>
        <v>0</v>
      </c>
      <c r="H214" t="b">
        <f t="shared" si="7"/>
        <v>0</v>
      </c>
    </row>
    <row r="215" spans="1:8" x14ac:dyDescent="0.25">
      <c r="A215">
        <v>6000832</v>
      </c>
      <c r="B215" t="s">
        <v>22</v>
      </c>
      <c r="D215">
        <v>1</v>
      </c>
      <c r="G215" t="b">
        <f t="shared" si="8"/>
        <v>0</v>
      </c>
      <c r="H215" t="b">
        <f t="shared" si="7"/>
        <v>0</v>
      </c>
    </row>
    <row r="216" spans="1:8" x14ac:dyDescent="0.25">
      <c r="A216" s="7">
        <v>9030615</v>
      </c>
      <c r="B216" s="7" t="s">
        <v>22</v>
      </c>
      <c r="D216">
        <v>1</v>
      </c>
      <c r="E216">
        <v>15</v>
      </c>
      <c r="F216">
        <v>18</v>
      </c>
      <c r="G216" t="str">
        <f t="shared" si="8"/>
        <v>1</v>
      </c>
      <c r="H216" t="b">
        <f t="shared" si="7"/>
        <v>0</v>
      </c>
    </row>
    <row r="217" spans="1:8" x14ac:dyDescent="0.25">
      <c r="A217" s="7" t="s">
        <v>24</v>
      </c>
      <c r="B217" s="7" t="s">
        <v>22</v>
      </c>
      <c r="D217">
        <v>1</v>
      </c>
      <c r="G217" t="b">
        <f t="shared" si="8"/>
        <v>0</v>
      </c>
      <c r="H217" t="b">
        <f t="shared" si="7"/>
        <v>0</v>
      </c>
    </row>
    <row r="218" spans="1:8" x14ac:dyDescent="0.25">
      <c r="A218" s="7" t="s">
        <v>25</v>
      </c>
      <c r="B218" s="7" t="s">
        <v>22</v>
      </c>
      <c r="D218">
        <v>1</v>
      </c>
      <c r="G218" t="b">
        <f t="shared" si="8"/>
        <v>0</v>
      </c>
      <c r="H218" t="b">
        <f t="shared" si="7"/>
        <v>0</v>
      </c>
    </row>
    <row r="219" spans="1:8" x14ac:dyDescent="0.25">
      <c r="G219" t="b">
        <f t="shared" si="8"/>
        <v>0</v>
      </c>
      <c r="H219" t="b">
        <f t="shared" si="7"/>
        <v>0</v>
      </c>
    </row>
    <row r="220" spans="1:8" x14ac:dyDescent="0.25">
      <c r="A220">
        <v>5281</v>
      </c>
      <c r="B220" t="s">
        <v>26</v>
      </c>
      <c r="D220">
        <v>1</v>
      </c>
      <c r="G220" t="b">
        <f t="shared" si="8"/>
        <v>0</v>
      </c>
      <c r="H220" t="b">
        <f t="shared" si="7"/>
        <v>0</v>
      </c>
    </row>
    <row r="221" spans="1:8" x14ac:dyDescent="0.25">
      <c r="A221">
        <v>500129</v>
      </c>
      <c r="B221" t="s">
        <v>26</v>
      </c>
      <c r="D221">
        <v>1</v>
      </c>
      <c r="G221" t="b">
        <f t="shared" si="8"/>
        <v>0</v>
      </c>
      <c r="H221" t="b">
        <f t="shared" si="7"/>
        <v>0</v>
      </c>
    </row>
    <row r="222" spans="1:8" x14ac:dyDescent="0.25">
      <c r="A222" s="8">
        <v>1002033</v>
      </c>
      <c r="B222" t="s">
        <v>26</v>
      </c>
      <c r="D222">
        <v>1</v>
      </c>
      <c r="G222" t="b">
        <f t="shared" si="8"/>
        <v>0</v>
      </c>
      <c r="H222" t="b">
        <f t="shared" si="7"/>
        <v>0</v>
      </c>
    </row>
    <row r="223" spans="1:8" x14ac:dyDescent="0.25">
      <c r="A223">
        <v>1003457</v>
      </c>
      <c r="B223" t="s">
        <v>26</v>
      </c>
      <c r="D223">
        <v>1</v>
      </c>
      <c r="G223" t="b">
        <f t="shared" si="8"/>
        <v>0</v>
      </c>
      <c r="H223" t="b">
        <f t="shared" si="7"/>
        <v>0</v>
      </c>
    </row>
    <row r="224" spans="1:8" x14ac:dyDescent="0.25">
      <c r="A224">
        <v>2005223</v>
      </c>
      <c r="B224" t="s">
        <v>26</v>
      </c>
      <c r="D224">
        <v>1</v>
      </c>
      <c r="G224" t="b">
        <f t="shared" si="8"/>
        <v>0</v>
      </c>
      <c r="H224" t="b">
        <f t="shared" si="7"/>
        <v>0</v>
      </c>
    </row>
    <row r="225" spans="1:8" x14ac:dyDescent="0.25">
      <c r="A225">
        <v>3000152</v>
      </c>
      <c r="B225" t="s">
        <v>26</v>
      </c>
      <c r="D225">
        <v>1</v>
      </c>
      <c r="E225">
        <v>9</v>
      </c>
      <c r="F225">
        <v>9</v>
      </c>
      <c r="G225">
        <v>1</v>
      </c>
      <c r="H225" t="b">
        <f t="shared" si="7"/>
        <v>0</v>
      </c>
    </row>
    <row r="226" spans="1:8" x14ac:dyDescent="0.25">
      <c r="A226">
        <v>3014566</v>
      </c>
      <c r="B226" t="s">
        <v>26</v>
      </c>
      <c r="D226">
        <v>1</v>
      </c>
      <c r="G226" t="b">
        <f t="shared" si="8"/>
        <v>0</v>
      </c>
      <c r="H226" t="b">
        <f t="shared" si="7"/>
        <v>0</v>
      </c>
    </row>
    <row r="227" spans="1:8" x14ac:dyDescent="0.25">
      <c r="A227">
        <v>3015058</v>
      </c>
      <c r="B227" t="s">
        <v>26</v>
      </c>
      <c r="D227">
        <v>1</v>
      </c>
      <c r="G227" t="b">
        <f t="shared" si="8"/>
        <v>0</v>
      </c>
      <c r="H227" t="b">
        <f t="shared" si="7"/>
        <v>0</v>
      </c>
    </row>
    <row r="228" spans="1:8" x14ac:dyDescent="0.25">
      <c r="A228" s="8">
        <v>4000996</v>
      </c>
      <c r="B228" t="s">
        <v>26</v>
      </c>
      <c r="D228">
        <v>1</v>
      </c>
      <c r="G228" t="b">
        <f t="shared" si="8"/>
        <v>0</v>
      </c>
      <c r="H228" t="b">
        <f t="shared" si="7"/>
        <v>0</v>
      </c>
    </row>
    <row r="229" spans="1:8" x14ac:dyDescent="0.25">
      <c r="A229">
        <v>4003768</v>
      </c>
      <c r="B229" t="s">
        <v>26</v>
      </c>
      <c r="D229">
        <v>1</v>
      </c>
      <c r="G229" t="b">
        <f t="shared" si="8"/>
        <v>0</v>
      </c>
      <c r="H229" t="b">
        <f t="shared" si="7"/>
        <v>0</v>
      </c>
    </row>
    <row r="230" spans="1:8" x14ac:dyDescent="0.25">
      <c r="A230">
        <v>4006540</v>
      </c>
      <c r="B230" t="s">
        <v>26</v>
      </c>
      <c r="D230">
        <v>1</v>
      </c>
      <c r="E230">
        <v>9</v>
      </c>
      <c r="F230">
        <v>19</v>
      </c>
      <c r="G230" t="str">
        <f t="shared" si="8"/>
        <v>1</v>
      </c>
      <c r="H230" t="b">
        <f t="shared" si="7"/>
        <v>0</v>
      </c>
    </row>
    <row r="231" spans="1:8" x14ac:dyDescent="0.25">
      <c r="A231">
        <v>4007054</v>
      </c>
      <c r="B231" t="s">
        <v>26</v>
      </c>
      <c r="D231">
        <v>1</v>
      </c>
      <c r="G231" t="b">
        <f t="shared" si="8"/>
        <v>0</v>
      </c>
      <c r="H231" t="b">
        <f t="shared" si="7"/>
        <v>0</v>
      </c>
    </row>
    <row r="232" spans="1:8" x14ac:dyDescent="0.25">
      <c r="A232">
        <v>4011002</v>
      </c>
      <c r="B232" t="s">
        <v>26</v>
      </c>
      <c r="D232">
        <v>1</v>
      </c>
      <c r="G232" t="b">
        <f t="shared" si="8"/>
        <v>0</v>
      </c>
      <c r="H232" t="b">
        <f t="shared" si="7"/>
        <v>0</v>
      </c>
    </row>
    <row r="233" spans="1:8" x14ac:dyDescent="0.25">
      <c r="A233">
        <v>4900268</v>
      </c>
      <c r="B233" t="s">
        <v>26</v>
      </c>
      <c r="D233">
        <v>1</v>
      </c>
      <c r="G233" t="b">
        <f t="shared" si="8"/>
        <v>0</v>
      </c>
      <c r="H233" t="b">
        <f t="shared" si="7"/>
        <v>0</v>
      </c>
    </row>
    <row r="234" spans="1:8" x14ac:dyDescent="0.25">
      <c r="A234">
        <v>5006152</v>
      </c>
      <c r="B234" t="s">
        <v>26</v>
      </c>
      <c r="D234">
        <v>1</v>
      </c>
      <c r="E234">
        <v>4</v>
      </c>
      <c r="F234">
        <v>2</v>
      </c>
      <c r="G234" t="b">
        <f t="shared" si="8"/>
        <v>0</v>
      </c>
      <c r="H234" t="str">
        <f t="shared" si="7"/>
        <v>1</v>
      </c>
    </row>
    <row r="235" spans="1:8" x14ac:dyDescent="0.25">
      <c r="A235">
        <v>5016179</v>
      </c>
      <c r="B235" t="s">
        <v>26</v>
      </c>
      <c r="D235">
        <v>1</v>
      </c>
      <c r="G235" t="b">
        <f t="shared" si="8"/>
        <v>0</v>
      </c>
      <c r="H235" t="b">
        <f t="shared" si="7"/>
        <v>0</v>
      </c>
    </row>
    <row r="236" spans="1:8" x14ac:dyDescent="0.25">
      <c r="A236">
        <v>7079011</v>
      </c>
      <c r="B236" t="s">
        <v>26</v>
      </c>
      <c r="D236">
        <v>1</v>
      </c>
      <c r="G236" t="b">
        <f t="shared" si="8"/>
        <v>0</v>
      </c>
      <c r="H236" t="b">
        <f t="shared" si="7"/>
        <v>0</v>
      </c>
    </row>
    <row r="237" spans="1:8" x14ac:dyDescent="0.25">
      <c r="A237">
        <v>8135416</v>
      </c>
      <c r="B237" t="s">
        <v>26</v>
      </c>
      <c r="D237">
        <v>1</v>
      </c>
      <c r="G237" t="b">
        <f t="shared" si="8"/>
        <v>0</v>
      </c>
      <c r="H237" t="b">
        <f t="shared" si="7"/>
        <v>0</v>
      </c>
    </row>
    <row r="238" spans="1:8" x14ac:dyDescent="0.25">
      <c r="A238">
        <v>94009028</v>
      </c>
      <c r="B238" t="s">
        <v>26</v>
      </c>
      <c r="D238">
        <v>1</v>
      </c>
      <c r="G238" t="b">
        <f t="shared" si="8"/>
        <v>0</v>
      </c>
      <c r="H238" t="b">
        <f t="shared" si="7"/>
        <v>0</v>
      </c>
    </row>
    <row r="239" spans="1:8" x14ac:dyDescent="0.25">
      <c r="A239">
        <v>95900164</v>
      </c>
      <c r="B239" t="s">
        <v>26</v>
      </c>
      <c r="D239">
        <v>1</v>
      </c>
      <c r="G239" t="b">
        <f t="shared" si="8"/>
        <v>0</v>
      </c>
      <c r="H239" t="b">
        <f t="shared" si="7"/>
        <v>0</v>
      </c>
    </row>
    <row r="240" spans="1:8" x14ac:dyDescent="0.25">
      <c r="A240">
        <v>96015811</v>
      </c>
      <c r="B240" t="s">
        <v>26</v>
      </c>
      <c r="D240">
        <v>1</v>
      </c>
      <c r="G240" t="b">
        <f t="shared" si="8"/>
        <v>0</v>
      </c>
      <c r="H240" t="b">
        <f t="shared" si="7"/>
        <v>0</v>
      </c>
    </row>
    <row r="241" spans="1:8" x14ac:dyDescent="0.25">
      <c r="A241">
        <v>97001240</v>
      </c>
      <c r="B241" t="s">
        <v>26</v>
      </c>
      <c r="D241">
        <v>1</v>
      </c>
      <c r="E241">
        <v>33</v>
      </c>
      <c r="F241">
        <v>5</v>
      </c>
      <c r="G241" t="b">
        <f t="shared" si="8"/>
        <v>0</v>
      </c>
      <c r="H241" t="str">
        <f t="shared" si="7"/>
        <v>1</v>
      </c>
    </row>
    <row r="242" spans="1:8" x14ac:dyDescent="0.25">
      <c r="A242">
        <v>97005366</v>
      </c>
      <c r="B242" t="s">
        <v>26</v>
      </c>
      <c r="D242">
        <v>1</v>
      </c>
      <c r="G242" t="b">
        <f t="shared" si="8"/>
        <v>0</v>
      </c>
      <c r="H242" t="b">
        <f t="shared" si="7"/>
        <v>0</v>
      </c>
    </row>
    <row r="243" spans="1:8" x14ac:dyDescent="0.25">
      <c r="A243">
        <v>98005277</v>
      </c>
      <c r="B243" t="s">
        <v>26</v>
      </c>
      <c r="D243">
        <v>1</v>
      </c>
      <c r="E243">
        <v>7</v>
      </c>
      <c r="F243">
        <v>7</v>
      </c>
      <c r="G243">
        <v>1</v>
      </c>
      <c r="H243" t="b">
        <f t="shared" si="7"/>
        <v>0</v>
      </c>
    </row>
    <row r="244" spans="1:8" x14ac:dyDescent="0.25">
      <c r="A244">
        <v>6012361</v>
      </c>
      <c r="B244" t="s">
        <v>26</v>
      </c>
      <c r="D244">
        <v>1</v>
      </c>
      <c r="F244">
        <v>17</v>
      </c>
      <c r="G244" t="str">
        <f t="shared" si="8"/>
        <v>1</v>
      </c>
      <c r="H244" t="b">
        <f t="shared" si="7"/>
        <v>0</v>
      </c>
    </row>
    <row r="245" spans="1:8" x14ac:dyDescent="0.25">
      <c r="A245">
        <v>6015793</v>
      </c>
      <c r="B245" t="s">
        <v>26</v>
      </c>
      <c r="D245">
        <v>1</v>
      </c>
      <c r="G245" t="b">
        <f t="shared" si="8"/>
        <v>0</v>
      </c>
      <c r="H245" t="b">
        <f t="shared" si="7"/>
        <v>0</v>
      </c>
    </row>
    <row r="246" spans="1:8" x14ac:dyDescent="0.25">
      <c r="A246">
        <v>6043619</v>
      </c>
      <c r="B246" t="s">
        <v>26</v>
      </c>
      <c r="D246">
        <v>1</v>
      </c>
      <c r="G246" t="b">
        <f t="shared" si="8"/>
        <v>0</v>
      </c>
      <c r="H246" t="b">
        <f t="shared" si="7"/>
        <v>0</v>
      </c>
    </row>
    <row r="247" spans="1:8" x14ac:dyDescent="0.25">
      <c r="A247">
        <v>7001097</v>
      </c>
      <c r="B247" t="s">
        <v>26</v>
      </c>
      <c r="D247">
        <v>1</v>
      </c>
      <c r="G247" t="b">
        <f t="shared" si="8"/>
        <v>0</v>
      </c>
      <c r="H247" t="b">
        <f t="shared" si="7"/>
        <v>0</v>
      </c>
    </row>
    <row r="248" spans="1:8" x14ac:dyDescent="0.25">
      <c r="A248">
        <v>7011435</v>
      </c>
      <c r="B248" t="s">
        <v>26</v>
      </c>
      <c r="D248">
        <v>1</v>
      </c>
      <c r="F248">
        <v>11</v>
      </c>
      <c r="G248" t="str">
        <f t="shared" si="8"/>
        <v>1</v>
      </c>
      <c r="H248" t="b">
        <f t="shared" si="7"/>
        <v>0</v>
      </c>
    </row>
    <row r="249" spans="1:8" x14ac:dyDescent="0.25">
      <c r="A249">
        <v>7101143</v>
      </c>
      <c r="B249" t="s">
        <v>26</v>
      </c>
      <c r="D249">
        <v>1</v>
      </c>
      <c r="G249" t="b">
        <f t="shared" si="8"/>
        <v>0</v>
      </c>
      <c r="H249" t="b">
        <f t="shared" si="7"/>
        <v>0</v>
      </c>
    </row>
    <row r="250" spans="1:8" x14ac:dyDescent="0.25">
      <c r="A250">
        <v>8073350</v>
      </c>
      <c r="B250" t="s">
        <v>26</v>
      </c>
      <c r="D250">
        <v>1</v>
      </c>
      <c r="G250" t="b">
        <f t="shared" si="8"/>
        <v>0</v>
      </c>
      <c r="H250" t="b">
        <f t="shared" si="7"/>
        <v>0</v>
      </c>
    </row>
    <row r="251" spans="1:8" x14ac:dyDescent="0.25">
      <c r="A251" s="8">
        <v>8089666</v>
      </c>
      <c r="B251" t="s">
        <v>26</v>
      </c>
      <c r="D251">
        <v>1</v>
      </c>
      <c r="G251" t="b">
        <f t="shared" si="8"/>
        <v>0</v>
      </c>
      <c r="H251" t="b">
        <f t="shared" si="7"/>
        <v>0</v>
      </c>
    </row>
    <row r="252" spans="1:8" x14ac:dyDescent="0.25">
      <c r="A252">
        <v>8103536</v>
      </c>
      <c r="B252" t="s">
        <v>26</v>
      </c>
      <c r="D252">
        <v>1</v>
      </c>
      <c r="E252">
        <v>1</v>
      </c>
      <c r="G252" t="b">
        <f t="shared" si="8"/>
        <v>0</v>
      </c>
      <c r="H252" t="str">
        <f t="shared" si="7"/>
        <v>1</v>
      </c>
    </row>
    <row r="253" spans="1:8" x14ac:dyDescent="0.25">
      <c r="A253" t="s">
        <v>27</v>
      </c>
      <c r="B253" t="s">
        <v>26</v>
      </c>
      <c r="D253">
        <v>1</v>
      </c>
      <c r="E253">
        <v>30</v>
      </c>
      <c r="F253">
        <v>16</v>
      </c>
      <c r="G253" t="b">
        <f t="shared" si="8"/>
        <v>0</v>
      </c>
      <c r="H253" t="str">
        <f t="shared" si="7"/>
        <v>1</v>
      </c>
    </row>
    <row r="254" spans="1:8" x14ac:dyDescent="0.25">
      <c r="A254">
        <v>9003267</v>
      </c>
      <c r="B254" t="s">
        <v>26</v>
      </c>
      <c r="D254">
        <v>1</v>
      </c>
      <c r="G254" t="b">
        <f t="shared" si="8"/>
        <v>0</v>
      </c>
      <c r="H254" t="b">
        <f t="shared" si="7"/>
        <v>0</v>
      </c>
    </row>
    <row r="255" spans="1:8" x14ac:dyDescent="0.25">
      <c r="A255">
        <v>9036964</v>
      </c>
      <c r="B255" t="s">
        <v>26</v>
      </c>
      <c r="D255">
        <v>1</v>
      </c>
      <c r="E255">
        <v>8</v>
      </c>
      <c r="F255">
        <v>9</v>
      </c>
      <c r="G255" t="str">
        <f t="shared" si="8"/>
        <v>1</v>
      </c>
      <c r="H255" t="b">
        <f t="shared" si="7"/>
        <v>0</v>
      </c>
    </row>
    <row r="256" spans="1:8" x14ac:dyDescent="0.25">
      <c r="A256">
        <v>9090287</v>
      </c>
      <c r="B256" t="s">
        <v>26</v>
      </c>
      <c r="D256">
        <v>1</v>
      </c>
      <c r="E256">
        <v>6</v>
      </c>
      <c r="F256">
        <v>7</v>
      </c>
      <c r="G256" t="str">
        <f t="shared" si="8"/>
        <v>1</v>
      </c>
      <c r="H256" t="b">
        <f t="shared" si="7"/>
        <v>0</v>
      </c>
    </row>
    <row r="257" spans="1:8" x14ac:dyDescent="0.25">
      <c r="A257">
        <v>9095148</v>
      </c>
      <c r="B257" t="s">
        <v>26</v>
      </c>
      <c r="D257">
        <v>1</v>
      </c>
      <c r="E257">
        <v>8</v>
      </c>
      <c r="F257">
        <v>12</v>
      </c>
      <c r="G257" t="str">
        <f t="shared" si="8"/>
        <v>1</v>
      </c>
      <c r="H257" t="b">
        <f t="shared" si="7"/>
        <v>0</v>
      </c>
    </row>
    <row r="258" spans="1:8" x14ac:dyDescent="0.25">
      <c r="A258">
        <v>9104979</v>
      </c>
      <c r="B258" t="s">
        <v>26</v>
      </c>
      <c r="D258">
        <v>1</v>
      </c>
      <c r="G258" t="b">
        <f t="shared" si="8"/>
        <v>0</v>
      </c>
      <c r="H258" t="b">
        <f t="shared" si="7"/>
        <v>0</v>
      </c>
    </row>
    <row r="259" spans="1:8" x14ac:dyDescent="0.25">
      <c r="A259">
        <v>9139514</v>
      </c>
      <c r="B259" t="s">
        <v>26</v>
      </c>
      <c r="D259">
        <v>1</v>
      </c>
      <c r="E259">
        <v>22</v>
      </c>
      <c r="F259">
        <v>32</v>
      </c>
      <c r="G259" t="str">
        <f t="shared" si="8"/>
        <v>1</v>
      </c>
      <c r="H259" t="b">
        <f t="shared" si="7"/>
        <v>0</v>
      </c>
    </row>
    <row r="260" spans="1:8" x14ac:dyDescent="0.25">
      <c r="A260">
        <v>10020659</v>
      </c>
      <c r="B260" t="s">
        <v>26</v>
      </c>
      <c r="D260">
        <v>1</v>
      </c>
      <c r="G260" t="b">
        <f t="shared" si="8"/>
        <v>0</v>
      </c>
      <c r="H260" t="b">
        <f t="shared" si="7"/>
        <v>0</v>
      </c>
    </row>
    <row r="261" spans="1:8" x14ac:dyDescent="0.25">
      <c r="A261">
        <v>10025902</v>
      </c>
      <c r="B261" t="s">
        <v>26</v>
      </c>
      <c r="D261">
        <v>1</v>
      </c>
      <c r="G261" t="b">
        <f t="shared" si="8"/>
        <v>0</v>
      </c>
      <c r="H261" t="b">
        <f t="shared" ref="H261:H281" si="9">IF(E261&gt;F261,"1")</f>
        <v>0</v>
      </c>
    </row>
    <row r="262" spans="1:8" x14ac:dyDescent="0.25">
      <c r="A262">
        <v>10027654</v>
      </c>
      <c r="B262" t="s">
        <v>26</v>
      </c>
      <c r="D262">
        <v>1</v>
      </c>
      <c r="G262" t="b">
        <f t="shared" si="8"/>
        <v>0</v>
      </c>
      <c r="H262" t="b">
        <f t="shared" si="9"/>
        <v>0</v>
      </c>
    </row>
    <row r="263" spans="1:8" x14ac:dyDescent="0.25">
      <c r="A263">
        <v>10084485</v>
      </c>
      <c r="B263" t="s">
        <v>26</v>
      </c>
      <c r="D263">
        <v>1</v>
      </c>
      <c r="G263" t="b">
        <f t="shared" si="8"/>
        <v>0</v>
      </c>
      <c r="H263" t="b">
        <f t="shared" si="9"/>
        <v>0</v>
      </c>
    </row>
    <row r="264" spans="1:8" x14ac:dyDescent="0.25">
      <c r="A264">
        <v>10098420</v>
      </c>
      <c r="B264" t="s">
        <v>26</v>
      </c>
      <c r="D264">
        <v>1</v>
      </c>
      <c r="G264" t="b">
        <f t="shared" si="8"/>
        <v>0</v>
      </c>
      <c r="H264" t="b">
        <f t="shared" si="9"/>
        <v>0</v>
      </c>
    </row>
    <row r="265" spans="1:8" x14ac:dyDescent="0.25">
      <c r="A265">
        <v>10129565</v>
      </c>
      <c r="B265" t="s">
        <v>26</v>
      </c>
      <c r="D265">
        <v>1</v>
      </c>
      <c r="G265" t="b">
        <f t="shared" si="8"/>
        <v>0</v>
      </c>
      <c r="H265" t="b">
        <f t="shared" si="9"/>
        <v>0</v>
      </c>
    </row>
    <row r="266" spans="1:8" x14ac:dyDescent="0.25">
      <c r="A266">
        <v>10146828</v>
      </c>
      <c r="B266" t="s">
        <v>26</v>
      </c>
      <c r="D266">
        <v>1</v>
      </c>
      <c r="E266">
        <v>32</v>
      </c>
      <c r="F266">
        <v>14</v>
      </c>
      <c r="G266" t="b">
        <f t="shared" si="8"/>
        <v>0</v>
      </c>
      <c r="H266" t="str">
        <f t="shared" si="9"/>
        <v>1</v>
      </c>
    </row>
    <row r="267" spans="1:8" x14ac:dyDescent="0.25">
      <c r="A267">
        <v>10163776</v>
      </c>
      <c r="B267" t="s">
        <v>26</v>
      </c>
      <c r="D267">
        <v>1</v>
      </c>
      <c r="G267" t="b">
        <f t="shared" si="8"/>
        <v>0</v>
      </c>
      <c r="H267" t="b">
        <f t="shared" si="9"/>
        <v>0</v>
      </c>
    </row>
    <row r="268" spans="1:8" x14ac:dyDescent="0.25">
      <c r="A268">
        <v>10173664</v>
      </c>
      <c r="B268" t="s">
        <v>26</v>
      </c>
      <c r="D268">
        <v>1</v>
      </c>
      <c r="G268" t="b">
        <f t="shared" si="8"/>
        <v>0</v>
      </c>
      <c r="H268" t="b">
        <f t="shared" si="9"/>
        <v>0</v>
      </c>
    </row>
    <row r="269" spans="1:8" x14ac:dyDescent="0.25">
      <c r="A269">
        <v>11000454</v>
      </c>
      <c r="B269" t="s">
        <v>26</v>
      </c>
      <c r="D269">
        <v>1</v>
      </c>
      <c r="E269">
        <v>12</v>
      </c>
      <c r="F269">
        <v>12</v>
      </c>
      <c r="G269">
        <v>1</v>
      </c>
      <c r="H269" t="b">
        <f t="shared" si="9"/>
        <v>0</v>
      </c>
    </row>
    <row r="270" spans="1:8" x14ac:dyDescent="0.25">
      <c r="A270">
        <v>11083498</v>
      </c>
      <c r="B270" t="s">
        <v>26</v>
      </c>
      <c r="D270">
        <v>1</v>
      </c>
      <c r="E270">
        <v>5</v>
      </c>
      <c r="F270">
        <v>10</v>
      </c>
      <c r="G270" t="str">
        <f t="shared" si="8"/>
        <v>1</v>
      </c>
      <c r="H270" t="b">
        <f t="shared" si="9"/>
        <v>0</v>
      </c>
    </row>
    <row r="271" spans="1:8" x14ac:dyDescent="0.25">
      <c r="A271">
        <v>11138447</v>
      </c>
      <c r="B271" t="s">
        <v>26</v>
      </c>
      <c r="D271">
        <v>1</v>
      </c>
      <c r="G271" t="b">
        <f t="shared" si="8"/>
        <v>0</v>
      </c>
      <c r="H271" t="b">
        <f t="shared" si="9"/>
        <v>0</v>
      </c>
    </row>
    <row r="272" spans="1:8" x14ac:dyDescent="0.25">
      <c r="A272">
        <v>11144001</v>
      </c>
      <c r="B272" t="s">
        <v>26</v>
      </c>
      <c r="D272">
        <v>1</v>
      </c>
      <c r="E272">
        <v>10</v>
      </c>
      <c r="G272" t="b">
        <f t="shared" ref="G272:G281" si="10">IF(E272&lt;F272,"1")</f>
        <v>0</v>
      </c>
      <c r="H272" t="str">
        <f t="shared" si="9"/>
        <v>1</v>
      </c>
    </row>
    <row r="273" spans="1:8" x14ac:dyDescent="0.25">
      <c r="A273" t="s">
        <v>28</v>
      </c>
      <c r="B273" t="s">
        <v>26</v>
      </c>
      <c r="D273">
        <v>1</v>
      </c>
      <c r="F273">
        <v>26</v>
      </c>
      <c r="G273" t="str">
        <f t="shared" si="10"/>
        <v>1</v>
      </c>
      <c r="H273" t="b">
        <f t="shared" si="9"/>
        <v>0</v>
      </c>
    </row>
    <row r="274" spans="1:8" x14ac:dyDescent="0.25">
      <c r="A274" t="s">
        <v>29</v>
      </c>
      <c r="B274" t="s">
        <v>26</v>
      </c>
      <c r="D274">
        <v>1</v>
      </c>
      <c r="E274">
        <v>16</v>
      </c>
      <c r="F274">
        <v>5</v>
      </c>
      <c r="G274" t="b">
        <f t="shared" si="10"/>
        <v>0</v>
      </c>
      <c r="H274" t="str">
        <f t="shared" si="9"/>
        <v>1</v>
      </c>
    </row>
    <row r="275" spans="1:8" x14ac:dyDescent="0.25">
      <c r="A275">
        <v>12021531</v>
      </c>
      <c r="B275" t="s">
        <v>26</v>
      </c>
      <c r="D275">
        <v>1</v>
      </c>
      <c r="G275" t="b">
        <f t="shared" si="10"/>
        <v>0</v>
      </c>
      <c r="H275" t="b">
        <f t="shared" si="9"/>
        <v>0</v>
      </c>
    </row>
    <row r="276" spans="1:8" x14ac:dyDescent="0.25">
      <c r="A276">
        <v>12185514</v>
      </c>
      <c r="B276" t="s">
        <v>26</v>
      </c>
      <c r="D276">
        <v>1</v>
      </c>
      <c r="E276">
        <v>12</v>
      </c>
      <c r="F276">
        <v>12</v>
      </c>
      <c r="G276">
        <v>1</v>
      </c>
      <c r="H276" t="b">
        <f t="shared" si="9"/>
        <v>0</v>
      </c>
    </row>
    <row r="277" spans="1:8" x14ac:dyDescent="0.25">
      <c r="A277">
        <v>12202633</v>
      </c>
      <c r="B277" t="s">
        <v>26</v>
      </c>
      <c r="D277">
        <v>1</v>
      </c>
      <c r="E277">
        <v>8</v>
      </c>
      <c r="F277">
        <v>8</v>
      </c>
      <c r="G277">
        <v>1</v>
      </c>
      <c r="H277" t="b">
        <f t="shared" si="9"/>
        <v>0</v>
      </c>
    </row>
    <row r="278" spans="1:8" x14ac:dyDescent="0.25">
      <c r="A278">
        <v>12325258</v>
      </c>
      <c r="B278" t="s">
        <v>26</v>
      </c>
      <c r="D278">
        <v>1</v>
      </c>
      <c r="G278" t="b">
        <f t="shared" si="10"/>
        <v>0</v>
      </c>
      <c r="H278" t="b">
        <f t="shared" si="9"/>
        <v>0</v>
      </c>
    </row>
    <row r="279" spans="1:8" x14ac:dyDescent="0.25">
      <c r="A279">
        <v>5018677</v>
      </c>
      <c r="B279" t="s">
        <v>26</v>
      </c>
      <c r="D279">
        <v>1</v>
      </c>
      <c r="G279" t="b">
        <f t="shared" si="10"/>
        <v>0</v>
      </c>
      <c r="H279" t="b">
        <f t="shared" si="9"/>
        <v>0</v>
      </c>
    </row>
    <row r="280" spans="1:8" x14ac:dyDescent="0.25">
      <c r="A280" s="7">
        <v>2008127</v>
      </c>
      <c r="B280" t="s">
        <v>26</v>
      </c>
      <c r="D280">
        <v>1</v>
      </c>
      <c r="G280" t="b">
        <f t="shared" si="10"/>
        <v>0</v>
      </c>
      <c r="H280" t="b">
        <f t="shared" si="9"/>
        <v>0</v>
      </c>
    </row>
    <row r="281" spans="1:8" x14ac:dyDescent="0.25">
      <c r="A281" s="7">
        <v>6081681</v>
      </c>
      <c r="B281" t="s">
        <v>26</v>
      </c>
      <c r="D281">
        <v>1</v>
      </c>
      <c r="G281" t="b">
        <f t="shared" si="10"/>
        <v>0</v>
      </c>
      <c r="H281" t="b">
        <f t="shared" si="9"/>
        <v>0</v>
      </c>
    </row>
    <row r="282" spans="1:8" x14ac:dyDescent="0.25">
      <c r="A282" s="9"/>
    </row>
    <row r="283" spans="1:8" x14ac:dyDescent="0.25">
      <c r="A283" s="9"/>
    </row>
    <row r="284" spans="1:8" x14ac:dyDescent="0.25">
      <c r="A284" s="9"/>
    </row>
    <row r="285" spans="1:8" x14ac:dyDescent="0.25">
      <c r="A285" s="9"/>
      <c r="C285" s="11"/>
      <c r="D285" s="11"/>
      <c r="E285" s="11"/>
      <c r="F285" s="11"/>
    </row>
    <row r="286" spans="1:8" x14ac:dyDescent="0.25">
      <c r="A286" s="9"/>
    </row>
    <row r="287" spans="1:8" x14ac:dyDescent="0.25">
      <c r="A287" s="9"/>
    </row>
    <row r="295" spans="1:2" x14ac:dyDescent="0.25">
      <c r="A295" s="6"/>
      <c r="B295" s="6"/>
    </row>
    <row r="298" spans="1:2" x14ac:dyDescent="0.25">
      <c r="A298" s="9"/>
    </row>
    <row r="299" spans="1:2" x14ac:dyDescent="0.25">
      <c r="B299" t="s">
        <v>30</v>
      </c>
    </row>
    <row r="304" spans="1:2" x14ac:dyDescent="0.25">
      <c r="A304" s="10"/>
    </row>
    <row r="316" spans="2:2" x14ac:dyDescent="0.25">
      <c r="B316" t="s">
        <v>31</v>
      </c>
    </row>
    <row r="320" spans="2:2" x14ac:dyDescent="0.25">
      <c r="B320" t="s">
        <v>32</v>
      </c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</sheetData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291:B294">
    <cfRule type="duplicateValues" dxfId="0" priority="2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Test group amounts</vt:lpstr>
      <vt:lpstr>Test group 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2024-11-24T20:11:21Z</dcterms:created>
  <dcterms:modified xsi:type="dcterms:W3CDTF">2024-12-04T17:23:47Z</dcterms:modified>
</cp:coreProperties>
</file>