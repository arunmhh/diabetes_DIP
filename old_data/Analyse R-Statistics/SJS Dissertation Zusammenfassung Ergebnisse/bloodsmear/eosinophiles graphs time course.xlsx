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4.xml" ContentType="application/vnd.openxmlformats-officedocument.drawing+xml"/>
  <Override PartName="/xl/charts/chart9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10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en(x)\Daten(lw-r)\Abc\Doktorarbeit SJS\Analyse R-Statistics\bloodsmear\"/>
    </mc:Choice>
  </mc:AlternateContent>
  <xr:revisionPtr revIDLastSave="0" documentId="13_ncr:1_{86626FC7-0854-4D4C-837A-88A5B22D6DA0}" xr6:coauthVersionLast="47" xr6:coauthVersionMax="47" xr10:uidLastSave="{00000000-0000-0000-0000-000000000000}"/>
  <bookViews>
    <workbookView xWindow="-120" yWindow="-120" windowWidth="29040" windowHeight="15840" xr2:uid="{EBD02932-0A0E-4C07-9EC1-F98957BD1967}"/>
  </bookViews>
  <sheets>
    <sheet name="Tabelle1" sheetId="1" r:id="rId1"/>
    <sheet name="Tabelle4" sheetId="4" r:id="rId2"/>
    <sheet name="Tabelle5" sheetId="5" r:id="rId3"/>
    <sheet name="Tabelle8" sheetId="8" r:id="rId4"/>
    <sheet name="Tabelle6" sheetId="6" r:id="rId5"/>
    <sheet name="Tabelle7" sheetId="7" r:id="rId6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7" l="1"/>
  <c r="E2" i="6"/>
  <c r="E2" i="8"/>
  <c r="E2" i="5"/>
  <c r="E4" i="4"/>
  <c r="E6" i="1"/>
  <c r="E5" i="1"/>
  <c r="E4" i="1"/>
  <c r="E3" i="1"/>
  <c r="E2" i="1"/>
</calcChain>
</file>

<file path=xl/sharedStrings.xml><?xml version="1.0" encoding="utf-8"?>
<sst xmlns="http://schemas.openxmlformats.org/spreadsheetml/2006/main" count="151" uniqueCount="42">
  <si>
    <t>Leber_Diclo</t>
  </si>
  <si>
    <t>Edited_BfArM Nummer2</t>
  </si>
  <si>
    <t>Treatment</t>
  </si>
  <si>
    <t>EosinophileDay36_From Start</t>
  </si>
  <si>
    <t>EosinophileDay34_From Start</t>
  </si>
  <si>
    <t>EosinophileDay20_From Start</t>
  </si>
  <si>
    <t>EosinophileDay12_From Start</t>
  </si>
  <si>
    <t>EosinophileDay11_From Start</t>
  </si>
  <si>
    <t>EosinophileDay10_From Start</t>
  </si>
  <si>
    <t>EosinophileDay9_From Start</t>
  </si>
  <si>
    <t>EosinophileDay7_From Start</t>
  </si>
  <si>
    <t>EosinophileDay6_From Start</t>
  </si>
  <si>
    <t>EosinophileDay5_From Start</t>
  </si>
  <si>
    <t>EosinophileDay4_From Start</t>
  </si>
  <si>
    <t>EosinophileDay2_From Start</t>
  </si>
  <si>
    <t>EosinophileDay_Unknown</t>
  </si>
  <si>
    <t>EosinophileDay1</t>
  </si>
  <si>
    <t>EosinophileDay2</t>
  </si>
  <si>
    <t>EosinophileDay3</t>
  </si>
  <si>
    <t>EosinophileDay5</t>
  </si>
  <si>
    <t>EosinophileDay6</t>
  </si>
  <si>
    <t>EosinophileDay7</t>
  </si>
  <si>
    <t>EosinophileDay9</t>
  </si>
  <si>
    <t>EosinophileDay11</t>
  </si>
  <si>
    <t>EosinophileDay13</t>
  </si>
  <si>
    <t>EosinophileDay15</t>
  </si>
  <si>
    <t>EosinophileDay18</t>
  </si>
  <si>
    <t>EosinophileDay19</t>
  </si>
  <si>
    <t>EosinophileDay20</t>
  </si>
  <si>
    <t>EosinophileDay22</t>
  </si>
  <si>
    <t>EosinophileDay26</t>
  </si>
  <si>
    <t>EosinophileDay28</t>
  </si>
  <si>
    <t>EosinophileDay29</t>
  </si>
  <si>
    <t>EosinophileDay30</t>
  </si>
  <si>
    <t>EosinophileDay32</t>
  </si>
  <si>
    <t>EosinophileDay33</t>
  </si>
  <si>
    <t>EosinophileDay40</t>
  </si>
  <si>
    <t>EosinophileDay50</t>
  </si>
  <si>
    <t>EosinophileDay57</t>
  </si>
  <si>
    <t>EosinophileDay63</t>
  </si>
  <si>
    <t>Leber_Para</t>
  </si>
  <si>
    <t>EosinophileDay78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</si>
</sst>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2" borderId="0" xfId="0" applyFill="1"/>
    <xf numFmtId="0" fontId="0" fillId="2" borderId="1" xfId="0" applyFill="1" applyBorder="1"/>
  </cellXfs>
  <cellStyles count="1">
    <cellStyle name="Standard" xfId="0" builtinId="0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 sz="1400" b="0" i="0" u="none" strike="noStrike" baseline="0">
                <a:effectLst/>
              </a:rPr>
              <a:t>1005522</a:t>
            </a:r>
            <a:r>
              <a:rPr lang="de-DE" sz="1400" b="0" i="0" u="none" strike="noStrike" baseline="0"/>
              <a:t> </a:t>
            </a:r>
            <a:r>
              <a:rPr lang="de-DE" sz="1400" b="0" i="0" u="none" strike="noStrike" baseline="0">
                <a:effectLst/>
              </a:rPr>
              <a:t>Leber_Diclo</a:t>
            </a:r>
            <a:r>
              <a:rPr lang="de-DE" sz="1400" b="0" i="0" u="none" strike="noStrike" baseline="0"/>
              <a:t>  </a:t>
            </a:r>
            <a:endParaRPr lang="de-D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Tabelle1!$G$1:$K$1</c:f>
              <c:strCache>
                <c:ptCount val="5"/>
                <c:pt idx="0">
                  <c:v>EosinophileDay36_From Start</c:v>
                </c:pt>
                <c:pt idx="1">
                  <c:v>EosinophileDay20_From Start</c:v>
                </c:pt>
                <c:pt idx="2">
                  <c:v>EosinophileDay1</c:v>
                </c:pt>
                <c:pt idx="3">
                  <c:v>EosinophileDay9</c:v>
                </c:pt>
                <c:pt idx="4">
                  <c:v>EosinophileDay15</c:v>
                </c:pt>
              </c:strCache>
            </c:strRef>
          </c:cat>
          <c:val>
            <c:numRef>
              <c:f>Tabelle1!$G$2:$K$2</c:f>
              <c:numCache>
                <c:formatCode>General</c:formatCode>
                <c:ptCount val="5"/>
                <c:pt idx="0">
                  <c:v>1.4</c:v>
                </c:pt>
                <c:pt idx="1">
                  <c:v>0.9</c:v>
                </c:pt>
                <c:pt idx="2">
                  <c:v>1.3</c:v>
                </c:pt>
                <c:pt idx="3">
                  <c:v>1.2</c:v>
                </c:pt>
                <c:pt idx="4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27F-4131-911E-77DC3A9C99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39029663"/>
        <c:axId val="1039027743"/>
      </c:lineChart>
      <c:catAx>
        <c:axId val="1039029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039027743"/>
        <c:crosses val="autoZero"/>
        <c:auto val="1"/>
        <c:lblAlgn val="ctr"/>
        <c:lblOffset val="100"/>
        <c:noMultiLvlLbl val="0"/>
      </c:catAx>
      <c:valAx>
        <c:axId val="1039027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0390296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 sz="1400" b="0" i="0" u="none" strike="noStrike" baseline="0">
                <a:effectLst/>
              </a:rPr>
              <a:t>4009906</a:t>
            </a:r>
            <a:r>
              <a:rPr lang="de-DE" sz="1400" b="0" i="0" u="none" strike="noStrike" baseline="0"/>
              <a:t> </a:t>
            </a:r>
            <a:r>
              <a:rPr lang="de-DE" sz="1400" b="0" i="0" u="none" strike="noStrike" baseline="0">
                <a:effectLst/>
              </a:rPr>
              <a:t>Leber_Diclo</a:t>
            </a:r>
            <a:r>
              <a:rPr lang="de-DE" sz="1400" b="0" i="0" u="none" strike="noStrike" baseline="0"/>
              <a:t> </a:t>
            </a:r>
            <a:endParaRPr lang="de-DE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1"/>
          <c:order val="0"/>
          <c:marker>
            <c:symbol val="none"/>
          </c:marker>
          <c:cat>
            <c:strRef>
              <c:f>Tabelle4!$U$3:$W$3</c:f>
              <c:strCache>
                <c:ptCount val="3"/>
                <c:pt idx="0">
                  <c:v>EosinophileDay2</c:v>
                </c:pt>
                <c:pt idx="1">
                  <c:v>EosinophileDay29</c:v>
                </c:pt>
                <c:pt idx="2">
                  <c:v>EosinophileDay63</c:v>
                </c:pt>
              </c:strCache>
            </c:strRef>
          </c:cat>
          <c:val>
            <c:numRef>
              <c:f>Tabelle4!$U$4:$W$4</c:f>
              <c:numCache>
                <c:formatCode>General</c:formatCode>
                <c:ptCount val="3"/>
                <c:pt idx="0">
                  <c:v>4.5999999999999996</c:v>
                </c:pt>
                <c:pt idx="1">
                  <c:v>3.3</c:v>
                </c:pt>
                <c:pt idx="2">
                  <c:v>4.8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9E9-4567-8A0B-B7C586C20EF0}"/>
            </c:ext>
          </c:extLst>
        </c:ser>
        <c:ser>
          <c:idx val="0"/>
          <c:order val="1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Tabelle4!$U$3:$X$3</c:f>
              <c:strCache>
                <c:ptCount val="4"/>
                <c:pt idx="0">
                  <c:v>EosinophileDay2</c:v>
                </c:pt>
                <c:pt idx="1">
                  <c:v>EosinophileDay29</c:v>
                </c:pt>
                <c:pt idx="2">
                  <c:v>EosinophileDay63</c:v>
                </c:pt>
                <c:pt idx="3">
                  <c:v>EosinophileDay78</c:v>
                </c:pt>
              </c:strCache>
            </c:strRef>
          </c:cat>
          <c:val>
            <c:numRef>
              <c:f>Tabelle4!$U$4:$X$4</c:f>
              <c:numCache>
                <c:formatCode>General</c:formatCode>
                <c:ptCount val="4"/>
                <c:pt idx="0">
                  <c:v>4.5999999999999996</c:v>
                </c:pt>
                <c:pt idx="1">
                  <c:v>3.3</c:v>
                </c:pt>
                <c:pt idx="2">
                  <c:v>4.8</c:v>
                </c:pt>
                <c:pt idx="3">
                  <c:v>3.3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9E9-4567-8A0B-B7C586C20E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18748991"/>
        <c:axId val="1543501375"/>
      </c:lineChart>
      <c:catAx>
        <c:axId val="14187489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543501375"/>
        <c:crosses val="autoZero"/>
        <c:auto val="1"/>
        <c:lblAlgn val="ctr"/>
        <c:lblOffset val="100"/>
        <c:noMultiLvlLbl val="0"/>
      </c:catAx>
      <c:valAx>
        <c:axId val="1543501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418748991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 sz="1400" b="0" i="0" u="none" strike="noStrike" baseline="0">
                <a:effectLst/>
              </a:rPr>
              <a:t>7126387</a:t>
            </a:r>
            <a:r>
              <a:rPr lang="de-DE" sz="1400" b="0" i="0" u="none" strike="noStrike" baseline="0"/>
              <a:t> </a:t>
            </a:r>
            <a:r>
              <a:rPr lang="de-DE" sz="1400" b="0" i="0" u="none" strike="noStrike" baseline="0">
                <a:effectLst/>
              </a:rPr>
              <a:t>Leber_Diclo</a:t>
            </a:r>
            <a:r>
              <a:rPr lang="de-DE" sz="1400" b="0" i="0" u="none" strike="noStrike" baseline="0"/>
              <a:t>  </a:t>
            </a:r>
            <a:endParaRPr lang="de-D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Tabelle5!$M$1:$V$1</c:f>
              <c:strCache>
                <c:ptCount val="10"/>
                <c:pt idx="0">
                  <c:v>EosinophileDay9_From Start</c:v>
                </c:pt>
                <c:pt idx="1">
                  <c:v>EosinophileDay1</c:v>
                </c:pt>
                <c:pt idx="2">
                  <c:v>EosinophileDay5</c:v>
                </c:pt>
                <c:pt idx="3">
                  <c:v>EosinophileDay13</c:v>
                </c:pt>
                <c:pt idx="4">
                  <c:v>EosinophileDay19</c:v>
                </c:pt>
                <c:pt idx="5">
                  <c:v>EosinophileDay26</c:v>
                </c:pt>
                <c:pt idx="6">
                  <c:v>EosinophileDay33</c:v>
                </c:pt>
                <c:pt idx="7">
                  <c:v>EosinophileDay40</c:v>
                </c:pt>
                <c:pt idx="8">
                  <c:v>EosinophileDay50</c:v>
                </c:pt>
                <c:pt idx="9">
                  <c:v>EosinophileDay57</c:v>
                </c:pt>
              </c:strCache>
            </c:strRef>
          </c:cat>
          <c:val>
            <c:numRef>
              <c:f>Tabelle5!$M$2:$V$2</c:f>
              <c:numCache>
                <c:formatCode>General</c:formatCode>
                <c:ptCount val="10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F5-49E2-B886-27A9FAA242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64037407"/>
        <c:axId val="1864038847"/>
      </c:lineChart>
      <c:catAx>
        <c:axId val="186403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864038847"/>
        <c:crosses val="autoZero"/>
        <c:auto val="1"/>
        <c:lblAlgn val="ctr"/>
        <c:lblOffset val="100"/>
        <c:noMultiLvlLbl val="0"/>
      </c:catAx>
      <c:valAx>
        <c:axId val="1864038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864037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 sz="1400" b="0" i="0" u="none" strike="noStrike" baseline="0">
                <a:effectLst/>
              </a:rPr>
              <a:t>11061215</a:t>
            </a:r>
            <a:r>
              <a:rPr lang="de-DE" sz="1400" b="0" i="0" u="none" strike="noStrike" baseline="0"/>
              <a:t> </a:t>
            </a:r>
            <a:r>
              <a:rPr lang="de-DE" sz="1400" b="0" i="0" u="none" strike="noStrike" baseline="0">
                <a:effectLst/>
              </a:rPr>
              <a:t>Leber_Diclo</a:t>
            </a:r>
            <a:r>
              <a:rPr lang="de-DE" sz="1400" b="0" i="0" u="none" strike="noStrike" baseline="0"/>
              <a:t>  </a:t>
            </a:r>
            <a:endParaRPr lang="de-D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Tabelle8!$W$1:$Z$1</c:f>
              <c:strCache>
                <c:ptCount val="4"/>
                <c:pt idx="0">
                  <c:v>EosinophileDay5</c:v>
                </c:pt>
                <c:pt idx="1">
                  <c:v>EosinophileDay11</c:v>
                </c:pt>
                <c:pt idx="2">
                  <c:v>EosinophileDay18</c:v>
                </c:pt>
                <c:pt idx="3">
                  <c:v>EosinophileDay26</c:v>
                </c:pt>
              </c:strCache>
            </c:strRef>
          </c:cat>
          <c:val>
            <c:numRef>
              <c:f>Tabelle8!$W$2:$Z$2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3</c:v>
                </c:pt>
                <c:pt idx="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97-4329-8FAD-93CD093692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63565839"/>
        <c:axId val="1773124015"/>
      </c:lineChart>
      <c:catAx>
        <c:axId val="1863565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773124015"/>
        <c:crosses val="autoZero"/>
        <c:auto val="1"/>
        <c:lblAlgn val="ctr"/>
        <c:lblOffset val="100"/>
        <c:noMultiLvlLbl val="0"/>
      </c:catAx>
      <c:valAx>
        <c:axId val="1773124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8635658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 sz="1400" b="0" i="0" u="none" strike="noStrike" baseline="0">
                <a:effectLst/>
              </a:rPr>
              <a:t>97004458</a:t>
            </a:r>
            <a:r>
              <a:rPr lang="de-DE" sz="1400" b="0" i="0" u="none" strike="noStrike" baseline="0"/>
              <a:t> </a:t>
            </a:r>
            <a:r>
              <a:rPr lang="de-DE" sz="1400" b="0" i="0" u="none" strike="noStrike" baseline="0">
                <a:effectLst/>
              </a:rPr>
              <a:t>Leber_Diclo</a:t>
            </a:r>
            <a:r>
              <a:rPr lang="de-DE" sz="1400" b="0" i="0" u="none" strike="noStrike" baseline="0"/>
              <a:t>  </a:t>
            </a:r>
            <a:endParaRPr lang="de-D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Tabelle6!$N$1:$T$1</c:f>
              <c:strCache>
                <c:ptCount val="7"/>
                <c:pt idx="0">
                  <c:v>EosinophileDay7_From Start</c:v>
                </c:pt>
                <c:pt idx="1">
                  <c:v>EosinophileDay2_From Start</c:v>
                </c:pt>
                <c:pt idx="2">
                  <c:v>EosinophileDay6</c:v>
                </c:pt>
                <c:pt idx="3">
                  <c:v>EosinophileDay7</c:v>
                </c:pt>
                <c:pt idx="4">
                  <c:v>EosinophileDay9</c:v>
                </c:pt>
                <c:pt idx="5">
                  <c:v>EosinophileDay20</c:v>
                </c:pt>
                <c:pt idx="6">
                  <c:v>EosinophileDay28</c:v>
                </c:pt>
              </c:strCache>
            </c:strRef>
          </c:cat>
          <c:val>
            <c:numRef>
              <c:f>Tabelle6!$N$2:$T$2</c:f>
              <c:numCache>
                <c:formatCode>General</c:formatCode>
                <c:ptCount val="7"/>
                <c:pt idx="0">
                  <c:v>4.7</c:v>
                </c:pt>
                <c:pt idx="1">
                  <c:v>5.5</c:v>
                </c:pt>
                <c:pt idx="2">
                  <c:v>5.5</c:v>
                </c:pt>
                <c:pt idx="3">
                  <c:v>5.5</c:v>
                </c:pt>
                <c:pt idx="4">
                  <c:v>6</c:v>
                </c:pt>
                <c:pt idx="5">
                  <c:v>4.3</c:v>
                </c:pt>
                <c:pt idx="6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A9C-4F1C-96A3-0565AD1EA0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41212511"/>
        <c:axId val="1413623423"/>
      </c:lineChart>
      <c:catAx>
        <c:axId val="1841212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413623423"/>
        <c:crosses val="autoZero"/>
        <c:auto val="1"/>
        <c:lblAlgn val="ctr"/>
        <c:lblOffset val="100"/>
        <c:noMultiLvlLbl val="0"/>
      </c:catAx>
      <c:valAx>
        <c:axId val="1413623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8412125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 sz="1400" b="0" i="0" u="none" strike="noStrike" baseline="0">
                <a:effectLst/>
              </a:rPr>
              <a:t>5001097</a:t>
            </a:r>
            <a:r>
              <a:rPr lang="de-DE" sz="1400" b="0" i="0" u="none" strike="noStrike" baseline="0"/>
              <a:t> </a:t>
            </a:r>
            <a:r>
              <a:rPr lang="de-DE" sz="1400" b="0" i="0" u="none" strike="noStrike" baseline="0">
                <a:effectLst/>
              </a:rPr>
              <a:t>Leber_Para</a:t>
            </a:r>
            <a:r>
              <a:rPr lang="de-DE" sz="1400" b="0" i="0" u="none" strike="noStrike" baseline="0"/>
              <a:t>  </a:t>
            </a:r>
            <a:endParaRPr lang="de-D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Tabelle7!$N$1:$P$1</c:f>
              <c:strCache>
                <c:ptCount val="3"/>
                <c:pt idx="0">
                  <c:v>EosinophileDay7_From Start</c:v>
                </c:pt>
                <c:pt idx="1">
                  <c:v>EosinophileDay6_From Start</c:v>
                </c:pt>
                <c:pt idx="2">
                  <c:v>EosinophileDay9</c:v>
                </c:pt>
              </c:strCache>
            </c:strRef>
          </c:cat>
          <c:val>
            <c:numRef>
              <c:f>Tabelle7!$N$2:$P$2</c:f>
              <c:numCache>
                <c:formatCode>General</c:formatCode>
                <c:ptCount val="3"/>
                <c:pt idx="0">
                  <c:v>1.5</c:v>
                </c:pt>
                <c:pt idx="1">
                  <c:v>0.7</c:v>
                </c:pt>
                <c:pt idx="2">
                  <c:v>1.7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425-481A-9B19-54AC5934CC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7491919"/>
        <c:axId val="1767493359"/>
      </c:lineChart>
      <c:catAx>
        <c:axId val="1767491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767493359"/>
        <c:crosses val="autoZero"/>
        <c:auto val="1"/>
        <c:lblAlgn val="ctr"/>
        <c:lblOffset val="100"/>
        <c:noMultiLvlLbl val="0"/>
      </c:catAx>
      <c:valAx>
        <c:axId val="1767493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7674919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Tabelle4!$U$3:$X$3</c:f>
              <c:strCache>
                <c:ptCount val="4"/>
                <c:pt idx="0">
                  <c:v>EosinophileDay2</c:v>
                </c:pt>
                <c:pt idx="1">
                  <c:v>EosinophileDay29</c:v>
                </c:pt>
                <c:pt idx="2">
                  <c:v>EosinophileDay63</c:v>
                </c:pt>
                <c:pt idx="3">
                  <c:v>EosinophileDay78</c:v>
                </c:pt>
              </c:strCache>
            </c:strRef>
          </c:cat>
          <c:val>
            <c:numRef>
              <c:f>Tabelle4!$U$4:$X$4</c:f>
              <c:numCache>
                <c:formatCode>General</c:formatCode>
                <c:ptCount val="4"/>
                <c:pt idx="0">
                  <c:v>4.5999999999999996</c:v>
                </c:pt>
                <c:pt idx="1">
                  <c:v>3.3</c:v>
                </c:pt>
                <c:pt idx="2">
                  <c:v>4.8</c:v>
                </c:pt>
                <c:pt idx="3">
                  <c:v>3.3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9CA-4631-A73B-3B740EEDC2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18748991"/>
        <c:axId val="1543501375"/>
      </c:lineChart>
      <c:catAx>
        <c:axId val="14187489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543501375"/>
        <c:crosses val="autoZero"/>
        <c:auto val="1"/>
        <c:lblAlgn val="ctr"/>
        <c:lblOffset val="100"/>
        <c:noMultiLvlLbl val="0"/>
      </c:catAx>
      <c:valAx>
        <c:axId val="1543501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4187489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Tabelle5!$M$1:$V$1</c:f>
              <c:strCache>
                <c:ptCount val="10"/>
                <c:pt idx="0">
                  <c:v>EosinophileDay9_From Start</c:v>
                </c:pt>
                <c:pt idx="1">
                  <c:v>EosinophileDay1</c:v>
                </c:pt>
                <c:pt idx="2">
                  <c:v>EosinophileDay5</c:v>
                </c:pt>
                <c:pt idx="3">
                  <c:v>EosinophileDay13</c:v>
                </c:pt>
                <c:pt idx="4">
                  <c:v>EosinophileDay19</c:v>
                </c:pt>
                <c:pt idx="5">
                  <c:v>EosinophileDay26</c:v>
                </c:pt>
                <c:pt idx="6">
                  <c:v>EosinophileDay33</c:v>
                </c:pt>
                <c:pt idx="7">
                  <c:v>EosinophileDay40</c:v>
                </c:pt>
                <c:pt idx="8">
                  <c:v>EosinophileDay50</c:v>
                </c:pt>
                <c:pt idx="9">
                  <c:v>EosinophileDay57</c:v>
                </c:pt>
              </c:strCache>
            </c:strRef>
          </c:cat>
          <c:val>
            <c:numRef>
              <c:f>Tabelle5!$M$2:$V$2</c:f>
              <c:numCache>
                <c:formatCode>General</c:formatCode>
                <c:ptCount val="10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A0B-44D4-AB13-BB3D6CF7A1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64037407"/>
        <c:axId val="1864038847"/>
      </c:lineChart>
      <c:catAx>
        <c:axId val="186403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864038847"/>
        <c:crosses val="autoZero"/>
        <c:auto val="1"/>
        <c:lblAlgn val="ctr"/>
        <c:lblOffset val="100"/>
        <c:noMultiLvlLbl val="0"/>
      </c:catAx>
      <c:valAx>
        <c:axId val="1864038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864037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Tabelle8!$W$1:$Z$1</c:f>
              <c:strCache>
                <c:ptCount val="4"/>
                <c:pt idx="0">
                  <c:v>EosinophileDay5</c:v>
                </c:pt>
                <c:pt idx="1">
                  <c:v>EosinophileDay11</c:v>
                </c:pt>
                <c:pt idx="2">
                  <c:v>EosinophileDay18</c:v>
                </c:pt>
                <c:pt idx="3">
                  <c:v>EosinophileDay26</c:v>
                </c:pt>
              </c:strCache>
            </c:strRef>
          </c:cat>
          <c:val>
            <c:numRef>
              <c:f>Tabelle8!$W$2:$Z$2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3</c:v>
                </c:pt>
                <c:pt idx="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C6-46EE-9487-4E19542D25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63565839"/>
        <c:axId val="1773124015"/>
      </c:lineChart>
      <c:catAx>
        <c:axId val="1863565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773124015"/>
        <c:crosses val="autoZero"/>
        <c:auto val="1"/>
        <c:lblAlgn val="ctr"/>
        <c:lblOffset val="100"/>
        <c:noMultiLvlLbl val="0"/>
      </c:catAx>
      <c:valAx>
        <c:axId val="1773124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8635658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Tabelle6!$N$1:$T$1</c:f>
              <c:strCache>
                <c:ptCount val="7"/>
                <c:pt idx="0">
                  <c:v>EosinophileDay7_From Start</c:v>
                </c:pt>
                <c:pt idx="1">
                  <c:v>EosinophileDay2_From Start</c:v>
                </c:pt>
                <c:pt idx="2">
                  <c:v>EosinophileDay6</c:v>
                </c:pt>
                <c:pt idx="3">
                  <c:v>EosinophileDay7</c:v>
                </c:pt>
                <c:pt idx="4">
                  <c:v>EosinophileDay9</c:v>
                </c:pt>
                <c:pt idx="5">
                  <c:v>EosinophileDay20</c:v>
                </c:pt>
                <c:pt idx="6">
                  <c:v>EosinophileDay28</c:v>
                </c:pt>
              </c:strCache>
            </c:strRef>
          </c:cat>
          <c:val>
            <c:numRef>
              <c:f>Tabelle6!$N$2:$T$2</c:f>
              <c:numCache>
                <c:formatCode>General</c:formatCode>
                <c:ptCount val="7"/>
                <c:pt idx="0">
                  <c:v>4.7</c:v>
                </c:pt>
                <c:pt idx="1">
                  <c:v>5.5</c:v>
                </c:pt>
                <c:pt idx="2">
                  <c:v>5.5</c:v>
                </c:pt>
                <c:pt idx="3">
                  <c:v>5.5</c:v>
                </c:pt>
                <c:pt idx="4">
                  <c:v>6</c:v>
                </c:pt>
                <c:pt idx="5">
                  <c:v>4.3</c:v>
                </c:pt>
                <c:pt idx="6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B12-4C75-AF02-CB031CEE22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41212511"/>
        <c:axId val="1413623423"/>
      </c:lineChart>
      <c:catAx>
        <c:axId val="1841212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413623423"/>
        <c:crosses val="autoZero"/>
        <c:auto val="1"/>
        <c:lblAlgn val="ctr"/>
        <c:lblOffset val="100"/>
        <c:noMultiLvlLbl val="0"/>
      </c:catAx>
      <c:valAx>
        <c:axId val="1413623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8412125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Tabelle7!$N$1:$P$1</c:f>
              <c:strCache>
                <c:ptCount val="3"/>
                <c:pt idx="0">
                  <c:v>EosinophileDay7_From Start</c:v>
                </c:pt>
                <c:pt idx="1">
                  <c:v>EosinophileDay6_From Start</c:v>
                </c:pt>
                <c:pt idx="2">
                  <c:v>EosinophileDay9</c:v>
                </c:pt>
              </c:strCache>
            </c:strRef>
          </c:cat>
          <c:val>
            <c:numRef>
              <c:f>Tabelle7!$N$2:$P$2</c:f>
              <c:numCache>
                <c:formatCode>General</c:formatCode>
                <c:ptCount val="3"/>
                <c:pt idx="0">
                  <c:v>1.5</c:v>
                </c:pt>
                <c:pt idx="1">
                  <c:v>0.7</c:v>
                </c:pt>
                <c:pt idx="2">
                  <c:v>1.7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10-4F89-8446-EA7058712F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7491919"/>
        <c:axId val="1767493359"/>
      </c:lineChart>
      <c:catAx>
        <c:axId val="1767491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767493359"/>
        <c:crosses val="autoZero"/>
        <c:auto val="1"/>
        <c:lblAlgn val="ctr"/>
        <c:lblOffset val="100"/>
        <c:noMultiLvlLbl val="0"/>
      </c:catAx>
      <c:valAx>
        <c:axId val="1767493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7674919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339328</xdr:colOff>
      <xdr:row>7</xdr:row>
      <xdr:rowOff>134541</xdr:rowOff>
    </xdr:from>
    <xdr:to>
      <xdr:col>6</xdr:col>
      <xdr:colOff>339328</xdr:colOff>
      <xdr:row>22</xdr:row>
      <xdr:rowOff>20241</xdr:rowOff>
    </xdr:to>
    <xdr:graphicFrame macro="">
      <xdr:nvGraphicFramePr>
        <xdr:cNvPr id="7" name="Diagramm 6">
          <a:extLst>
            <a:ext uri="{FF2B5EF4-FFF2-40B4-BE49-F238E27FC236}">
              <a16:creationId xmlns:a16="http://schemas.microsoft.com/office/drawing/2014/main" id="{2C9DF440-5E6F-209B-8A22-8DA635D8DB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631032</xdr:colOff>
      <xdr:row>7</xdr:row>
      <xdr:rowOff>107156</xdr:rowOff>
    </xdr:from>
    <xdr:to>
      <xdr:col>12</xdr:col>
      <xdr:colOff>631032</xdr:colOff>
      <xdr:row>21</xdr:row>
      <xdr:rowOff>183356</xdr:rowOff>
    </xdr:to>
    <xdr:graphicFrame macro="">
      <xdr:nvGraphicFramePr>
        <xdr:cNvPr id="8" name="Diagramm 7">
          <a:extLst>
            <a:ext uri="{FF2B5EF4-FFF2-40B4-BE49-F238E27FC236}">
              <a16:creationId xmlns:a16="http://schemas.microsoft.com/office/drawing/2014/main" id="{C2642450-9B4F-48E0-A23E-90E732A45E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119062</xdr:colOff>
      <xdr:row>7</xdr:row>
      <xdr:rowOff>130969</xdr:rowOff>
    </xdr:from>
    <xdr:to>
      <xdr:col>19</xdr:col>
      <xdr:colOff>119062</xdr:colOff>
      <xdr:row>22</xdr:row>
      <xdr:rowOff>16669</xdr:rowOff>
    </xdr:to>
    <xdr:graphicFrame macro="">
      <xdr:nvGraphicFramePr>
        <xdr:cNvPr id="9" name="Diagramm 8">
          <a:extLst>
            <a:ext uri="{FF2B5EF4-FFF2-40B4-BE49-F238E27FC236}">
              <a16:creationId xmlns:a16="http://schemas.microsoft.com/office/drawing/2014/main" id="{88867C74-4025-4238-9C02-8B517050E5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321469</xdr:colOff>
      <xdr:row>7</xdr:row>
      <xdr:rowOff>142875</xdr:rowOff>
    </xdr:from>
    <xdr:to>
      <xdr:col>25</xdr:col>
      <xdr:colOff>321469</xdr:colOff>
      <xdr:row>22</xdr:row>
      <xdr:rowOff>28575</xdr:rowOff>
    </xdr:to>
    <xdr:graphicFrame macro="">
      <xdr:nvGraphicFramePr>
        <xdr:cNvPr id="10" name="Diagramm 9">
          <a:extLst>
            <a:ext uri="{FF2B5EF4-FFF2-40B4-BE49-F238E27FC236}">
              <a16:creationId xmlns:a16="http://schemas.microsoft.com/office/drawing/2014/main" id="{DF3FD571-BC55-4FB6-9761-4864693E78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345282</xdr:colOff>
      <xdr:row>23</xdr:row>
      <xdr:rowOff>130969</xdr:rowOff>
    </xdr:from>
    <xdr:to>
      <xdr:col>6</xdr:col>
      <xdr:colOff>345282</xdr:colOff>
      <xdr:row>38</xdr:row>
      <xdr:rowOff>16669</xdr:rowOff>
    </xdr:to>
    <xdr:graphicFrame macro="">
      <xdr:nvGraphicFramePr>
        <xdr:cNvPr id="11" name="Diagramm 10">
          <a:extLst>
            <a:ext uri="{FF2B5EF4-FFF2-40B4-BE49-F238E27FC236}">
              <a16:creationId xmlns:a16="http://schemas.microsoft.com/office/drawing/2014/main" id="{8148D7E0-222B-447A-88E7-A8AF8BF40B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702469</xdr:colOff>
      <xdr:row>23</xdr:row>
      <xdr:rowOff>142875</xdr:rowOff>
    </xdr:from>
    <xdr:to>
      <xdr:col>12</xdr:col>
      <xdr:colOff>702469</xdr:colOff>
      <xdr:row>38</xdr:row>
      <xdr:rowOff>28575</xdr:rowOff>
    </xdr:to>
    <xdr:graphicFrame macro="">
      <xdr:nvGraphicFramePr>
        <xdr:cNvPr id="12" name="Diagramm 11">
          <a:extLst>
            <a:ext uri="{FF2B5EF4-FFF2-40B4-BE49-F238E27FC236}">
              <a16:creationId xmlns:a16="http://schemas.microsoft.com/office/drawing/2014/main" id="{7C979671-24DD-45C4-8BF0-E50053FE60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257175</xdr:colOff>
      <xdr:row>11</xdr:row>
      <xdr:rowOff>61912</xdr:rowOff>
    </xdr:from>
    <xdr:to>
      <xdr:col>31</xdr:col>
      <xdr:colOff>257175</xdr:colOff>
      <xdr:row>25</xdr:row>
      <xdr:rowOff>138112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166A2D22-C453-508F-D58D-44AEEC4961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657225</xdr:colOff>
      <xdr:row>11</xdr:row>
      <xdr:rowOff>61912</xdr:rowOff>
    </xdr:from>
    <xdr:to>
      <xdr:col>21</xdr:col>
      <xdr:colOff>657225</xdr:colOff>
      <xdr:row>25</xdr:row>
      <xdr:rowOff>138112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59B33CC9-4D5B-6643-02C7-7623A6B71A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742950</xdr:colOff>
      <xdr:row>11</xdr:row>
      <xdr:rowOff>61912</xdr:rowOff>
    </xdr:from>
    <xdr:to>
      <xdr:col>33</xdr:col>
      <xdr:colOff>742950</xdr:colOff>
      <xdr:row>25</xdr:row>
      <xdr:rowOff>138112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384AC137-8524-1FED-73AE-6EC59A37A1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533400</xdr:colOff>
      <xdr:row>11</xdr:row>
      <xdr:rowOff>61912</xdr:rowOff>
    </xdr:from>
    <xdr:to>
      <xdr:col>21</xdr:col>
      <xdr:colOff>533400</xdr:colOff>
      <xdr:row>25</xdr:row>
      <xdr:rowOff>138112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EFA0AA85-FD6C-00C8-6A26-D9CC43F16E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409575</xdr:colOff>
      <xdr:row>11</xdr:row>
      <xdr:rowOff>61912</xdr:rowOff>
    </xdr:from>
    <xdr:to>
      <xdr:col>19</xdr:col>
      <xdr:colOff>409575</xdr:colOff>
      <xdr:row>25</xdr:row>
      <xdr:rowOff>138112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77565FD8-9DF5-0825-B47B-0E0445B30D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C1DA1-4BC0-4DD5-8955-0BE9FB0CD829}">
  <dimension ref="A1:V6"/>
  <sheetViews>
    <sheetView tabSelected="1" zoomScale="80" zoomScaleNormal="80" workbookViewId="0">
      <selection activeCell="W23" sqref="W23"/>
    </sheetView>
  </sheetViews>
  <sheetFormatPr baseColWidth="10" defaultRowHeight="15" x14ac:dyDescent="0.25"/>
  <sheetData>
    <row r="1" spans="1:22" x14ac:dyDescent="0.25">
      <c r="A1" s="1" t="s">
        <v>1</v>
      </c>
      <c r="B1" s="2" t="s">
        <v>2</v>
      </c>
      <c r="G1" s="3" t="s">
        <v>3</v>
      </c>
      <c r="H1" s="3" t="s">
        <v>5</v>
      </c>
      <c r="I1" s="3" t="s">
        <v>16</v>
      </c>
      <c r="J1" s="3" t="s">
        <v>22</v>
      </c>
      <c r="K1" s="3" t="s">
        <v>25</v>
      </c>
      <c r="L1" s="3" t="s">
        <v>26</v>
      </c>
      <c r="M1" s="3" t="s">
        <v>27</v>
      </c>
      <c r="N1" s="3" t="s">
        <v>28</v>
      </c>
      <c r="O1" s="3" t="s">
        <v>30</v>
      </c>
      <c r="P1" s="3" t="s">
        <v>31</v>
      </c>
      <c r="Q1" s="3" t="s">
        <v>32</v>
      </c>
      <c r="R1" s="3" t="s">
        <v>35</v>
      </c>
      <c r="S1" s="3" t="s">
        <v>36</v>
      </c>
      <c r="T1" s="3" t="s">
        <v>37</v>
      </c>
      <c r="U1" s="3" t="s">
        <v>38</v>
      </c>
      <c r="V1" s="3" t="s">
        <v>39</v>
      </c>
    </row>
    <row r="2" spans="1:22" x14ac:dyDescent="0.25">
      <c r="A2">
        <v>1005522</v>
      </c>
      <c r="B2" t="s">
        <v>0</v>
      </c>
      <c r="E2">
        <f t="shared" ref="E2:E6" si="0">COUNTA(G2:DL2)</f>
        <v>5</v>
      </c>
      <c r="G2">
        <v>1.4</v>
      </c>
      <c r="H2">
        <v>0.9</v>
      </c>
      <c r="I2">
        <v>1.3</v>
      </c>
      <c r="J2">
        <v>1.2</v>
      </c>
      <c r="K2">
        <v>2</v>
      </c>
    </row>
    <row r="3" spans="1:22" x14ac:dyDescent="0.25">
      <c r="A3">
        <v>4009906</v>
      </c>
      <c r="B3" t="s">
        <v>0</v>
      </c>
      <c r="E3">
        <f t="shared" si="0"/>
        <v>2</v>
      </c>
      <c r="Q3">
        <v>3.3</v>
      </c>
      <c r="V3">
        <v>4.8</v>
      </c>
    </row>
    <row r="4" spans="1:22" x14ac:dyDescent="0.25">
      <c r="A4">
        <v>7126387</v>
      </c>
      <c r="B4" t="s">
        <v>0</v>
      </c>
      <c r="E4">
        <f t="shared" si="0"/>
        <v>7</v>
      </c>
      <c r="I4">
        <v>1</v>
      </c>
      <c r="M4">
        <v>2</v>
      </c>
      <c r="O4">
        <v>3</v>
      </c>
      <c r="R4">
        <v>3</v>
      </c>
      <c r="S4">
        <v>3</v>
      </c>
      <c r="T4">
        <v>3</v>
      </c>
      <c r="U4">
        <v>2</v>
      </c>
    </row>
    <row r="5" spans="1:22" x14ac:dyDescent="0.25">
      <c r="A5">
        <v>11061215</v>
      </c>
      <c r="B5" t="s">
        <v>0</v>
      </c>
      <c r="E5">
        <f t="shared" si="0"/>
        <v>2</v>
      </c>
      <c r="L5">
        <v>3</v>
      </c>
      <c r="O5">
        <v>1</v>
      </c>
    </row>
    <row r="6" spans="1:22" x14ac:dyDescent="0.25">
      <c r="A6">
        <v>97004458</v>
      </c>
      <c r="B6" t="s">
        <v>0</v>
      </c>
      <c r="E6">
        <f t="shared" si="0"/>
        <v>3</v>
      </c>
      <c r="J6">
        <v>6</v>
      </c>
      <c r="N6">
        <v>4.3</v>
      </c>
      <c r="P6">
        <v>4</v>
      </c>
    </row>
  </sheetData>
  <conditionalFormatting sqref="A1:B1">
    <cfRule type="duplicateValues" dxfId="12" priority="1"/>
  </conditionalFormatting>
  <conditionalFormatting sqref="G1:V1">
    <cfRule type="duplicateValues" dxfId="11" priority="13"/>
  </conditionalFormatting>
  <pageMargins left="0.7" right="0.7" top="0.78740157499999996" bottom="0.78740157499999996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640AF-0997-4C65-872B-23A8AE0F3710}">
  <dimension ref="A3:X4"/>
  <sheetViews>
    <sheetView topLeftCell="K1" workbookViewId="0">
      <selection activeCell="X4" sqref="X4"/>
    </sheetView>
  </sheetViews>
  <sheetFormatPr baseColWidth="10" defaultRowHeight="15" x14ac:dyDescent="0.25"/>
  <sheetData>
    <row r="3" spans="1:24" x14ac:dyDescent="0.25">
      <c r="A3" s="1" t="s">
        <v>1</v>
      </c>
      <c r="B3" s="2" t="s">
        <v>2</v>
      </c>
      <c r="G3" s="3" t="s">
        <v>3</v>
      </c>
      <c r="H3" s="3" t="s">
        <v>4</v>
      </c>
      <c r="I3" s="3" t="s">
        <v>5</v>
      </c>
      <c r="J3" s="3" t="s">
        <v>6</v>
      </c>
      <c r="K3" s="3" t="s">
        <v>7</v>
      </c>
      <c r="L3" s="3" t="s">
        <v>8</v>
      </c>
      <c r="M3" s="3" t="s">
        <v>9</v>
      </c>
      <c r="N3" s="3" t="s">
        <v>10</v>
      </c>
      <c r="O3" s="3" t="s">
        <v>11</v>
      </c>
      <c r="P3" s="3" t="s">
        <v>12</v>
      </c>
      <c r="Q3" s="3" t="s">
        <v>13</v>
      </c>
      <c r="R3" s="3" t="s">
        <v>14</v>
      </c>
      <c r="S3" s="3" t="s">
        <v>15</v>
      </c>
      <c r="T3" s="3" t="s">
        <v>16</v>
      </c>
      <c r="U3" s="3" t="s">
        <v>17</v>
      </c>
      <c r="V3" s="3" t="s">
        <v>32</v>
      </c>
      <c r="W3" s="3" t="s">
        <v>39</v>
      </c>
      <c r="X3" s="3" t="s">
        <v>41</v>
      </c>
    </row>
    <row r="4" spans="1:24" x14ac:dyDescent="0.25">
      <c r="A4">
        <v>4009906</v>
      </c>
      <c r="B4" t="s">
        <v>0</v>
      </c>
      <c r="E4">
        <f t="shared" ref="E4" si="0">COUNTA(G4:DM4)</f>
        <v>4</v>
      </c>
      <c r="U4">
        <v>4.5999999999999996</v>
      </c>
      <c r="V4">
        <v>3.3</v>
      </c>
      <c r="W4">
        <v>4.8</v>
      </c>
      <c r="X4">
        <v>3.3</v>
      </c>
    </row>
  </sheetData>
  <conditionalFormatting sqref="A3:B3">
    <cfRule type="duplicateValues" dxfId="10" priority="2"/>
  </conditionalFormatting>
  <conditionalFormatting sqref="G3:W3">
    <cfRule type="duplicateValues" dxfId="9" priority="16"/>
  </conditionalFormatting>
  <conditionalFormatting sqref="X3">
    <cfRule type="duplicateValues" dxfId="8" priority="1"/>
  </conditionalFormatting>
  <pageMargins left="0.7" right="0.7" top="0.78740157499999996" bottom="0.78740157499999996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B9076-B6CC-4C61-BEEF-0DBDD4443FA1}">
  <dimension ref="A1:W2"/>
  <sheetViews>
    <sheetView topLeftCell="D1" workbookViewId="0">
      <selection activeCell="M1" sqref="M1:V2"/>
    </sheetView>
  </sheetViews>
  <sheetFormatPr baseColWidth="10" defaultRowHeight="15" x14ac:dyDescent="0.25"/>
  <sheetData>
    <row r="1" spans="1:23" x14ac:dyDescent="0.25">
      <c r="A1" s="1" t="s">
        <v>1</v>
      </c>
      <c r="B1" s="2" t="s">
        <v>2</v>
      </c>
      <c r="G1" s="3" t="s">
        <v>3</v>
      </c>
      <c r="H1" s="3" t="s">
        <v>4</v>
      </c>
      <c r="I1" s="3" t="s">
        <v>5</v>
      </c>
      <c r="J1" s="3" t="s">
        <v>6</v>
      </c>
      <c r="K1" s="3" t="s">
        <v>7</v>
      </c>
      <c r="L1" s="3" t="s">
        <v>8</v>
      </c>
      <c r="M1" s="3" t="s">
        <v>9</v>
      </c>
      <c r="N1" s="3" t="s">
        <v>16</v>
      </c>
      <c r="O1" s="3" t="s">
        <v>19</v>
      </c>
      <c r="P1" s="3" t="s">
        <v>24</v>
      </c>
      <c r="Q1" s="3" t="s">
        <v>27</v>
      </c>
      <c r="R1" s="3" t="s">
        <v>30</v>
      </c>
      <c r="S1" s="3" t="s">
        <v>35</v>
      </c>
      <c r="T1" s="3" t="s">
        <v>36</v>
      </c>
      <c r="U1" s="3" t="s">
        <v>37</v>
      </c>
      <c r="V1" s="3" t="s">
        <v>38</v>
      </c>
      <c r="W1" s="3" t="s">
        <v>39</v>
      </c>
    </row>
    <row r="2" spans="1:23" x14ac:dyDescent="0.25">
      <c r="A2">
        <v>7126387</v>
      </c>
      <c r="B2" t="s">
        <v>0</v>
      </c>
      <c r="E2">
        <f t="shared" ref="E2" si="0">COUNTA(G2:DM2)</f>
        <v>10</v>
      </c>
      <c r="M2">
        <v>2</v>
      </c>
      <c r="N2">
        <v>1</v>
      </c>
      <c r="O2">
        <v>1</v>
      </c>
      <c r="P2">
        <v>1</v>
      </c>
      <c r="Q2">
        <v>2</v>
      </c>
      <c r="R2">
        <v>3</v>
      </c>
      <c r="S2">
        <v>3</v>
      </c>
      <c r="T2">
        <v>3</v>
      </c>
      <c r="U2">
        <v>3</v>
      </c>
      <c r="V2">
        <v>2</v>
      </c>
    </row>
  </sheetData>
  <conditionalFormatting sqref="A1:B1">
    <cfRule type="duplicateValues" dxfId="7" priority="1"/>
  </conditionalFormatting>
  <conditionalFormatting sqref="G1:W1">
    <cfRule type="duplicateValues" dxfId="6" priority="21"/>
  </conditionalFormatting>
  <pageMargins left="0.7" right="0.7" top="0.78740157499999996" bottom="0.78740157499999996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AADE6-A281-44AB-AD76-D8D46DC71FDD}">
  <dimension ref="A1:AI2"/>
  <sheetViews>
    <sheetView workbookViewId="0">
      <selection activeCell="W1" sqref="W1:Z2"/>
    </sheetView>
  </sheetViews>
  <sheetFormatPr baseColWidth="10" defaultRowHeight="15" x14ac:dyDescent="0.25"/>
  <sheetData>
    <row r="1" spans="1:35" x14ac:dyDescent="0.25">
      <c r="A1" s="1" t="s">
        <v>1</v>
      </c>
      <c r="B1" s="2" t="s">
        <v>2</v>
      </c>
      <c r="G1" s="3" t="s">
        <v>3</v>
      </c>
      <c r="H1" s="3" t="s">
        <v>4</v>
      </c>
      <c r="I1" s="3" t="s">
        <v>5</v>
      </c>
      <c r="J1" s="3" t="s">
        <v>6</v>
      </c>
      <c r="K1" s="3" t="s">
        <v>7</v>
      </c>
      <c r="L1" s="3" t="s">
        <v>8</v>
      </c>
      <c r="M1" s="3" t="s">
        <v>9</v>
      </c>
      <c r="N1" s="3" t="s">
        <v>10</v>
      </c>
      <c r="O1" s="3" t="s">
        <v>11</v>
      </c>
      <c r="P1" s="3" t="s">
        <v>12</v>
      </c>
      <c r="Q1" s="3" t="s">
        <v>13</v>
      </c>
      <c r="R1" s="3" t="s">
        <v>14</v>
      </c>
      <c r="S1" s="3" t="s">
        <v>15</v>
      </c>
      <c r="T1" s="3" t="s">
        <v>16</v>
      </c>
      <c r="U1" s="3" t="s">
        <v>17</v>
      </c>
      <c r="V1" s="3" t="s">
        <v>18</v>
      </c>
      <c r="W1" s="3" t="s">
        <v>19</v>
      </c>
      <c r="X1" s="3" t="s">
        <v>23</v>
      </c>
      <c r="Y1" s="3" t="s">
        <v>26</v>
      </c>
      <c r="Z1" s="3" t="s">
        <v>30</v>
      </c>
      <c r="AA1" s="3" t="s">
        <v>31</v>
      </c>
      <c r="AB1" s="3" t="s">
        <v>32</v>
      </c>
      <c r="AC1" s="3" t="s">
        <v>33</v>
      </c>
      <c r="AD1" s="3" t="s">
        <v>34</v>
      </c>
      <c r="AE1" s="3" t="s">
        <v>35</v>
      </c>
      <c r="AF1" s="3" t="s">
        <v>36</v>
      </c>
      <c r="AG1" s="3" t="s">
        <v>37</v>
      </c>
      <c r="AH1" s="3" t="s">
        <v>38</v>
      </c>
      <c r="AI1" s="3" t="s">
        <v>39</v>
      </c>
    </row>
    <row r="2" spans="1:35" x14ac:dyDescent="0.25">
      <c r="A2">
        <v>11061215</v>
      </c>
      <c r="B2" t="s">
        <v>0</v>
      </c>
      <c r="E2">
        <f t="shared" ref="E2" si="0">COUNTA(G2:DY2)</f>
        <v>4</v>
      </c>
      <c r="W2">
        <v>2</v>
      </c>
      <c r="X2">
        <v>4</v>
      </c>
      <c r="Y2">
        <v>3</v>
      </c>
      <c r="Z2">
        <v>1</v>
      </c>
    </row>
  </sheetData>
  <conditionalFormatting sqref="A1:B1">
    <cfRule type="duplicateValues" dxfId="5" priority="1"/>
  </conditionalFormatting>
  <conditionalFormatting sqref="G1:AI1">
    <cfRule type="duplicateValues" dxfId="4" priority="24"/>
  </conditionalFormatting>
  <pageMargins left="0.7" right="0.7" top="0.78740157499999996" bottom="0.78740157499999996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EC886-91DC-4087-BAD1-8DA58E9FE167}">
  <dimension ref="A1:AB2"/>
  <sheetViews>
    <sheetView workbookViewId="0">
      <selection activeCell="N1" sqref="N1:T2"/>
    </sheetView>
  </sheetViews>
  <sheetFormatPr baseColWidth="10" defaultRowHeight="15" x14ac:dyDescent="0.25"/>
  <sheetData>
    <row r="1" spans="1:28" x14ac:dyDescent="0.25">
      <c r="A1" s="1" t="s">
        <v>1</v>
      </c>
      <c r="B1" s="2" t="s">
        <v>2</v>
      </c>
      <c r="G1" s="3" t="s">
        <v>3</v>
      </c>
      <c r="H1" s="3" t="s">
        <v>4</v>
      </c>
      <c r="I1" s="3" t="s">
        <v>5</v>
      </c>
      <c r="J1" s="3" t="s">
        <v>6</v>
      </c>
      <c r="K1" s="3" t="s">
        <v>7</v>
      </c>
      <c r="L1" s="3" t="s">
        <v>8</v>
      </c>
      <c r="M1" s="3" t="s">
        <v>9</v>
      </c>
      <c r="N1" s="3" t="s">
        <v>10</v>
      </c>
      <c r="O1" s="3" t="s">
        <v>14</v>
      </c>
      <c r="P1" s="3" t="s">
        <v>20</v>
      </c>
      <c r="Q1" s="3" t="s">
        <v>21</v>
      </c>
      <c r="R1" s="3" t="s">
        <v>22</v>
      </c>
      <c r="S1" s="3" t="s">
        <v>28</v>
      </c>
      <c r="T1" s="3" t="s">
        <v>31</v>
      </c>
      <c r="U1" s="3" t="s">
        <v>32</v>
      </c>
      <c r="V1" s="3" t="s">
        <v>33</v>
      </c>
      <c r="W1" s="3" t="s">
        <v>34</v>
      </c>
      <c r="X1" s="3" t="s">
        <v>35</v>
      </c>
      <c r="Y1" s="3" t="s">
        <v>36</v>
      </c>
      <c r="Z1" s="3" t="s">
        <v>37</v>
      </c>
      <c r="AA1" s="3" t="s">
        <v>38</v>
      </c>
      <c r="AB1" s="3" t="s">
        <v>39</v>
      </c>
    </row>
    <row r="2" spans="1:28" x14ac:dyDescent="0.25">
      <c r="A2">
        <v>97004458</v>
      </c>
      <c r="B2" t="s">
        <v>0</v>
      </c>
      <c r="E2">
        <f t="shared" ref="E2" si="0">COUNTA(G2:DR2)</f>
        <v>7</v>
      </c>
      <c r="N2">
        <v>4.7</v>
      </c>
      <c r="O2">
        <v>5.5</v>
      </c>
      <c r="P2">
        <v>5.5</v>
      </c>
      <c r="Q2">
        <v>5.5</v>
      </c>
      <c r="R2">
        <v>6</v>
      </c>
      <c r="S2">
        <v>4.3</v>
      </c>
      <c r="T2">
        <v>4</v>
      </c>
    </row>
  </sheetData>
  <conditionalFormatting sqref="A1:B1">
    <cfRule type="duplicateValues" dxfId="3" priority="1"/>
  </conditionalFormatting>
  <conditionalFormatting sqref="G1:AB1">
    <cfRule type="duplicateValues" dxfId="2" priority="29"/>
  </conditionalFormatting>
  <pageMargins left="0.7" right="0.7" top="0.78740157499999996" bottom="0.78740157499999996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5304E-8026-4D65-8460-D95542F0FFC4}">
  <dimension ref="A1:AG2"/>
  <sheetViews>
    <sheetView workbookViewId="0">
      <selection activeCell="A2" sqref="A2:B2"/>
    </sheetView>
  </sheetViews>
  <sheetFormatPr baseColWidth="10" defaultRowHeight="15" x14ac:dyDescent="0.25"/>
  <sheetData>
    <row r="1" spans="1:33" x14ac:dyDescent="0.25">
      <c r="A1" s="1" t="s">
        <v>1</v>
      </c>
      <c r="B1" s="2" t="s">
        <v>2</v>
      </c>
      <c r="G1" s="3" t="s">
        <v>3</v>
      </c>
      <c r="H1" s="3" t="s">
        <v>4</v>
      </c>
      <c r="I1" s="3" t="s">
        <v>5</v>
      </c>
      <c r="J1" s="3" t="s">
        <v>6</v>
      </c>
      <c r="K1" s="3" t="s">
        <v>7</v>
      </c>
      <c r="L1" s="3" t="s">
        <v>8</v>
      </c>
      <c r="M1" s="3" t="s">
        <v>9</v>
      </c>
      <c r="N1" s="3" t="s">
        <v>10</v>
      </c>
      <c r="O1" s="3" t="s">
        <v>11</v>
      </c>
      <c r="P1" s="3" t="s">
        <v>22</v>
      </c>
      <c r="Q1" s="3" t="s">
        <v>23</v>
      </c>
      <c r="R1" s="3" t="s">
        <v>24</v>
      </c>
      <c r="S1" s="3" t="s">
        <v>25</v>
      </c>
      <c r="T1" s="3" t="s">
        <v>26</v>
      </c>
      <c r="U1" s="3" t="s">
        <v>27</v>
      </c>
      <c r="V1" s="3" t="s">
        <v>28</v>
      </c>
      <c r="W1" s="3" t="s">
        <v>29</v>
      </c>
      <c r="X1" s="3" t="s">
        <v>30</v>
      </c>
      <c r="Y1" s="3" t="s">
        <v>31</v>
      </c>
      <c r="Z1" s="3" t="s">
        <v>32</v>
      </c>
      <c r="AA1" s="3" t="s">
        <v>33</v>
      </c>
      <c r="AB1" s="3" t="s">
        <v>34</v>
      </c>
      <c r="AC1" s="3" t="s">
        <v>35</v>
      </c>
      <c r="AD1" s="3" t="s">
        <v>36</v>
      </c>
      <c r="AE1" s="3" t="s">
        <v>37</v>
      </c>
      <c r="AF1" s="3" t="s">
        <v>38</v>
      </c>
      <c r="AG1" s="3" t="s">
        <v>39</v>
      </c>
    </row>
    <row r="2" spans="1:33" x14ac:dyDescent="0.25">
      <c r="A2">
        <v>5001097</v>
      </c>
      <c r="B2" t="s">
        <v>40</v>
      </c>
      <c r="E2">
        <f t="shared" ref="E2" si="0">COUNTA(G2:DW2)</f>
        <v>3</v>
      </c>
      <c r="N2">
        <v>1.5</v>
      </c>
      <c r="O2">
        <v>0.7</v>
      </c>
      <c r="P2">
        <v>1.7</v>
      </c>
    </row>
  </sheetData>
  <conditionalFormatting sqref="A1:B1">
    <cfRule type="duplicateValues" dxfId="1" priority="1"/>
  </conditionalFormatting>
  <conditionalFormatting sqref="G1:AG1">
    <cfRule type="duplicateValues" dxfId="0" priority="30"/>
  </conditionalFormatting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Tabelle1</vt:lpstr>
      <vt:lpstr>Tabelle4</vt:lpstr>
      <vt:lpstr>Tabelle5</vt:lpstr>
      <vt:lpstr>Tabelle8</vt:lpstr>
      <vt:lpstr>Tabelle6</vt:lpstr>
      <vt:lpstr>Tabelle7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lw-r</dc:creator>
  <cp:lastModifiedBy>lw-r</cp:lastModifiedBy>
  <dcterms:created xsi:type="dcterms:W3CDTF">2024-05-31T13:42:52Z</dcterms:created>
  <dcterms:modified xsi:type="dcterms:W3CDTF">2024-12-05T13:10:39Z</dcterms:modified>
</cp:coreProperties>
</file>