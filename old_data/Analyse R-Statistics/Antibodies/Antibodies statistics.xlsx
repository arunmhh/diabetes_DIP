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Antibodies\"/>
    </mc:Choice>
  </mc:AlternateContent>
  <xr:revisionPtr revIDLastSave="0" documentId="13_ncr:1_{60D5F335-23E0-42CC-991D-A071E400E878}" xr6:coauthVersionLast="47" xr6:coauthVersionMax="47" xr10:uidLastSave="{00000000-0000-0000-0000-000000000000}"/>
  <bookViews>
    <workbookView xWindow="-120" yWindow="-120" windowWidth="29040" windowHeight="15840" tabRatio="551" xr2:uid="{D7A7E335-850A-419D-B1BB-1A45361C5A34}"/>
  </bookViews>
  <sheets>
    <sheet name="Diagramms quant" sheetId="5" r:id="rId1"/>
    <sheet name="Diagramms qual" sheetId="6" r:id="rId2"/>
    <sheet name="Antibodies pos-neg" sheetId="3" r:id="rId3"/>
    <sheet name="Antibodies with titer" sheetId="2" r:id="rId4"/>
    <sheet name="Antibodies in u per ml" sheetId="1" r:id="rId5"/>
    <sheet name="Antibody values count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8" i="6" l="1"/>
  <c r="D447" i="6"/>
  <c r="D448" i="6"/>
  <c r="E448" i="6"/>
  <c r="F448" i="6"/>
  <c r="G448" i="6"/>
  <c r="H448" i="6"/>
  <c r="I448" i="6"/>
  <c r="J448" i="6"/>
  <c r="K448" i="6"/>
  <c r="L448" i="6"/>
  <c r="M448" i="6"/>
  <c r="N448" i="6"/>
  <c r="O448" i="6"/>
  <c r="P448" i="6"/>
  <c r="E447" i="6"/>
  <c r="F447" i="6"/>
  <c r="G447" i="6"/>
  <c r="H447" i="6"/>
  <c r="I447" i="6"/>
  <c r="J447" i="6"/>
  <c r="K447" i="6"/>
  <c r="L447" i="6"/>
  <c r="M447" i="6"/>
  <c r="N447" i="6"/>
  <c r="O447" i="6"/>
  <c r="P447" i="6"/>
  <c r="C447" i="6"/>
  <c r="H369" i="6"/>
  <c r="E368" i="6"/>
  <c r="D369" i="6"/>
  <c r="E369" i="6"/>
  <c r="F369" i="6"/>
  <c r="G369" i="6"/>
  <c r="I369" i="6"/>
  <c r="J369" i="6"/>
  <c r="K369" i="6"/>
  <c r="L369" i="6"/>
  <c r="M369" i="6"/>
  <c r="N369" i="6"/>
  <c r="O369" i="6"/>
  <c r="P369" i="6"/>
  <c r="C369" i="6"/>
  <c r="D368" i="6"/>
  <c r="F368" i="6"/>
  <c r="G368" i="6"/>
  <c r="H368" i="6"/>
  <c r="I368" i="6"/>
  <c r="J368" i="6"/>
  <c r="K368" i="6"/>
  <c r="L368" i="6"/>
  <c r="M368" i="6"/>
  <c r="N368" i="6"/>
  <c r="O368" i="6"/>
  <c r="P368" i="6"/>
  <c r="C368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P292" i="6"/>
  <c r="C292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P291" i="6"/>
  <c r="C291" i="6"/>
  <c r="E48" i="1"/>
  <c r="E40" i="1"/>
  <c r="E190" i="1"/>
  <c r="CB266" i="2"/>
  <c r="D190" i="1"/>
  <c r="D266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CJ344" i="1"/>
  <c r="CK344" i="1"/>
  <c r="CL344" i="1"/>
  <c r="CM344" i="1"/>
  <c r="CN344" i="1"/>
  <c r="CO344" i="1"/>
  <c r="CP344" i="1"/>
  <c r="CQ344" i="1"/>
  <c r="CR344" i="1"/>
  <c r="CS344" i="1"/>
  <c r="CT344" i="1"/>
  <c r="CU344" i="1"/>
  <c r="CV344" i="1"/>
  <c r="CW344" i="1"/>
  <c r="CX344" i="1"/>
  <c r="CY344" i="1"/>
  <c r="CZ344" i="1"/>
  <c r="DA344" i="1"/>
  <c r="C344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CW266" i="1"/>
  <c r="CX266" i="1"/>
  <c r="CY266" i="1"/>
  <c r="CZ266" i="1"/>
  <c r="DA266" i="1"/>
  <c r="C266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C19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C61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CA40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D48" i="1"/>
  <c r="C48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D40" i="1"/>
  <c r="C40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DB344" i="2"/>
  <c r="DA344" i="2"/>
  <c r="CZ344" i="2"/>
  <c r="CY344" i="2"/>
  <c r="CX344" i="2"/>
  <c r="CW344" i="2"/>
  <c r="CV344" i="2"/>
  <c r="CU344" i="2"/>
  <c r="CT344" i="2"/>
  <c r="CS344" i="2"/>
  <c r="CR344" i="2"/>
  <c r="CQ344" i="2"/>
  <c r="CP344" i="2"/>
  <c r="CO344" i="2"/>
  <c r="CN344" i="2"/>
  <c r="CM344" i="2"/>
  <c r="CL344" i="2"/>
  <c r="CK344" i="2"/>
  <c r="CJ344" i="2"/>
  <c r="CI344" i="2"/>
  <c r="CH344" i="2"/>
  <c r="CG344" i="2"/>
  <c r="CF344" i="2"/>
  <c r="CE344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DB266" i="2"/>
  <c r="DA266" i="2"/>
  <c r="CZ266" i="2"/>
  <c r="CY266" i="2"/>
  <c r="CX266" i="2"/>
  <c r="CW266" i="2"/>
  <c r="CV266" i="2"/>
  <c r="CU266" i="2"/>
  <c r="CT266" i="2"/>
  <c r="CS266" i="2"/>
  <c r="CR266" i="2"/>
  <c r="CQ266" i="2"/>
  <c r="CP266" i="2"/>
  <c r="CO266" i="2"/>
  <c r="CN266" i="2"/>
  <c r="CM266" i="2"/>
  <c r="CL266" i="2"/>
  <c r="CK266" i="2"/>
  <c r="CJ266" i="2"/>
  <c r="CI266" i="2"/>
  <c r="CH266" i="2"/>
  <c r="CG266" i="2"/>
  <c r="CF266" i="2"/>
  <c r="CE266" i="2"/>
  <c r="CD266" i="2"/>
  <c r="CC266" i="2"/>
  <c r="CA266" i="2"/>
  <c r="BZ266" i="2"/>
  <c r="BY266" i="2"/>
  <c r="BX266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DB190" i="2"/>
  <c r="DA190" i="2"/>
  <c r="CZ190" i="2"/>
  <c r="CY190" i="2"/>
  <c r="CX190" i="2"/>
  <c r="CW190" i="2"/>
  <c r="CV190" i="2"/>
  <c r="CU190" i="2"/>
  <c r="CT190" i="2"/>
  <c r="CS190" i="2"/>
  <c r="CR190" i="2"/>
  <c r="CQ190" i="2"/>
  <c r="CP190" i="2"/>
  <c r="CO190" i="2"/>
  <c r="CN190" i="2"/>
  <c r="CM190" i="2"/>
  <c r="CL190" i="2"/>
  <c r="CK190" i="2"/>
  <c r="CJ190" i="2"/>
  <c r="CI190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DB55" i="2"/>
  <c r="DA55" i="2"/>
  <c r="CZ55" i="2"/>
  <c r="CY55" i="2"/>
  <c r="CX55" i="2"/>
  <c r="CW55" i="2"/>
  <c r="CV55" i="2"/>
  <c r="CU55" i="2"/>
  <c r="CT55" i="2"/>
  <c r="CS55" i="2"/>
  <c r="CR55" i="2"/>
  <c r="CQ55" i="2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DB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DB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AB344" i="3"/>
  <c r="AC344" i="3"/>
  <c r="AD344" i="3"/>
  <c r="AE344" i="3"/>
  <c r="AF344" i="3"/>
  <c r="AG344" i="3"/>
  <c r="AH344" i="3"/>
  <c r="AI344" i="3"/>
  <c r="AJ344" i="3"/>
  <c r="AK344" i="3"/>
  <c r="AL344" i="3"/>
  <c r="AM344" i="3"/>
  <c r="AN344" i="3"/>
  <c r="AO344" i="3"/>
  <c r="AP344" i="3"/>
  <c r="AQ344" i="3"/>
  <c r="AR344" i="3"/>
  <c r="AS344" i="3"/>
  <c r="AT344" i="3"/>
  <c r="AU344" i="3"/>
  <c r="AV344" i="3"/>
  <c r="AW344" i="3"/>
  <c r="AX344" i="3"/>
  <c r="AY344" i="3"/>
  <c r="AZ344" i="3"/>
  <c r="BA344" i="3"/>
  <c r="BB344" i="3"/>
  <c r="BC344" i="3"/>
  <c r="BD344" i="3"/>
  <c r="BE344" i="3"/>
  <c r="BF344" i="3"/>
  <c r="BG344" i="3"/>
  <c r="BH344" i="3"/>
  <c r="BI344" i="3"/>
  <c r="BJ344" i="3"/>
  <c r="BK344" i="3"/>
  <c r="BL344" i="3"/>
  <c r="BM344" i="3"/>
  <c r="BN344" i="3"/>
  <c r="BO344" i="3"/>
  <c r="BP344" i="3"/>
  <c r="BQ344" i="3"/>
  <c r="BR344" i="3"/>
  <c r="BS344" i="3"/>
  <c r="BT344" i="3"/>
  <c r="BU344" i="3"/>
  <c r="BV344" i="3"/>
  <c r="BW344" i="3"/>
  <c r="BX344" i="3"/>
  <c r="BY344" i="3"/>
  <c r="BZ344" i="3"/>
  <c r="CA344" i="3"/>
  <c r="CB344" i="3"/>
  <c r="CC344" i="3"/>
  <c r="CD344" i="3"/>
  <c r="CE344" i="3"/>
  <c r="CF344" i="3"/>
  <c r="CG344" i="3"/>
  <c r="CH344" i="3"/>
  <c r="CI344" i="3"/>
  <c r="CJ344" i="3"/>
  <c r="CK344" i="3"/>
  <c r="CL344" i="3"/>
  <c r="CM344" i="3"/>
  <c r="CN344" i="3"/>
  <c r="CO344" i="3"/>
  <c r="CP344" i="3"/>
  <c r="CQ344" i="3"/>
  <c r="CR344" i="3"/>
  <c r="CS344" i="3"/>
  <c r="CT344" i="3"/>
  <c r="CU344" i="3"/>
  <c r="CV344" i="3"/>
  <c r="CW344" i="3"/>
  <c r="CX344" i="3"/>
  <c r="CY344" i="3"/>
  <c r="CZ344" i="3"/>
  <c r="DA344" i="3"/>
  <c r="DB344" i="3"/>
  <c r="C344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AB266" i="3"/>
  <c r="AC266" i="3"/>
  <c r="AD266" i="3"/>
  <c r="AE266" i="3"/>
  <c r="AF266" i="3"/>
  <c r="AG266" i="3"/>
  <c r="AH266" i="3"/>
  <c r="AI266" i="3"/>
  <c r="AJ266" i="3"/>
  <c r="AK266" i="3"/>
  <c r="AL266" i="3"/>
  <c r="AM266" i="3"/>
  <c r="AN266" i="3"/>
  <c r="AO266" i="3"/>
  <c r="AP266" i="3"/>
  <c r="AQ266" i="3"/>
  <c r="AR266" i="3"/>
  <c r="AS266" i="3"/>
  <c r="AT266" i="3"/>
  <c r="AU266" i="3"/>
  <c r="AV266" i="3"/>
  <c r="AW266" i="3"/>
  <c r="AX266" i="3"/>
  <c r="AY266" i="3"/>
  <c r="AZ266" i="3"/>
  <c r="BA266" i="3"/>
  <c r="BB266" i="3"/>
  <c r="BC266" i="3"/>
  <c r="BD266" i="3"/>
  <c r="BE266" i="3"/>
  <c r="BF266" i="3"/>
  <c r="BG266" i="3"/>
  <c r="BH266" i="3"/>
  <c r="BI266" i="3"/>
  <c r="BJ266" i="3"/>
  <c r="BK266" i="3"/>
  <c r="BL266" i="3"/>
  <c r="BM266" i="3"/>
  <c r="BN266" i="3"/>
  <c r="BO266" i="3"/>
  <c r="BP266" i="3"/>
  <c r="BQ266" i="3"/>
  <c r="BR266" i="3"/>
  <c r="BS266" i="3"/>
  <c r="BT266" i="3"/>
  <c r="BU266" i="3"/>
  <c r="BV266" i="3"/>
  <c r="BW266" i="3"/>
  <c r="BX266" i="3"/>
  <c r="BY266" i="3"/>
  <c r="BZ266" i="3"/>
  <c r="CA266" i="3"/>
  <c r="CB266" i="3"/>
  <c r="CC266" i="3"/>
  <c r="CD266" i="3"/>
  <c r="CE266" i="3"/>
  <c r="CF266" i="3"/>
  <c r="CG266" i="3"/>
  <c r="CH266" i="3"/>
  <c r="CI266" i="3"/>
  <c r="CJ266" i="3"/>
  <c r="CK266" i="3"/>
  <c r="CL266" i="3"/>
  <c r="CM266" i="3"/>
  <c r="CN266" i="3"/>
  <c r="CO266" i="3"/>
  <c r="CP266" i="3"/>
  <c r="CQ266" i="3"/>
  <c r="CR266" i="3"/>
  <c r="CS266" i="3"/>
  <c r="CT266" i="3"/>
  <c r="CU266" i="3"/>
  <c r="CV266" i="3"/>
  <c r="CW266" i="3"/>
  <c r="CX266" i="3"/>
  <c r="CY266" i="3"/>
  <c r="CZ266" i="3"/>
  <c r="DA266" i="3"/>
  <c r="DB266" i="3"/>
  <c r="C266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BC190" i="3"/>
  <c r="BD190" i="3"/>
  <c r="BE190" i="3"/>
  <c r="BF190" i="3"/>
  <c r="BG190" i="3"/>
  <c r="BH190" i="3"/>
  <c r="BI190" i="3"/>
  <c r="BJ190" i="3"/>
  <c r="BK190" i="3"/>
  <c r="BL190" i="3"/>
  <c r="BM190" i="3"/>
  <c r="BN190" i="3"/>
  <c r="BO190" i="3"/>
  <c r="BP190" i="3"/>
  <c r="BQ190" i="3"/>
  <c r="BR190" i="3"/>
  <c r="BS190" i="3"/>
  <c r="BT190" i="3"/>
  <c r="BU190" i="3"/>
  <c r="BV190" i="3"/>
  <c r="BW190" i="3"/>
  <c r="BX190" i="3"/>
  <c r="BY190" i="3"/>
  <c r="BZ190" i="3"/>
  <c r="CA190" i="3"/>
  <c r="CB190" i="3"/>
  <c r="CC190" i="3"/>
  <c r="CD190" i="3"/>
  <c r="CE190" i="3"/>
  <c r="CF190" i="3"/>
  <c r="CG190" i="3"/>
  <c r="CH190" i="3"/>
  <c r="CI190" i="3"/>
  <c r="CJ190" i="3"/>
  <c r="CK190" i="3"/>
  <c r="CL190" i="3"/>
  <c r="CM190" i="3"/>
  <c r="CN190" i="3"/>
  <c r="CO190" i="3"/>
  <c r="CP190" i="3"/>
  <c r="CQ190" i="3"/>
  <c r="CR190" i="3"/>
  <c r="CS190" i="3"/>
  <c r="CT190" i="3"/>
  <c r="CU190" i="3"/>
  <c r="CV190" i="3"/>
  <c r="CW190" i="3"/>
  <c r="CX190" i="3"/>
  <c r="CY190" i="3"/>
  <c r="CZ190" i="3"/>
  <c r="DA190" i="3"/>
  <c r="DB190" i="3"/>
  <c r="C19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C61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C55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C48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C40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C18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C13" i="3"/>
</calcChain>
</file>

<file path=xl/sharedStrings.xml><?xml version="1.0" encoding="utf-8"?>
<sst xmlns="http://schemas.openxmlformats.org/spreadsheetml/2006/main" count="2344" uniqueCount="187">
  <si>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</si>
  <si>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</si>
  <si>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</si>
  <si>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</si>
  <si>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</si>
  <si>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</si>
  <si>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</si>
  <si>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</si>
  <si>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</si>
  <si>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</si>
  <si>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</si>
  <si>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</si>
  <si>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</si>
  <si>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</si>
  <si>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</si>
  <si>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</si>
  <si>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</si>
  <si>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</si>
  <si>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</si>
  <si>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</si>
  <si>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</si>
  <si>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</si>
  <si>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</si>
  <si>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</si>
  <si>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</si>
  <si>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Anti-IgA-Antikörper (0=negativ, 1=positiv)</t>
  </si>
  <si>
    <t>Anti-IgG-Antikörper (0=negativ, 1=positiv)</t>
  </si>
  <si>
    <t>IgG-Antikörper (Subklassen) (0=negativ, 1=positiv)</t>
  </si>
  <si>
    <t>Anti-IgM-Antikörper (0=negativ, 1=positiv)</t>
  </si>
  <si>
    <t>Anti-C3c (0=negativ, 1=positiv)</t>
  </si>
  <si>
    <t>Anti-C3d (0=negativ, 1=positiv)</t>
  </si>
  <si>
    <t>EBNA-IgG (0=negativ, 1=positiv)</t>
  </si>
  <si>
    <t>EBV-VCA-IgG (0=negativ, 1=positiv)</t>
  </si>
  <si>
    <t>EBV-VCA-IgM (0=negativ, 1=positiv)</t>
  </si>
  <si>
    <t>EBV-IgA (0=negativ, 1=positiv)</t>
  </si>
  <si>
    <t>Epstein-Barr-IgM (0=negativ, 1=positiv)</t>
  </si>
  <si>
    <t>Epstein-Barr-IgG (0=negativ, 1=positiv)</t>
  </si>
  <si>
    <t>Cytomegalievirus (CMV) (0=negativ, 1=positiv)</t>
  </si>
  <si>
    <t>Cytomegalievirus-IgM(CMV) (0=negativ, 1=positiv)</t>
  </si>
  <si>
    <t>Cytomegalievirus-IgG(CMV) (0=negativ, 1=positiv)</t>
  </si>
  <si>
    <t>Varizella-Zoster-Virus (VZV) (0=negativ, 1=positiv)</t>
  </si>
  <si>
    <t>Varizella-Zoster-IgG (VZV) (0=negativ, 1=positiv)</t>
  </si>
  <si>
    <t>Varizella-Zoster-IgM (VZV) (0=negativ, 1=positiv)</t>
  </si>
  <si>
    <t>Yersenieninfektion (0=negativ, 1=positiv)</t>
  </si>
  <si>
    <t>Syphilis (0=negativ, 1=positiv)</t>
  </si>
  <si>
    <t>Autoimmun-Antikörper (0=negativ, 1=positiv)</t>
  </si>
  <si>
    <t>ANA(Antinukleäre Antikörper)-Datum umbekannt (0=negativ (≤ 1:80), 1=positiv)</t>
  </si>
  <si>
    <t>ANC (Antineurophiler cytoplastischer Antikörper) (0=negativ, 1=positiv)</t>
  </si>
  <si>
    <t>c-ANCA (0=negativ, 1=positiv</t>
  </si>
  <si>
    <t>p-ANCA (0=negativ, 1=positiv</t>
  </si>
  <si>
    <t>ENA (Extrahierbares nukleäres Antigen) (0=negativ, 1=positiv)</t>
  </si>
  <si>
    <t>Anti-Ro (SSA(Ro)-Antikörper)-Datum unbekannt (0=negativ, 1=positiv)</t>
  </si>
  <si>
    <t>Anti-Ro-52 (SSA(Ro)-Antikörper)-Datum unbekannt (0=negativ, 1=positiv)</t>
  </si>
  <si>
    <t>SSA-Antigen (0=negativ, 1=positiv)</t>
  </si>
  <si>
    <t>Anti-La (SSB(La)-Antikörper)-Datum unbekannt (0=negativ, 1=positiv)</t>
  </si>
  <si>
    <t>SSB-Antigen (0=negativ, 1=positiv)</t>
  </si>
  <si>
    <t>SCL-Antikörper (0=negativ, 1=positiv)</t>
  </si>
  <si>
    <t>MPO-Autoantikörper (0=negativ, 1=positiv)</t>
  </si>
  <si>
    <t>Centromer-Antikörper (0=negativ, 1=positiv)</t>
  </si>
  <si>
    <t>Jo-l-Antikörper (0=negativ, 1=positiv)</t>
  </si>
  <si>
    <t>Antihistonantikörper-Datum unbekannt (0=negativ, 1=positiv)</t>
  </si>
  <si>
    <t>DsDNA-Antikörper-Datum unbekannt (0=negativ, 1=positiv)</t>
  </si>
  <si>
    <t>Anti-DNS-Doppelstrang-Antikörper (0=negativ, 1=positiv)</t>
  </si>
  <si>
    <t>Anti-glatte Muskulatur-Antikörper -Datum unbekannt(0=negativ, 1=positiv)</t>
  </si>
  <si>
    <t>RNP-Antikörper (0=negativ, 1=positiv)</t>
  </si>
  <si>
    <t>RNP-Antigen (0=negativ, 1=positiv)</t>
  </si>
  <si>
    <t>Anti-GBM-Antikörper (0=negativ, 1=positiv)</t>
  </si>
  <si>
    <t>Anti-C3d-Anikörper (0=negativ, 1=positiv)</t>
  </si>
  <si>
    <t>Ros2-Antikörper (0=negativ, 1=positiv)</t>
  </si>
  <si>
    <t>SP-Antikörper (0=negativ, 1=positiv)</t>
  </si>
  <si>
    <t>PML-Antikörper (0=negativ, 1=positiv)</t>
  </si>
  <si>
    <t>gp210-Antikörper (0=negativ, 1=positiv)</t>
  </si>
  <si>
    <t>intrinsikfaktor-Antikörper (0=negativ, 1=positiv)</t>
  </si>
  <si>
    <t>SLA-Autoantikörper (0=negativ, 1=positiv)</t>
  </si>
  <si>
    <t>SLA-LP-Autoantikörper (0=negativ, 1=positiv)</t>
  </si>
  <si>
    <t>LKM1-Autoantikörper (0=negativ, 1=positiv)</t>
  </si>
  <si>
    <t>LKM2-Autoantikörper (0=negativ, 1=positiv)</t>
  </si>
  <si>
    <t>LC1-Autoantikörper (0=negativ, 1=positiv)</t>
  </si>
  <si>
    <t>AMA (Antimitochondrialer Autoantikörper (0=negativ, 1=positiv)</t>
  </si>
  <si>
    <t>AMA-M2 (Antimitochondrialer Autoantikörper (0=negativ, 1=positiv)</t>
  </si>
  <si>
    <t>ASMA (0=negativ, 1=positiv)</t>
  </si>
  <si>
    <t>ASM-Autoantikörper (0=negativ, 1=positiv)</t>
  </si>
  <si>
    <t>SM-Antigen (0=negativ, 1=positiv)</t>
  </si>
  <si>
    <t>SP100-Antikörper (0=negativ, 1=positiv)</t>
  </si>
  <si>
    <t>Parietalzell-Autoantikörper (PCA) (0=negativ, 1=positiv)</t>
  </si>
  <si>
    <t>Proteinkinase-Autoantikörper (0=negativ, 1=positiv)</t>
  </si>
  <si>
    <t>Myeloperoxide-IgG-Autoantikörper (0=negativ, 1=positiv)</t>
  </si>
  <si>
    <t>Lebercytosol-Antikörper (0=negativ, 1=positiv)</t>
  </si>
  <si>
    <t>zirkulierende Immunkomplexe (0=negativ, 1=positiv)</t>
  </si>
  <si>
    <t>Zytomegalievirus (0=negativ, 1=positiv)</t>
  </si>
  <si>
    <t>HIV (0=negativ, 1=positiv) -&gt; siehe zusätzlich anamnese</t>
  </si>
  <si>
    <t>HIV-Antikörper (0=negativ, 1=positiv)</t>
  </si>
  <si>
    <t>Herpes simplex Virus IgM (0=negativ, 1=positiv)</t>
  </si>
  <si>
    <t>Herpes simplex Virus IgG (0=negativ, 1=positiv)</t>
  </si>
  <si>
    <t>HHV 6 (0=negativ, 1=positiv)</t>
  </si>
  <si>
    <t>Masern IgM (0=negativ, 1=positiv)</t>
  </si>
  <si>
    <t>Röteln IgM (0=negativ, 1=positiv)</t>
  </si>
  <si>
    <t>Mycoplasmatische Antikörper (0=negativ, 1=positiv)</t>
  </si>
  <si>
    <t>Parvovirus B19 (0=negativ, 1=positiv)</t>
  </si>
  <si>
    <t>ECHO-Virus (0=negativ, 1=positiv)</t>
  </si>
  <si>
    <t>Borellien-IgM (0=negativ, 1=positiv)</t>
  </si>
  <si>
    <t>Coxsackie-Virus-Antikörper (0=negativ, 1=positiv)</t>
  </si>
  <si>
    <t>Hepatitis A-Antikörper (0=negativ, 1=positiv)</t>
  </si>
  <si>
    <t>Hepatitis B-Antikörper (0=negativ, 1=positiv)</t>
  </si>
  <si>
    <t>Hepatitis C-Antikörper (0=negativ, 1=positiv)</t>
  </si>
  <si>
    <t>Hepatitis D-Antikörper (0=negativ, 1=positiv)</t>
  </si>
  <si>
    <t>Hepatitis E-Antikörper (0=negativ, 1=positiv)</t>
  </si>
  <si>
    <t>Anti-HAV-IgG (0=negativ, 1=positiv)</t>
  </si>
  <si>
    <t>Anti-HAV-IgM (0=negativ, 1=positiv)</t>
  </si>
  <si>
    <t>Anti-HCV-IgG (0=negativ, 1=positiv)</t>
  </si>
  <si>
    <t>Anti-HCV-IgM (0=negativ, 1=positiv)</t>
  </si>
  <si>
    <t>HCV-RNA (0=negativ, 1=positiv)</t>
  </si>
  <si>
    <t>Anti-HEV-IgM (0=negativ, 1=positiv)</t>
  </si>
  <si>
    <t>HBs-Antikörper (0=negativ, 1=positiv)</t>
  </si>
  <si>
    <t>HBsAg (0=negativ, 1=positiv)</t>
  </si>
  <si>
    <t>HBc-Antikörper (0=negativ, 1=positiv)</t>
  </si>
  <si>
    <t>Anti-HBc-IgG (0=negativ, 1=positiv)</t>
  </si>
  <si>
    <t>Anti-HBc-IgM (0=negativ, 1=positiv)</t>
  </si>
  <si>
    <t>HBe antikörper (0=negativ, 1=positiv)</t>
  </si>
  <si>
    <t>HBeAg (0=negativ, 1=positiv)</t>
  </si>
  <si>
    <t>HBV-DNA (0=negativ, 1=positiv)</t>
  </si>
  <si>
    <t>HBV-VCA-IgG (0=negativ, 1=positiv)</t>
  </si>
  <si>
    <t>Hepatitis C-RNA (0=negativ, 1=positiv)</t>
  </si>
  <si>
    <t>Hepatitis G-RNA (0=negativ, 1=positiv)</t>
  </si>
  <si>
    <t>Anti-Leber microsomaler Antikörper (0=negativ, 1=positiv)</t>
  </si>
  <si>
    <t>Anti-Niere microsomaler Antikörper (0=negativ, 1=positiv)</t>
  </si>
  <si>
    <t>CCP-Autoantikörper (0=negativ, 1=positiv)</t>
  </si>
  <si>
    <t>HLA B51 (0=negativ, 1=positiv)</t>
  </si>
  <si>
    <t>psoriatic specific Antigen (PSA) (0=negativ, 1=positiv)</t>
  </si>
  <si>
    <t>erniedrigt -&gt; leberschaden; erhöht -&gt; bakterielle Erkrankung</t>
  </si>
  <si>
    <t>abgelaufene Infektion</t>
  </si>
  <si>
    <t>rheumatologische Erkrankungen</t>
  </si>
  <si>
    <t>überbegriff für p-anca, c-anca, a-anca</t>
  </si>
  <si>
    <t>mit vielen verschiedenen erkrankungen assoziiert</t>
  </si>
  <si>
    <t>https://www.gesundheit.gv.at/labor/laborwerte/autoimmun/laborwerte-ena-screening-enasc1.html</t>
  </si>
  <si>
    <t>abgelaufene Hepatitis</t>
  </si>
  <si>
    <t>akute Hepatitis</t>
  </si>
  <si>
    <t>weist aktive Infektion nach</t>
  </si>
  <si>
    <t>akute Infektion</t>
  </si>
  <si>
    <t>1:1280</t>
  </si>
  <si>
    <t>154:6</t>
  </si>
  <si>
    <t>42:5</t>
  </si>
  <si>
    <t>unter 1:80</t>
  </si>
  <si>
    <t>&gt;1:80</t>
  </si>
  <si>
    <t>1:160</t>
  </si>
  <si>
    <t>1:80</t>
  </si>
  <si>
    <t>1:10</t>
  </si>
  <si>
    <t>1:&lt;100</t>
  </si>
  <si>
    <t>&lt;20</t>
  </si>
  <si>
    <t>&lt;10</t>
  </si>
  <si>
    <t>1:2560</t>
  </si>
  <si>
    <t>36 IE/ml</t>
  </si>
  <si>
    <t>6859 IU/l</t>
  </si>
  <si>
    <t>1:320</t>
  </si>
  <si>
    <t>1:5120</t>
  </si>
  <si>
    <t>&gt;1:1500</t>
  </si>
  <si>
    <t>214 IU/L</t>
  </si>
  <si>
    <t>0 UI/l</t>
  </si>
  <si>
    <t>&gt;10IE/I</t>
  </si>
  <si>
    <t>&lt;1:80</t>
  </si>
  <si>
    <t>&lt;1:10</t>
  </si>
  <si>
    <t>&lt;2U/ml</t>
  </si>
  <si>
    <t>Jol--Antikörper (0=negativ, 1=positiv)</t>
  </si>
  <si>
    <t>1</t>
  </si>
  <si>
    <t>0</t>
  </si>
  <si>
    <t xml:space="preserve">unter 1:80 </t>
  </si>
  <si>
    <t>0,18 U/ml</t>
  </si>
  <si>
    <t>with titer</t>
  </si>
  <si>
    <t>pos-neg</t>
  </si>
  <si>
    <t>in u/ml</t>
  </si>
  <si>
    <t>zählenwenn 1</t>
  </si>
  <si>
    <t>zählenwenn 0</t>
  </si>
  <si>
    <t>Leber_Diclo positiv</t>
  </si>
  <si>
    <t>Leber_Diclo negativ</t>
  </si>
  <si>
    <t>Leber_Ibu positiv</t>
  </si>
  <si>
    <t>Leber_Ibu negativ</t>
  </si>
  <si>
    <t>Leber_Para positiv</t>
  </si>
  <si>
    <t>Leber_Para negativ</t>
  </si>
  <si>
    <t>127</t>
  </si>
  <si>
    <t>HBs-Antikörper</t>
  </si>
  <si>
    <t>ANA(Antinukleäre Antikörper)</t>
  </si>
  <si>
    <t>Alle angaben in Units/ml</t>
  </si>
  <si>
    <t>&lt;0,7</t>
  </si>
  <si>
    <t xml:space="preserve">&lt;0,1 </t>
  </si>
  <si>
    <t>&lt;3,200</t>
  </si>
  <si>
    <t>&gt;10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</si>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</sst>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164" fontId="0" fillId="0" borderId="0" xfId="0" applyNumberFormat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0" fillId="4" borderId="0" xfId="0" applyNumberFormat="1" applyFill="1"/>
    <xf numFmtId="10" fontId="0" fillId="0" borderId="0" xfId="0" applyNumberFormat="1"/>
    <xf numFmtId="164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wrapText="1"/>
    </xf>
    <xf numFmtId="49" fontId="0" fillId="0" borderId="0" xfId="0" applyNumberFormat="1" applyFill="1"/>
    <xf numFmtId="10" fontId="0" fillId="0" borderId="0" xfId="0" applyNumberFormat="1" applyFill="1"/>
    <xf numFmtId="0" fontId="2" fillId="0" borderId="0" xfId="0" applyFont="1" applyFill="1"/>
    <xf numFmtId="49" fontId="0" fillId="0" borderId="0" xfId="0" applyNumberFormat="1"/>
    <xf numFmtId="0" fontId="0" fillId="3" borderId="1" xfId="0" applyFill="1" applyBorder="1" applyAlignment="1"/>
    <xf numFmtId="0" fontId="0" fillId="0" borderId="0" xfId="0" applyNumberFormat="1" applyFill="1"/>
    <xf numFmtId="0" fontId="0" fillId="4" borderId="0" xfId="0" applyNumberFormat="1" applyFill="1"/>
  </cellXfs>
  <cellStyles count="1">
    <cellStyle name="Stand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Amount of measurements for</a:t>
            </a:r>
            <a:r>
              <a:rPr lang="de-DE" baseline="0"/>
              <a:t> antibodies in pos_neg-group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'Diagramms quant'!$B$2</c:f>
              <c:strCache>
                <c:ptCount val="1"/>
                <c:pt idx="0">
                  <c:v>Leber_Diclo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'Diagramms quant'!$C$1:$DA$1</c:f>
              <c:strCache>
                <c:ptCount val="103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Syphilis (0=negativ, 1=positiv)</c:v>
                </c:pt>
                <c:pt idx="20">
                  <c:v>Autoimmun-Antikörper (0=negativ, 1=positiv)</c:v>
                </c:pt>
                <c:pt idx="21">
                  <c:v>ANA(Antinukleäre Antikörper)-Datum umbekannt (0=negativ (≤ 1:80), 1=positiv)</c:v>
                </c:pt>
                <c:pt idx="22">
                  <c:v>c-ANCA (0=negativ, 1=positiv</c:v>
                </c:pt>
                <c:pt idx="23">
                  <c:v>p-ANCA (0=negativ, 1=positiv</c:v>
                </c:pt>
                <c:pt idx="24">
                  <c:v>ENA (Extrahierbares nukleäres Antigen) (0=negativ, 1=positiv)</c:v>
                </c:pt>
                <c:pt idx="25">
                  <c:v>Anti-Ro (SSA(Ro)-Antikörper)-Datum unbekannt (0=negativ, 1=positiv)</c:v>
                </c:pt>
                <c:pt idx="26">
                  <c:v>Anti-Ro-52 (SSA(Ro)-Antikörper)-Datum unbekannt (0=negativ, 1=positiv)</c:v>
                </c:pt>
                <c:pt idx="27">
                  <c:v>SSA-Antigen (0=negativ, 1=positiv)</c:v>
                </c:pt>
                <c:pt idx="28">
                  <c:v>Anti-La (SSB(La)-Antikörper)-Datum unbekannt (0=negativ, 1=positiv)</c:v>
                </c:pt>
                <c:pt idx="29">
                  <c:v>SSB-Antigen (0=negativ, 1=positiv)</c:v>
                </c:pt>
                <c:pt idx="30">
                  <c:v>SCL-Antikörper (0=negativ, 1=positiv)</c:v>
                </c:pt>
                <c:pt idx="31">
                  <c:v>MPO-Autoantikörper (0=negativ, 1=positiv)</c:v>
                </c:pt>
                <c:pt idx="32">
                  <c:v>Centromer-Antikörper (0=negativ, 1=positiv)</c:v>
                </c:pt>
                <c:pt idx="33">
                  <c:v>Jol--Antikörper (0=negativ, 1=positiv)</c:v>
                </c:pt>
                <c:pt idx="34">
                  <c:v>Antihistonantikörper-Datum unbekannt (0=negativ, 1=positiv)</c:v>
                </c:pt>
                <c:pt idx="35">
                  <c:v>DsDNA-Antikörper-Datum unbekannt (0=negativ, 1=positiv)</c:v>
                </c:pt>
                <c:pt idx="36">
                  <c:v>Anti-DNS-Doppelstrang-Antikörper (0=negativ, 1=positiv)</c:v>
                </c:pt>
                <c:pt idx="37">
                  <c:v>Anti-glatte Muskulatur-Antikörper -Datum unbekannt(0=negativ, 1=positiv)</c:v>
                </c:pt>
                <c:pt idx="38">
                  <c:v>RNP-Antikörper (0=negativ, 1=positiv)</c:v>
                </c:pt>
                <c:pt idx="39">
                  <c:v>RNP-Antigen (0=negativ, 1=positiv)</c:v>
                </c:pt>
                <c:pt idx="40">
                  <c:v>Anti-GBM-Antikörper (0=negativ, 1=positiv)</c:v>
                </c:pt>
                <c:pt idx="41">
                  <c:v>Anti-C3d-Anikörper (0=negativ, 1=positiv)</c:v>
                </c:pt>
                <c:pt idx="42">
                  <c:v>Ros2-Antikörper (0=negativ, 1=positiv)</c:v>
                </c:pt>
                <c:pt idx="43">
                  <c:v>SP-Antikörper (0=negativ, 1=positiv)</c:v>
                </c:pt>
                <c:pt idx="44">
                  <c:v>PML-Antikörper (0=negativ, 1=positiv)</c:v>
                </c:pt>
                <c:pt idx="45">
                  <c:v>gp210-Antikörper (0=negativ, 1=positiv)</c:v>
                </c:pt>
                <c:pt idx="46">
                  <c:v>intrinsikfaktor-Antikörper (0=negativ, 1=positiv)</c:v>
                </c:pt>
                <c:pt idx="47">
                  <c:v>SLA-Autoantikörper (0=negativ, 1=positiv)</c:v>
                </c:pt>
                <c:pt idx="48">
                  <c:v>SLA-LP-Autoantikörper (0=negativ, 1=positiv)</c:v>
                </c:pt>
                <c:pt idx="49">
                  <c:v>LKM1-Autoantikörper (0=negativ, 1=positiv)</c:v>
                </c:pt>
                <c:pt idx="50">
                  <c:v>LKM2-Autoantikörper (0=negativ, 1=positiv)</c:v>
                </c:pt>
                <c:pt idx="51">
                  <c:v>LC1-Autoantikörper (0=negativ, 1=positiv)</c:v>
                </c:pt>
                <c:pt idx="52">
                  <c:v>AMA (Antimitochondrialer Autoantikörper (0=negativ, 1=positiv)</c:v>
                </c:pt>
                <c:pt idx="53">
                  <c:v>AMA-M2 (Antimitochondrialer Autoantikörper (0=negativ, 1=positiv)</c:v>
                </c:pt>
                <c:pt idx="54">
                  <c:v>ASMA (0=negativ, 1=positiv)</c:v>
                </c:pt>
                <c:pt idx="55">
                  <c:v>ASM-Autoantikörper (0=negativ, 1=positiv)</c:v>
                </c:pt>
                <c:pt idx="56">
                  <c:v>SM-Antigen (0=negativ, 1=positiv)</c:v>
                </c:pt>
                <c:pt idx="57">
                  <c:v>SP100-Antikörper (0=negativ, 1=positiv)</c:v>
                </c:pt>
                <c:pt idx="58">
                  <c:v>Parietalzell-Autoantikörper (PCA) (0=negativ, 1=positiv)</c:v>
                </c:pt>
                <c:pt idx="59">
                  <c:v>Proteinkinase-Autoantikörper (0=negativ, 1=positiv)</c:v>
                </c:pt>
                <c:pt idx="60">
                  <c:v>Myeloperoxide-IgG-Autoantikörper (0=negativ, 1=positiv)</c:v>
                </c:pt>
                <c:pt idx="61">
                  <c:v>Lebercytosol-Antikörper (0=negativ, 1=positiv)</c:v>
                </c:pt>
                <c:pt idx="62">
                  <c:v>zirkulierende Immunkomplexe (0=negativ, 1=positiv)</c:v>
                </c:pt>
                <c:pt idx="63">
                  <c:v>Zytomegalievirus (0=negativ, 1=positiv)</c:v>
                </c:pt>
                <c:pt idx="64">
                  <c:v>HIV (0=negativ, 1=positiv) -&gt; siehe zusätzlich anamnese</c:v>
                </c:pt>
                <c:pt idx="65">
                  <c:v>HIV-Antikörper (0=negativ, 1=positiv)</c:v>
                </c:pt>
                <c:pt idx="66">
                  <c:v>Herpes simplex Virus IgM (0=negativ, 1=positiv)</c:v>
                </c:pt>
                <c:pt idx="67">
                  <c:v>Herpes simplex Virus IgG (0=negativ, 1=positiv)</c:v>
                </c:pt>
                <c:pt idx="68">
                  <c:v>HHV 6 (0=negativ, 1=positiv)</c:v>
                </c:pt>
                <c:pt idx="69">
                  <c:v>Masern IgM (0=negativ, 1=positiv)</c:v>
                </c:pt>
                <c:pt idx="70">
                  <c:v>Röteln IgM (0=negativ, 1=positiv)</c:v>
                </c:pt>
                <c:pt idx="71">
                  <c:v>Mycoplasmatische Antikörper (0=negativ, 1=positiv)</c:v>
                </c:pt>
                <c:pt idx="72">
                  <c:v>Parvovirus B19 (0=negativ, 1=positiv)</c:v>
                </c:pt>
                <c:pt idx="73">
                  <c:v>ECHO-Virus (0=negativ, 1=positiv)</c:v>
                </c:pt>
                <c:pt idx="74">
                  <c:v>Borellien-IgM (0=negativ, 1=positiv)</c:v>
                </c:pt>
                <c:pt idx="75">
                  <c:v>Coxsackie-Virus-Antikörper (0=negativ, 1=positiv)</c:v>
                </c:pt>
                <c:pt idx="76">
                  <c:v>Hepatitis A-Antikörper (0=negativ, 1=positiv)</c:v>
                </c:pt>
                <c:pt idx="77">
                  <c:v>Hepatitis B-Antikörper (0=negativ, 1=positiv)</c:v>
                </c:pt>
                <c:pt idx="78">
                  <c:v>Hepatitis C-Antikörper (0=negativ, 1=positiv)</c:v>
                </c:pt>
                <c:pt idx="79">
                  <c:v>Hepatitis D-Antikörper (0=negativ, 1=positiv)</c:v>
                </c:pt>
                <c:pt idx="80">
                  <c:v>Hepatitis E-Antikörper (0=negativ, 1=positiv)</c:v>
                </c:pt>
                <c:pt idx="81">
                  <c:v>Anti-HAV-IgG (0=negativ, 1=positiv)</c:v>
                </c:pt>
                <c:pt idx="82">
                  <c:v>Anti-HAV-IgM (0=negativ, 1=positiv)</c:v>
                </c:pt>
                <c:pt idx="83">
                  <c:v>Anti-HCV-IgG (0=negativ, 1=positiv)</c:v>
                </c:pt>
                <c:pt idx="84">
                  <c:v>Anti-HCV-IgM (0=negativ, 1=positiv)</c:v>
                </c:pt>
                <c:pt idx="85">
                  <c:v>HCV-RNA (0=negativ, 1=positiv)</c:v>
                </c:pt>
                <c:pt idx="86">
                  <c:v>Anti-HEV-IgM (0=negativ, 1=positiv)</c:v>
                </c:pt>
                <c:pt idx="87">
                  <c:v>HBs-Antikörper (0=negativ, 1=positiv)</c:v>
                </c:pt>
                <c:pt idx="88">
                  <c:v>HBsAg (0=negativ, 1=positiv)</c:v>
                </c:pt>
                <c:pt idx="89">
                  <c:v>HBc-Antikörper (0=negativ, 1=positiv)</c:v>
                </c:pt>
                <c:pt idx="90">
                  <c:v>Anti-HBc-IgG (0=negativ, 1=positiv)</c:v>
                </c:pt>
                <c:pt idx="91">
                  <c:v>Anti-HBc-IgM (0=negativ, 1=positiv)</c:v>
                </c:pt>
                <c:pt idx="92">
                  <c:v>HBe antikörper (0=negativ, 1=positiv)</c:v>
                </c:pt>
                <c:pt idx="93">
                  <c:v>HBeAg (0=negativ, 1=positiv)</c:v>
                </c:pt>
                <c:pt idx="94">
                  <c:v>HBV-DNA (0=negativ, 1=positiv)</c:v>
                </c:pt>
                <c:pt idx="95">
                  <c:v>HBV-VCA-IgG (0=negativ, 1=positiv)</c:v>
                </c:pt>
                <c:pt idx="96">
                  <c:v>Hepatitis C-RNA (0=negativ, 1=positiv)</c:v>
                </c:pt>
                <c:pt idx="97">
                  <c:v>Hepatitis G-RNA (0=negativ, 1=positiv)</c:v>
                </c:pt>
                <c:pt idx="98">
                  <c:v>Anti-Leber microsomaler Antikörper (0=negativ, 1=positiv)</c:v>
                </c:pt>
                <c:pt idx="99">
                  <c:v>Anti-Niere microsomaler Antikörper (0=negativ, 1=positiv)</c:v>
                </c:pt>
                <c:pt idx="100">
                  <c:v>CCP-Autoantikörper (0=negativ, 1=positiv)</c:v>
                </c:pt>
                <c:pt idx="101">
                  <c:v>HLA B51 (0=negativ, 1=positiv)</c:v>
                </c:pt>
                <c:pt idx="102">
                  <c:v>psoriatic specific Antigen (PSA) (0=negativ, 1=positiv)</c:v>
                </c:pt>
              </c:strCache>
            </c:strRef>
          </c:cat>
          <c:val>
            <c:numRef>
              <c:f>'Diagramms quant'!$C$2:$DA$2</c:f>
              <c:numCache>
                <c:formatCode>General</c:formatCode>
                <c:ptCount val="103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7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14</c:v>
                </c:pt>
                <c:pt idx="22">
                  <c:v>5</c:v>
                </c:pt>
                <c:pt idx="23">
                  <c:v>6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0</c:v>
                </c:pt>
                <c:pt idx="32">
                  <c:v>2</c:v>
                </c:pt>
                <c:pt idx="33">
                  <c:v>2</c:v>
                </c:pt>
                <c:pt idx="34">
                  <c:v>0</c:v>
                </c:pt>
                <c:pt idx="35">
                  <c:v>3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</c:v>
                </c:pt>
                <c:pt idx="48">
                  <c:v>0</c:v>
                </c:pt>
                <c:pt idx="49">
                  <c:v>3</c:v>
                </c:pt>
                <c:pt idx="50">
                  <c:v>1</c:v>
                </c:pt>
                <c:pt idx="51">
                  <c:v>1</c:v>
                </c:pt>
                <c:pt idx="52">
                  <c:v>8</c:v>
                </c:pt>
                <c:pt idx="53">
                  <c:v>1</c:v>
                </c:pt>
                <c:pt idx="54">
                  <c:v>2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16</c:v>
                </c:pt>
                <c:pt idx="77">
                  <c:v>16</c:v>
                </c:pt>
                <c:pt idx="78">
                  <c:v>20</c:v>
                </c:pt>
                <c:pt idx="79">
                  <c:v>0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7</c:v>
                </c:pt>
                <c:pt idx="89">
                  <c:v>12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0-4DE4-B5CF-D0D396C65DB2}"/>
            </c:ext>
          </c:extLst>
        </c:ser>
        <c:ser>
          <c:idx val="1"/>
          <c:order val="1"/>
          <c:tx>
            <c:strRef>
              <c:f>'Diagramms quant'!$B$3</c:f>
              <c:strCache>
                <c:ptCount val="1"/>
                <c:pt idx="0">
                  <c:v>Leber_Ibu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'Diagramms quant'!$C$1:$DA$1</c:f>
              <c:strCache>
                <c:ptCount val="103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Syphilis (0=negativ, 1=positiv)</c:v>
                </c:pt>
                <c:pt idx="20">
                  <c:v>Autoimmun-Antikörper (0=negativ, 1=positiv)</c:v>
                </c:pt>
                <c:pt idx="21">
                  <c:v>ANA(Antinukleäre Antikörper)-Datum umbekannt (0=negativ (≤ 1:80), 1=positiv)</c:v>
                </c:pt>
                <c:pt idx="22">
                  <c:v>c-ANCA (0=negativ, 1=positiv</c:v>
                </c:pt>
                <c:pt idx="23">
                  <c:v>p-ANCA (0=negativ, 1=positiv</c:v>
                </c:pt>
                <c:pt idx="24">
                  <c:v>ENA (Extrahierbares nukleäres Antigen) (0=negativ, 1=positiv)</c:v>
                </c:pt>
                <c:pt idx="25">
                  <c:v>Anti-Ro (SSA(Ro)-Antikörper)-Datum unbekannt (0=negativ, 1=positiv)</c:v>
                </c:pt>
                <c:pt idx="26">
                  <c:v>Anti-Ro-52 (SSA(Ro)-Antikörper)-Datum unbekannt (0=negativ, 1=positiv)</c:v>
                </c:pt>
                <c:pt idx="27">
                  <c:v>SSA-Antigen (0=negativ, 1=positiv)</c:v>
                </c:pt>
                <c:pt idx="28">
                  <c:v>Anti-La (SSB(La)-Antikörper)-Datum unbekannt (0=negativ, 1=positiv)</c:v>
                </c:pt>
                <c:pt idx="29">
                  <c:v>SSB-Antigen (0=negativ, 1=positiv)</c:v>
                </c:pt>
                <c:pt idx="30">
                  <c:v>SCL-Antikörper (0=negativ, 1=positiv)</c:v>
                </c:pt>
                <c:pt idx="31">
                  <c:v>MPO-Autoantikörper (0=negativ, 1=positiv)</c:v>
                </c:pt>
                <c:pt idx="32">
                  <c:v>Centromer-Antikörper (0=negativ, 1=positiv)</c:v>
                </c:pt>
                <c:pt idx="33">
                  <c:v>Jol--Antikörper (0=negativ, 1=positiv)</c:v>
                </c:pt>
                <c:pt idx="34">
                  <c:v>Antihistonantikörper-Datum unbekannt (0=negativ, 1=positiv)</c:v>
                </c:pt>
                <c:pt idx="35">
                  <c:v>DsDNA-Antikörper-Datum unbekannt (0=negativ, 1=positiv)</c:v>
                </c:pt>
                <c:pt idx="36">
                  <c:v>Anti-DNS-Doppelstrang-Antikörper (0=negativ, 1=positiv)</c:v>
                </c:pt>
                <c:pt idx="37">
                  <c:v>Anti-glatte Muskulatur-Antikörper -Datum unbekannt(0=negativ, 1=positiv)</c:v>
                </c:pt>
                <c:pt idx="38">
                  <c:v>RNP-Antikörper (0=negativ, 1=positiv)</c:v>
                </c:pt>
                <c:pt idx="39">
                  <c:v>RNP-Antigen (0=negativ, 1=positiv)</c:v>
                </c:pt>
                <c:pt idx="40">
                  <c:v>Anti-GBM-Antikörper (0=negativ, 1=positiv)</c:v>
                </c:pt>
                <c:pt idx="41">
                  <c:v>Anti-C3d-Anikörper (0=negativ, 1=positiv)</c:v>
                </c:pt>
                <c:pt idx="42">
                  <c:v>Ros2-Antikörper (0=negativ, 1=positiv)</c:v>
                </c:pt>
                <c:pt idx="43">
                  <c:v>SP-Antikörper (0=negativ, 1=positiv)</c:v>
                </c:pt>
                <c:pt idx="44">
                  <c:v>PML-Antikörper (0=negativ, 1=positiv)</c:v>
                </c:pt>
                <c:pt idx="45">
                  <c:v>gp210-Antikörper (0=negativ, 1=positiv)</c:v>
                </c:pt>
                <c:pt idx="46">
                  <c:v>intrinsikfaktor-Antikörper (0=negativ, 1=positiv)</c:v>
                </c:pt>
                <c:pt idx="47">
                  <c:v>SLA-Autoantikörper (0=negativ, 1=positiv)</c:v>
                </c:pt>
                <c:pt idx="48">
                  <c:v>SLA-LP-Autoantikörper (0=negativ, 1=positiv)</c:v>
                </c:pt>
                <c:pt idx="49">
                  <c:v>LKM1-Autoantikörper (0=negativ, 1=positiv)</c:v>
                </c:pt>
                <c:pt idx="50">
                  <c:v>LKM2-Autoantikörper (0=negativ, 1=positiv)</c:v>
                </c:pt>
                <c:pt idx="51">
                  <c:v>LC1-Autoantikörper (0=negativ, 1=positiv)</c:v>
                </c:pt>
                <c:pt idx="52">
                  <c:v>AMA (Antimitochondrialer Autoantikörper (0=negativ, 1=positiv)</c:v>
                </c:pt>
                <c:pt idx="53">
                  <c:v>AMA-M2 (Antimitochondrialer Autoantikörper (0=negativ, 1=positiv)</c:v>
                </c:pt>
                <c:pt idx="54">
                  <c:v>ASMA (0=negativ, 1=positiv)</c:v>
                </c:pt>
                <c:pt idx="55">
                  <c:v>ASM-Autoantikörper (0=negativ, 1=positiv)</c:v>
                </c:pt>
                <c:pt idx="56">
                  <c:v>SM-Antigen (0=negativ, 1=positiv)</c:v>
                </c:pt>
                <c:pt idx="57">
                  <c:v>SP100-Antikörper (0=negativ, 1=positiv)</c:v>
                </c:pt>
                <c:pt idx="58">
                  <c:v>Parietalzell-Autoantikörper (PCA) (0=negativ, 1=positiv)</c:v>
                </c:pt>
                <c:pt idx="59">
                  <c:v>Proteinkinase-Autoantikörper (0=negativ, 1=positiv)</c:v>
                </c:pt>
                <c:pt idx="60">
                  <c:v>Myeloperoxide-IgG-Autoantikörper (0=negativ, 1=positiv)</c:v>
                </c:pt>
                <c:pt idx="61">
                  <c:v>Lebercytosol-Antikörper (0=negativ, 1=positiv)</c:v>
                </c:pt>
                <c:pt idx="62">
                  <c:v>zirkulierende Immunkomplexe (0=negativ, 1=positiv)</c:v>
                </c:pt>
                <c:pt idx="63">
                  <c:v>Zytomegalievirus (0=negativ, 1=positiv)</c:v>
                </c:pt>
                <c:pt idx="64">
                  <c:v>HIV (0=negativ, 1=positiv) -&gt; siehe zusätzlich anamnese</c:v>
                </c:pt>
                <c:pt idx="65">
                  <c:v>HIV-Antikörper (0=negativ, 1=positiv)</c:v>
                </c:pt>
                <c:pt idx="66">
                  <c:v>Herpes simplex Virus IgM (0=negativ, 1=positiv)</c:v>
                </c:pt>
                <c:pt idx="67">
                  <c:v>Herpes simplex Virus IgG (0=negativ, 1=positiv)</c:v>
                </c:pt>
                <c:pt idx="68">
                  <c:v>HHV 6 (0=negativ, 1=positiv)</c:v>
                </c:pt>
                <c:pt idx="69">
                  <c:v>Masern IgM (0=negativ, 1=positiv)</c:v>
                </c:pt>
                <c:pt idx="70">
                  <c:v>Röteln IgM (0=negativ, 1=positiv)</c:v>
                </c:pt>
                <c:pt idx="71">
                  <c:v>Mycoplasmatische Antikörper (0=negativ, 1=positiv)</c:v>
                </c:pt>
                <c:pt idx="72">
                  <c:v>Parvovirus B19 (0=negativ, 1=positiv)</c:v>
                </c:pt>
                <c:pt idx="73">
                  <c:v>ECHO-Virus (0=negativ, 1=positiv)</c:v>
                </c:pt>
                <c:pt idx="74">
                  <c:v>Borellien-IgM (0=negativ, 1=positiv)</c:v>
                </c:pt>
                <c:pt idx="75">
                  <c:v>Coxsackie-Virus-Antikörper (0=negativ, 1=positiv)</c:v>
                </c:pt>
                <c:pt idx="76">
                  <c:v>Hepatitis A-Antikörper (0=negativ, 1=positiv)</c:v>
                </c:pt>
                <c:pt idx="77">
                  <c:v>Hepatitis B-Antikörper (0=negativ, 1=positiv)</c:v>
                </c:pt>
                <c:pt idx="78">
                  <c:v>Hepatitis C-Antikörper (0=negativ, 1=positiv)</c:v>
                </c:pt>
                <c:pt idx="79">
                  <c:v>Hepatitis D-Antikörper (0=negativ, 1=positiv)</c:v>
                </c:pt>
                <c:pt idx="80">
                  <c:v>Hepatitis E-Antikörper (0=negativ, 1=positiv)</c:v>
                </c:pt>
                <c:pt idx="81">
                  <c:v>Anti-HAV-IgG (0=negativ, 1=positiv)</c:v>
                </c:pt>
                <c:pt idx="82">
                  <c:v>Anti-HAV-IgM (0=negativ, 1=positiv)</c:v>
                </c:pt>
                <c:pt idx="83">
                  <c:v>Anti-HCV-IgG (0=negativ, 1=positiv)</c:v>
                </c:pt>
                <c:pt idx="84">
                  <c:v>Anti-HCV-IgM (0=negativ, 1=positiv)</c:v>
                </c:pt>
                <c:pt idx="85">
                  <c:v>HCV-RNA (0=negativ, 1=positiv)</c:v>
                </c:pt>
                <c:pt idx="86">
                  <c:v>Anti-HEV-IgM (0=negativ, 1=positiv)</c:v>
                </c:pt>
                <c:pt idx="87">
                  <c:v>HBs-Antikörper (0=negativ, 1=positiv)</c:v>
                </c:pt>
                <c:pt idx="88">
                  <c:v>HBsAg (0=negativ, 1=positiv)</c:v>
                </c:pt>
                <c:pt idx="89">
                  <c:v>HBc-Antikörper (0=negativ, 1=positiv)</c:v>
                </c:pt>
                <c:pt idx="90">
                  <c:v>Anti-HBc-IgG (0=negativ, 1=positiv)</c:v>
                </c:pt>
                <c:pt idx="91">
                  <c:v>Anti-HBc-IgM (0=negativ, 1=positiv)</c:v>
                </c:pt>
                <c:pt idx="92">
                  <c:v>HBe antikörper (0=negativ, 1=positiv)</c:v>
                </c:pt>
                <c:pt idx="93">
                  <c:v>HBeAg (0=negativ, 1=positiv)</c:v>
                </c:pt>
                <c:pt idx="94">
                  <c:v>HBV-DNA (0=negativ, 1=positiv)</c:v>
                </c:pt>
                <c:pt idx="95">
                  <c:v>HBV-VCA-IgG (0=negativ, 1=positiv)</c:v>
                </c:pt>
                <c:pt idx="96">
                  <c:v>Hepatitis C-RNA (0=negativ, 1=positiv)</c:v>
                </c:pt>
                <c:pt idx="97">
                  <c:v>Hepatitis G-RNA (0=negativ, 1=positiv)</c:v>
                </c:pt>
                <c:pt idx="98">
                  <c:v>Anti-Leber microsomaler Antikörper (0=negativ, 1=positiv)</c:v>
                </c:pt>
                <c:pt idx="99">
                  <c:v>Anti-Niere microsomaler Antikörper (0=negativ, 1=positiv)</c:v>
                </c:pt>
                <c:pt idx="100">
                  <c:v>CCP-Autoantikörper (0=negativ, 1=positiv)</c:v>
                </c:pt>
                <c:pt idx="101">
                  <c:v>HLA B51 (0=negativ, 1=positiv)</c:v>
                </c:pt>
                <c:pt idx="102">
                  <c:v>psoriatic specific Antigen (PSA) (0=negativ, 1=positiv)</c:v>
                </c:pt>
              </c:strCache>
            </c:strRef>
          </c:cat>
          <c:val>
            <c:numRef>
              <c:f>'Diagramms quant'!$C$3:$DA$3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5</c:v>
                </c:pt>
                <c:pt idx="8">
                  <c:v>1</c:v>
                </c:pt>
                <c:pt idx="9">
                  <c:v>4</c:v>
                </c:pt>
                <c:pt idx="10">
                  <c:v>7</c:v>
                </c:pt>
                <c:pt idx="11">
                  <c:v>1</c:v>
                </c:pt>
                <c:pt idx="12">
                  <c:v>5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1</c:v>
                </c:pt>
                <c:pt idx="52">
                  <c:v>6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18</c:v>
                </c:pt>
                <c:pt idx="77">
                  <c:v>14</c:v>
                </c:pt>
                <c:pt idx="78">
                  <c:v>18</c:v>
                </c:pt>
                <c:pt idx="79">
                  <c:v>0</c:v>
                </c:pt>
                <c:pt idx="80">
                  <c:v>3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3</c:v>
                </c:pt>
                <c:pt idx="86">
                  <c:v>1</c:v>
                </c:pt>
                <c:pt idx="87">
                  <c:v>7</c:v>
                </c:pt>
                <c:pt idx="88">
                  <c:v>9</c:v>
                </c:pt>
                <c:pt idx="89">
                  <c:v>7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C0-4DE4-B5CF-D0D396C65DB2}"/>
            </c:ext>
          </c:extLst>
        </c:ser>
        <c:ser>
          <c:idx val="2"/>
          <c:order val="2"/>
          <c:tx>
            <c:strRef>
              <c:f>'Diagramms quant'!$B$4</c:f>
              <c:strCache>
                <c:ptCount val="1"/>
                <c:pt idx="0">
                  <c:v>Leber_Para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'Diagramms quant'!$C$1:$DA$1</c:f>
              <c:strCache>
                <c:ptCount val="103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Syphilis (0=negativ, 1=positiv)</c:v>
                </c:pt>
                <c:pt idx="20">
                  <c:v>Autoimmun-Antikörper (0=negativ, 1=positiv)</c:v>
                </c:pt>
                <c:pt idx="21">
                  <c:v>ANA(Antinukleäre Antikörper)-Datum umbekannt (0=negativ (≤ 1:80), 1=positiv)</c:v>
                </c:pt>
                <c:pt idx="22">
                  <c:v>c-ANCA (0=negativ, 1=positiv</c:v>
                </c:pt>
                <c:pt idx="23">
                  <c:v>p-ANCA (0=negativ, 1=positiv</c:v>
                </c:pt>
                <c:pt idx="24">
                  <c:v>ENA (Extrahierbares nukleäres Antigen) (0=negativ, 1=positiv)</c:v>
                </c:pt>
                <c:pt idx="25">
                  <c:v>Anti-Ro (SSA(Ro)-Antikörper)-Datum unbekannt (0=negativ, 1=positiv)</c:v>
                </c:pt>
                <c:pt idx="26">
                  <c:v>Anti-Ro-52 (SSA(Ro)-Antikörper)-Datum unbekannt (0=negativ, 1=positiv)</c:v>
                </c:pt>
                <c:pt idx="27">
                  <c:v>SSA-Antigen (0=negativ, 1=positiv)</c:v>
                </c:pt>
                <c:pt idx="28">
                  <c:v>Anti-La (SSB(La)-Antikörper)-Datum unbekannt (0=negativ, 1=positiv)</c:v>
                </c:pt>
                <c:pt idx="29">
                  <c:v>SSB-Antigen (0=negativ, 1=positiv)</c:v>
                </c:pt>
                <c:pt idx="30">
                  <c:v>SCL-Antikörper (0=negativ, 1=positiv)</c:v>
                </c:pt>
                <c:pt idx="31">
                  <c:v>MPO-Autoantikörper (0=negativ, 1=positiv)</c:v>
                </c:pt>
                <c:pt idx="32">
                  <c:v>Centromer-Antikörper (0=negativ, 1=positiv)</c:v>
                </c:pt>
                <c:pt idx="33">
                  <c:v>Jol--Antikörper (0=negativ, 1=positiv)</c:v>
                </c:pt>
                <c:pt idx="34">
                  <c:v>Antihistonantikörper-Datum unbekannt (0=negativ, 1=positiv)</c:v>
                </c:pt>
                <c:pt idx="35">
                  <c:v>DsDNA-Antikörper-Datum unbekannt (0=negativ, 1=positiv)</c:v>
                </c:pt>
                <c:pt idx="36">
                  <c:v>Anti-DNS-Doppelstrang-Antikörper (0=negativ, 1=positiv)</c:v>
                </c:pt>
                <c:pt idx="37">
                  <c:v>Anti-glatte Muskulatur-Antikörper -Datum unbekannt(0=negativ, 1=positiv)</c:v>
                </c:pt>
                <c:pt idx="38">
                  <c:v>RNP-Antikörper (0=negativ, 1=positiv)</c:v>
                </c:pt>
                <c:pt idx="39">
                  <c:v>RNP-Antigen (0=negativ, 1=positiv)</c:v>
                </c:pt>
                <c:pt idx="40">
                  <c:v>Anti-GBM-Antikörper (0=negativ, 1=positiv)</c:v>
                </c:pt>
                <c:pt idx="41">
                  <c:v>Anti-C3d-Anikörper (0=negativ, 1=positiv)</c:v>
                </c:pt>
                <c:pt idx="42">
                  <c:v>Ros2-Antikörper (0=negativ, 1=positiv)</c:v>
                </c:pt>
                <c:pt idx="43">
                  <c:v>SP-Antikörper (0=negativ, 1=positiv)</c:v>
                </c:pt>
                <c:pt idx="44">
                  <c:v>PML-Antikörper (0=negativ, 1=positiv)</c:v>
                </c:pt>
                <c:pt idx="45">
                  <c:v>gp210-Antikörper (0=negativ, 1=positiv)</c:v>
                </c:pt>
                <c:pt idx="46">
                  <c:v>intrinsikfaktor-Antikörper (0=negativ, 1=positiv)</c:v>
                </c:pt>
                <c:pt idx="47">
                  <c:v>SLA-Autoantikörper (0=negativ, 1=positiv)</c:v>
                </c:pt>
                <c:pt idx="48">
                  <c:v>SLA-LP-Autoantikörper (0=negativ, 1=positiv)</c:v>
                </c:pt>
                <c:pt idx="49">
                  <c:v>LKM1-Autoantikörper (0=negativ, 1=positiv)</c:v>
                </c:pt>
                <c:pt idx="50">
                  <c:v>LKM2-Autoantikörper (0=negativ, 1=positiv)</c:v>
                </c:pt>
                <c:pt idx="51">
                  <c:v>LC1-Autoantikörper (0=negativ, 1=positiv)</c:v>
                </c:pt>
                <c:pt idx="52">
                  <c:v>AMA (Antimitochondrialer Autoantikörper (0=negativ, 1=positiv)</c:v>
                </c:pt>
                <c:pt idx="53">
                  <c:v>AMA-M2 (Antimitochondrialer Autoantikörper (0=negativ, 1=positiv)</c:v>
                </c:pt>
                <c:pt idx="54">
                  <c:v>ASMA (0=negativ, 1=positiv)</c:v>
                </c:pt>
                <c:pt idx="55">
                  <c:v>ASM-Autoantikörper (0=negativ, 1=positiv)</c:v>
                </c:pt>
                <c:pt idx="56">
                  <c:v>SM-Antigen (0=negativ, 1=positiv)</c:v>
                </c:pt>
                <c:pt idx="57">
                  <c:v>SP100-Antikörper (0=negativ, 1=positiv)</c:v>
                </c:pt>
                <c:pt idx="58">
                  <c:v>Parietalzell-Autoantikörper (PCA) (0=negativ, 1=positiv)</c:v>
                </c:pt>
                <c:pt idx="59">
                  <c:v>Proteinkinase-Autoantikörper (0=negativ, 1=positiv)</c:v>
                </c:pt>
                <c:pt idx="60">
                  <c:v>Myeloperoxide-IgG-Autoantikörper (0=negativ, 1=positiv)</c:v>
                </c:pt>
                <c:pt idx="61">
                  <c:v>Lebercytosol-Antikörper (0=negativ, 1=positiv)</c:v>
                </c:pt>
                <c:pt idx="62">
                  <c:v>zirkulierende Immunkomplexe (0=negativ, 1=positiv)</c:v>
                </c:pt>
                <c:pt idx="63">
                  <c:v>Zytomegalievirus (0=negativ, 1=positiv)</c:v>
                </c:pt>
                <c:pt idx="64">
                  <c:v>HIV (0=negativ, 1=positiv) -&gt; siehe zusätzlich anamnese</c:v>
                </c:pt>
                <c:pt idx="65">
                  <c:v>HIV-Antikörper (0=negativ, 1=positiv)</c:v>
                </c:pt>
                <c:pt idx="66">
                  <c:v>Herpes simplex Virus IgM (0=negativ, 1=positiv)</c:v>
                </c:pt>
                <c:pt idx="67">
                  <c:v>Herpes simplex Virus IgG (0=negativ, 1=positiv)</c:v>
                </c:pt>
                <c:pt idx="68">
                  <c:v>HHV 6 (0=negativ, 1=positiv)</c:v>
                </c:pt>
                <c:pt idx="69">
                  <c:v>Masern IgM (0=negativ, 1=positiv)</c:v>
                </c:pt>
                <c:pt idx="70">
                  <c:v>Röteln IgM (0=negativ, 1=positiv)</c:v>
                </c:pt>
                <c:pt idx="71">
                  <c:v>Mycoplasmatische Antikörper (0=negativ, 1=positiv)</c:v>
                </c:pt>
                <c:pt idx="72">
                  <c:v>Parvovirus B19 (0=negativ, 1=positiv)</c:v>
                </c:pt>
                <c:pt idx="73">
                  <c:v>ECHO-Virus (0=negativ, 1=positiv)</c:v>
                </c:pt>
                <c:pt idx="74">
                  <c:v>Borellien-IgM (0=negativ, 1=positiv)</c:v>
                </c:pt>
                <c:pt idx="75">
                  <c:v>Coxsackie-Virus-Antikörper (0=negativ, 1=positiv)</c:v>
                </c:pt>
                <c:pt idx="76">
                  <c:v>Hepatitis A-Antikörper (0=negativ, 1=positiv)</c:v>
                </c:pt>
                <c:pt idx="77">
                  <c:v>Hepatitis B-Antikörper (0=negativ, 1=positiv)</c:v>
                </c:pt>
                <c:pt idx="78">
                  <c:v>Hepatitis C-Antikörper (0=negativ, 1=positiv)</c:v>
                </c:pt>
                <c:pt idx="79">
                  <c:v>Hepatitis D-Antikörper (0=negativ, 1=positiv)</c:v>
                </c:pt>
                <c:pt idx="80">
                  <c:v>Hepatitis E-Antikörper (0=negativ, 1=positiv)</c:v>
                </c:pt>
                <c:pt idx="81">
                  <c:v>Anti-HAV-IgG (0=negativ, 1=positiv)</c:v>
                </c:pt>
                <c:pt idx="82">
                  <c:v>Anti-HAV-IgM (0=negativ, 1=positiv)</c:v>
                </c:pt>
                <c:pt idx="83">
                  <c:v>Anti-HCV-IgG (0=negativ, 1=positiv)</c:v>
                </c:pt>
                <c:pt idx="84">
                  <c:v>Anti-HCV-IgM (0=negativ, 1=positiv)</c:v>
                </c:pt>
                <c:pt idx="85">
                  <c:v>HCV-RNA (0=negativ, 1=positiv)</c:v>
                </c:pt>
                <c:pt idx="86">
                  <c:v>Anti-HEV-IgM (0=negativ, 1=positiv)</c:v>
                </c:pt>
                <c:pt idx="87">
                  <c:v>HBs-Antikörper (0=negativ, 1=positiv)</c:v>
                </c:pt>
                <c:pt idx="88">
                  <c:v>HBsAg (0=negativ, 1=positiv)</c:v>
                </c:pt>
                <c:pt idx="89">
                  <c:v>HBc-Antikörper (0=negativ, 1=positiv)</c:v>
                </c:pt>
                <c:pt idx="90">
                  <c:v>Anti-HBc-IgG (0=negativ, 1=positiv)</c:v>
                </c:pt>
                <c:pt idx="91">
                  <c:v>Anti-HBc-IgM (0=negativ, 1=positiv)</c:v>
                </c:pt>
                <c:pt idx="92">
                  <c:v>HBe antikörper (0=negativ, 1=positiv)</c:v>
                </c:pt>
                <c:pt idx="93">
                  <c:v>HBeAg (0=negativ, 1=positiv)</c:v>
                </c:pt>
                <c:pt idx="94">
                  <c:v>HBV-DNA (0=negativ, 1=positiv)</c:v>
                </c:pt>
                <c:pt idx="95">
                  <c:v>HBV-VCA-IgG (0=negativ, 1=positiv)</c:v>
                </c:pt>
                <c:pt idx="96">
                  <c:v>Hepatitis C-RNA (0=negativ, 1=positiv)</c:v>
                </c:pt>
                <c:pt idx="97">
                  <c:v>Hepatitis G-RNA (0=negativ, 1=positiv)</c:v>
                </c:pt>
                <c:pt idx="98">
                  <c:v>Anti-Leber microsomaler Antikörper (0=negativ, 1=positiv)</c:v>
                </c:pt>
                <c:pt idx="99">
                  <c:v>Anti-Niere microsomaler Antikörper (0=negativ, 1=positiv)</c:v>
                </c:pt>
                <c:pt idx="100">
                  <c:v>CCP-Autoantikörper (0=negativ, 1=positiv)</c:v>
                </c:pt>
                <c:pt idx="101">
                  <c:v>HLA B51 (0=negativ, 1=positiv)</c:v>
                </c:pt>
                <c:pt idx="102">
                  <c:v>psoriatic specific Antigen (PSA) (0=negativ, 1=positiv)</c:v>
                </c:pt>
              </c:strCache>
            </c:strRef>
          </c:cat>
          <c:val>
            <c:numRef>
              <c:f>'Diagramms quant'!$C$4:$DA$4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8</c:v>
                </c:pt>
                <c:pt idx="11">
                  <c:v>3</c:v>
                </c:pt>
                <c:pt idx="12">
                  <c:v>6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0</c:v>
                </c:pt>
                <c:pt idx="52">
                  <c:v>3</c:v>
                </c:pt>
                <c:pt idx="53">
                  <c:v>2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3</c:v>
                </c:pt>
                <c:pt idx="65">
                  <c:v>2</c:v>
                </c:pt>
                <c:pt idx="66">
                  <c:v>3</c:v>
                </c:pt>
                <c:pt idx="67">
                  <c:v>3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</c:v>
                </c:pt>
                <c:pt idx="80">
                  <c:v>4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4</c:v>
                </c:pt>
                <c:pt idx="88">
                  <c:v>6</c:v>
                </c:pt>
                <c:pt idx="89">
                  <c:v>4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C0-4DE4-B5CF-D0D396C65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7056320"/>
        <c:axId val="1457056800"/>
      </c:barChart>
      <c:catAx>
        <c:axId val="145705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7056800"/>
        <c:crosses val="autoZero"/>
        <c:auto val="1"/>
        <c:lblAlgn val="ctr"/>
        <c:lblOffset val="100"/>
        <c:noMultiLvlLbl val="0"/>
      </c:catAx>
      <c:valAx>
        <c:axId val="145705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705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Amount of measurements for antibodies in titer-group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'Diagramms quant'!$A$46:$B$46</c:f>
              <c:strCache>
                <c:ptCount val="2"/>
                <c:pt idx="0">
                  <c:v>with titer</c:v>
                </c:pt>
                <c:pt idx="1">
                  <c:v>Leber_Diclo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'Diagramms quant'!$C$45:$DA$45</c:f>
              <c:strCache>
                <c:ptCount val="103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Syphilis (0=negativ, 1=positiv)</c:v>
                </c:pt>
                <c:pt idx="20">
                  <c:v>Autoimmun-Antikörper (0=negativ, 1=positiv)</c:v>
                </c:pt>
                <c:pt idx="21">
                  <c:v>ANA(Antinukleäre Antikörper)-Datum umbekannt (0=negativ (≤ 1:80), 1=positiv)</c:v>
                </c:pt>
                <c:pt idx="22">
                  <c:v>c-ANCA (0=negativ, 1=positiv</c:v>
                </c:pt>
                <c:pt idx="23">
                  <c:v>p-ANCA (0=negativ, 1=positiv</c:v>
                </c:pt>
                <c:pt idx="24">
                  <c:v>ENA (Extrahierbares nukleäres Antigen) (0=negativ, 1=positiv)</c:v>
                </c:pt>
                <c:pt idx="25">
                  <c:v>Anti-Ro (SSA(Ro)-Antikörper)-Datum unbekannt (0=negativ, 1=positiv)</c:v>
                </c:pt>
                <c:pt idx="26">
                  <c:v>Anti-Ro-52 (SSA(Ro)-Antikörper)-Datum unbekannt (0=negativ, 1=positiv)</c:v>
                </c:pt>
                <c:pt idx="27">
                  <c:v>SSA-Antigen (0=negativ, 1=positiv)</c:v>
                </c:pt>
                <c:pt idx="28">
                  <c:v>Anti-La (SSB(La)-Antikörper)-Datum unbekannt (0=negativ, 1=positiv)</c:v>
                </c:pt>
                <c:pt idx="29">
                  <c:v>SSB-Antigen (0=negativ, 1=positiv)</c:v>
                </c:pt>
                <c:pt idx="30">
                  <c:v>SCL-Antikörper (0=negativ, 1=positiv)</c:v>
                </c:pt>
                <c:pt idx="31">
                  <c:v>MPO-Autoantikörper (0=negativ, 1=positiv)</c:v>
                </c:pt>
                <c:pt idx="32">
                  <c:v>Centromer-Antikörper (0=negativ, 1=positiv)</c:v>
                </c:pt>
                <c:pt idx="33">
                  <c:v>Jol--Antikörper (0=negativ, 1=positiv)</c:v>
                </c:pt>
                <c:pt idx="34">
                  <c:v>Antihistonantikörper-Datum unbekannt (0=negativ, 1=positiv)</c:v>
                </c:pt>
                <c:pt idx="35">
                  <c:v>DsDNA-Antikörper-Datum unbekannt (0=negativ, 1=positiv)</c:v>
                </c:pt>
                <c:pt idx="36">
                  <c:v>Anti-DNS-Doppelstrang-Antikörper (0=negativ, 1=positiv)</c:v>
                </c:pt>
                <c:pt idx="37">
                  <c:v>Anti-glatte Muskulatur-Antikörper -Datum unbekannt(0=negativ, 1=positiv)</c:v>
                </c:pt>
                <c:pt idx="38">
                  <c:v>RNP-Antikörper (0=negativ, 1=positiv)</c:v>
                </c:pt>
                <c:pt idx="39">
                  <c:v>RNP-Antigen (0=negativ, 1=positiv)</c:v>
                </c:pt>
                <c:pt idx="40">
                  <c:v>Anti-GBM-Antikörper (0=negativ, 1=positiv)</c:v>
                </c:pt>
                <c:pt idx="41">
                  <c:v>Anti-C3d-Anikörper (0=negativ, 1=positiv)</c:v>
                </c:pt>
                <c:pt idx="42">
                  <c:v>Ros2-Antikörper (0=negativ, 1=positiv)</c:v>
                </c:pt>
                <c:pt idx="43">
                  <c:v>SP-Antikörper (0=negativ, 1=positiv)</c:v>
                </c:pt>
                <c:pt idx="44">
                  <c:v>PML-Antikörper (0=negativ, 1=positiv)</c:v>
                </c:pt>
                <c:pt idx="45">
                  <c:v>gp210-Antikörper (0=negativ, 1=positiv)</c:v>
                </c:pt>
                <c:pt idx="46">
                  <c:v>intrinsikfaktor-Antikörper (0=negativ, 1=positiv)</c:v>
                </c:pt>
                <c:pt idx="47">
                  <c:v>SLA-Autoantikörper (0=negativ, 1=positiv)</c:v>
                </c:pt>
                <c:pt idx="48">
                  <c:v>SLA-LP-Autoantikörper (0=negativ, 1=positiv)</c:v>
                </c:pt>
                <c:pt idx="49">
                  <c:v>LKM1-Autoantikörper (0=negativ, 1=positiv)</c:v>
                </c:pt>
                <c:pt idx="50">
                  <c:v>LKM2-Autoantikörper (0=negativ, 1=positiv)</c:v>
                </c:pt>
                <c:pt idx="51">
                  <c:v>LC1-Autoantikörper (0=negativ, 1=positiv)</c:v>
                </c:pt>
                <c:pt idx="52">
                  <c:v>AMA (Antimitochondrialer Autoantikörper (0=negativ, 1=positiv)</c:v>
                </c:pt>
                <c:pt idx="53">
                  <c:v>AMA-M2 (Antimitochondrialer Autoantikörper (0=negativ, 1=positiv)</c:v>
                </c:pt>
                <c:pt idx="54">
                  <c:v>ASMA (0=negativ, 1=positiv)</c:v>
                </c:pt>
                <c:pt idx="55">
                  <c:v>ASM-Autoantikörper (0=negativ, 1=positiv)</c:v>
                </c:pt>
                <c:pt idx="56">
                  <c:v>SM-Antigen (0=negativ, 1=positiv)</c:v>
                </c:pt>
                <c:pt idx="57">
                  <c:v>SP100-Antikörper (0=negativ, 1=positiv)</c:v>
                </c:pt>
                <c:pt idx="58">
                  <c:v>Parietalzell-Autoantikörper (PCA) (0=negativ, 1=positiv)</c:v>
                </c:pt>
                <c:pt idx="59">
                  <c:v>Proteinkinase-Autoantikörper (0=negativ, 1=positiv)</c:v>
                </c:pt>
                <c:pt idx="60">
                  <c:v>Myeloperoxide-IgG-Autoantikörper (0=negativ, 1=positiv)</c:v>
                </c:pt>
                <c:pt idx="61">
                  <c:v>Lebercytosol-Antikörper (0=negativ, 1=positiv)</c:v>
                </c:pt>
                <c:pt idx="62">
                  <c:v>zirkulierende Immunkomplexe (0=negativ, 1=positiv)</c:v>
                </c:pt>
                <c:pt idx="63">
                  <c:v>Zytomegalievirus (0=negativ, 1=positiv)</c:v>
                </c:pt>
                <c:pt idx="64">
                  <c:v>HIV (0=negativ, 1=positiv) -&gt; siehe zusätzlich anamnese</c:v>
                </c:pt>
                <c:pt idx="65">
                  <c:v>HIV-Antikörper (0=negativ, 1=positiv)</c:v>
                </c:pt>
                <c:pt idx="66">
                  <c:v>Herpes simplex Virus IgM (0=negativ, 1=positiv)</c:v>
                </c:pt>
                <c:pt idx="67">
                  <c:v>Herpes simplex Virus IgG (0=negativ, 1=positiv)</c:v>
                </c:pt>
                <c:pt idx="68">
                  <c:v>HHV 6 (0=negativ, 1=positiv)</c:v>
                </c:pt>
                <c:pt idx="69">
                  <c:v>Masern IgM (0=negativ, 1=positiv)</c:v>
                </c:pt>
                <c:pt idx="70">
                  <c:v>Röteln IgM (0=negativ, 1=positiv)</c:v>
                </c:pt>
                <c:pt idx="71">
                  <c:v>Mycoplasmatische Antikörper (0=negativ, 1=positiv)</c:v>
                </c:pt>
                <c:pt idx="72">
                  <c:v>Parvovirus B19 (0=negativ, 1=positiv)</c:v>
                </c:pt>
                <c:pt idx="73">
                  <c:v>ECHO-Virus (0=negativ, 1=positiv)</c:v>
                </c:pt>
                <c:pt idx="74">
                  <c:v>Borellien-IgM (0=negativ, 1=positiv)</c:v>
                </c:pt>
                <c:pt idx="75">
                  <c:v>Coxsackie-Virus-Antikörper (0=negativ, 1=positiv)</c:v>
                </c:pt>
                <c:pt idx="76">
                  <c:v>Hepatitis A-Antikörper (0=negativ, 1=positiv)</c:v>
                </c:pt>
                <c:pt idx="77">
                  <c:v>Hepatitis B-Antikörper (0=negativ, 1=positiv)</c:v>
                </c:pt>
                <c:pt idx="78">
                  <c:v>Hepatitis C-Antikörper (0=negativ, 1=positiv)</c:v>
                </c:pt>
                <c:pt idx="79">
                  <c:v>Hepatitis D-Antikörper (0=negativ, 1=positiv)</c:v>
                </c:pt>
                <c:pt idx="80">
                  <c:v>Hepatitis E-Antikörper (0=negativ, 1=positiv)</c:v>
                </c:pt>
                <c:pt idx="81">
                  <c:v>Anti-HAV-IgG (0=negativ, 1=positiv)</c:v>
                </c:pt>
                <c:pt idx="82">
                  <c:v>Anti-HAV-IgM (0=negativ, 1=positiv)</c:v>
                </c:pt>
                <c:pt idx="83">
                  <c:v>Anti-HCV-IgG (0=negativ, 1=positiv)</c:v>
                </c:pt>
                <c:pt idx="84">
                  <c:v>Anti-HCV-IgM (0=negativ, 1=positiv)</c:v>
                </c:pt>
                <c:pt idx="85">
                  <c:v>HCV-RNA (0=negativ, 1=positiv)</c:v>
                </c:pt>
                <c:pt idx="86">
                  <c:v>Anti-HEV-IgM (0=negativ, 1=positiv)</c:v>
                </c:pt>
                <c:pt idx="87">
                  <c:v>HBs-Antikörper (0=negativ, 1=positiv)</c:v>
                </c:pt>
                <c:pt idx="88">
                  <c:v>HBsAg (0=negativ, 1=positiv)</c:v>
                </c:pt>
                <c:pt idx="89">
                  <c:v>HBc-Antikörper (0=negativ, 1=positiv)</c:v>
                </c:pt>
                <c:pt idx="90">
                  <c:v>Anti-HBc-IgG (0=negativ, 1=positiv)</c:v>
                </c:pt>
                <c:pt idx="91">
                  <c:v>Anti-HBc-IgM (0=negativ, 1=positiv)</c:v>
                </c:pt>
                <c:pt idx="92">
                  <c:v>HBe antikörper (0=negativ, 1=positiv)</c:v>
                </c:pt>
                <c:pt idx="93">
                  <c:v>HBeAg (0=negativ, 1=positiv)</c:v>
                </c:pt>
                <c:pt idx="94">
                  <c:v>HBV-DNA (0=negativ, 1=positiv)</c:v>
                </c:pt>
                <c:pt idx="95">
                  <c:v>HBV-VCA-IgG (0=negativ, 1=positiv)</c:v>
                </c:pt>
                <c:pt idx="96">
                  <c:v>Hepatitis C-RNA (0=negativ, 1=positiv)</c:v>
                </c:pt>
                <c:pt idx="97">
                  <c:v>Hepatitis G-RNA (0=negativ, 1=positiv)</c:v>
                </c:pt>
                <c:pt idx="98">
                  <c:v>Anti-Leber microsomaler Antikörper (0=negativ, 1=positiv)</c:v>
                </c:pt>
                <c:pt idx="99">
                  <c:v>Anti-Niere microsomaler Antikörper (0=negativ, 1=positiv)</c:v>
                </c:pt>
                <c:pt idx="100">
                  <c:v>CCP-Autoantikörper (0=negativ, 1=positiv)</c:v>
                </c:pt>
                <c:pt idx="101">
                  <c:v>HLA B51 (0=negativ, 1=positiv)</c:v>
                </c:pt>
                <c:pt idx="102">
                  <c:v>psoriatic specific Antigen (PSA) (0=negativ, 1=positiv)</c:v>
                </c:pt>
              </c:strCache>
            </c:strRef>
          </c:cat>
          <c:val>
            <c:numRef>
              <c:f>'Diagramms quant'!$C$46:$DA$46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6-43CF-9447-8A45A6ABA349}"/>
            </c:ext>
          </c:extLst>
        </c:ser>
        <c:ser>
          <c:idx val="1"/>
          <c:order val="1"/>
          <c:tx>
            <c:strRef>
              <c:f>'Diagramms quant'!$A$47:$B$47</c:f>
              <c:strCache>
                <c:ptCount val="2"/>
                <c:pt idx="0">
                  <c:v>with titer</c:v>
                </c:pt>
                <c:pt idx="1">
                  <c:v>Leber_Ibu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'Diagramms quant'!$C$45:$DA$45</c:f>
              <c:strCache>
                <c:ptCount val="103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Syphilis (0=negativ, 1=positiv)</c:v>
                </c:pt>
                <c:pt idx="20">
                  <c:v>Autoimmun-Antikörper (0=negativ, 1=positiv)</c:v>
                </c:pt>
                <c:pt idx="21">
                  <c:v>ANA(Antinukleäre Antikörper)-Datum umbekannt (0=negativ (≤ 1:80), 1=positiv)</c:v>
                </c:pt>
                <c:pt idx="22">
                  <c:v>c-ANCA (0=negativ, 1=positiv</c:v>
                </c:pt>
                <c:pt idx="23">
                  <c:v>p-ANCA (0=negativ, 1=positiv</c:v>
                </c:pt>
                <c:pt idx="24">
                  <c:v>ENA (Extrahierbares nukleäres Antigen) (0=negativ, 1=positiv)</c:v>
                </c:pt>
                <c:pt idx="25">
                  <c:v>Anti-Ro (SSA(Ro)-Antikörper)-Datum unbekannt (0=negativ, 1=positiv)</c:v>
                </c:pt>
                <c:pt idx="26">
                  <c:v>Anti-Ro-52 (SSA(Ro)-Antikörper)-Datum unbekannt (0=negativ, 1=positiv)</c:v>
                </c:pt>
                <c:pt idx="27">
                  <c:v>SSA-Antigen (0=negativ, 1=positiv)</c:v>
                </c:pt>
                <c:pt idx="28">
                  <c:v>Anti-La (SSB(La)-Antikörper)-Datum unbekannt (0=negativ, 1=positiv)</c:v>
                </c:pt>
                <c:pt idx="29">
                  <c:v>SSB-Antigen (0=negativ, 1=positiv)</c:v>
                </c:pt>
                <c:pt idx="30">
                  <c:v>SCL-Antikörper (0=negativ, 1=positiv)</c:v>
                </c:pt>
                <c:pt idx="31">
                  <c:v>MPO-Autoantikörper (0=negativ, 1=positiv)</c:v>
                </c:pt>
                <c:pt idx="32">
                  <c:v>Centromer-Antikörper (0=negativ, 1=positiv)</c:v>
                </c:pt>
                <c:pt idx="33">
                  <c:v>Jol--Antikörper (0=negativ, 1=positiv)</c:v>
                </c:pt>
                <c:pt idx="34">
                  <c:v>Antihistonantikörper-Datum unbekannt (0=negativ, 1=positiv)</c:v>
                </c:pt>
                <c:pt idx="35">
                  <c:v>DsDNA-Antikörper-Datum unbekannt (0=negativ, 1=positiv)</c:v>
                </c:pt>
                <c:pt idx="36">
                  <c:v>Anti-DNS-Doppelstrang-Antikörper (0=negativ, 1=positiv)</c:v>
                </c:pt>
                <c:pt idx="37">
                  <c:v>Anti-glatte Muskulatur-Antikörper -Datum unbekannt(0=negativ, 1=positiv)</c:v>
                </c:pt>
                <c:pt idx="38">
                  <c:v>RNP-Antikörper (0=negativ, 1=positiv)</c:v>
                </c:pt>
                <c:pt idx="39">
                  <c:v>RNP-Antigen (0=negativ, 1=positiv)</c:v>
                </c:pt>
                <c:pt idx="40">
                  <c:v>Anti-GBM-Antikörper (0=negativ, 1=positiv)</c:v>
                </c:pt>
                <c:pt idx="41">
                  <c:v>Anti-C3d-Anikörper (0=negativ, 1=positiv)</c:v>
                </c:pt>
                <c:pt idx="42">
                  <c:v>Ros2-Antikörper (0=negativ, 1=positiv)</c:v>
                </c:pt>
                <c:pt idx="43">
                  <c:v>SP-Antikörper (0=negativ, 1=positiv)</c:v>
                </c:pt>
                <c:pt idx="44">
                  <c:v>PML-Antikörper (0=negativ, 1=positiv)</c:v>
                </c:pt>
                <c:pt idx="45">
                  <c:v>gp210-Antikörper (0=negativ, 1=positiv)</c:v>
                </c:pt>
                <c:pt idx="46">
                  <c:v>intrinsikfaktor-Antikörper (0=negativ, 1=positiv)</c:v>
                </c:pt>
                <c:pt idx="47">
                  <c:v>SLA-Autoantikörper (0=negativ, 1=positiv)</c:v>
                </c:pt>
                <c:pt idx="48">
                  <c:v>SLA-LP-Autoantikörper (0=negativ, 1=positiv)</c:v>
                </c:pt>
                <c:pt idx="49">
                  <c:v>LKM1-Autoantikörper (0=negativ, 1=positiv)</c:v>
                </c:pt>
                <c:pt idx="50">
                  <c:v>LKM2-Autoantikörper (0=negativ, 1=positiv)</c:v>
                </c:pt>
                <c:pt idx="51">
                  <c:v>LC1-Autoantikörper (0=negativ, 1=positiv)</c:v>
                </c:pt>
                <c:pt idx="52">
                  <c:v>AMA (Antimitochondrialer Autoantikörper (0=negativ, 1=positiv)</c:v>
                </c:pt>
                <c:pt idx="53">
                  <c:v>AMA-M2 (Antimitochondrialer Autoantikörper (0=negativ, 1=positiv)</c:v>
                </c:pt>
                <c:pt idx="54">
                  <c:v>ASMA (0=negativ, 1=positiv)</c:v>
                </c:pt>
                <c:pt idx="55">
                  <c:v>ASM-Autoantikörper (0=negativ, 1=positiv)</c:v>
                </c:pt>
                <c:pt idx="56">
                  <c:v>SM-Antigen (0=negativ, 1=positiv)</c:v>
                </c:pt>
                <c:pt idx="57">
                  <c:v>SP100-Antikörper (0=negativ, 1=positiv)</c:v>
                </c:pt>
                <c:pt idx="58">
                  <c:v>Parietalzell-Autoantikörper (PCA) (0=negativ, 1=positiv)</c:v>
                </c:pt>
                <c:pt idx="59">
                  <c:v>Proteinkinase-Autoantikörper (0=negativ, 1=positiv)</c:v>
                </c:pt>
                <c:pt idx="60">
                  <c:v>Myeloperoxide-IgG-Autoantikörper (0=negativ, 1=positiv)</c:v>
                </c:pt>
                <c:pt idx="61">
                  <c:v>Lebercytosol-Antikörper (0=negativ, 1=positiv)</c:v>
                </c:pt>
                <c:pt idx="62">
                  <c:v>zirkulierende Immunkomplexe (0=negativ, 1=positiv)</c:v>
                </c:pt>
                <c:pt idx="63">
                  <c:v>Zytomegalievirus (0=negativ, 1=positiv)</c:v>
                </c:pt>
                <c:pt idx="64">
                  <c:v>HIV (0=negativ, 1=positiv) -&gt; siehe zusätzlich anamnese</c:v>
                </c:pt>
                <c:pt idx="65">
                  <c:v>HIV-Antikörper (0=negativ, 1=positiv)</c:v>
                </c:pt>
                <c:pt idx="66">
                  <c:v>Herpes simplex Virus IgM (0=negativ, 1=positiv)</c:v>
                </c:pt>
                <c:pt idx="67">
                  <c:v>Herpes simplex Virus IgG (0=negativ, 1=positiv)</c:v>
                </c:pt>
                <c:pt idx="68">
                  <c:v>HHV 6 (0=negativ, 1=positiv)</c:v>
                </c:pt>
                <c:pt idx="69">
                  <c:v>Masern IgM (0=negativ, 1=positiv)</c:v>
                </c:pt>
                <c:pt idx="70">
                  <c:v>Röteln IgM (0=negativ, 1=positiv)</c:v>
                </c:pt>
                <c:pt idx="71">
                  <c:v>Mycoplasmatische Antikörper (0=negativ, 1=positiv)</c:v>
                </c:pt>
                <c:pt idx="72">
                  <c:v>Parvovirus B19 (0=negativ, 1=positiv)</c:v>
                </c:pt>
                <c:pt idx="73">
                  <c:v>ECHO-Virus (0=negativ, 1=positiv)</c:v>
                </c:pt>
                <c:pt idx="74">
                  <c:v>Borellien-IgM (0=negativ, 1=positiv)</c:v>
                </c:pt>
                <c:pt idx="75">
                  <c:v>Coxsackie-Virus-Antikörper (0=negativ, 1=positiv)</c:v>
                </c:pt>
                <c:pt idx="76">
                  <c:v>Hepatitis A-Antikörper (0=negativ, 1=positiv)</c:v>
                </c:pt>
                <c:pt idx="77">
                  <c:v>Hepatitis B-Antikörper (0=negativ, 1=positiv)</c:v>
                </c:pt>
                <c:pt idx="78">
                  <c:v>Hepatitis C-Antikörper (0=negativ, 1=positiv)</c:v>
                </c:pt>
                <c:pt idx="79">
                  <c:v>Hepatitis D-Antikörper (0=negativ, 1=positiv)</c:v>
                </c:pt>
                <c:pt idx="80">
                  <c:v>Hepatitis E-Antikörper (0=negativ, 1=positiv)</c:v>
                </c:pt>
                <c:pt idx="81">
                  <c:v>Anti-HAV-IgG (0=negativ, 1=positiv)</c:v>
                </c:pt>
                <c:pt idx="82">
                  <c:v>Anti-HAV-IgM (0=negativ, 1=positiv)</c:v>
                </c:pt>
                <c:pt idx="83">
                  <c:v>Anti-HCV-IgG (0=negativ, 1=positiv)</c:v>
                </c:pt>
                <c:pt idx="84">
                  <c:v>Anti-HCV-IgM (0=negativ, 1=positiv)</c:v>
                </c:pt>
                <c:pt idx="85">
                  <c:v>HCV-RNA (0=negativ, 1=positiv)</c:v>
                </c:pt>
                <c:pt idx="86">
                  <c:v>Anti-HEV-IgM (0=negativ, 1=positiv)</c:v>
                </c:pt>
                <c:pt idx="87">
                  <c:v>HBs-Antikörper (0=negativ, 1=positiv)</c:v>
                </c:pt>
                <c:pt idx="88">
                  <c:v>HBsAg (0=negativ, 1=positiv)</c:v>
                </c:pt>
                <c:pt idx="89">
                  <c:v>HBc-Antikörper (0=negativ, 1=positiv)</c:v>
                </c:pt>
                <c:pt idx="90">
                  <c:v>Anti-HBc-IgG (0=negativ, 1=positiv)</c:v>
                </c:pt>
                <c:pt idx="91">
                  <c:v>Anti-HBc-IgM (0=negativ, 1=positiv)</c:v>
                </c:pt>
                <c:pt idx="92">
                  <c:v>HBe antikörper (0=negativ, 1=positiv)</c:v>
                </c:pt>
                <c:pt idx="93">
                  <c:v>HBeAg (0=negativ, 1=positiv)</c:v>
                </c:pt>
                <c:pt idx="94">
                  <c:v>HBV-DNA (0=negativ, 1=positiv)</c:v>
                </c:pt>
                <c:pt idx="95">
                  <c:v>HBV-VCA-IgG (0=negativ, 1=positiv)</c:v>
                </c:pt>
                <c:pt idx="96">
                  <c:v>Hepatitis C-RNA (0=negativ, 1=positiv)</c:v>
                </c:pt>
                <c:pt idx="97">
                  <c:v>Hepatitis G-RNA (0=negativ, 1=positiv)</c:v>
                </c:pt>
                <c:pt idx="98">
                  <c:v>Anti-Leber microsomaler Antikörper (0=negativ, 1=positiv)</c:v>
                </c:pt>
                <c:pt idx="99">
                  <c:v>Anti-Niere microsomaler Antikörper (0=negativ, 1=positiv)</c:v>
                </c:pt>
                <c:pt idx="100">
                  <c:v>CCP-Autoantikörper (0=negativ, 1=positiv)</c:v>
                </c:pt>
                <c:pt idx="101">
                  <c:v>HLA B51 (0=negativ, 1=positiv)</c:v>
                </c:pt>
                <c:pt idx="102">
                  <c:v>psoriatic specific Antigen (PSA) (0=negativ, 1=positiv)</c:v>
                </c:pt>
              </c:strCache>
            </c:strRef>
          </c:cat>
          <c:val>
            <c:numRef>
              <c:f>'Diagramms quant'!$C$47:$DA$47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6-43CF-9447-8A45A6ABA349}"/>
            </c:ext>
          </c:extLst>
        </c:ser>
        <c:ser>
          <c:idx val="2"/>
          <c:order val="2"/>
          <c:tx>
            <c:strRef>
              <c:f>'Diagramms quant'!$A$48:$B$48</c:f>
              <c:strCache>
                <c:ptCount val="2"/>
                <c:pt idx="0">
                  <c:v>with titer</c:v>
                </c:pt>
                <c:pt idx="1">
                  <c:v>Leber_Para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'Diagramms quant'!$C$45:$DA$45</c:f>
              <c:strCache>
                <c:ptCount val="103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Syphilis (0=negativ, 1=positiv)</c:v>
                </c:pt>
                <c:pt idx="20">
                  <c:v>Autoimmun-Antikörper (0=negativ, 1=positiv)</c:v>
                </c:pt>
                <c:pt idx="21">
                  <c:v>ANA(Antinukleäre Antikörper)-Datum umbekannt (0=negativ (≤ 1:80), 1=positiv)</c:v>
                </c:pt>
                <c:pt idx="22">
                  <c:v>c-ANCA (0=negativ, 1=positiv</c:v>
                </c:pt>
                <c:pt idx="23">
                  <c:v>p-ANCA (0=negativ, 1=positiv</c:v>
                </c:pt>
                <c:pt idx="24">
                  <c:v>ENA (Extrahierbares nukleäres Antigen) (0=negativ, 1=positiv)</c:v>
                </c:pt>
                <c:pt idx="25">
                  <c:v>Anti-Ro (SSA(Ro)-Antikörper)-Datum unbekannt (0=negativ, 1=positiv)</c:v>
                </c:pt>
                <c:pt idx="26">
                  <c:v>Anti-Ro-52 (SSA(Ro)-Antikörper)-Datum unbekannt (0=negativ, 1=positiv)</c:v>
                </c:pt>
                <c:pt idx="27">
                  <c:v>SSA-Antigen (0=negativ, 1=positiv)</c:v>
                </c:pt>
                <c:pt idx="28">
                  <c:v>Anti-La (SSB(La)-Antikörper)-Datum unbekannt (0=negativ, 1=positiv)</c:v>
                </c:pt>
                <c:pt idx="29">
                  <c:v>SSB-Antigen (0=negativ, 1=positiv)</c:v>
                </c:pt>
                <c:pt idx="30">
                  <c:v>SCL-Antikörper (0=negativ, 1=positiv)</c:v>
                </c:pt>
                <c:pt idx="31">
                  <c:v>MPO-Autoantikörper (0=negativ, 1=positiv)</c:v>
                </c:pt>
                <c:pt idx="32">
                  <c:v>Centromer-Antikörper (0=negativ, 1=positiv)</c:v>
                </c:pt>
                <c:pt idx="33">
                  <c:v>Jol--Antikörper (0=negativ, 1=positiv)</c:v>
                </c:pt>
                <c:pt idx="34">
                  <c:v>Antihistonantikörper-Datum unbekannt (0=negativ, 1=positiv)</c:v>
                </c:pt>
                <c:pt idx="35">
                  <c:v>DsDNA-Antikörper-Datum unbekannt (0=negativ, 1=positiv)</c:v>
                </c:pt>
                <c:pt idx="36">
                  <c:v>Anti-DNS-Doppelstrang-Antikörper (0=negativ, 1=positiv)</c:v>
                </c:pt>
                <c:pt idx="37">
                  <c:v>Anti-glatte Muskulatur-Antikörper -Datum unbekannt(0=negativ, 1=positiv)</c:v>
                </c:pt>
                <c:pt idx="38">
                  <c:v>RNP-Antikörper (0=negativ, 1=positiv)</c:v>
                </c:pt>
                <c:pt idx="39">
                  <c:v>RNP-Antigen (0=negativ, 1=positiv)</c:v>
                </c:pt>
                <c:pt idx="40">
                  <c:v>Anti-GBM-Antikörper (0=negativ, 1=positiv)</c:v>
                </c:pt>
                <c:pt idx="41">
                  <c:v>Anti-C3d-Anikörper (0=negativ, 1=positiv)</c:v>
                </c:pt>
                <c:pt idx="42">
                  <c:v>Ros2-Antikörper (0=negativ, 1=positiv)</c:v>
                </c:pt>
                <c:pt idx="43">
                  <c:v>SP-Antikörper (0=negativ, 1=positiv)</c:v>
                </c:pt>
                <c:pt idx="44">
                  <c:v>PML-Antikörper (0=negativ, 1=positiv)</c:v>
                </c:pt>
                <c:pt idx="45">
                  <c:v>gp210-Antikörper (0=negativ, 1=positiv)</c:v>
                </c:pt>
                <c:pt idx="46">
                  <c:v>intrinsikfaktor-Antikörper (0=negativ, 1=positiv)</c:v>
                </c:pt>
                <c:pt idx="47">
                  <c:v>SLA-Autoantikörper (0=negativ, 1=positiv)</c:v>
                </c:pt>
                <c:pt idx="48">
                  <c:v>SLA-LP-Autoantikörper (0=negativ, 1=positiv)</c:v>
                </c:pt>
                <c:pt idx="49">
                  <c:v>LKM1-Autoantikörper (0=negativ, 1=positiv)</c:v>
                </c:pt>
                <c:pt idx="50">
                  <c:v>LKM2-Autoantikörper (0=negativ, 1=positiv)</c:v>
                </c:pt>
                <c:pt idx="51">
                  <c:v>LC1-Autoantikörper (0=negativ, 1=positiv)</c:v>
                </c:pt>
                <c:pt idx="52">
                  <c:v>AMA (Antimitochondrialer Autoantikörper (0=negativ, 1=positiv)</c:v>
                </c:pt>
                <c:pt idx="53">
                  <c:v>AMA-M2 (Antimitochondrialer Autoantikörper (0=negativ, 1=positiv)</c:v>
                </c:pt>
                <c:pt idx="54">
                  <c:v>ASMA (0=negativ, 1=positiv)</c:v>
                </c:pt>
                <c:pt idx="55">
                  <c:v>ASM-Autoantikörper (0=negativ, 1=positiv)</c:v>
                </c:pt>
                <c:pt idx="56">
                  <c:v>SM-Antigen (0=negativ, 1=positiv)</c:v>
                </c:pt>
                <c:pt idx="57">
                  <c:v>SP100-Antikörper (0=negativ, 1=positiv)</c:v>
                </c:pt>
                <c:pt idx="58">
                  <c:v>Parietalzell-Autoantikörper (PCA) (0=negativ, 1=positiv)</c:v>
                </c:pt>
                <c:pt idx="59">
                  <c:v>Proteinkinase-Autoantikörper (0=negativ, 1=positiv)</c:v>
                </c:pt>
                <c:pt idx="60">
                  <c:v>Myeloperoxide-IgG-Autoantikörper (0=negativ, 1=positiv)</c:v>
                </c:pt>
                <c:pt idx="61">
                  <c:v>Lebercytosol-Antikörper (0=negativ, 1=positiv)</c:v>
                </c:pt>
                <c:pt idx="62">
                  <c:v>zirkulierende Immunkomplexe (0=negativ, 1=positiv)</c:v>
                </c:pt>
                <c:pt idx="63">
                  <c:v>Zytomegalievirus (0=negativ, 1=positiv)</c:v>
                </c:pt>
                <c:pt idx="64">
                  <c:v>HIV (0=negativ, 1=positiv) -&gt; siehe zusätzlich anamnese</c:v>
                </c:pt>
                <c:pt idx="65">
                  <c:v>HIV-Antikörper (0=negativ, 1=positiv)</c:v>
                </c:pt>
                <c:pt idx="66">
                  <c:v>Herpes simplex Virus IgM (0=negativ, 1=positiv)</c:v>
                </c:pt>
                <c:pt idx="67">
                  <c:v>Herpes simplex Virus IgG (0=negativ, 1=positiv)</c:v>
                </c:pt>
                <c:pt idx="68">
                  <c:v>HHV 6 (0=negativ, 1=positiv)</c:v>
                </c:pt>
                <c:pt idx="69">
                  <c:v>Masern IgM (0=negativ, 1=positiv)</c:v>
                </c:pt>
                <c:pt idx="70">
                  <c:v>Röteln IgM (0=negativ, 1=positiv)</c:v>
                </c:pt>
                <c:pt idx="71">
                  <c:v>Mycoplasmatische Antikörper (0=negativ, 1=positiv)</c:v>
                </c:pt>
                <c:pt idx="72">
                  <c:v>Parvovirus B19 (0=negativ, 1=positiv)</c:v>
                </c:pt>
                <c:pt idx="73">
                  <c:v>ECHO-Virus (0=negativ, 1=positiv)</c:v>
                </c:pt>
                <c:pt idx="74">
                  <c:v>Borellien-IgM (0=negativ, 1=positiv)</c:v>
                </c:pt>
                <c:pt idx="75">
                  <c:v>Coxsackie-Virus-Antikörper (0=negativ, 1=positiv)</c:v>
                </c:pt>
                <c:pt idx="76">
                  <c:v>Hepatitis A-Antikörper (0=negativ, 1=positiv)</c:v>
                </c:pt>
                <c:pt idx="77">
                  <c:v>Hepatitis B-Antikörper (0=negativ, 1=positiv)</c:v>
                </c:pt>
                <c:pt idx="78">
                  <c:v>Hepatitis C-Antikörper (0=negativ, 1=positiv)</c:v>
                </c:pt>
                <c:pt idx="79">
                  <c:v>Hepatitis D-Antikörper (0=negativ, 1=positiv)</c:v>
                </c:pt>
                <c:pt idx="80">
                  <c:v>Hepatitis E-Antikörper (0=negativ, 1=positiv)</c:v>
                </c:pt>
                <c:pt idx="81">
                  <c:v>Anti-HAV-IgG (0=negativ, 1=positiv)</c:v>
                </c:pt>
                <c:pt idx="82">
                  <c:v>Anti-HAV-IgM (0=negativ, 1=positiv)</c:v>
                </c:pt>
                <c:pt idx="83">
                  <c:v>Anti-HCV-IgG (0=negativ, 1=positiv)</c:v>
                </c:pt>
                <c:pt idx="84">
                  <c:v>Anti-HCV-IgM (0=negativ, 1=positiv)</c:v>
                </c:pt>
                <c:pt idx="85">
                  <c:v>HCV-RNA (0=negativ, 1=positiv)</c:v>
                </c:pt>
                <c:pt idx="86">
                  <c:v>Anti-HEV-IgM (0=negativ, 1=positiv)</c:v>
                </c:pt>
                <c:pt idx="87">
                  <c:v>HBs-Antikörper (0=negativ, 1=positiv)</c:v>
                </c:pt>
                <c:pt idx="88">
                  <c:v>HBsAg (0=negativ, 1=positiv)</c:v>
                </c:pt>
                <c:pt idx="89">
                  <c:v>HBc-Antikörper (0=negativ, 1=positiv)</c:v>
                </c:pt>
                <c:pt idx="90">
                  <c:v>Anti-HBc-IgG (0=negativ, 1=positiv)</c:v>
                </c:pt>
                <c:pt idx="91">
                  <c:v>Anti-HBc-IgM (0=negativ, 1=positiv)</c:v>
                </c:pt>
                <c:pt idx="92">
                  <c:v>HBe antikörper (0=negativ, 1=positiv)</c:v>
                </c:pt>
                <c:pt idx="93">
                  <c:v>HBeAg (0=negativ, 1=positiv)</c:v>
                </c:pt>
                <c:pt idx="94">
                  <c:v>HBV-DNA (0=negativ, 1=positiv)</c:v>
                </c:pt>
                <c:pt idx="95">
                  <c:v>HBV-VCA-IgG (0=negativ, 1=positiv)</c:v>
                </c:pt>
                <c:pt idx="96">
                  <c:v>Hepatitis C-RNA (0=negativ, 1=positiv)</c:v>
                </c:pt>
                <c:pt idx="97">
                  <c:v>Hepatitis G-RNA (0=negativ, 1=positiv)</c:v>
                </c:pt>
                <c:pt idx="98">
                  <c:v>Anti-Leber microsomaler Antikörper (0=negativ, 1=positiv)</c:v>
                </c:pt>
                <c:pt idx="99">
                  <c:v>Anti-Niere microsomaler Antikörper (0=negativ, 1=positiv)</c:v>
                </c:pt>
                <c:pt idx="100">
                  <c:v>CCP-Autoantikörper (0=negativ, 1=positiv)</c:v>
                </c:pt>
                <c:pt idx="101">
                  <c:v>HLA B51 (0=negativ, 1=positiv)</c:v>
                </c:pt>
                <c:pt idx="102">
                  <c:v>psoriatic specific Antigen (PSA) (0=negativ, 1=positiv)</c:v>
                </c:pt>
              </c:strCache>
            </c:strRef>
          </c:cat>
          <c:val>
            <c:numRef>
              <c:f>'Diagramms quant'!$C$48:$DA$48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6-43CF-9447-8A45A6ABA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7025600"/>
        <c:axId val="1457027040"/>
      </c:barChart>
      <c:catAx>
        <c:axId val="145702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7027040"/>
        <c:crosses val="autoZero"/>
        <c:auto val="1"/>
        <c:lblAlgn val="ctr"/>
        <c:lblOffset val="100"/>
        <c:noMultiLvlLbl val="0"/>
      </c:catAx>
      <c:valAx>
        <c:axId val="14570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702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Amount of measurements for antibodies in u/ml-group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'Diagramms quant'!$A$89:$B$89</c:f>
              <c:strCache>
                <c:ptCount val="2"/>
                <c:pt idx="0">
                  <c:v>in u/ml</c:v>
                </c:pt>
                <c:pt idx="1">
                  <c:v>Leber_Diclo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'Diagramms quant'!$C$88:$DA$88</c:f>
              <c:strCache>
                <c:ptCount val="103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Syphilis (0=negativ, 1=positiv)</c:v>
                </c:pt>
                <c:pt idx="20">
                  <c:v>Autoimmun-Antikörper (0=negativ, 1=positiv)</c:v>
                </c:pt>
                <c:pt idx="21">
                  <c:v>ANA(Antinukleäre Antikörper)-Datum umbekannt (0=negativ (≤ 1:80), 1=positiv)</c:v>
                </c:pt>
                <c:pt idx="22">
                  <c:v>c-ANCA (0=negativ, 1=positiv</c:v>
                </c:pt>
                <c:pt idx="23">
                  <c:v>p-ANCA (0=negativ, 1=positiv</c:v>
                </c:pt>
                <c:pt idx="24">
                  <c:v>ENA (Extrahierbares nukleäres Antigen) (0=negativ, 1=positiv)</c:v>
                </c:pt>
                <c:pt idx="25">
                  <c:v>Anti-Ro (SSA(Ro)-Antikörper)-Datum unbekannt (0=negativ, 1=positiv)</c:v>
                </c:pt>
                <c:pt idx="26">
                  <c:v>Anti-Ro-52 (SSA(Ro)-Antikörper)-Datum unbekannt (0=negativ, 1=positiv)</c:v>
                </c:pt>
                <c:pt idx="27">
                  <c:v>SSA-Antigen (0=negativ, 1=positiv)</c:v>
                </c:pt>
                <c:pt idx="28">
                  <c:v>Anti-La (SSB(La)-Antikörper)-Datum unbekannt (0=negativ, 1=positiv)</c:v>
                </c:pt>
                <c:pt idx="29">
                  <c:v>SSB-Antigen (0=negativ, 1=positiv)</c:v>
                </c:pt>
                <c:pt idx="30">
                  <c:v>SCL-Antikörper (0=negativ, 1=positiv)</c:v>
                </c:pt>
                <c:pt idx="31">
                  <c:v>MPO-Autoantikörper (0=negativ, 1=positiv)</c:v>
                </c:pt>
                <c:pt idx="32">
                  <c:v>Centromer-Antikörper (0=negativ, 1=positiv)</c:v>
                </c:pt>
                <c:pt idx="33">
                  <c:v>Jol--Antikörper (0=negativ, 1=positiv)</c:v>
                </c:pt>
                <c:pt idx="34">
                  <c:v>Antihistonantikörper-Datum unbekannt (0=negativ, 1=positiv)</c:v>
                </c:pt>
                <c:pt idx="35">
                  <c:v>DsDNA-Antikörper-Datum unbekannt (0=negativ, 1=positiv)</c:v>
                </c:pt>
                <c:pt idx="36">
                  <c:v>Anti-DNS-Doppelstrang-Antikörper (0=negativ, 1=positiv)</c:v>
                </c:pt>
                <c:pt idx="37">
                  <c:v>Anti-glatte Muskulatur-Antikörper -Datum unbekannt(0=negativ, 1=positiv)</c:v>
                </c:pt>
                <c:pt idx="38">
                  <c:v>RNP-Antikörper (0=negativ, 1=positiv)</c:v>
                </c:pt>
                <c:pt idx="39">
                  <c:v>RNP-Antigen (0=negativ, 1=positiv)</c:v>
                </c:pt>
                <c:pt idx="40">
                  <c:v>Anti-GBM-Antikörper (0=negativ, 1=positiv)</c:v>
                </c:pt>
                <c:pt idx="41">
                  <c:v>Anti-C3d-Anikörper (0=negativ, 1=positiv)</c:v>
                </c:pt>
                <c:pt idx="42">
                  <c:v>Ros2-Antikörper (0=negativ, 1=positiv)</c:v>
                </c:pt>
                <c:pt idx="43">
                  <c:v>SP-Antikörper (0=negativ, 1=positiv)</c:v>
                </c:pt>
                <c:pt idx="44">
                  <c:v>PML-Antikörper (0=negativ, 1=positiv)</c:v>
                </c:pt>
                <c:pt idx="45">
                  <c:v>gp210-Antikörper (0=negativ, 1=positiv)</c:v>
                </c:pt>
                <c:pt idx="46">
                  <c:v>intrinsikfaktor-Antikörper (0=negativ, 1=positiv)</c:v>
                </c:pt>
                <c:pt idx="47">
                  <c:v>SLA-Autoantikörper (0=negativ, 1=positiv)</c:v>
                </c:pt>
                <c:pt idx="48">
                  <c:v>SLA-LP-Autoantikörper (0=negativ, 1=positiv)</c:v>
                </c:pt>
                <c:pt idx="49">
                  <c:v>LKM1-Autoantikörper (0=negativ, 1=positiv)</c:v>
                </c:pt>
                <c:pt idx="50">
                  <c:v>LKM2-Autoantikörper (0=negativ, 1=positiv)</c:v>
                </c:pt>
                <c:pt idx="51">
                  <c:v>LC1-Autoantikörper (0=negativ, 1=positiv)</c:v>
                </c:pt>
                <c:pt idx="52">
                  <c:v>AMA (Antimitochondrialer Autoantikörper (0=negativ, 1=positiv)</c:v>
                </c:pt>
                <c:pt idx="53">
                  <c:v>AMA-M2 (Antimitochondrialer Autoantikörper (0=negativ, 1=positiv)</c:v>
                </c:pt>
                <c:pt idx="54">
                  <c:v>ASMA (0=negativ, 1=positiv)</c:v>
                </c:pt>
                <c:pt idx="55">
                  <c:v>ASM-Autoantikörper (0=negativ, 1=positiv)</c:v>
                </c:pt>
                <c:pt idx="56">
                  <c:v>SM-Antigen (0=negativ, 1=positiv)</c:v>
                </c:pt>
                <c:pt idx="57">
                  <c:v>SP100-Antikörper (0=negativ, 1=positiv)</c:v>
                </c:pt>
                <c:pt idx="58">
                  <c:v>Parietalzell-Autoantikörper (PCA) (0=negativ, 1=positiv)</c:v>
                </c:pt>
                <c:pt idx="59">
                  <c:v>Proteinkinase-Autoantikörper (0=negativ, 1=positiv)</c:v>
                </c:pt>
                <c:pt idx="60">
                  <c:v>Myeloperoxide-IgG-Autoantikörper (0=negativ, 1=positiv)</c:v>
                </c:pt>
                <c:pt idx="61">
                  <c:v>Lebercytosol-Antikörper (0=negativ, 1=positiv)</c:v>
                </c:pt>
                <c:pt idx="62">
                  <c:v>zirkulierende Immunkomplexe (0=negativ, 1=positiv)</c:v>
                </c:pt>
                <c:pt idx="63">
                  <c:v>Zytomegalievirus (0=negativ, 1=positiv)</c:v>
                </c:pt>
                <c:pt idx="64">
                  <c:v>HIV (0=negativ, 1=positiv) -&gt; siehe zusätzlich anamnese</c:v>
                </c:pt>
                <c:pt idx="65">
                  <c:v>HIV-Antikörper (0=negativ, 1=positiv)</c:v>
                </c:pt>
                <c:pt idx="66">
                  <c:v>Herpes simplex Virus IgM (0=negativ, 1=positiv)</c:v>
                </c:pt>
                <c:pt idx="67">
                  <c:v>Herpes simplex Virus IgG (0=negativ, 1=positiv)</c:v>
                </c:pt>
                <c:pt idx="68">
                  <c:v>HHV 6 (0=negativ, 1=positiv)</c:v>
                </c:pt>
                <c:pt idx="69">
                  <c:v>Masern IgM (0=negativ, 1=positiv)</c:v>
                </c:pt>
                <c:pt idx="70">
                  <c:v>Röteln IgM (0=negativ, 1=positiv)</c:v>
                </c:pt>
                <c:pt idx="71">
                  <c:v>Mycoplasmatische Antikörper (0=negativ, 1=positiv)</c:v>
                </c:pt>
                <c:pt idx="72">
                  <c:v>Parvovirus B19 (0=negativ, 1=positiv)</c:v>
                </c:pt>
                <c:pt idx="73">
                  <c:v>ECHO-Virus (0=negativ, 1=positiv)</c:v>
                </c:pt>
                <c:pt idx="74">
                  <c:v>Borellien-IgM (0=negativ, 1=positiv)</c:v>
                </c:pt>
                <c:pt idx="75">
                  <c:v>Coxsackie-Virus-Antikörper (0=negativ, 1=positiv)</c:v>
                </c:pt>
                <c:pt idx="76">
                  <c:v>Hepatitis A-Antikörper (0=negativ, 1=positiv)</c:v>
                </c:pt>
                <c:pt idx="77">
                  <c:v>Hepatitis B-Antikörper (0=negativ, 1=positiv)</c:v>
                </c:pt>
                <c:pt idx="78">
                  <c:v>Hepatitis C-Antikörper (0=negativ, 1=positiv)</c:v>
                </c:pt>
                <c:pt idx="79">
                  <c:v>Hepatitis D-Antikörper (0=negativ, 1=positiv)</c:v>
                </c:pt>
                <c:pt idx="80">
                  <c:v>Hepatitis E-Antikörper (0=negativ, 1=positiv)</c:v>
                </c:pt>
                <c:pt idx="81">
                  <c:v>Anti-HAV-IgG (0=negativ, 1=positiv)</c:v>
                </c:pt>
                <c:pt idx="82">
                  <c:v>Anti-HAV-IgM (0=negativ, 1=positiv)</c:v>
                </c:pt>
                <c:pt idx="83">
                  <c:v>Anti-HCV-IgG (0=negativ, 1=positiv)</c:v>
                </c:pt>
                <c:pt idx="84">
                  <c:v>Anti-HCV-IgM (0=negativ, 1=positiv)</c:v>
                </c:pt>
                <c:pt idx="85">
                  <c:v>HCV-RNA (0=negativ, 1=positiv)</c:v>
                </c:pt>
                <c:pt idx="86">
                  <c:v>Anti-HEV-IgM (0=negativ, 1=positiv)</c:v>
                </c:pt>
                <c:pt idx="87">
                  <c:v>HBs-Antikörper (0=negativ, 1=positiv)</c:v>
                </c:pt>
                <c:pt idx="88">
                  <c:v>HBsAg (0=negativ, 1=positiv)</c:v>
                </c:pt>
                <c:pt idx="89">
                  <c:v>HBc-Antikörper (0=negativ, 1=positiv)</c:v>
                </c:pt>
                <c:pt idx="90">
                  <c:v>Anti-HBc-IgG (0=negativ, 1=positiv)</c:v>
                </c:pt>
                <c:pt idx="91">
                  <c:v>Anti-HBc-IgM (0=negativ, 1=positiv)</c:v>
                </c:pt>
                <c:pt idx="92">
                  <c:v>HBe antikörper (0=negativ, 1=positiv)</c:v>
                </c:pt>
                <c:pt idx="93">
                  <c:v>HBeAg (0=negativ, 1=positiv)</c:v>
                </c:pt>
                <c:pt idx="94">
                  <c:v>HBV-DNA (0=negativ, 1=positiv)</c:v>
                </c:pt>
                <c:pt idx="95">
                  <c:v>HBV-VCA-IgG (0=negativ, 1=positiv)</c:v>
                </c:pt>
                <c:pt idx="96">
                  <c:v>Hepatitis C-RNA (0=negativ, 1=positiv)</c:v>
                </c:pt>
                <c:pt idx="97">
                  <c:v>Hepatitis G-RNA (0=negativ, 1=positiv)</c:v>
                </c:pt>
                <c:pt idx="98">
                  <c:v>Anti-Leber microsomaler Antikörper (0=negativ, 1=positiv)</c:v>
                </c:pt>
                <c:pt idx="99">
                  <c:v>Anti-Niere microsomaler Antikörper (0=negativ, 1=positiv)</c:v>
                </c:pt>
                <c:pt idx="100">
                  <c:v>CCP-Autoantikörper (0=negativ, 1=positiv)</c:v>
                </c:pt>
                <c:pt idx="101">
                  <c:v>HLA B51 (0=negativ, 1=positiv)</c:v>
                </c:pt>
                <c:pt idx="102">
                  <c:v>psoriatic specific Antigen (PSA) (0=negativ, 1=positiv)</c:v>
                </c:pt>
              </c:strCache>
            </c:strRef>
          </c:cat>
          <c:val>
            <c:numRef>
              <c:f>'Diagramms quant'!$C$89:$DA$89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7-402C-8265-54D249DF6AA7}"/>
            </c:ext>
          </c:extLst>
        </c:ser>
        <c:ser>
          <c:idx val="1"/>
          <c:order val="1"/>
          <c:tx>
            <c:strRef>
              <c:f>'Diagramms quant'!$A$90:$B$90</c:f>
              <c:strCache>
                <c:ptCount val="2"/>
                <c:pt idx="0">
                  <c:v>in u/ml</c:v>
                </c:pt>
                <c:pt idx="1">
                  <c:v>Leber_Ibu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'Diagramms quant'!$C$88:$DA$88</c:f>
              <c:strCache>
                <c:ptCount val="103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Syphilis (0=negativ, 1=positiv)</c:v>
                </c:pt>
                <c:pt idx="20">
                  <c:v>Autoimmun-Antikörper (0=negativ, 1=positiv)</c:v>
                </c:pt>
                <c:pt idx="21">
                  <c:v>ANA(Antinukleäre Antikörper)-Datum umbekannt (0=negativ (≤ 1:80), 1=positiv)</c:v>
                </c:pt>
                <c:pt idx="22">
                  <c:v>c-ANCA (0=negativ, 1=positiv</c:v>
                </c:pt>
                <c:pt idx="23">
                  <c:v>p-ANCA (0=negativ, 1=positiv</c:v>
                </c:pt>
                <c:pt idx="24">
                  <c:v>ENA (Extrahierbares nukleäres Antigen) (0=negativ, 1=positiv)</c:v>
                </c:pt>
                <c:pt idx="25">
                  <c:v>Anti-Ro (SSA(Ro)-Antikörper)-Datum unbekannt (0=negativ, 1=positiv)</c:v>
                </c:pt>
                <c:pt idx="26">
                  <c:v>Anti-Ro-52 (SSA(Ro)-Antikörper)-Datum unbekannt (0=negativ, 1=positiv)</c:v>
                </c:pt>
                <c:pt idx="27">
                  <c:v>SSA-Antigen (0=negativ, 1=positiv)</c:v>
                </c:pt>
                <c:pt idx="28">
                  <c:v>Anti-La (SSB(La)-Antikörper)-Datum unbekannt (0=negativ, 1=positiv)</c:v>
                </c:pt>
                <c:pt idx="29">
                  <c:v>SSB-Antigen (0=negativ, 1=positiv)</c:v>
                </c:pt>
                <c:pt idx="30">
                  <c:v>SCL-Antikörper (0=negativ, 1=positiv)</c:v>
                </c:pt>
                <c:pt idx="31">
                  <c:v>MPO-Autoantikörper (0=negativ, 1=positiv)</c:v>
                </c:pt>
                <c:pt idx="32">
                  <c:v>Centromer-Antikörper (0=negativ, 1=positiv)</c:v>
                </c:pt>
                <c:pt idx="33">
                  <c:v>Jol--Antikörper (0=negativ, 1=positiv)</c:v>
                </c:pt>
                <c:pt idx="34">
                  <c:v>Antihistonantikörper-Datum unbekannt (0=negativ, 1=positiv)</c:v>
                </c:pt>
                <c:pt idx="35">
                  <c:v>DsDNA-Antikörper-Datum unbekannt (0=negativ, 1=positiv)</c:v>
                </c:pt>
                <c:pt idx="36">
                  <c:v>Anti-DNS-Doppelstrang-Antikörper (0=negativ, 1=positiv)</c:v>
                </c:pt>
                <c:pt idx="37">
                  <c:v>Anti-glatte Muskulatur-Antikörper -Datum unbekannt(0=negativ, 1=positiv)</c:v>
                </c:pt>
                <c:pt idx="38">
                  <c:v>RNP-Antikörper (0=negativ, 1=positiv)</c:v>
                </c:pt>
                <c:pt idx="39">
                  <c:v>RNP-Antigen (0=negativ, 1=positiv)</c:v>
                </c:pt>
                <c:pt idx="40">
                  <c:v>Anti-GBM-Antikörper (0=negativ, 1=positiv)</c:v>
                </c:pt>
                <c:pt idx="41">
                  <c:v>Anti-C3d-Anikörper (0=negativ, 1=positiv)</c:v>
                </c:pt>
                <c:pt idx="42">
                  <c:v>Ros2-Antikörper (0=negativ, 1=positiv)</c:v>
                </c:pt>
                <c:pt idx="43">
                  <c:v>SP-Antikörper (0=negativ, 1=positiv)</c:v>
                </c:pt>
                <c:pt idx="44">
                  <c:v>PML-Antikörper (0=negativ, 1=positiv)</c:v>
                </c:pt>
                <c:pt idx="45">
                  <c:v>gp210-Antikörper (0=negativ, 1=positiv)</c:v>
                </c:pt>
                <c:pt idx="46">
                  <c:v>intrinsikfaktor-Antikörper (0=negativ, 1=positiv)</c:v>
                </c:pt>
                <c:pt idx="47">
                  <c:v>SLA-Autoantikörper (0=negativ, 1=positiv)</c:v>
                </c:pt>
                <c:pt idx="48">
                  <c:v>SLA-LP-Autoantikörper (0=negativ, 1=positiv)</c:v>
                </c:pt>
                <c:pt idx="49">
                  <c:v>LKM1-Autoantikörper (0=negativ, 1=positiv)</c:v>
                </c:pt>
                <c:pt idx="50">
                  <c:v>LKM2-Autoantikörper (0=negativ, 1=positiv)</c:v>
                </c:pt>
                <c:pt idx="51">
                  <c:v>LC1-Autoantikörper (0=negativ, 1=positiv)</c:v>
                </c:pt>
                <c:pt idx="52">
                  <c:v>AMA (Antimitochondrialer Autoantikörper (0=negativ, 1=positiv)</c:v>
                </c:pt>
                <c:pt idx="53">
                  <c:v>AMA-M2 (Antimitochondrialer Autoantikörper (0=negativ, 1=positiv)</c:v>
                </c:pt>
                <c:pt idx="54">
                  <c:v>ASMA (0=negativ, 1=positiv)</c:v>
                </c:pt>
                <c:pt idx="55">
                  <c:v>ASM-Autoantikörper (0=negativ, 1=positiv)</c:v>
                </c:pt>
                <c:pt idx="56">
                  <c:v>SM-Antigen (0=negativ, 1=positiv)</c:v>
                </c:pt>
                <c:pt idx="57">
                  <c:v>SP100-Antikörper (0=negativ, 1=positiv)</c:v>
                </c:pt>
                <c:pt idx="58">
                  <c:v>Parietalzell-Autoantikörper (PCA) (0=negativ, 1=positiv)</c:v>
                </c:pt>
                <c:pt idx="59">
                  <c:v>Proteinkinase-Autoantikörper (0=negativ, 1=positiv)</c:v>
                </c:pt>
                <c:pt idx="60">
                  <c:v>Myeloperoxide-IgG-Autoantikörper (0=negativ, 1=positiv)</c:v>
                </c:pt>
                <c:pt idx="61">
                  <c:v>Lebercytosol-Antikörper (0=negativ, 1=positiv)</c:v>
                </c:pt>
                <c:pt idx="62">
                  <c:v>zirkulierende Immunkomplexe (0=negativ, 1=positiv)</c:v>
                </c:pt>
                <c:pt idx="63">
                  <c:v>Zytomegalievirus (0=negativ, 1=positiv)</c:v>
                </c:pt>
                <c:pt idx="64">
                  <c:v>HIV (0=negativ, 1=positiv) -&gt; siehe zusätzlich anamnese</c:v>
                </c:pt>
                <c:pt idx="65">
                  <c:v>HIV-Antikörper (0=negativ, 1=positiv)</c:v>
                </c:pt>
                <c:pt idx="66">
                  <c:v>Herpes simplex Virus IgM (0=negativ, 1=positiv)</c:v>
                </c:pt>
                <c:pt idx="67">
                  <c:v>Herpes simplex Virus IgG (0=negativ, 1=positiv)</c:v>
                </c:pt>
                <c:pt idx="68">
                  <c:v>HHV 6 (0=negativ, 1=positiv)</c:v>
                </c:pt>
                <c:pt idx="69">
                  <c:v>Masern IgM (0=negativ, 1=positiv)</c:v>
                </c:pt>
                <c:pt idx="70">
                  <c:v>Röteln IgM (0=negativ, 1=positiv)</c:v>
                </c:pt>
                <c:pt idx="71">
                  <c:v>Mycoplasmatische Antikörper (0=negativ, 1=positiv)</c:v>
                </c:pt>
                <c:pt idx="72">
                  <c:v>Parvovirus B19 (0=negativ, 1=positiv)</c:v>
                </c:pt>
                <c:pt idx="73">
                  <c:v>ECHO-Virus (0=negativ, 1=positiv)</c:v>
                </c:pt>
                <c:pt idx="74">
                  <c:v>Borellien-IgM (0=negativ, 1=positiv)</c:v>
                </c:pt>
                <c:pt idx="75">
                  <c:v>Coxsackie-Virus-Antikörper (0=negativ, 1=positiv)</c:v>
                </c:pt>
                <c:pt idx="76">
                  <c:v>Hepatitis A-Antikörper (0=negativ, 1=positiv)</c:v>
                </c:pt>
                <c:pt idx="77">
                  <c:v>Hepatitis B-Antikörper (0=negativ, 1=positiv)</c:v>
                </c:pt>
                <c:pt idx="78">
                  <c:v>Hepatitis C-Antikörper (0=negativ, 1=positiv)</c:v>
                </c:pt>
                <c:pt idx="79">
                  <c:v>Hepatitis D-Antikörper (0=negativ, 1=positiv)</c:v>
                </c:pt>
                <c:pt idx="80">
                  <c:v>Hepatitis E-Antikörper (0=negativ, 1=positiv)</c:v>
                </c:pt>
                <c:pt idx="81">
                  <c:v>Anti-HAV-IgG (0=negativ, 1=positiv)</c:v>
                </c:pt>
                <c:pt idx="82">
                  <c:v>Anti-HAV-IgM (0=negativ, 1=positiv)</c:v>
                </c:pt>
                <c:pt idx="83">
                  <c:v>Anti-HCV-IgG (0=negativ, 1=positiv)</c:v>
                </c:pt>
                <c:pt idx="84">
                  <c:v>Anti-HCV-IgM (0=negativ, 1=positiv)</c:v>
                </c:pt>
                <c:pt idx="85">
                  <c:v>HCV-RNA (0=negativ, 1=positiv)</c:v>
                </c:pt>
                <c:pt idx="86">
                  <c:v>Anti-HEV-IgM (0=negativ, 1=positiv)</c:v>
                </c:pt>
                <c:pt idx="87">
                  <c:v>HBs-Antikörper (0=negativ, 1=positiv)</c:v>
                </c:pt>
                <c:pt idx="88">
                  <c:v>HBsAg (0=negativ, 1=positiv)</c:v>
                </c:pt>
                <c:pt idx="89">
                  <c:v>HBc-Antikörper (0=negativ, 1=positiv)</c:v>
                </c:pt>
                <c:pt idx="90">
                  <c:v>Anti-HBc-IgG (0=negativ, 1=positiv)</c:v>
                </c:pt>
                <c:pt idx="91">
                  <c:v>Anti-HBc-IgM (0=negativ, 1=positiv)</c:v>
                </c:pt>
                <c:pt idx="92">
                  <c:v>HBe antikörper (0=negativ, 1=positiv)</c:v>
                </c:pt>
                <c:pt idx="93">
                  <c:v>HBeAg (0=negativ, 1=positiv)</c:v>
                </c:pt>
                <c:pt idx="94">
                  <c:v>HBV-DNA (0=negativ, 1=positiv)</c:v>
                </c:pt>
                <c:pt idx="95">
                  <c:v>HBV-VCA-IgG (0=negativ, 1=positiv)</c:v>
                </c:pt>
                <c:pt idx="96">
                  <c:v>Hepatitis C-RNA (0=negativ, 1=positiv)</c:v>
                </c:pt>
                <c:pt idx="97">
                  <c:v>Hepatitis G-RNA (0=negativ, 1=positiv)</c:v>
                </c:pt>
                <c:pt idx="98">
                  <c:v>Anti-Leber microsomaler Antikörper (0=negativ, 1=positiv)</c:v>
                </c:pt>
                <c:pt idx="99">
                  <c:v>Anti-Niere microsomaler Antikörper (0=negativ, 1=positiv)</c:v>
                </c:pt>
                <c:pt idx="100">
                  <c:v>CCP-Autoantikörper (0=negativ, 1=positiv)</c:v>
                </c:pt>
                <c:pt idx="101">
                  <c:v>HLA B51 (0=negativ, 1=positiv)</c:v>
                </c:pt>
                <c:pt idx="102">
                  <c:v>psoriatic specific Antigen (PSA) (0=negativ, 1=positiv)</c:v>
                </c:pt>
              </c:strCache>
            </c:strRef>
          </c:cat>
          <c:val>
            <c:numRef>
              <c:f>'Diagramms quant'!$C$90:$DA$90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57-402C-8265-54D249DF6AA7}"/>
            </c:ext>
          </c:extLst>
        </c:ser>
        <c:ser>
          <c:idx val="2"/>
          <c:order val="2"/>
          <c:tx>
            <c:strRef>
              <c:f>'Diagramms quant'!$A$91:$B$91</c:f>
              <c:strCache>
                <c:ptCount val="2"/>
                <c:pt idx="0">
                  <c:v>in u/ml</c:v>
                </c:pt>
                <c:pt idx="1">
                  <c:v>Leber_Para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'Diagramms quant'!$C$88:$DA$88</c:f>
              <c:strCache>
                <c:ptCount val="103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Syphilis (0=negativ, 1=positiv)</c:v>
                </c:pt>
                <c:pt idx="20">
                  <c:v>Autoimmun-Antikörper (0=negativ, 1=positiv)</c:v>
                </c:pt>
                <c:pt idx="21">
                  <c:v>ANA(Antinukleäre Antikörper)-Datum umbekannt (0=negativ (≤ 1:80), 1=positiv)</c:v>
                </c:pt>
                <c:pt idx="22">
                  <c:v>c-ANCA (0=negativ, 1=positiv</c:v>
                </c:pt>
                <c:pt idx="23">
                  <c:v>p-ANCA (0=negativ, 1=positiv</c:v>
                </c:pt>
                <c:pt idx="24">
                  <c:v>ENA (Extrahierbares nukleäres Antigen) (0=negativ, 1=positiv)</c:v>
                </c:pt>
                <c:pt idx="25">
                  <c:v>Anti-Ro (SSA(Ro)-Antikörper)-Datum unbekannt (0=negativ, 1=positiv)</c:v>
                </c:pt>
                <c:pt idx="26">
                  <c:v>Anti-Ro-52 (SSA(Ro)-Antikörper)-Datum unbekannt (0=negativ, 1=positiv)</c:v>
                </c:pt>
                <c:pt idx="27">
                  <c:v>SSA-Antigen (0=negativ, 1=positiv)</c:v>
                </c:pt>
                <c:pt idx="28">
                  <c:v>Anti-La (SSB(La)-Antikörper)-Datum unbekannt (0=negativ, 1=positiv)</c:v>
                </c:pt>
                <c:pt idx="29">
                  <c:v>SSB-Antigen (0=negativ, 1=positiv)</c:v>
                </c:pt>
                <c:pt idx="30">
                  <c:v>SCL-Antikörper (0=negativ, 1=positiv)</c:v>
                </c:pt>
                <c:pt idx="31">
                  <c:v>MPO-Autoantikörper (0=negativ, 1=positiv)</c:v>
                </c:pt>
                <c:pt idx="32">
                  <c:v>Centromer-Antikörper (0=negativ, 1=positiv)</c:v>
                </c:pt>
                <c:pt idx="33">
                  <c:v>Jol--Antikörper (0=negativ, 1=positiv)</c:v>
                </c:pt>
                <c:pt idx="34">
                  <c:v>Antihistonantikörper-Datum unbekannt (0=negativ, 1=positiv)</c:v>
                </c:pt>
                <c:pt idx="35">
                  <c:v>DsDNA-Antikörper-Datum unbekannt (0=negativ, 1=positiv)</c:v>
                </c:pt>
                <c:pt idx="36">
                  <c:v>Anti-DNS-Doppelstrang-Antikörper (0=negativ, 1=positiv)</c:v>
                </c:pt>
                <c:pt idx="37">
                  <c:v>Anti-glatte Muskulatur-Antikörper -Datum unbekannt(0=negativ, 1=positiv)</c:v>
                </c:pt>
                <c:pt idx="38">
                  <c:v>RNP-Antikörper (0=negativ, 1=positiv)</c:v>
                </c:pt>
                <c:pt idx="39">
                  <c:v>RNP-Antigen (0=negativ, 1=positiv)</c:v>
                </c:pt>
                <c:pt idx="40">
                  <c:v>Anti-GBM-Antikörper (0=negativ, 1=positiv)</c:v>
                </c:pt>
                <c:pt idx="41">
                  <c:v>Anti-C3d-Anikörper (0=negativ, 1=positiv)</c:v>
                </c:pt>
                <c:pt idx="42">
                  <c:v>Ros2-Antikörper (0=negativ, 1=positiv)</c:v>
                </c:pt>
                <c:pt idx="43">
                  <c:v>SP-Antikörper (0=negativ, 1=positiv)</c:v>
                </c:pt>
                <c:pt idx="44">
                  <c:v>PML-Antikörper (0=negativ, 1=positiv)</c:v>
                </c:pt>
                <c:pt idx="45">
                  <c:v>gp210-Antikörper (0=negativ, 1=positiv)</c:v>
                </c:pt>
                <c:pt idx="46">
                  <c:v>intrinsikfaktor-Antikörper (0=negativ, 1=positiv)</c:v>
                </c:pt>
                <c:pt idx="47">
                  <c:v>SLA-Autoantikörper (0=negativ, 1=positiv)</c:v>
                </c:pt>
                <c:pt idx="48">
                  <c:v>SLA-LP-Autoantikörper (0=negativ, 1=positiv)</c:v>
                </c:pt>
                <c:pt idx="49">
                  <c:v>LKM1-Autoantikörper (0=negativ, 1=positiv)</c:v>
                </c:pt>
                <c:pt idx="50">
                  <c:v>LKM2-Autoantikörper (0=negativ, 1=positiv)</c:v>
                </c:pt>
                <c:pt idx="51">
                  <c:v>LC1-Autoantikörper (0=negativ, 1=positiv)</c:v>
                </c:pt>
                <c:pt idx="52">
                  <c:v>AMA (Antimitochondrialer Autoantikörper (0=negativ, 1=positiv)</c:v>
                </c:pt>
                <c:pt idx="53">
                  <c:v>AMA-M2 (Antimitochondrialer Autoantikörper (0=negativ, 1=positiv)</c:v>
                </c:pt>
                <c:pt idx="54">
                  <c:v>ASMA (0=negativ, 1=positiv)</c:v>
                </c:pt>
                <c:pt idx="55">
                  <c:v>ASM-Autoantikörper (0=negativ, 1=positiv)</c:v>
                </c:pt>
                <c:pt idx="56">
                  <c:v>SM-Antigen (0=negativ, 1=positiv)</c:v>
                </c:pt>
                <c:pt idx="57">
                  <c:v>SP100-Antikörper (0=negativ, 1=positiv)</c:v>
                </c:pt>
                <c:pt idx="58">
                  <c:v>Parietalzell-Autoantikörper (PCA) (0=negativ, 1=positiv)</c:v>
                </c:pt>
                <c:pt idx="59">
                  <c:v>Proteinkinase-Autoantikörper (0=negativ, 1=positiv)</c:v>
                </c:pt>
                <c:pt idx="60">
                  <c:v>Myeloperoxide-IgG-Autoantikörper (0=negativ, 1=positiv)</c:v>
                </c:pt>
                <c:pt idx="61">
                  <c:v>Lebercytosol-Antikörper (0=negativ, 1=positiv)</c:v>
                </c:pt>
                <c:pt idx="62">
                  <c:v>zirkulierende Immunkomplexe (0=negativ, 1=positiv)</c:v>
                </c:pt>
                <c:pt idx="63">
                  <c:v>Zytomegalievirus (0=negativ, 1=positiv)</c:v>
                </c:pt>
                <c:pt idx="64">
                  <c:v>HIV (0=negativ, 1=positiv) -&gt; siehe zusätzlich anamnese</c:v>
                </c:pt>
                <c:pt idx="65">
                  <c:v>HIV-Antikörper (0=negativ, 1=positiv)</c:v>
                </c:pt>
                <c:pt idx="66">
                  <c:v>Herpes simplex Virus IgM (0=negativ, 1=positiv)</c:v>
                </c:pt>
                <c:pt idx="67">
                  <c:v>Herpes simplex Virus IgG (0=negativ, 1=positiv)</c:v>
                </c:pt>
                <c:pt idx="68">
                  <c:v>HHV 6 (0=negativ, 1=positiv)</c:v>
                </c:pt>
                <c:pt idx="69">
                  <c:v>Masern IgM (0=negativ, 1=positiv)</c:v>
                </c:pt>
                <c:pt idx="70">
                  <c:v>Röteln IgM (0=negativ, 1=positiv)</c:v>
                </c:pt>
                <c:pt idx="71">
                  <c:v>Mycoplasmatische Antikörper (0=negativ, 1=positiv)</c:v>
                </c:pt>
                <c:pt idx="72">
                  <c:v>Parvovirus B19 (0=negativ, 1=positiv)</c:v>
                </c:pt>
                <c:pt idx="73">
                  <c:v>ECHO-Virus (0=negativ, 1=positiv)</c:v>
                </c:pt>
                <c:pt idx="74">
                  <c:v>Borellien-IgM (0=negativ, 1=positiv)</c:v>
                </c:pt>
                <c:pt idx="75">
                  <c:v>Coxsackie-Virus-Antikörper (0=negativ, 1=positiv)</c:v>
                </c:pt>
                <c:pt idx="76">
                  <c:v>Hepatitis A-Antikörper (0=negativ, 1=positiv)</c:v>
                </c:pt>
                <c:pt idx="77">
                  <c:v>Hepatitis B-Antikörper (0=negativ, 1=positiv)</c:v>
                </c:pt>
                <c:pt idx="78">
                  <c:v>Hepatitis C-Antikörper (0=negativ, 1=positiv)</c:v>
                </c:pt>
                <c:pt idx="79">
                  <c:v>Hepatitis D-Antikörper (0=negativ, 1=positiv)</c:v>
                </c:pt>
                <c:pt idx="80">
                  <c:v>Hepatitis E-Antikörper (0=negativ, 1=positiv)</c:v>
                </c:pt>
                <c:pt idx="81">
                  <c:v>Anti-HAV-IgG (0=negativ, 1=positiv)</c:v>
                </c:pt>
                <c:pt idx="82">
                  <c:v>Anti-HAV-IgM (0=negativ, 1=positiv)</c:v>
                </c:pt>
                <c:pt idx="83">
                  <c:v>Anti-HCV-IgG (0=negativ, 1=positiv)</c:v>
                </c:pt>
                <c:pt idx="84">
                  <c:v>Anti-HCV-IgM (0=negativ, 1=positiv)</c:v>
                </c:pt>
                <c:pt idx="85">
                  <c:v>HCV-RNA (0=negativ, 1=positiv)</c:v>
                </c:pt>
                <c:pt idx="86">
                  <c:v>Anti-HEV-IgM (0=negativ, 1=positiv)</c:v>
                </c:pt>
                <c:pt idx="87">
                  <c:v>HBs-Antikörper (0=negativ, 1=positiv)</c:v>
                </c:pt>
                <c:pt idx="88">
                  <c:v>HBsAg (0=negativ, 1=positiv)</c:v>
                </c:pt>
                <c:pt idx="89">
                  <c:v>HBc-Antikörper (0=negativ, 1=positiv)</c:v>
                </c:pt>
                <c:pt idx="90">
                  <c:v>Anti-HBc-IgG (0=negativ, 1=positiv)</c:v>
                </c:pt>
                <c:pt idx="91">
                  <c:v>Anti-HBc-IgM (0=negativ, 1=positiv)</c:v>
                </c:pt>
                <c:pt idx="92">
                  <c:v>HBe antikörper (0=negativ, 1=positiv)</c:v>
                </c:pt>
                <c:pt idx="93">
                  <c:v>HBeAg (0=negativ, 1=positiv)</c:v>
                </c:pt>
                <c:pt idx="94">
                  <c:v>HBV-DNA (0=negativ, 1=positiv)</c:v>
                </c:pt>
                <c:pt idx="95">
                  <c:v>HBV-VCA-IgG (0=negativ, 1=positiv)</c:v>
                </c:pt>
                <c:pt idx="96">
                  <c:v>Hepatitis C-RNA (0=negativ, 1=positiv)</c:v>
                </c:pt>
                <c:pt idx="97">
                  <c:v>Hepatitis G-RNA (0=negativ, 1=positiv)</c:v>
                </c:pt>
                <c:pt idx="98">
                  <c:v>Anti-Leber microsomaler Antikörper (0=negativ, 1=positiv)</c:v>
                </c:pt>
                <c:pt idx="99">
                  <c:v>Anti-Niere microsomaler Antikörper (0=negativ, 1=positiv)</c:v>
                </c:pt>
                <c:pt idx="100">
                  <c:v>CCP-Autoantikörper (0=negativ, 1=positiv)</c:v>
                </c:pt>
                <c:pt idx="101">
                  <c:v>HLA B51 (0=negativ, 1=positiv)</c:v>
                </c:pt>
                <c:pt idx="102">
                  <c:v>psoriatic specific Antigen (PSA) (0=negativ, 1=positiv)</c:v>
                </c:pt>
              </c:strCache>
            </c:strRef>
          </c:cat>
          <c:val>
            <c:numRef>
              <c:f>'Diagramms quant'!$C$91:$DA$91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57-402C-8265-54D249DF6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871360"/>
        <c:axId val="1418876160"/>
      </c:barChart>
      <c:catAx>
        <c:axId val="141887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18876160"/>
        <c:crosses val="autoZero"/>
        <c:auto val="1"/>
        <c:lblAlgn val="ctr"/>
        <c:lblOffset val="100"/>
        <c:noMultiLvlLbl val="0"/>
      </c:catAx>
      <c:valAx>
        <c:axId val="14188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188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</a:t>
            </a:r>
            <a:r>
              <a:rPr lang="de-DE" baseline="0"/>
              <a:t>_diclo positive/negative test-results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'Diagramms qual'!$B$2</c:f>
              <c:strCache>
                <c:ptCount val="1"/>
                <c:pt idx="0">
                  <c:v>Leber_Diclo positiv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'Diagramms qual'!$C$1:$P$1</c:f>
              <c:strCache>
                <c:ptCount val="14"/>
                <c:pt idx="0">
                  <c:v>EBV-VCA-IgG (0=negativ, 1=positiv)</c:v>
                </c:pt>
                <c:pt idx="1">
                  <c:v>Epstein-Barr-IgM (0=negativ, 1=positiv)</c:v>
                </c:pt>
                <c:pt idx="2">
                  <c:v>Cytomegalievirus (CMV) (0=negativ, 1=positiv)</c:v>
                </c:pt>
                <c:pt idx="3">
                  <c:v>ANA(Antinukleäre Antikörper)-Datum umbekannt (0=negativ (≤ 1:80), 1=positiv)</c:v>
                </c:pt>
                <c:pt idx="4">
                  <c:v>c-ANCA (0=negativ, 1=positiv</c:v>
                </c:pt>
                <c:pt idx="5">
                  <c:v>p-ANCA (0=negativ, 1=positiv</c:v>
                </c:pt>
                <c:pt idx="6">
                  <c:v>AMA (Antimitochondrialer Autoantikörper (0=negativ, 1=positiv)</c:v>
                </c:pt>
                <c:pt idx="7">
                  <c:v>Hepatitis A-Antikörper (0=negativ, 1=positiv)</c:v>
                </c:pt>
                <c:pt idx="8">
                  <c:v>Hepatitis B-Antikörper (0=negativ, 1=positiv)</c:v>
                </c:pt>
                <c:pt idx="9">
                  <c:v>Hepatitis C-Antikörper (0=negativ, 1=positiv)</c:v>
                </c:pt>
                <c:pt idx="10">
                  <c:v>Anti-HAV-IgM (0=negativ, 1=positiv)</c:v>
                </c:pt>
                <c:pt idx="11">
                  <c:v>HBs-Antikörper (0=negativ, 1=positiv)</c:v>
                </c:pt>
                <c:pt idx="12">
                  <c:v>HBsAg (0=negativ, 1=positiv)</c:v>
                </c:pt>
                <c:pt idx="13">
                  <c:v>HBc-Antikörper (0=negativ, 1=positiv)</c:v>
                </c:pt>
              </c:strCache>
            </c:strRef>
          </c:cat>
          <c:val>
            <c:numRef>
              <c:f>'Diagramms qual'!$C$2:$P$2</c:f>
              <c:numCache>
                <c:formatCode>General</c:formatCode>
                <c:ptCount val="14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3-4DA2-9D29-25062BD3626D}"/>
            </c:ext>
          </c:extLst>
        </c:ser>
        <c:ser>
          <c:idx val="1"/>
          <c:order val="1"/>
          <c:tx>
            <c:strRef>
              <c:f>'Diagramms qual'!$B$3</c:f>
              <c:strCache>
                <c:ptCount val="1"/>
                <c:pt idx="0">
                  <c:v>Leber_Diclo negativ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'Diagramms qual'!$C$1:$P$1</c:f>
              <c:strCache>
                <c:ptCount val="14"/>
                <c:pt idx="0">
                  <c:v>EBV-VCA-IgG (0=negativ, 1=positiv)</c:v>
                </c:pt>
                <c:pt idx="1">
                  <c:v>Epstein-Barr-IgM (0=negativ, 1=positiv)</c:v>
                </c:pt>
                <c:pt idx="2">
                  <c:v>Cytomegalievirus (CMV) (0=negativ, 1=positiv)</c:v>
                </c:pt>
                <c:pt idx="3">
                  <c:v>ANA(Antinukleäre Antikörper)-Datum umbekannt (0=negativ (≤ 1:80), 1=positiv)</c:v>
                </c:pt>
                <c:pt idx="4">
                  <c:v>c-ANCA (0=negativ, 1=positiv</c:v>
                </c:pt>
                <c:pt idx="5">
                  <c:v>p-ANCA (0=negativ, 1=positiv</c:v>
                </c:pt>
                <c:pt idx="6">
                  <c:v>AMA (Antimitochondrialer Autoantikörper (0=negativ, 1=positiv)</c:v>
                </c:pt>
                <c:pt idx="7">
                  <c:v>Hepatitis A-Antikörper (0=negativ, 1=positiv)</c:v>
                </c:pt>
                <c:pt idx="8">
                  <c:v>Hepatitis B-Antikörper (0=negativ, 1=positiv)</c:v>
                </c:pt>
                <c:pt idx="9">
                  <c:v>Hepatitis C-Antikörper (0=negativ, 1=positiv)</c:v>
                </c:pt>
                <c:pt idx="10">
                  <c:v>Anti-HAV-IgM (0=negativ, 1=positiv)</c:v>
                </c:pt>
                <c:pt idx="11">
                  <c:v>HBs-Antikörper (0=negativ, 1=positiv)</c:v>
                </c:pt>
                <c:pt idx="12">
                  <c:v>HBsAg (0=negativ, 1=positiv)</c:v>
                </c:pt>
                <c:pt idx="13">
                  <c:v>HBc-Antikörper (0=negativ, 1=positiv)</c:v>
                </c:pt>
              </c:strCache>
            </c:strRef>
          </c:cat>
          <c:val>
            <c:numRef>
              <c:f>'Diagramms qual'!$C$3:$P$3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11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13</c:v>
                </c:pt>
                <c:pt idx="8">
                  <c:v>15</c:v>
                </c:pt>
                <c:pt idx="9">
                  <c:v>20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E3-4DA2-9D29-25062BD36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6076464"/>
        <c:axId val="1716063984"/>
      </c:barChart>
      <c:catAx>
        <c:axId val="171607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6063984"/>
        <c:crosses val="autoZero"/>
        <c:auto val="1"/>
        <c:lblAlgn val="ctr"/>
        <c:lblOffset val="100"/>
        <c:noMultiLvlLbl val="0"/>
      </c:catAx>
      <c:valAx>
        <c:axId val="171606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607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leber_ibu positive/negative test-results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'Diagramms qual'!$B$26</c:f>
              <c:strCache>
                <c:ptCount val="1"/>
                <c:pt idx="0">
                  <c:v>Leber_Ibu positiv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'Diagramms qual'!$C$25:$P$25</c:f>
              <c:strCache>
                <c:ptCount val="14"/>
                <c:pt idx="0">
                  <c:v>EBV-VCA-IgG (0=negativ, 1=positiv)</c:v>
                </c:pt>
                <c:pt idx="1">
                  <c:v>Epstein-Barr-IgM (0=negativ, 1=positiv)</c:v>
                </c:pt>
                <c:pt idx="2">
                  <c:v>Cytomegalievirus (CMV) (0=negativ, 1=positiv)</c:v>
                </c:pt>
                <c:pt idx="3">
                  <c:v>ANA(Antinukleäre Antikörper)-Datum umbekannt (0=negativ (≤ 1:80), 1=positiv)</c:v>
                </c:pt>
                <c:pt idx="4">
                  <c:v>c-ANCA (0=negativ, 1=positiv</c:v>
                </c:pt>
                <c:pt idx="5">
                  <c:v>p-ANCA (0=negativ, 1=positiv</c:v>
                </c:pt>
                <c:pt idx="6">
                  <c:v>AMA (Antimitochondrialer Autoantikörper (0=negativ, 1=positiv)</c:v>
                </c:pt>
                <c:pt idx="7">
                  <c:v>Hepatitis A-Antikörper (0=negativ, 1=positiv)</c:v>
                </c:pt>
                <c:pt idx="8">
                  <c:v>Hepatitis B-Antikörper (0=negativ, 1=positiv)</c:v>
                </c:pt>
                <c:pt idx="9">
                  <c:v>Hepatitis C-Antikörper (0=negativ, 1=positiv)</c:v>
                </c:pt>
                <c:pt idx="10">
                  <c:v>Anti-HAV-IgM (0=negativ, 1=positiv)</c:v>
                </c:pt>
                <c:pt idx="11">
                  <c:v>HBs-Antikörper (0=negativ, 1=positiv)</c:v>
                </c:pt>
                <c:pt idx="12">
                  <c:v>HBsAg (0=negativ, 1=positiv)</c:v>
                </c:pt>
                <c:pt idx="13">
                  <c:v>HBc-Antikörper (0=negativ, 1=positiv)</c:v>
                </c:pt>
              </c:strCache>
            </c:strRef>
          </c:cat>
          <c:val>
            <c:numRef>
              <c:f>'Diagramms qual'!$C$26:$P$26</c:f>
              <c:numCache>
                <c:formatCode>General</c:formatCode>
                <c:ptCount val="14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6-4330-82A4-3B9DD6AD1D10}"/>
            </c:ext>
          </c:extLst>
        </c:ser>
        <c:ser>
          <c:idx val="1"/>
          <c:order val="1"/>
          <c:tx>
            <c:strRef>
              <c:f>'Diagramms qual'!$B$27</c:f>
              <c:strCache>
                <c:ptCount val="1"/>
                <c:pt idx="0">
                  <c:v>Leber_Ibu negativ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'Diagramms qual'!$C$25:$P$25</c:f>
              <c:strCache>
                <c:ptCount val="14"/>
                <c:pt idx="0">
                  <c:v>EBV-VCA-IgG (0=negativ, 1=positiv)</c:v>
                </c:pt>
                <c:pt idx="1">
                  <c:v>Epstein-Barr-IgM (0=negativ, 1=positiv)</c:v>
                </c:pt>
                <c:pt idx="2">
                  <c:v>Cytomegalievirus (CMV) (0=negativ, 1=positiv)</c:v>
                </c:pt>
                <c:pt idx="3">
                  <c:v>ANA(Antinukleäre Antikörper)-Datum umbekannt (0=negativ (≤ 1:80), 1=positiv)</c:v>
                </c:pt>
                <c:pt idx="4">
                  <c:v>c-ANCA (0=negativ, 1=positiv</c:v>
                </c:pt>
                <c:pt idx="5">
                  <c:v>p-ANCA (0=negativ, 1=positiv</c:v>
                </c:pt>
                <c:pt idx="6">
                  <c:v>AMA (Antimitochondrialer Autoantikörper (0=negativ, 1=positiv)</c:v>
                </c:pt>
                <c:pt idx="7">
                  <c:v>Hepatitis A-Antikörper (0=negativ, 1=positiv)</c:v>
                </c:pt>
                <c:pt idx="8">
                  <c:v>Hepatitis B-Antikörper (0=negativ, 1=positiv)</c:v>
                </c:pt>
                <c:pt idx="9">
                  <c:v>Hepatitis C-Antikörper (0=negativ, 1=positiv)</c:v>
                </c:pt>
                <c:pt idx="10">
                  <c:v>Anti-HAV-IgM (0=negativ, 1=positiv)</c:v>
                </c:pt>
                <c:pt idx="11">
                  <c:v>HBs-Antikörper (0=negativ, 1=positiv)</c:v>
                </c:pt>
                <c:pt idx="12">
                  <c:v>HBsAg (0=negativ, 1=positiv)</c:v>
                </c:pt>
                <c:pt idx="13">
                  <c:v>HBc-Antikörper (0=negativ, 1=positiv)</c:v>
                </c:pt>
              </c:strCache>
            </c:strRef>
          </c:cat>
          <c:val>
            <c:numRef>
              <c:f>'Diagramms qual'!$C$27:$P$27</c:f>
              <c:numCache>
                <c:formatCode>General</c:formatCode>
                <c:ptCount val="14"/>
                <c:pt idx="0">
                  <c:v>2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17</c:v>
                </c:pt>
                <c:pt idx="8">
                  <c:v>14</c:v>
                </c:pt>
                <c:pt idx="9">
                  <c:v>17</c:v>
                </c:pt>
                <c:pt idx="10">
                  <c:v>1</c:v>
                </c:pt>
                <c:pt idx="11">
                  <c:v>6</c:v>
                </c:pt>
                <c:pt idx="12">
                  <c:v>9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36-4330-82A4-3B9DD6AD1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6068784"/>
        <c:axId val="1716060144"/>
      </c:barChart>
      <c:catAx>
        <c:axId val="171606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6060144"/>
        <c:crosses val="autoZero"/>
        <c:auto val="1"/>
        <c:lblAlgn val="ctr"/>
        <c:lblOffset val="100"/>
        <c:noMultiLvlLbl val="0"/>
      </c:catAx>
      <c:valAx>
        <c:axId val="17160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606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leber_para positive/negative test-results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'Diagramms qual'!$B$54</c:f>
              <c:strCache>
                <c:ptCount val="1"/>
                <c:pt idx="0">
                  <c:v>Leber_Para positiv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'Diagramms qual'!$C$53:$P$53</c:f>
              <c:strCache>
                <c:ptCount val="14"/>
                <c:pt idx="0">
                  <c:v>EBV-VCA-IgG (0=negativ, 1=positiv)</c:v>
                </c:pt>
                <c:pt idx="1">
                  <c:v>Epstein-Barr-IgM (0=negativ, 1=positiv)</c:v>
                </c:pt>
                <c:pt idx="2">
                  <c:v>Cytomegalievirus (CMV) (0=negativ, 1=positiv)</c:v>
                </c:pt>
                <c:pt idx="3">
                  <c:v>ANA(Antinukleäre Antikörper)-Datum umbekannt (0=negativ (≤ 1:80), 1=positiv)</c:v>
                </c:pt>
                <c:pt idx="4">
                  <c:v>c-ANCA (0=negativ, 1=positiv</c:v>
                </c:pt>
                <c:pt idx="5">
                  <c:v>p-ANCA (0=negativ, 1=positiv</c:v>
                </c:pt>
                <c:pt idx="6">
                  <c:v>AMA (Antimitochondrialer Autoantikörper (0=negativ, 1=positiv)</c:v>
                </c:pt>
                <c:pt idx="7">
                  <c:v>Hepatitis A-Antikörper (0=negativ, 1=positiv)</c:v>
                </c:pt>
                <c:pt idx="8">
                  <c:v>Hepatitis B-Antikörper (0=negativ, 1=positiv)</c:v>
                </c:pt>
                <c:pt idx="9">
                  <c:v>Hepatitis C-Antikörper (0=negativ, 1=positiv)</c:v>
                </c:pt>
                <c:pt idx="10">
                  <c:v>Anti-HAV-IgM (0=negativ, 1=positiv)</c:v>
                </c:pt>
                <c:pt idx="11">
                  <c:v>HBs-Antikörper (0=negativ, 1=positiv)</c:v>
                </c:pt>
                <c:pt idx="12">
                  <c:v>HBsAg (0=negativ, 1=positiv)</c:v>
                </c:pt>
                <c:pt idx="13">
                  <c:v>HBc-Antikörper (0=negativ, 1=positiv)</c:v>
                </c:pt>
              </c:strCache>
            </c:strRef>
          </c:cat>
          <c:val>
            <c:numRef>
              <c:f>'Diagramms qual'!$C$54:$P$54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8-4E0D-8EA8-39563D96EF52}"/>
            </c:ext>
          </c:extLst>
        </c:ser>
        <c:ser>
          <c:idx val="1"/>
          <c:order val="1"/>
          <c:tx>
            <c:strRef>
              <c:f>'Diagramms qual'!$B$55</c:f>
              <c:strCache>
                <c:ptCount val="1"/>
                <c:pt idx="0">
                  <c:v>Leber_Para negativ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'Diagramms qual'!$C$53:$P$53</c:f>
              <c:strCache>
                <c:ptCount val="14"/>
                <c:pt idx="0">
                  <c:v>EBV-VCA-IgG (0=negativ, 1=positiv)</c:v>
                </c:pt>
                <c:pt idx="1">
                  <c:v>Epstein-Barr-IgM (0=negativ, 1=positiv)</c:v>
                </c:pt>
                <c:pt idx="2">
                  <c:v>Cytomegalievirus (CMV) (0=negativ, 1=positiv)</c:v>
                </c:pt>
                <c:pt idx="3">
                  <c:v>ANA(Antinukleäre Antikörper)-Datum umbekannt (0=negativ (≤ 1:80), 1=positiv)</c:v>
                </c:pt>
                <c:pt idx="4">
                  <c:v>c-ANCA (0=negativ, 1=positiv</c:v>
                </c:pt>
                <c:pt idx="5">
                  <c:v>p-ANCA (0=negativ, 1=positiv</c:v>
                </c:pt>
                <c:pt idx="6">
                  <c:v>AMA (Antimitochondrialer Autoantikörper (0=negativ, 1=positiv)</c:v>
                </c:pt>
                <c:pt idx="7">
                  <c:v>Hepatitis A-Antikörper (0=negativ, 1=positiv)</c:v>
                </c:pt>
                <c:pt idx="8">
                  <c:v>Hepatitis B-Antikörper (0=negativ, 1=positiv)</c:v>
                </c:pt>
                <c:pt idx="9">
                  <c:v>Hepatitis C-Antikörper (0=negativ, 1=positiv)</c:v>
                </c:pt>
                <c:pt idx="10">
                  <c:v>Anti-HAV-IgM (0=negativ, 1=positiv)</c:v>
                </c:pt>
                <c:pt idx="11">
                  <c:v>HBs-Antikörper (0=negativ, 1=positiv)</c:v>
                </c:pt>
                <c:pt idx="12">
                  <c:v>HBsAg (0=negativ, 1=positiv)</c:v>
                </c:pt>
                <c:pt idx="13">
                  <c:v>HBc-Antikörper (0=negativ, 1=positiv)</c:v>
                </c:pt>
              </c:strCache>
            </c:strRef>
          </c:cat>
          <c:val>
            <c:numRef>
              <c:f>'Diagramms qual'!$C$55:$P$55</c:f>
              <c:numCache>
                <c:formatCode>General</c:formatCode>
                <c:ptCount val="14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2</c:v>
                </c:pt>
                <c:pt idx="11">
                  <c:v>2</c:v>
                </c:pt>
                <c:pt idx="12">
                  <c:v>6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A8-4E0D-8EA8-39563D96E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4409136"/>
        <c:axId val="1624412976"/>
      </c:barChart>
      <c:catAx>
        <c:axId val="162440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4412976"/>
        <c:crosses val="autoZero"/>
        <c:auto val="1"/>
        <c:lblAlgn val="ctr"/>
        <c:lblOffset val="100"/>
        <c:noMultiLvlLbl val="0"/>
      </c:catAx>
      <c:valAx>
        <c:axId val="162441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440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5</xdr:row>
      <xdr:rowOff>61912</xdr:rowOff>
    </xdr:from>
    <xdr:to>
      <xdr:col>23</xdr:col>
      <xdr:colOff>133349</xdr:colOff>
      <xdr:row>37</xdr:row>
      <xdr:rowOff>114300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0379786-5579-7F17-6DC3-195A75745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49</xdr:row>
      <xdr:rowOff>52386</xdr:rowOff>
    </xdr:from>
    <xdr:to>
      <xdr:col>23</xdr:col>
      <xdr:colOff>57150</xdr:colOff>
      <xdr:row>80</xdr:row>
      <xdr:rowOff>95249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98F390D-C4ED-680C-EEE9-51689B8F6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180974</xdr:colOff>
      <xdr:row>91</xdr:row>
      <xdr:rowOff>147636</xdr:rowOff>
    </xdr:from>
    <xdr:to>
      <xdr:col>22</xdr:col>
      <xdr:colOff>657225</xdr:colOff>
      <xdr:row>124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6158794F-C357-EA8C-4AD4-F6C77CB75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</xdr:row>
      <xdr:rowOff>138112</xdr:rowOff>
    </xdr:from>
    <xdr:to>
      <xdr:col>9</xdr:col>
      <xdr:colOff>442912</xdr:colOff>
      <xdr:row>22</xdr:row>
      <xdr:rowOff>23812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FB8EB1C9-70DE-5747-D7AE-2160ABCCB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347661</xdr:colOff>
      <xdr:row>28</xdr:row>
      <xdr:rowOff>23811</xdr:rowOff>
    </xdr:from>
    <xdr:to>
      <xdr:col>10</xdr:col>
      <xdr:colOff>409575</xdr:colOff>
      <xdr:row>49</xdr:row>
      <xdr:rowOff>85724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649795B3-C79C-B55A-D0CD-864B64BC4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309562</xdr:colOff>
      <xdr:row>55</xdr:row>
      <xdr:rowOff>128587</xdr:rowOff>
    </xdr:from>
    <xdr:to>
      <xdr:col>12</xdr:col>
      <xdr:colOff>619125</xdr:colOff>
      <xdr:row>76</xdr:row>
      <xdr:rowOff>142875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ACEBCD78-1E58-A5FE-D56F-BA2D693D1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BAD6-C38E-48CE-808F-1C2C90B5D31B}">
  <dimension ref="A1:DA136"/>
  <sheetViews>
    <sheetView tabSelected="1" topLeftCell="A67" workbookViewId="0">
      <selection activeCell="I41" sqref="I41"/>
    </sheetView>
  </sheetViews>
  <sheetFormatPr baseColWidth="10" defaultRowHeight="15" x14ac:dyDescent="0.25"/>
  <sheetData>
    <row r="1" spans="1:105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7" t="s">
        <v>48</v>
      </c>
      <c r="Z1" s="7" t="s">
        <v>49</v>
      </c>
      <c r="AA1" s="7" t="s">
        <v>50</v>
      </c>
      <c r="AB1" s="7" t="s">
        <v>51</v>
      </c>
      <c r="AC1" s="7" t="s">
        <v>52</v>
      </c>
      <c r="AD1" s="7" t="s">
        <v>53</v>
      </c>
      <c r="AE1" s="7" t="s">
        <v>54</v>
      </c>
      <c r="AF1" s="7" t="s">
        <v>55</v>
      </c>
      <c r="AG1" s="7" t="s">
        <v>56</v>
      </c>
      <c r="AH1" s="7" t="s">
        <v>57</v>
      </c>
      <c r="AI1" s="7" t="s">
        <v>58</v>
      </c>
      <c r="AJ1" s="7" t="s">
        <v>162</v>
      </c>
      <c r="AK1" s="7" t="s">
        <v>60</v>
      </c>
      <c r="AL1" s="7" t="s">
        <v>61</v>
      </c>
      <c r="AM1" s="7" t="s">
        <v>62</v>
      </c>
      <c r="AN1" s="7" t="s">
        <v>63</v>
      </c>
      <c r="AO1" s="7" t="s">
        <v>64</v>
      </c>
      <c r="AP1" s="7" t="s">
        <v>65</v>
      </c>
      <c r="AQ1" s="7" t="s">
        <v>66</v>
      </c>
      <c r="AR1" s="7" t="s">
        <v>67</v>
      </c>
      <c r="AS1" s="7" t="s">
        <v>68</v>
      </c>
      <c r="AT1" s="7" t="s">
        <v>69</v>
      </c>
      <c r="AU1" s="7" t="s">
        <v>70</v>
      </c>
      <c r="AV1" s="7" t="s">
        <v>71</v>
      </c>
      <c r="AW1" s="7" t="s">
        <v>72</v>
      </c>
      <c r="AX1" s="7" t="s">
        <v>73</v>
      </c>
      <c r="AY1" s="7" t="s">
        <v>74</v>
      </c>
      <c r="AZ1" s="7" t="s">
        <v>75</v>
      </c>
      <c r="BA1" s="7" t="s">
        <v>76</v>
      </c>
      <c r="BB1" s="7" t="s">
        <v>77</v>
      </c>
      <c r="BC1" s="7" t="s">
        <v>78</v>
      </c>
      <c r="BD1" s="7" t="s">
        <v>79</v>
      </c>
      <c r="BE1" s="7" t="s">
        <v>80</v>
      </c>
      <c r="BF1" s="7" t="s">
        <v>81</v>
      </c>
      <c r="BG1" s="7" t="s">
        <v>82</v>
      </c>
      <c r="BH1" s="7" t="s">
        <v>83</v>
      </c>
      <c r="BI1" s="7" t="s">
        <v>84</v>
      </c>
      <c r="BJ1" s="7" t="s">
        <v>85</v>
      </c>
      <c r="BK1" s="7" t="s">
        <v>86</v>
      </c>
      <c r="BL1" s="7" t="s">
        <v>87</v>
      </c>
      <c r="BM1" s="7" t="s">
        <v>88</v>
      </c>
      <c r="BN1" s="7" t="s">
        <v>89</v>
      </c>
      <c r="BO1" s="7" t="s">
        <v>90</v>
      </c>
      <c r="BP1" s="7" t="s">
        <v>91</v>
      </c>
      <c r="BQ1" s="7" t="s">
        <v>92</v>
      </c>
      <c r="BR1" s="7" t="s">
        <v>93</v>
      </c>
      <c r="BS1" s="7" t="s">
        <v>94</v>
      </c>
      <c r="BT1" s="7" t="s">
        <v>95</v>
      </c>
      <c r="BU1" s="7" t="s">
        <v>96</v>
      </c>
      <c r="BV1" s="7" t="s">
        <v>97</v>
      </c>
      <c r="BW1" s="7" t="s">
        <v>98</v>
      </c>
      <c r="BX1" s="7" t="s">
        <v>99</v>
      </c>
      <c r="BY1" s="7" t="s">
        <v>100</v>
      </c>
      <c r="BZ1" s="7" t="s">
        <v>101</v>
      </c>
      <c r="CA1" s="7" t="s">
        <v>102</v>
      </c>
      <c r="CB1" s="7" t="s">
        <v>103</v>
      </c>
      <c r="CC1" s="7" t="s">
        <v>104</v>
      </c>
      <c r="CD1" s="7" t="s">
        <v>105</v>
      </c>
      <c r="CE1" s="7" t="s">
        <v>106</v>
      </c>
      <c r="CF1" s="7" t="s">
        <v>107</v>
      </c>
      <c r="CG1" s="7" t="s">
        <v>108</v>
      </c>
      <c r="CH1" s="7" t="s">
        <v>109</v>
      </c>
      <c r="CI1" s="7" t="s">
        <v>110</v>
      </c>
      <c r="CJ1" s="7" t="s">
        <v>111</v>
      </c>
      <c r="CK1" s="7" t="s">
        <v>112</v>
      </c>
      <c r="CL1" s="7" t="s">
        <v>113</v>
      </c>
      <c r="CM1" s="7" t="s">
        <v>114</v>
      </c>
      <c r="CN1" s="7" t="s">
        <v>115</v>
      </c>
      <c r="CO1" s="7" t="s">
        <v>116</v>
      </c>
      <c r="CP1" s="7" t="s">
        <v>117</v>
      </c>
      <c r="CQ1" s="7" t="s">
        <v>118</v>
      </c>
      <c r="CR1" s="7" t="s">
        <v>119</v>
      </c>
      <c r="CS1" s="7" t="s">
        <v>120</v>
      </c>
      <c r="CT1" s="7" t="s">
        <v>121</v>
      </c>
      <c r="CU1" s="7" t="s">
        <v>122</v>
      </c>
      <c r="CV1" s="7" t="s">
        <v>123</v>
      </c>
      <c r="CW1" s="7" t="s">
        <v>124</v>
      </c>
      <c r="CX1" s="7" t="s">
        <v>125</v>
      </c>
      <c r="CY1" s="7" t="s">
        <v>126</v>
      </c>
      <c r="CZ1" s="7" t="s">
        <v>127</v>
      </c>
      <c r="DA1" s="7" t="s">
        <v>128</v>
      </c>
    </row>
    <row r="2" spans="1:105" x14ac:dyDescent="0.25">
      <c r="A2" t="s">
        <v>168</v>
      </c>
      <c r="B2" t="s">
        <v>11</v>
      </c>
      <c r="C2">
        <v>1</v>
      </c>
      <c r="D2">
        <v>3</v>
      </c>
      <c r="E2">
        <v>3</v>
      </c>
      <c r="F2">
        <v>2</v>
      </c>
      <c r="G2">
        <v>1</v>
      </c>
      <c r="H2">
        <v>2</v>
      </c>
      <c r="I2">
        <v>1</v>
      </c>
      <c r="J2">
        <v>4</v>
      </c>
      <c r="K2">
        <v>1</v>
      </c>
      <c r="L2">
        <v>2</v>
      </c>
      <c r="M2">
        <v>3</v>
      </c>
      <c r="N2">
        <v>2</v>
      </c>
      <c r="O2">
        <v>7</v>
      </c>
      <c r="P2">
        <v>2</v>
      </c>
      <c r="Q2">
        <v>2</v>
      </c>
      <c r="R2">
        <v>2</v>
      </c>
      <c r="S2">
        <v>1</v>
      </c>
      <c r="T2">
        <v>0</v>
      </c>
      <c r="U2">
        <v>1</v>
      </c>
      <c r="V2">
        <v>0</v>
      </c>
      <c r="W2">
        <v>3</v>
      </c>
      <c r="X2">
        <v>14</v>
      </c>
      <c r="Y2">
        <v>5</v>
      </c>
      <c r="Z2">
        <v>6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2</v>
      </c>
      <c r="AH2">
        <v>0</v>
      </c>
      <c r="AI2">
        <v>2</v>
      </c>
      <c r="AJ2">
        <v>2</v>
      </c>
      <c r="AK2">
        <v>0</v>
      </c>
      <c r="AL2">
        <v>3</v>
      </c>
      <c r="AM2">
        <v>1</v>
      </c>
      <c r="AN2">
        <v>2</v>
      </c>
      <c r="AO2">
        <v>1</v>
      </c>
      <c r="AP2">
        <v>1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0</v>
      </c>
      <c r="AX2">
        <v>3</v>
      </c>
      <c r="AY2">
        <v>0</v>
      </c>
      <c r="AZ2">
        <v>3</v>
      </c>
      <c r="BA2">
        <v>1</v>
      </c>
      <c r="BB2">
        <v>1</v>
      </c>
      <c r="BC2">
        <v>8</v>
      </c>
      <c r="BD2">
        <v>1</v>
      </c>
      <c r="BE2">
        <v>2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  <c r="BL2">
        <v>0</v>
      </c>
      <c r="BM2">
        <v>0</v>
      </c>
      <c r="BN2">
        <v>0</v>
      </c>
      <c r="BO2">
        <v>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1</v>
      </c>
      <c r="CA2">
        <v>16</v>
      </c>
      <c r="CB2">
        <v>16</v>
      </c>
      <c r="CC2">
        <v>20</v>
      </c>
      <c r="CD2">
        <v>0</v>
      </c>
      <c r="CE2">
        <v>3</v>
      </c>
      <c r="CF2">
        <v>4</v>
      </c>
      <c r="CG2">
        <v>5</v>
      </c>
      <c r="CH2">
        <v>0</v>
      </c>
      <c r="CI2">
        <v>0</v>
      </c>
      <c r="CJ2">
        <v>0</v>
      </c>
      <c r="CK2">
        <v>0</v>
      </c>
      <c r="CL2">
        <v>8</v>
      </c>
      <c r="CM2">
        <v>7</v>
      </c>
      <c r="CN2">
        <v>12</v>
      </c>
      <c r="CO2">
        <v>0</v>
      </c>
      <c r="CP2">
        <v>0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</row>
    <row r="3" spans="1:105" x14ac:dyDescent="0.25">
      <c r="A3" t="s">
        <v>168</v>
      </c>
      <c r="B3" s="12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5</v>
      </c>
      <c r="K3">
        <v>1</v>
      </c>
      <c r="L3">
        <v>4</v>
      </c>
      <c r="M3">
        <v>7</v>
      </c>
      <c r="N3">
        <v>1</v>
      </c>
      <c r="O3">
        <v>5</v>
      </c>
      <c r="P3">
        <v>3</v>
      </c>
      <c r="Q3">
        <v>2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7</v>
      </c>
      <c r="Y3">
        <v>1</v>
      </c>
      <c r="Z3">
        <v>1</v>
      </c>
      <c r="AA3">
        <v>2</v>
      </c>
      <c r="AB3">
        <v>1</v>
      </c>
      <c r="AC3">
        <v>0</v>
      </c>
      <c r="AD3">
        <v>0</v>
      </c>
      <c r="AE3">
        <v>2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2</v>
      </c>
      <c r="AN3">
        <v>3</v>
      </c>
      <c r="AO3">
        <v>2</v>
      </c>
      <c r="AP3">
        <v>0</v>
      </c>
      <c r="AQ3">
        <v>0</v>
      </c>
      <c r="AR3">
        <v>0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2</v>
      </c>
      <c r="AZ3">
        <v>3</v>
      </c>
      <c r="BA3">
        <v>1</v>
      </c>
      <c r="BB3">
        <v>1</v>
      </c>
      <c r="BC3">
        <v>6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2</v>
      </c>
      <c r="BQ3">
        <v>2</v>
      </c>
      <c r="BR3">
        <v>2</v>
      </c>
      <c r="BS3">
        <v>1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18</v>
      </c>
      <c r="CB3">
        <v>14</v>
      </c>
      <c r="CC3">
        <v>18</v>
      </c>
      <c r="CD3">
        <v>0</v>
      </c>
      <c r="CE3">
        <v>3</v>
      </c>
      <c r="CF3">
        <v>1</v>
      </c>
      <c r="CG3">
        <v>1</v>
      </c>
      <c r="CH3">
        <v>0</v>
      </c>
      <c r="CI3">
        <v>0</v>
      </c>
      <c r="CJ3">
        <v>3</v>
      </c>
      <c r="CK3">
        <v>1</v>
      </c>
      <c r="CL3">
        <v>7</v>
      </c>
      <c r="CM3">
        <v>9</v>
      </c>
      <c r="CN3">
        <v>7</v>
      </c>
      <c r="CO3">
        <v>0</v>
      </c>
      <c r="CP3">
        <v>2</v>
      </c>
      <c r="CQ3">
        <v>0</v>
      </c>
      <c r="CR3">
        <v>1</v>
      </c>
      <c r="CS3">
        <v>0</v>
      </c>
      <c r="CT3">
        <v>0</v>
      </c>
      <c r="CU3">
        <v>1</v>
      </c>
      <c r="CV3">
        <v>0</v>
      </c>
      <c r="CW3">
        <v>1</v>
      </c>
      <c r="CX3">
        <v>1</v>
      </c>
      <c r="CY3">
        <v>0</v>
      </c>
      <c r="CZ3">
        <v>0</v>
      </c>
      <c r="DA3">
        <v>0</v>
      </c>
    </row>
    <row r="4" spans="1:105" x14ac:dyDescent="0.25">
      <c r="A4" t="s">
        <v>168</v>
      </c>
      <c r="B4" s="12" t="s">
        <v>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4</v>
      </c>
      <c r="K4">
        <v>1</v>
      </c>
      <c r="L4">
        <v>4</v>
      </c>
      <c r="M4">
        <v>8</v>
      </c>
      <c r="N4">
        <v>3</v>
      </c>
      <c r="O4">
        <v>6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2</v>
      </c>
      <c r="X4">
        <v>6</v>
      </c>
      <c r="Y4">
        <v>5</v>
      </c>
      <c r="Z4">
        <v>5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1</v>
      </c>
      <c r="AW4">
        <v>0</v>
      </c>
      <c r="AX4">
        <v>2</v>
      </c>
      <c r="AY4">
        <v>1</v>
      </c>
      <c r="AZ4">
        <v>2</v>
      </c>
      <c r="BA4">
        <v>1</v>
      </c>
      <c r="BB4">
        <v>0</v>
      </c>
      <c r="BC4">
        <v>3</v>
      </c>
      <c r="BD4">
        <v>2</v>
      </c>
      <c r="BE4">
        <v>1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1</v>
      </c>
      <c r="BM4">
        <v>0</v>
      </c>
      <c r="BN4">
        <v>1</v>
      </c>
      <c r="BO4">
        <v>3</v>
      </c>
      <c r="BP4">
        <v>2</v>
      </c>
      <c r="BQ4">
        <v>3</v>
      </c>
      <c r="BR4">
        <v>3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12</v>
      </c>
      <c r="CB4">
        <v>12</v>
      </c>
      <c r="CC4">
        <v>12</v>
      </c>
      <c r="CD4">
        <v>1</v>
      </c>
      <c r="CE4">
        <v>4</v>
      </c>
      <c r="CF4">
        <v>1</v>
      </c>
      <c r="CG4">
        <v>2</v>
      </c>
      <c r="CH4">
        <v>1</v>
      </c>
      <c r="CI4">
        <v>1</v>
      </c>
      <c r="CJ4">
        <v>1</v>
      </c>
      <c r="CK4">
        <v>0</v>
      </c>
      <c r="CL4">
        <v>4</v>
      </c>
      <c r="CM4">
        <v>6</v>
      </c>
      <c r="CN4">
        <v>4</v>
      </c>
      <c r="CO4">
        <v>1</v>
      </c>
      <c r="CP4">
        <v>2</v>
      </c>
      <c r="CQ4">
        <v>0</v>
      </c>
      <c r="CR4">
        <v>0</v>
      </c>
      <c r="CS4">
        <v>2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</row>
    <row r="5" spans="1:105" x14ac:dyDescent="0.25">
      <c r="B5" s="12"/>
    </row>
    <row r="6" spans="1:105" x14ac:dyDescent="0.25">
      <c r="B6" s="12"/>
    </row>
    <row r="7" spans="1:105" x14ac:dyDescent="0.25">
      <c r="B7" s="12"/>
    </row>
    <row r="8" spans="1:105" x14ac:dyDescent="0.25">
      <c r="B8" s="12"/>
    </row>
    <row r="9" spans="1:105" x14ac:dyDescent="0.25">
      <c r="B9" s="12"/>
    </row>
    <row r="10" spans="1:105" x14ac:dyDescent="0.25">
      <c r="B10" s="12"/>
    </row>
    <row r="11" spans="1:105" x14ac:dyDescent="0.25">
      <c r="B11" s="12"/>
    </row>
    <row r="12" spans="1:105" x14ac:dyDescent="0.25">
      <c r="B12" s="12"/>
    </row>
    <row r="13" spans="1:105" x14ac:dyDescent="0.25">
      <c r="B13" s="12"/>
    </row>
    <row r="14" spans="1:105" x14ac:dyDescent="0.25">
      <c r="B14" s="12"/>
    </row>
    <row r="15" spans="1:105" x14ac:dyDescent="0.25">
      <c r="B15" s="12"/>
    </row>
    <row r="16" spans="1:10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  <row r="24" spans="2:2" x14ac:dyDescent="0.25">
      <c r="B24" s="12"/>
    </row>
    <row r="25" spans="2:2" x14ac:dyDescent="0.25">
      <c r="B25" s="12"/>
    </row>
    <row r="26" spans="2:2" x14ac:dyDescent="0.25">
      <c r="B26" s="12"/>
    </row>
    <row r="27" spans="2:2" x14ac:dyDescent="0.25">
      <c r="B27" s="12"/>
    </row>
    <row r="28" spans="2:2" x14ac:dyDescent="0.25">
      <c r="B28" s="12"/>
    </row>
    <row r="29" spans="2:2" x14ac:dyDescent="0.25">
      <c r="B29" s="12"/>
    </row>
    <row r="30" spans="2:2" x14ac:dyDescent="0.25">
      <c r="B30" s="12"/>
    </row>
    <row r="31" spans="2:2" x14ac:dyDescent="0.25">
      <c r="B31" s="12"/>
    </row>
    <row r="32" spans="2:2" x14ac:dyDescent="0.25">
      <c r="B32" s="12"/>
    </row>
    <row r="33" spans="1:105" x14ac:dyDescent="0.25">
      <c r="B33" s="12"/>
    </row>
    <row r="34" spans="1:105" x14ac:dyDescent="0.25">
      <c r="B34" s="12"/>
    </row>
    <row r="35" spans="1:105" x14ac:dyDescent="0.25">
      <c r="B35" s="12"/>
    </row>
    <row r="36" spans="1:105" x14ac:dyDescent="0.25">
      <c r="B36" s="12"/>
    </row>
    <row r="37" spans="1:105" x14ac:dyDescent="0.25">
      <c r="B37" s="12"/>
    </row>
    <row r="38" spans="1:105" x14ac:dyDescent="0.25">
      <c r="B38" s="12"/>
    </row>
    <row r="39" spans="1:105" x14ac:dyDescent="0.25">
      <c r="B39" s="12"/>
    </row>
    <row r="40" spans="1:105" x14ac:dyDescent="0.25">
      <c r="B40" s="12"/>
    </row>
    <row r="41" spans="1:105" x14ac:dyDescent="0.25">
      <c r="B41" s="12"/>
    </row>
    <row r="42" spans="1:105" x14ac:dyDescent="0.25">
      <c r="B42" s="12"/>
    </row>
    <row r="43" spans="1:105" x14ac:dyDescent="0.25">
      <c r="B43" s="12"/>
    </row>
    <row r="44" spans="1:105" x14ac:dyDescent="0.25">
      <c r="B44" s="12"/>
    </row>
    <row r="45" spans="1:105" ht="120" x14ac:dyDescent="0.25">
      <c r="A45" s="1" t="s">
        <v>0</v>
      </c>
      <c r="B45" s="1" t="s">
        <v>1</v>
      </c>
      <c r="C45" s="7" t="s">
        <v>25</v>
      </c>
      <c r="D45" s="7" t="s">
        <v>26</v>
      </c>
      <c r="E45" s="7" t="s">
        <v>27</v>
      </c>
      <c r="F45" s="7" t="s">
        <v>28</v>
      </c>
      <c r="G45" s="7" t="s">
        <v>29</v>
      </c>
      <c r="H45" s="7" t="s">
        <v>30</v>
      </c>
      <c r="I45" s="7" t="s">
        <v>31</v>
      </c>
      <c r="J45" s="7" t="s">
        <v>32</v>
      </c>
      <c r="K45" s="7" t="s">
        <v>33</v>
      </c>
      <c r="L45" s="7" t="s">
        <v>34</v>
      </c>
      <c r="M45" s="8" t="s">
        <v>35</v>
      </c>
      <c r="N45" s="8" t="s">
        <v>36</v>
      </c>
      <c r="O45" s="8" t="s">
        <v>37</v>
      </c>
      <c r="P45" s="8" t="s">
        <v>38</v>
      </c>
      <c r="Q45" s="8" t="s">
        <v>39</v>
      </c>
      <c r="R45" s="8" t="s">
        <v>40</v>
      </c>
      <c r="S45" s="8" t="s">
        <v>41</v>
      </c>
      <c r="T45" s="8" t="s">
        <v>42</v>
      </c>
      <c r="U45" s="8" t="s">
        <v>43</v>
      </c>
      <c r="V45" s="8" t="s">
        <v>44</v>
      </c>
      <c r="W45" s="8" t="s">
        <v>45</v>
      </c>
      <c r="X45" s="7" t="s">
        <v>46</v>
      </c>
      <c r="Y45" s="7" t="s">
        <v>48</v>
      </c>
      <c r="Z45" s="7" t="s">
        <v>49</v>
      </c>
      <c r="AA45" s="7" t="s">
        <v>50</v>
      </c>
      <c r="AB45" s="7" t="s">
        <v>51</v>
      </c>
      <c r="AC45" s="7" t="s">
        <v>52</v>
      </c>
      <c r="AD45" s="7" t="s">
        <v>53</v>
      </c>
      <c r="AE45" s="7" t="s">
        <v>54</v>
      </c>
      <c r="AF45" s="7" t="s">
        <v>55</v>
      </c>
      <c r="AG45" s="7" t="s">
        <v>56</v>
      </c>
      <c r="AH45" s="7" t="s">
        <v>57</v>
      </c>
      <c r="AI45" s="7" t="s">
        <v>58</v>
      </c>
      <c r="AJ45" s="7" t="s">
        <v>162</v>
      </c>
      <c r="AK45" s="7" t="s">
        <v>60</v>
      </c>
      <c r="AL45" s="7" t="s">
        <v>61</v>
      </c>
      <c r="AM45" s="7" t="s">
        <v>62</v>
      </c>
      <c r="AN45" s="7" t="s">
        <v>63</v>
      </c>
      <c r="AO45" s="7" t="s">
        <v>64</v>
      </c>
      <c r="AP45" s="7" t="s">
        <v>65</v>
      </c>
      <c r="AQ45" s="7" t="s">
        <v>66</v>
      </c>
      <c r="AR45" s="7" t="s">
        <v>67</v>
      </c>
      <c r="AS45" s="7" t="s">
        <v>68</v>
      </c>
      <c r="AT45" s="7" t="s">
        <v>69</v>
      </c>
      <c r="AU45" s="7" t="s">
        <v>70</v>
      </c>
      <c r="AV45" s="7" t="s">
        <v>71</v>
      </c>
      <c r="AW45" s="7" t="s">
        <v>72</v>
      </c>
      <c r="AX45" s="7" t="s">
        <v>73</v>
      </c>
      <c r="AY45" s="7" t="s">
        <v>74</v>
      </c>
      <c r="AZ45" s="7" t="s">
        <v>75</v>
      </c>
      <c r="BA45" s="7" t="s">
        <v>76</v>
      </c>
      <c r="BB45" s="7" t="s">
        <v>77</v>
      </c>
      <c r="BC45" s="7" t="s">
        <v>78</v>
      </c>
      <c r="BD45" s="7" t="s">
        <v>79</v>
      </c>
      <c r="BE45" s="7" t="s">
        <v>80</v>
      </c>
      <c r="BF45" s="7" t="s">
        <v>81</v>
      </c>
      <c r="BG45" s="7" t="s">
        <v>82</v>
      </c>
      <c r="BH45" s="7" t="s">
        <v>83</v>
      </c>
      <c r="BI45" s="7" t="s">
        <v>84</v>
      </c>
      <c r="BJ45" s="7" t="s">
        <v>85</v>
      </c>
      <c r="BK45" s="7" t="s">
        <v>86</v>
      </c>
      <c r="BL45" s="7" t="s">
        <v>87</v>
      </c>
      <c r="BM45" s="7" t="s">
        <v>88</v>
      </c>
      <c r="BN45" s="7" t="s">
        <v>89</v>
      </c>
      <c r="BO45" s="7" t="s">
        <v>90</v>
      </c>
      <c r="BP45" s="7" t="s">
        <v>91</v>
      </c>
      <c r="BQ45" s="7" t="s">
        <v>92</v>
      </c>
      <c r="BR45" s="7" t="s">
        <v>93</v>
      </c>
      <c r="BS45" s="7" t="s">
        <v>94</v>
      </c>
      <c r="BT45" s="7" t="s">
        <v>95</v>
      </c>
      <c r="BU45" s="7" t="s">
        <v>96</v>
      </c>
      <c r="BV45" s="7" t="s">
        <v>97</v>
      </c>
      <c r="BW45" s="7" t="s">
        <v>98</v>
      </c>
      <c r="BX45" s="7" t="s">
        <v>99</v>
      </c>
      <c r="BY45" s="7" t="s">
        <v>100</v>
      </c>
      <c r="BZ45" s="7" t="s">
        <v>101</v>
      </c>
      <c r="CA45" s="7" t="s">
        <v>102</v>
      </c>
      <c r="CB45" s="7" t="s">
        <v>103</v>
      </c>
      <c r="CC45" s="7" t="s">
        <v>104</v>
      </c>
      <c r="CD45" s="7" t="s">
        <v>105</v>
      </c>
      <c r="CE45" s="7" t="s">
        <v>106</v>
      </c>
      <c r="CF45" s="7" t="s">
        <v>107</v>
      </c>
      <c r="CG45" s="7" t="s">
        <v>108</v>
      </c>
      <c r="CH45" s="7" t="s">
        <v>109</v>
      </c>
      <c r="CI45" s="7" t="s">
        <v>110</v>
      </c>
      <c r="CJ45" s="7" t="s">
        <v>111</v>
      </c>
      <c r="CK45" s="7" t="s">
        <v>112</v>
      </c>
      <c r="CL45" s="7" t="s">
        <v>113</v>
      </c>
      <c r="CM45" s="7" t="s">
        <v>114</v>
      </c>
      <c r="CN45" s="7" t="s">
        <v>115</v>
      </c>
      <c r="CO45" s="7" t="s">
        <v>116</v>
      </c>
      <c r="CP45" s="7" t="s">
        <v>117</v>
      </c>
      <c r="CQ45" s="7" t="s">
        <v>118</v>
      </c>
      <c r="CR45" s="7" t="s">
        <v>119</v>
      </c>
      <c r="CS45" s="7" t="s">
        <v>120</v>
      </c>
      <c r="CT45" s="7" t="s">
        <v>121</v>
      </c>
      <c r="CU45" s="7" t="s">
        <v>122</v>
      </c>
      <c r="CV45" s="7" t="s">
        <v>123</v>
      </c>
      <c r="CW45" s="7" t="s">
        <v>124</v>
      </c>
      <c r="CX45" s="7" t="s">
        <v>125</v>
      </c>
      <c r="CY45" s="7" t="s">
        <v>126</v>
      </c>
      <c r="CZ45" s="7" t="s">
        <v>127</v>
      </c>
      <c r="DA45" s="7" t="s">
        <v>128</v>
      </c>
    </row>
    <row r="46" spans="1:105" x14ac:dyDescent="0.25">
      <c r="A46" t="s">
        <v>167</v>
      </c>
      <c r="B46" t="s">
        <v>11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3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</row>
    <row r="47" spans="1:105" x14ac:dyDescent="0.25">
      <c r="A47" t="s">
        <v>167</v>
      </c>
      <c r="B47" s="12" t="s">
        <v>17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</row>
    <row r="48" spans="1:105" x14ac:dyDescent="0.25">
      <c r="A48" t="s">
        <v>167</v>
      </c>
      <c r="B48" s="12" t="s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</row>
    <row r="49" spans="2:2" x14ac:dyDescent="0.25">
      <c r="B49" s="12"/>
    </row>
    <row r="50" spans="2:2" x14ac:dyDescent="0.25">
      <c r="B50" s="12"/>
    </row>
    <row r="51" spans="2:2" x14ac:dyDescent="0.25">
      <c r="B51" s="12"/>
    </row>
    <row r="52" spans="2:2" x14ac:dyDescent="0.25">
      <c r="B52" s="12"/>
    </row>
    <row r="53" spans="2:2" x14ac:dyDescent="0.25">
      <c r="B53" s="12"/>
    </row>
    <row r="54" spans="2:2" x14ac:dyDescent="0.25">
      <c r="B54" s="12"/>
    </row>
    <row r="55" spans="2:2" x14ac:dyDescent="0.25">
      <c r="B55" s="12"/>
    </row>
    <row r="56" spans="2:2" x14ac:dyDescent="0.25">
      <c r="B56" s="12"/>
    </row>
    <row r="57" spans="2:2" x14ac:dyDescent="0.25">
      <c r="B57" s="12"/>
    </row>
    <row r="58" spans="2:2" x14ac:dyDescent="0.25">
      <c r="B58" s="12"/>
    </row>
    <row r="59" spans="2:2" x14ac:dyDescent="0.25">
      <c r="B59" s="12"/>
    </row>
    <row r="60" spans="2:2" x14ac:dyDescent="0.25">
      <c r="B60" s="12"/>
    </row>
    <row r="61" spans="2:2" x14ac:dyDescent="0.25">
      <c r="B61" s="12"/>
    </row>
    <row r="62" spans="2:2" x14ac:dyDescent="0.25">
      <c r="B62" s="12"/>
    </row>
    <row r="63" spans="2:2" x14ac:dyDescent="0.25">
      <c r="B63" s="12"/>
    </row>
    <row r="64" spans="2:2" x14ac:dyDescent="0.25">
      <c r="B64" s="12"/>
    </row>
    <row r="65" spans="2:2" x14ac:dyDescent="0.25">
      <c r="B65" s="12"/>
    </row>
    <row r="66" spans="2:2" x14ac:dyDescent="0.25">
      <c r="B66" s="12"/>
    </row>
    <row r="67" spans="2:2" x14ac:dyDescent="0.25">
      <c r="B67" s="12"/>
    </row>
    <row r="68" spans="2:2" x14ac:dyDescent="0.25">
      <c r="B68" s="12"/>
    </row>
    <row r="69" spans="2:2" x14ac:dyDescent="0.25">
      <c r="B69" s="12"/>
    </row>
    <row r="70" spans="2:2" x14ac:dyDescent="0.25">
      <c r="B70" s="12"/>
    </row>
    <row r="71" spans="2:2" x14ac:dyDescent="0.25">
      <c r="B71" s="12"/>
    </row>
    <row r="72" spans="2:2" x14ac:dyDescent="0.25">
      <c r="B72" s="12"/>
    </row>
    <row r="73" spans="2:2" x14ac:dyDescent="0.25">
      <c r="B73" s="12"/>
    </row>
    <row r="74" spans="2:2" x14ac:dyDescent="0.25">
      <c r="B74" s="12"/>
    </row>
    <row r="75" spans="2:2" x14ac:dyDescent="0.25">
      <c r="B75" s="12"/>
    </row>
    <row r="76" spans="2:2" x14ac:dyDescent="0.25">
      <c r="B76" s="12"/>
    </row>
    <row r="77" spans="2:2" x14ac:dyDescent="0.25">
      <c r="B77" s="12"/>
    </row>
    <row r="78" spans="2:2" x14ac:dyDescent="0.25">
      <c r="B78" s="12"/>
    </row>
    <row r="79" spans="2:2" x14ac:dyDescent="0.25">
      <c r="B79" s="12"/>
    </row>
    <row r="80" spans="2:2" x14ac:dyDescent="0.25">
      <c r="B80" s="12"/>
    </row>
    <row r="81" spans="1:105" x14ac:dyDescent="0.25">
      <c r="B81" s="12"/>
    </row>
    <row r="82" spans="1:105" x14ac:dyDescent="0.25">
      <c r="B82" s="12"/>
    </row>
    <row r="83" spans="1:105" x14ac:dyDescent="0.25">
      <c r="A83" s="18" t="s">
        <v>180</v>
      </c>
      <c r="B83" s="3"/>
      <c r="C83" s="3"/>
      <c r="D83" s="3" t="s">
        <v>11</v>
      </c>
      <c r="E83" t="s">
        <v>142</v>
      </c>
      <c r="F83" s="17" t="s">
        <v>139</v>
      </c>
      <c r="G83" s="17" t="s">
        <v>144</v>
      </c>
      <c r="H83" t="s">
        <v>165</v>
      </c>
      <c r="I83" s="17" t="s">
        <v>145</v>
      </c>
      <c r="J83" t="s">
        <v>147</v>
      </c>
      <c r="K83" s="17" t="s">
        <v>145</v>
      </c>
    </row>
    <row r="84" spans="1:105" x14ac:dyDescent="0.25">
      <c r="A84" s="18" t="s">
        <v>180</v>
      </c>
      <c r="B84" s="3"/>
      <c r="C84" s="3"/>
      <c r="D84" s="3" t="s">
        <v>17</v>
      </c>
      <c r="E84" s="17" t="s">
        <v>153</v>
      </c>
      <c r="F84" s="17" t="s">
        <v>154</v>
      </c>
    </row>
    <row r="85" spans="1:105" x14ac:dyDescent="0.25">
      <c r="A85" s="18" t="s">
        <v>180</v>
      </c>
      <c r="B85" s="3"/>
      <c r="C85" s="3"/>
      <c r="D85" s="3" t="s">
        <v>21</v>
      </c>
      <c r="E85" s="17" t="s">
        <v>145</v>
      </c>
      <c r="F85" t="s">
        <v>159</v>
      </c>
      <c r="G85" s="17" t="s">
        <v>154</v>
      </c>
    </row>
    <row r="86" spans="1:105" x14ac:dyDescent="0.25">
      <c r="A86" s="12"/>
      <c r="C86" s="17"/>
      <c r="D86" s="17"/>
      <c r="F86" s="17"/>
      <c r="H86" s="17"/>
      <c r="I86" s="17"/>
      <c r="J86" s="17"/>
      <c r="K86" s="17"/>
      <c r="M86" s="17"/>
    </row>
    <row r="87" spans="1:105" x14ac:dyDescent="0.25">
      <c r="B87" s="12"/>
    </row>
    <row r="88" spans="1:105" ht="120" x14ac:dyDescent="0.25">
      <c r="A88" s="1" t="s">
        <v>0</v>
      </c>
      <c r="B88" s="1" t="s">
        <v>1</v>
      </c>
      <c r="C88" s="7" t="s">
        <v>25</v>
      </c>
      <c r="D88" s="7" t="s">
        <v>26</v>
      </c>
      <c r="E88" s="7" t="s">
        <v>27</v>
      </c>
      <c r="F88" s="7" t="s">
        <v>28</v>
      </c>
      <c r="G88" s="7" t="s">
        <v>29</v>
      </c>
      <c r="H88" s="7" t="s">
        <v>30</v>
      </c>
      <c r="I88" s="7" t="s">
        <v>31</v>
      </c>
      <c r="J88" s="7" t="s">
        <v>32</v>
      </c>
      <c r="K88" s="7" t="s">
        <v>33</v>
      </c>
      <c r="L88" s="7" t="s">
        <v>34</v>
      </c>
      <c r="M88" s="8" t="s">
        <v>35</v>
      </c>
      <c r="N88" s="8" t="s">
        <v>36</v>
      </c>
      <c r="O88" s="8" t="s">
        <v>37</v>
      </c>
      <c r="P88" s="8" t="s">
        <v>38</v>
      </c>
      <c r="Q88" s="8" t="s">
        <v>39</v>
      </c>
      <c r="R88" s="8" t="s">
        <v>40</v>
      </c>
      <c r="S88" s="8" t="s">
        <v>41</v>
      </c>
      <c r="T88" s="8" t="s">
        <v>42</v>
      </c>
      <c r="U88" s="8" t="s">
        <v>43</v>
      </c>
      <c r="V88" s="8" t="s">
        <v>44</v>
      </c>
      <c r="W88" s="8" t="s">
        <v>45</v>
      </c>
      <c r="X88" s="7" t="s">
        <v>46</v>
      </c>
      <c r="Y88" s="7" t="s">
        <v>48</v>
      </c>
      <c r="Z88" s="7" t="s">
        <v>49</v>
      </c>
      <c r="AA88" s="7" t="s">
        <v>50</v>
      </c>
      <c r="AB88" s="7" t="s">
        <v>51</v>
      </c>
      <c r="AC88" s="7" t="s">
        <v>52</v>
      </c>
      <c r="AD88" s="7" t="s">
        <v>53</v>
      </c>
      <c r="AE88" s="7" t="s">
        <v>54</v>
      </c>
      <c r="AF88" s="7" t="s">
        <v>55</v>
      </c>
      <c r="AG88" s="7" t="s">
        <v>56</v>
      </c>
      <c r="AH88" s="7" t="s">
        <v>57</v>
      </c>
      <c r="AI88" s="7" t="s">
        <v>58</v>
      </c>
      <c r="AJ88" s="7" t="s">
        <v>162</v>
      </c>
      <c r="AK88" s="7" t="s">
        <v>60</v>
      </c>
      <c r="AL88" s="7" t="s">
        <v>61</v>
      </c>
      <c r="AM88" s="7" t="s">
        <v>62</v>
      </c>
      <c r="AN88" s="7" t="s">
        <v>63</v>
      </c>
      <c r="AO88" s="7" t="s">
        <v>64</v>
      </c>
      <c r="AP88" s="7" t="s">
        <v>65</v>
      </c>
      <c r="AQ88" s="7" t="s">
        <v>66</v>
      </c>
      <c r="AR88" s="7" t="s">
        <v>67</v>
      </c>
      <c r="AS88" s="7" t="s">
        <v>68</v>
      </c>
      <c r="AT88" s="7" t="s">
        <v>69</v>
      </c>
      <c r="AU88" s="7" t="s">
        <v>70</v>
      </c>
      <c r="AV88" s="7" t="s">
        <v>71</v>
      </c>
      <c r="AW88" s="7" t="s">
        <v>72</v>
      </c>
      <c r="AX88" s="7" t="s">
        <v>73</v>
      </c>
      <c r="AY88" s="7" t="s">
        <v>74</v>
      </c>
      <c r="AZ88" s="7" t="s">
        <v>75</v>
      </c>
      <c r="BA88" s="7" t="s">
        <v>76</v>
      </c>
      <c r="BB88" s="7" t="s">
        <v>77</v>
      </c>
      <c r="BC88" s="7" t="s">
        <v>78</v>
      </c>
      <c r="BD88" s="7" t="s">
        <v>79</v>
      </c>
      <c r="BE88" s="7" t="s">
        <v>80</v>
      </c>
      <c r="BF88" s="7" t="s">
        <v>81</v>
      </c>
      <c r="BG88" s="7" t="s">
        <v>82</v>
      </c>
      <c r="BH88" s="7" t="s">
        <v>83</v>
      </c>
      <c r="BI88" s="7" t="s">
        <v>84</v>
      </c>
      <c r="BJ88" s="7" t="s">
        <v>85</v>
      </c>
      <c r="BK88" s="7" t="s">
        <v>86</v>
      </c>
      <c r="BL88" s="7" t="s">
        <v>87</v>
      </c>
      <c r="BM88" s="7" t="s">
        <v>88</v>
      </c>
      <c r="BN88" s="7" t="s">
        <v>89</v>
      </c>
      <c r="BO88" s="7" t="s">
        <v>90</v>
      </c>
      <c r="BP88" s="7" t="s">
        <v>91</v>
      </c>
      <c r="BQ88" s="7" t="s">
        <v>92</v>
      </c>
      <c r="BR88" s="7" t="s">
        <v>93</v>
      </c>
      <c r="BS88" s="7" t="s">
        <v>94</v>
      </c>
      <c r="BT88" s="7" t="s">
        <v>95</v>
      </c>
      <c r="BU88" s="7" t="s">
        <v>96</v>
      </c>
      <c r="BV88" s="7" t="s">
        <v>97</v>
      </c>
      <c r="BW88" s="7" t="s">
        <v>98</v>
      </c>
      <c r="BX88" s="7" t="s">
        <v>99</v>
      </c>
      <c r="BY88" s="7" t="s">
        <v>100</v>
      </c>
      <c r="BZ88" s="7" t="s">
        <v>101</v>
      </c>
      <c r="CA88" s="7" t="s">
        <v>102</v>
      </c>
      <c r="CB88" s="7" t="s">
        <v>103</v>
      </c>
      <c r="CC88" s="7" t="s">
        <v>104</v>
      </c>
      <c r="CD88" s="7" t="s">
        <v>105</v>
      </c>
      <c r="CE88" s="7" t="s">
        <v>106</v>
      </c>
      <c r="CF88" s="7" t="s">
        <v>107</v>
      </c>
      <c r="CG88" s="7" t="s">
        <v>108</v>
      </c>
      <c r="CH88" s="7" t="s">
        <v>109</v>
      </c>
      <c r="CI88" s="7" t="s">
        <v>110</v>
      </c>
      <c r="CJ88" s="7" t="s">
        <v>111</v>
      </c>
      <c r="CK88" s="7" t="s">
        <v>112</v>
      </c>
      <c r="CL88" s="7" t="s">
        <v>113</v>
      </c>
      <c r="CM88" s="7" t="s">
        <v>114</v>
      </c>
      <c r="CN88" s="7" t="s">
        <v>115</v>
      </c>
      <c r="CO88" s="7" t="s">
        <v>116</v>
      </c>
      <c r="CP88" s="7" t="s">
        <v>117</v>
      </c>
      <c r="CQ88" s="7" t="s">
        <v>118</v>
      </c>
      <c r="CR88" s="7" t="s">
        <v>119</v>
      </c>
      <c r="CS88" s="7" t="s">
        <v>120</v>
      </c>
      <c r="CT88" s="7" t="s">
        <v>121</v>
      </c>
      <c r="CU88" s="7" t="s">
        <v>122</v>
      </c>
      <c r="CV88" s="7" t="s">
        <v>123</v>
      </c>
      <c r="CW88" s="7" t="s">
        <v>124</v>
      </c>
      <c r="CX88" s="7" t="s">
        <v>125</v>
      </c>
      <c r="CY88" s="7" t="s">
        <v>126</v>
      </c>
      <c r="CZ88" s="7" t="s">
        <v>127</v>
      </c>
      <c r="DA88" s="7" t="s">
        <v>128</v>
      </c>
    </row>
    <row r="89" spans="1:105" x14ac:dyDescent="0.25">
      <c r="A89" t="s">
        <v>169</v>
      </c>
      <c r="B89" t="s">
        <v>11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1</v>
      </c>
      <c r="L89">
        <v>0</v>
      </c>
      <c r="M89">
        <v>0</v>
      </c>
      <c r="N89">
        <v>1</v>
      </c>
      <c r="O89">
        <v>0</v>
      </c>
      <c r="P89">
        <v>1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1</v>
      </c>
      <c r="BA89">
        <v>0</v>
      </c>
      <c r="BB89">
        <v>0</v>
      </c>
      <c r="BC89">
        <v>1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3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</row>
    <row r="90" spans="1:105" x14ac:dyDescent="0.25">
      <c r="A90" t="s">
        <v>169</v>
      </c>
      <c r="B90" s="12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</row>
    <row r="91" spans="1:105" x14ac:dyDescent="0.25">
      <c r="A91" t="s">
        <v>169</v>
      </c>
      <c r="B91" s="12" t="s">
        <v>21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3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</row>
    <row r="126" spans="1:6" x14ac:dyDescent="0.25">
      <c r="A126" s="18" t="s">
        <v>179</v>
      </c>
      <c r="B126" s="3"/>
      <c r="C126" s="3" t="s">
        <v>11</v>
      </c>
      <c r="D126">
        <v>716</v>
      </c>
      <c r="E126">
        <v>10</v>
      </c>
      <c r="F126" s="17" t="s">
        <v>178</v>
      </c>
    </row>
    <row r="127" spans="1:6" x14ac:dyDescent="0.25">
      <c r="A127" s="18" t="s">
        <v>179</v>
      </c>
      <c r="B127" s="3"/>
      <c r="C127" s="3" t="s">
        <v>17</v>
      </c>
      <c r="D127" s="5" t="s">
        <v>152</v>
      </c>
    </row>
    <row r="128" spans="1:6" x14ac:dyDescent="0.25">
      <c r="A128" s="18" t="s">
        <v>179</v>
      </c>
      <c r="B128" s="3"/>
      <c r="C128" s="3" t="s">
        <v>21</v>
      </c>
      <c r="D128" s="5" t="s">
        <v>156</v>
      </c>
      <c r="E128" s="5" t="s">
        <v>157</v>
      </c>
      <c r="F128" s="5" t="s">
        <v>158</v>
      </c>
    </row>
    <row r="130" spans="5:10" x14ac:dyDescent="0.25">
      <c r="F130" s="12"/>
      <c r="G130" s="12"/>
      <c r="H130" s="12"/>
      <c r="I130" s="12"/>
      <c r="J130" s="12"/>
    </row>
    <row r="131" spans="5:10" x14ac:dyDescent="0.25">
      <c r="F131" s="12"/>
      <c r="G131" s="12"/>
      <c r="H131" s="12"/>
      <c r="I131" s="12"/>
      <c r="J131" s="12"/>
    </row>
    <row r="132" spans="5:10" x14ac:dyDescent="0.25">
      <c r="E132" s="17"/>
      <c r="F132" s="12"/>
      <c r="G132" s="12"/>
      <c r="H132" s="12"/>
      <c r="I132" s="12"/>
      <c r="J132" s="12"/>
    </row>
    <row r="133" spans="5:10" x14ac:dyDescent="0.25">
      <c r="F133" s="12"/>
      <c r="G133" s="12"/>
      <c r="H133" s="12"/>
      <c r="I133" s="12"/>
      <c r="J133" s="12"/>
    </row>
    <row r="134" spans="5:10" x14ac:dyDescent="0.25">
      <c r="F134" s="12"/>
      <c r="G134" s="12"/>
      <c r="H134" s="12"/>
      <c r="I134" s="12"/>
      <c r="J134" s="12"/>
    </row>
    <row r="135" spans="5:10" x14ac:dyDescent="0.25">
      <c r="F135" s="12"/>
      <c r="G135" s="12"/>
      <c r="H135" s="12"/>
      <c r="I135" s="12"/>
      <c r="J135" s="12"/>
    </row>
    <row r="136" spans="5:10" x14ac:dyDescent="0.25">
      <c r="F136" s="12"/>
      <c r="G136" s="12"/>
      <c r="H136" s="12"/>
      <c r="I136" s="12"/>
      <c r="J136" s="12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7A37-5EF4-45EE-A93B-8E9A69BF98B0}">
  <dimension ref="A1:P536"/>
  <sheetViews>
    <sheetView workbookViewId="0">
      <selection activeCell="N53" sqref="N53"/>
    </sheetView>
  </sheetViews>
  <sheetFormatPr baseColWidth="10" defaultRowHeight="15" x14ac:dyDescent="0.25"/>
  <cols>
    <col min="2" max="2" width="11.85546875" customWidth="1"/>
  </cols>
  <sheetData>
    <row r="1" spans="1:16" ht="120" x14ac:dyDescent="0.25">
      <c r="A1" s="1" t="s">
        <v>0</v>
      </c>
      <c r="B1" s="1" t="s">
        <v>1</v>
      </c>
      <c r="C1" s="7" t="s">
        <v>32</v>
      </c>
      <c r="D1" s="8" t="s">
        <v>35</v>
      </c>
      <c r="E1" s="8" t="s">
        <v>37</v>
      </c>
      <c r="F1" s="7" t="s">
        <v>46</v>
      </c>
      <c r="G1" s="7" t="s">
        <v>48</v>
      </c>
      <c r="H1" s="7" t="s">
        <v>49</v>
      </c>
      <c r="I1" s="7" t="s">
        <v>78</v>
      </c>
      <c r="J1" s="7" t="s">
        <v>102</v>
      </c>
      <c r="K1" s="7" t="s">
        <v>103</v>
      </c>
      <c r="L1" s="7" t="s">
        <v>104</v>
      </c>
      <c r="M1" s="7" t="s">
        <v>108</v>
      </c>
      <c r="N1" s="7" t="s">
        <v>113</v>
      </c>
      <c r="O1" s="7" t="s">
        <v>114</v>
      </c>
      <c r="P1" s="7" t="s">
        <v>115</v>
      </c>
    </row>
    <row r="2" spans="1:16" x14ac:dyDescent="0.25">
      <c r="A2" t="s">
        <v>170</v>
      </c>
      <c r="B2" t="s">
        <v>172</v>
      </c>
      <c r="C2">
        <v>2</v>
      </c>
      <c r="D2">
        <v>0</v>
      </c>
      <c r="E2">
        <v>1</v>
      </c>
      <c r="F2">
        <v>3</v>
      </c>
      <c r="G2">
        <v>1</v>
      </c>
      <c r="H2">
        <v>2</v>
      </c>
      <c r="I2">
        <v>0</v>
      </c>
      <c r="J2">
        <v>3</v>
      </c>
      <c r="K2">
        <v>1</v>
      </c>
      <c r="L2">
        <v>0</v>
      </c>
      <c r="M2">
        <v>0</v>
      </c>
      <c r="N2">
        <v>2</v>
      </c>
      <c r="O2">
        <v>0</v>
      </c>
      <c r="P2">
        <v>1</v>
      </c>
    </row>
    <row r="3" spans="1:16" x14ac:dyDescent="0.25">
      <c r="A3" t="s">
        <v>171</v>
      </c>
      <c r="B3" t="s">
        <v>173</v>
      </c>
      <c r="C3">
        <v>2</v>
      </c>
      <c r="D3">
        <v>3</v>
      </c>
      <c r="E3">
        <v>6</v>
      </c>
      <c r="F3">
        <v>11</v>
      </c>
      <c r="G3">
        <v>4</v>
      </c>
      <c r="H3">
        <v>4</v>
      </c>
      <c r="I3">
        <v>8</v>
      </c>
      <c r="J3">
        <v>13</v>
      </c>
      <c r="K3">
        <v>15</v>
      </c>
      <c r="L3">
        <v>20</v>
      </c>
      <c r="M3">
        <v>5</v>
      </c>
      <c r="N3">
        <v>6</v>
      </c>
      <c r="O3">
        <v>7</v>
      </c>
      <c r="P3">
        <v>11</v>
      </c>
    </row>
    <row r="25" spans="1:16" ht="120" x14ac:dyDescent="0.25">
      <c r="A25" s="1" t="s">
        <v>0</v>
      </c>
      <c r="B25" s="1" t="s">
        <v>1</v>
      </c>
      <c r="C25" s="7" t="s">
        <v>32</v>
      </c>
      <c r="D25" s="8" t="s">
        <v>35</v>
      </c>
      <c r="E25" s="8" t="s">
        <v>37</v>
      </c>
      <c r="F25" s="7" t="s">
        <v>46</v>
      </c>
      <c r="G25" s="7" t="s">
        <v>48</v>
      </c>
      <c r="H25" s="7" t="s">
        <v>49</v>
      </c>
      <c r="I25" s="7" t="s">
        <v>78</v>
      </c>
      <c r="J25" s="7" t="s">
        <v>102</v>
      </c>
      <c r="K25" s="7" t="s">
        <v>103</v>
      </c>
      <c r="L25" s="7" t="s">
        <v>104</v>
      </c>
      <c r="M25" s="7" t="s">
        <v>108</v>
      </c>
      <c r="N25" s="7" t="s">
        <v>113</v>
      </c>
      <c r="O25" s="7" t="s">
        <v>114</v>
      </c>
      <c r="P25" s="7" t="s">
        <v>115</v>
      </c>
    </row>
    <row r="26" spans="1:16" x14ac:dyDescent="0.25">
      <c r="A26" t="s">
        <v>170</v>
      </c>
      <c r="B26" t="s">
        <v>174</v>
      </c>
      <c r="C26">
        <v>3</v>
      </c>
      <c r="D26">
        <v>0</v>
      </c>
      <c r="E26">
        <v>1</v>
      </c>
      <c r="F26">
        <v>3</v>
      </c>
      <c r="G26">
        <v>0</v>
      </c>
      <c r="H26">
        <v>0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</row>
    <row r="27" spans="1:16" x14ac:dyDescent="0.25">
      <c r="A27" t="s">
        <v>171</v>
      </c>
      <c r="B27" t="s">
        <v>175</v>
      </c>
      <c r="C27">
        <v>2</v>
      </c>
      <c r="D27">
        <v>7</v>
      </c>
      <c r="E27">
        <v>4</v>
      </c>
      <c r="F27">
        <v>4</v>
      </c>
      <c r="G27">
        <v>1</v>
      </c>
      <c r="H27">
        <v>1</v>
      </c>
      <c r="I27">
        <v>5</v>
      </c>
      <c r="J27">
        <v>17</v>
      </c>
      <c r="K27">
        <v>14</v>
      </c>
      <c r="L27">
        <v>17</v>
      </c>
      <c r="M27">
        <v>1</v>
      </c>
      <c r="N27">
        <v>6</v>
      </c>
      <c r="O27">
        <v>9</v>
      </c>
      <c r="P27">
        <v>6</v>
      </c>
    </row>
    <row r="53" spans="1:16" ht="120" x14ac:dyDescent="0.25">
      <c r="A53" s="1" t="s">
        <v>0</v>
      </c>
      <c r="B53" s="1" t="s">
        <v>1</v>
      </c>
      <c r="C53" s="7" t="s">
        <v>32</v>
      </c>
      <c r="D53" s="8" t="s">
        <v>35</v>
      </c>
      <c r="E53" s="8" t="s">
        <v>37</v>
      </c>
      <c r="F53" s="7" t="s">
        <v>46</v>
      </c>
      <c r="G53" s="7" t="s">
        <v>48</v>
      </c>
      <c r="H53" s="7" t="s">
        <v>49</v>
      </c>
      <c r="I53" s="7" t="s">
        <v>78</v>
      </c>
      <c r="J53" s="7" t="s">
        <v>102</v>
      </c>
      <c r="K53" s="7" t="s">
        <v>103</v>
      </c>
      <c r="L53" s="7" t="s">
        <v>104</v>
      </c>
      <c r="M53" s="7" t="s">
        <v>108</v>
      </c>
      <c r="N53" s="7" t="s">
        <v>113</v>
      </c>
      <c r="O53" s="7" t="s">
        <v>114</v>
      </c>
      <c r="P53" s="7" t="s">
        <v>115</v>
      </c>
    </row>
    <row r="54" spans="1:16" x14ac:dyDescent="0.25">
      <c r="A54" t="s">
        <v>170</v>
      </c>
      <c r="B54" t="s">
        <v>176</v>
      </c>
      <c r="C54">
        <v>1</v>
      </c>
      <c r="D54">
        <v>0</v>
      </c>
      <c r="E54">
        <v>1</v>
      </c>
      <c r="F54">
        <v>2</v>
      </c>
      <c r="G54">
        <v>0</v>
      </c>
      <c r="H54">
        <v>0</v>
      </c>
      <c r="I54">
        <v>1</v>
      </c>
      <c r="J54">
        <v>3</v>
      </c>
      <c r="K54">
        <v>2</v>
      </c>
      <c r="L54">
        <v>0</v>
      </c>
      <c r="M54">
        <v>0</v>
      </c>
      <c r="N54">
        <v>2</v>
      </c>
      <c r="O54">
        <v>0</v>
      </c>
      <c r="P54">
        <v>0</v>
      </c>
    </row>
    <row r="55" spans="1:16" x14ac:dyDescent="0.25">
      <c r="A55" t="s">
        <v>171</v>
      </c>
      <c r="B55" t="s">
        <v>177</v>
      </c>
      <c r="C55">
        <v>3</v>
      </c>
      <c r="D55">
        <v>8</v>
      </c>
      <c r="E55">
        <v>5</v>
      </c>
      <c r="F55">
        <v>4</v>
      </c>
      <c r="G55">
        <v>5</v>
      </c>
      <c r="H55">
        <v>5</v>
      </c>
      <c r="I55">
        <v>2</v>
      </c>
      <c r="J55">
        <v>9</v>
      </c>
      <c r="K55">
        <v>10</v>
      </c>
      <c r="L55">
        <v>12</v>
      </c>
      <c r="M55">
        <v>2</v>
      </c>
      <c r="N55">
        <v>2</v>
      </c>
      <c r="O55">
        <v>6</v>
      </c>
      <c r="P55">
        <v>4</v>
      </c>
    </row>
    <row r="162" spans="1:16" ht="120" x14ac:dyDescent="0.25">
      <c r="A162" s="1" t="s">
        <v>0</v>
      </c>
      <c r="B162" s="1" t="s">
        <v>1</v>
      </c>
      <c r="C162" s="7" t="s">
        <v>32</v>
      </c>
      <c r="D162" s="8" t="s">
        <v>35</v>
      </c>
      <c r="E162" s="8" t="s">
        <v>37</v>
      </c>
      <c r="F162" s="7" t="s">
        <v>46</v>
      </c>
      <c r="G162" s="7" t="s">
        <v>48</v>
      </c>
      <c r="H162" s="7" t="s">
        <v>49</v>
      </c>
      <c r="I162" s="7" t="s">
        <v>78</v>
      </c>
      <c r="J162" s="7" t="s">
        <v>102</v>
      </c>
      <c r="K162" s="7" t="s">
        <v>103</v>
      </c>
      <c r="L162" s="7" t="s">
        <v>104</v>
      </c>
      <c r="M162" s="7" t="s">
        <v>108</v>
      </c>
      <c r="N162" s="7" t="s">
        <v>113</v>
      </c>
      <c r="O162" s="7" t="s">
        <v>114</v>
      </c>
      <c r="P162" s="7" t="s">
        <v>115</v>
      </c>
    </row>
    <row r="163" spans="1:16" x14ac:dyDescent="0.25">
      <c r="A163">
        <v>5015869</v>
      </c>
      <c r="B163" t="s">
        <v>11</v>
      </c>
    </row>
    <row r="164" spans="1:16" x14ac:dyDescent="0.25">
      <c r="A164">
        <v>5016969</v>
      </c>
      <c r="B164" t="s">
        <v>11</v>
      </c>
    </row>
    <row r="165" spans="1:16" x14ac:dyDescent="0.25">
      <c r="A165">
        <v>6023231</v>
      </c>
      <c r="B165" t="s">
        <v>11</v>
      </c>
    </row>
    <row r="166" spans="1:16" x14ac:dyDescent="0.25">
      <c r="A166">
        <v>6011198</v>
      </c>
      <c r="B166" t="s">
        <v>11</v>
      </c>
    </row>
    <row r="167" spans="1:16" x14ac:dyDescent="0.25">
      <c r="A167">
        <v>6012681</v>
      </c>
      <c r="B167" t="s">
        <v>11</v>
      </c>
    </row>
    <row r="168" spans="1:16" x14ac:dyDescent="0.25">
      <c r="A168">
        <v>6014511</v>
      </c>
      <c r="B168" t="s">
        <v>11</v>
      </c>
    </row>
    <row r="169" spans="1:16" x14ac:dyDescent="0.25">
      <c r="A169">
        <v>6045127</v>
      </c>
      <c r="B169" t="s">
        <v>11</v>
      </c>
      <c r="F169">
        <v>0</v>
      </c>
      <c r="G169">
        <v>0</v>
      </c>
      <c r="H169">
        <v>0</v>
      </c>
    </row>
    <row r="170" spans="1:16" x14ac:dyDescent="0.25">
      <c r="A170">
        <v>7000458</v>
      </c>
      <c r="B170" t="s">
        <v>11</v>
      </c>
    </row>
    <row r="171" spans="1:16" x14ac:dyDescent="0.25">
      <c r="A171">
        <v>7015502</v>
      </c>
      <c r="B171" t="s">
        <v>11</v>
      </c>
    </row>
    <row r="172" spans="1:16" x14ac:dyDescent="0.25">
      <c r="A172">
        <v>7025847</v>
      </c>
      <c r="B172" t="s">
        <v>11</v>
      </c>
    </row>
    <row r="173" spans="1:16" x14ac:dyDescent="0.25">
      <c r="A173">
        <v>7082707</v>
      </c>
      <c r="B173" t="s">
        <v>11</v>
      </c>
    </row>
    <row r="174" spans="1:16" x14ac:dyDescent="0.25">
      <c r="A174">
        <v>7083159</v>
      </c>
      <c r="B174" t="s">
        <v>11</v>
      </c>
      <c r="E174">
        <v>1</v>
      </c>
    </row>
    <row r="175" spans="1:16" x14ac:dyDescent="0.25">
      <c r="A175">
        <v>7084659</v>
      </c>
      <c r="B175" t="s">
        <v>11</v>
      </c>
    </row>
    <row r="176" spans="1:16" x14ac:dyDescent="0.25">
      <c r="A176">
        <v>7076814</v>
      </c>
      <c r="B176" t="s">
        <v>11</v>
      </c>
    </row>
    <row r="177" spans="1:12" x14ac:dyDescent="0.25">
      <c r="A177">
        <v>7076815</v>
      </c>
      <c r="B177" t="s">
        <v>11</v>
      </c>
    </row>
    <row r="178" spans="1:12" x14ac:dyDescent="0.25">
      <c r="A178">
        <v>7089231</v>
      </c>
      <c r="B178" t="s">
        <v>11</v>
      </c>
    </row>
    <row r="179" spans="1:12" x14ac:dyDescent="0.25">
      <c r="A179">
        <v>7116004</v>
      </c>
      <c r="B179" t="s">
        <v>11</v>
      </c>
    </row>
    <row r="180" spans="1:12" x14ac:dyDescent="0.25">
      <c r="A180">
        <v>8003819</v>
      </c>
      <c r="B180" t="s">
        <v>11</v>
      </c>
    </row>
    <row r="181" spans="1:12" x14ac:dyDescent="0.25">
      <c r="A181">
        <v>8091779</v>
      </c>
      <c r="B181" t="s">
        <v>11</v>
      </c>
    </row>
    <row r="182" spans="1:12" x14ac:dyDescent="0.25">
      <c r="A182">
        <v>8112522</v>
      </c>
      <c r="B182" t="s">
        <v>11</v>
      </c>
    </row>
    <row r="183" spans="1:12" x14ac:dyDescent="0.25">
      <c r="A183" t="s">
        <v>12</v>
      </c>
      <c r="B183" t="s">
        <v>11</v>
      </c>
    </row>
    <row r="184" spans="1:12" x14ac:dyDescent="0.25">
      <c r="A184">
        <v>8130998</v>
      </c>
      <c r="B184" t="s">
        <v>11</v>
      </c>
      <c r="J184">
        <v>0</v>
      </c>
      <c r="K184">
        <v>0</v>
      </c>
      <c r="L184">
        <v>0</v>
      </c>
    </row>
    <row r="185" spans="1:12" x14ac:dyDescent="0.25">
      <c r="A185">
        <v>9002836</v>
      </c>
      <c r="B185" t="s">
        <v>11</v>
      </c>
    </row>
    <row r="186" spans="1:12" x14ac:dyDescent="0.25">
      <c r="A186">
        <v>9003331</v>
      </c>
      <c r="B186" t="s">
        <v>11</v>
      </c>
    </row>
    <row r="187" spans="1:12" x14ac:dyDescent="0.25">
      <c r="A187">
        <v>9003370</v>
      </c>
      <c r="B187" t="s">
        <v>11</v>
      </c>
    </row>
    <row r="188" spans="1:12" x14ac:dyDescent="0.25">
      <c r="A188">
        <v>9016278</v>
      </c>
      <c r="B188" t="s">
        <v>11</v>
      </c>
    </row>
    <row r="189" spans="1:12" x14ac:dyDescent="0.25">
      <c r="A189">
        <v>9030684</v>
      </c>
      <c r="B189" t="s">
        <v>11</v>
      </c>
    </row>
    <row r="190" spans="1:12" x14ac:dyDescent="0.25">
      <c r="A190">
        <v>9031387</v>
      </c>
      <c r="B190" t="s">
        <v>11</v>
      </c>
    </row>
    <row r="191" spans="1:12" x14ac:dyDescent="0.25">
      <c r="A191">
        <v>9038676</v>
      </c>
      <c r="B191" t="s">
        <v>11</v>
      </c>
    </row>
    <row r="192" spans="1:12" x14ac:dyDescent="0.25">
      <c r="A192">
        <v>9039416</v>
      </c>
      <c r="B192" t="s">
        <v>11</v>
      </c>
    </row>
    <row r="193" spans="1:12" x14ac:dyDescent="0.25">
      <c r="A193">
        <v>9042861</v>
      </c>
      <c r="B193" t="s">
        <v>11</v>
      </c>
    </row>
    <row r="194" spans="1:12" x14ac:dyDescent="0.25">
      <c r="A194">
        <v>9044899</v>
      </c>
      <c r="B194" t="s">
        <v>11</v>
      </c>
    </row>
    <row r="195" spans="1:12" x14ac:dyDescent="0.25">
      <c r="A195">
        <v>9052398</v>
      </c>
      <c r="B195" t="s">
        <v>11</v>
      </c>
    </row>
    <row r="196" spans="1:12" x14ac:dyDescent="0.25">
      <c r="A196">
        <v>9085204</v>
      </c>
      <c r="B196" t="s">
        <v>11</v>
      </c>
    </row>
    <row r="197" spans="1:12" x14ac:dyDescent="0.25">
      <c r="A197">
        <v>9105492</v>
      </c>
      <c r="B197" t="s">
        <v>11</v>
      </c>
    </row>
    <row r="198" spans="1:12" x14ac:dyDescent="0.25">
      <c r="A198">
        <v>9138470</v>
      </c>
      <c r="B198" t="s">
        <v>11</v>
      </c>
    </row>
    <row r="199" spans="1:12" x14ac:dyDescent="0.25">
      <c r="A199">
        <v>9150676</v>
      </c>
      <c r="B199" t="s">
        <v>11</v>
      </c>
    </row>
    <row r="200" spans="1:12" x14ac:dyDescent="0.25">
      <c r="A200">
        <v>10010926</v>
      </c>
      <c r="B200" t="s">
        <v>11</v>
      </c>
    </row>
    <row r="201" spans="1:12" x14ac:dyDescent="0.25">
      <c r="A201" t="s">
        <v>13</v>
      </c>
      <c r="B201" t="s">
        <v>11</v>
      </c>
    </row>
    <row r="202" spans="1:12" x14ac:dyDescent="0.25">
      <c r="A202">
        <v>10091530</v>
      </c>
      <c r="B202" t="s">
        <v>11</v>
      </c>
      <c r="J202">
        <v>0</v>
      </c>
      <c r="K202">
        <v>0</v>
      </c>
      <c r="L202">
        <v>0</v>
      </c>
    </row>
    <row r="203" spans="1:12" x14ac:dyDescent="0.25">
      <c r="A203">
        <v>10102052</v>
      </c>
      <c r="B203" t="s">
        <v>11</v>
      </c>
    </row>
    <row r="204" spans="1:12" x14ac:dyDescent="0.25">
      <c r="A204">
        <v>10104735</v>
      </c>
      <c r="B204" t="s">
        <v>11</v>
      </c>
      <c r="C204">
        <v>0</v>
      </c>
      <c r="E204">
        <v>0</v>
      </c>
    </row>
    <row r="205" spans="1:12" x14ac:dyDescent="0.25">
      <c r="A205">
        <v>10131550</v>
      </c>
      <c r="B205" t="s">
        <v>11</v>
      </c>
    </row>
    <row r="206" spans="1:12" x14ac:dyDescent="0.25">
      <c r="A206">
        <v>10131607</v>
      </c>
      <c r="B206" t="s">
        <v>11</v>
      </c>
    </row>
    <row r="207" spans="1:12" x14ac:dyDescent="0.25">
      <c r="A207">
        <v>10145202</v>
      </c>
      <c r="B207" t="s">
        <v>11</v>
      </c>
    </row>
    <row r="208" spans="1:12" x14ac:dyDescent="0.25">
      <c r="A208">
        <v>10158770</v>
      </c>
      <c r="B208" t="s">
        <v>11</v>
      </c>
    </row>
    <row r="209" spans="1:16" x14ac:dyDescent="0.25">
      <c r="A209">
        <v>10162949</v>
      </c>
      <c r="B209" t="s">
        <v>11</v>
      </c>
    </row>
    <row r="210" spans="1:16" x14ac:dyDescent="0.25">
      <c r="A210">
        <v>10171633</v>
      </c>
      <c r="B210" t="s">
        <v>11</v>
      </c>
    </row>
    <row r="211" spans="1:16" x14ac:dyDescent="0.25">
      <c r="A211">
        <v>11005762</v>
      </c>
      <c r="B211" t="s">
        <v>11</v>
      </c>
      <c r="F211">
        <v>0</v>
      </c>
      <c r="G211">
        <v>0</v>
      </c>
      <c r="H211">
        <v>0</v>
      </c>
      <c r="J211">
        <v>0</v>
      </c>
      <c r="K211">
        <v>0</v>
      </c>
      <c r="L211">
        <v>0</v>
      </c>
      <c r="P211">
        <v>0</v>
      </c>
    </row>
    <row r="212" spans="1:16" x14ac:dyDescent="0.25">
      <c r="A212" t="s">
        <v>14</v>
      </c>
      <c r="B212" t="s">
        <v>11</v>
      </c>
    </row>
    <row r="213" spans="1:16" x14ac:dyDescent="0.25">
      <c r="A213">
        <v>11018341</v>
      </c>
      <c r="B213" t="s">
        <v>11</v>
      </c>
      <c r="D213">
        <v>0</v>
      </c>
      <c r="E213">
        <v>0</v>
      </c>
    </row>
    <row r="214" spans="1:16" x14ac:dyDescent="0.25">
      <c r="A214">
        <v>11021445</v>
      </c>
      <c r="B214" t="s">
        <v>11</v>
      </c>
    </row>
    <row r="215" spans="1:16" x14ac:dyDescent="0.25">
      <c r="A215">
        <v>11025151</v>
      </c>
      <c r="B215" t="s">
        <v>11</v>
      </c>
      <c r="F215">
        <v>0</v>
      </c>
      <c r="I215">
        <v>0</v>
      </c>
      <c r="J215">
        <v>0</v>
      </c>
      <c r="K215">
        <v>0</v>
      </c>
      <c r="L215">
        <v>0</v>
      </c>
    </row>
    <row r="216" spans="1:16" x14ac:dyDescent="0.25">
      <c r="A216">
        <v>11039110</v>
      </c>
      <c r="B216" t="s">
        <v>11</v>
      </c>
      <c r="J216">
        <v>0</v>
      </c>
      <c r="K216">
        <v>0</v>
      </c>
      <c r="L216">
        <v>0</v>
      </c>
    </row>
    <row r="217" spans="1:16" x14ac:dyDescent="0.25">
      <c r="A217">
        <v>11108410</v>
      </c>
      <c r="B217" t="s">
        <v>11</v>
      </c>
    </row>
    <row r="218" spans="1:16" x14ac:dyDescent="0.25">
      <c r="A218">
        <v>11139605</v>
      </c>
      <c r="B218" t="s">
        <v>11</v>
      </c>
    </row>
    <row r="219" spans="1:16" x14ac:dyDescent="0.25">
      <c r="A219">
        <v>11201694</v>
      </c>
      <c r="B219" t="s">
        <v>11</v>
      </c>
    </row>
    <row r="220" spans="1:16" x14ac:dyDescent="0.25">
      <c r="A220">
        <v>11242543</v>
      </c>
      <c r="B220" t="s">
        <v>11</v>
      </c>
    </row>
    <row r="221" spans="1:16" x14ac:dyDescent="0.25">
      <c r="A221">
        <v>11247293</v>
      </c>
      <c r="B221" t="s">
        <v>11</v>
      </c>
    </row>
    <row r="222" spans="1:16" x14ac:dyDescent="0.25">
      <c r="A222">
        <v>12006449</v>
      </c>
      <c r="B222" t="s">
        <v>11</v>
      </c>
      <c r="J222">
        <v>0</v>
      </c>
      <c r="K222">
        <v>0</v>
      </c>
      <c r="L222">
        <v>0</v>
      </c>
    </row>
    <row r="223" spans="1:16" x14ac:dyDescent="0.25">
      <c r="A223">
        <v>12049136</v>
      </c>
      <c r="B223" t="s">
        <v>11</v>
      </c>
    </row>
    <row r="224" spans="1:16" x14ac:dyDescent="0.25">
      <c r="A224">
        <v>12087508</v>
      </c>
      <c r="B224" t="s">
        <v>11</v>
      </c>
      <c r="C224">
        <v>1</v>
      </c>
      <c r="F224">
        <v>0</v>
      </c>
      <c r="H224">
        <v>1</v>
      </c>
      <c r="I224">
        <v>0</v>
      </c>
      <c r="L224">
        <v>0</v>
      </c>
      <c r="N224">
        <v>0</v>
      </c>
      <c r="O224">
        <v>0</v>
      </c>
      <c r="P224">
        <v>0</v>
      </c>
    </row>
    <row r="225" spans="1:16" x14ac:dyDescent="0.25">
      <c r="A225">
        <v>12229481</v>
      </c>
      <c r="B225" t="s">
        <v>11</v>
      </c>
    </row>
    <row r="226" spans="1:16" x14ac:dyDescent="0.25">
      <c r="A226">
        <v>12258821</v>
      </c>
      <c r="B226" t="s">
        <v>11</v>
      </c>
      <c r="F226" s="9" t="s">
        <v>163</v>
      </c>
      <c r="I226">
        <v>0</v>
      </c>
    </row>
    <row r="227" spans="1:16" x14ac:dyDescent="0.25">
      <c r="A227" s="12">
        <v>12309729</v>
      </c>
      <c r="B227" s="12" t="s">
        <v>11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spans="1:16" x14ac:dyDescent="0.25">
      <c r="A228" s="12" t="s">
        <v>15</v>
      </c>
      <c r="B228" s="12" t="s">
        <v>11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spans="1:16" x14ac:dyDescent="0.25">
      <c r="A229" s="12">
        <v>13005942</v>
      </c>
      <c r="B229" s="12" t="s">
        <v>11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spans="1:16" x14ac:dyDescent="0.25">
      <c r="A230" s="12">
        <v>324</v>
      </c>
      <c r="B230" s="12" t="s">
        <v>11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spans="1:16" x14ac:dyDescent="0.25">
      <c r="A231" s="12">
        <v>3909</v>
      </c>
      <c r="B231" s="12" t="s">
        <v>11</v>
      </c>
      <c r="C231" s="12"/>
      <c r="D231" s="12"/>
      <c r="E231" s="12"/>
      <c r="F231" s="12">
        <v>1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spans="1:16" x14ac:dyDescent="0.25">
      <c r="A232" s="12">
        <v>4663</v>
      </c>
      <c r="B232" s="12" t="s">
        <v>11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spans="1:16" x14ac:dyDescent="0.25">
      <c r="A233" s="12">
        <v>1005522</v>
      </c>
      <c r="B233" s="12" t="s">
        <v>11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spans="1:16" x14ac:dyDescent="0.25">
      <c r="A234" s="12">
        <v>1007631</v>
      </c>
      <c r="B234" s="12" t="s">
        <v>11</v>
      </c>
      <c r="C234" s="12">
        <v>0</v>
      </c>
      <c r="D234" s="12"/>
      <c r="E234" s="12">
        <v>0</v>
      </c>
      <c r="F234" s="12">
        <v>0</v>
      </c>
      <c r="G234" s="12"/>
      <c r="H234" s="12"/>
      <c r="I234" s="12"/>
      <c r="J234" s="12">
        <v>0</v>
      </c>
      <c r="K234" s="12">
        <v>0</v>
      </c>
      <c r="L234" s="12">
        <v>0</v>
      </c>
      <c r="M234" s="12"/>
      <c r="N234" s="12"/>
      <c r="O234" s="12"/>
      <c r="P234" s="12"/>
    </row>
    <row r="235" spans="1:16" x14ac:dyDescent="0.25">
      <c r="A235" s="12">
        <v>1009760</v>
      </c>
      <c r="B235" s="12" t="s">
        <v>11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>
        <v>0</v>
      </c>
      <c r="N235" s="12">
        <v>0</v>
      </c>
      <c r="O235" s="12"/>
      <c r="P235" s="12">
        <v>0</v>
      </c>
    </row>
    <row r="236" spans="1:16" x14ac:dyDescent="0.25">
      <c r="A236" s="12">
        <v>2000646</v>
      </c>
      <c r="B236" s="12" t="s">
        <v>11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spans="1:16" x14ac:dyDescent="0.25">
      <c r="A237" s="12">
        <v>2003761</v>
      </c>
      <c r="B237" s="12" t="s">
        <v>11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spans="1:16" x14ac:dyDescent="0.25">
      <c r="A238" s="12">
        <v>2004061</v>
      </c>
      <c r="B238" s="12" t="s">
        <v>11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pans="1:16" x14ac:dyDescent="0.25">
      <c r="A239" s="12">
        <v>2006469</v>
      </c>
      <c r="B239" s="12" t="s">
        <v>11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spans="1:16" x14ac:dyDescent="0.25">
      <c r="A240" s="12">
        <v>3005132</v>
      </c>
      <c r="B240" s="12" t="s">
        <v>11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spans="1:16" x14ac:dyDescent="0.25">
      <c r="A241" s="12">
        <v>3009119</v>
      </c>
      <c r="B241" s="12" t="s">
        <v>11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spans="1:16" x14ac:dyDescent="0.25">
      <c r="A242" s="12">
        <v>3009936</v>
      </c>
      <c r="B242" s="12" t="s">
        <v>11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spans="1:16" x14ac:dyDescent="0.25">
      <c r="A243" s="12">
        <v>3011094</v>
      </c>
      <c r="B243" s="12" t="s">
        <v>11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spans="1:16" x14ac:dyDescent="0.25">
      <c r="A244" s="12">
        <v>3014643</v>
      </c>
      <c r="B244" s="12" t="s">
        <v>11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spans="1:16" x14ac:dyDescent="0.25">
      <c r="A245" s="12">
        <v>3016056</v>
      </c>
      <c r="B245" s="12" t="s">
        <v>11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spans="1:16" x14ac:dyDescent="0.25">
      <c r="A246" s="12">
        <v>3900219</v>
      </c>
      <c r="B246" s="12" t="s">
        <v>11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>
        <v>1</v>
      </c>
      <c r="O246" s="12"/>
      <c r="P246" s="12">
        <v>0</v>
      </c>
    </row>
    <row r="247" spans="1:16" x14ac:dyDescent="0.25">
      <c r="A247" s="12">
        <v>4000158</v>
      </c>
      <c r="B247" s="12" t="s">
        <v>11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spans="1:16" x14ac:dyDescent="0.25">
      <c r="A248" s="12">
        <v>4000304</v>
      </c>
      <c r="B248" s="12" t="s">
        <v>11</v>
      </c>
      <c r="C248" s="12"/>
      <c r="D248" s="12"/>
      <c r="E248" s="12"/>
      <c r="F248" s="12"/>
      <c r="G248" s="12">
        <v>0</v>
      </c>
      <c r="H248" s="12">
        <v>0</v>
      </c>
      <c r="I248" s="12"/>
      <c r="J248" s="12">
        <v>0</v>
      </c>
      <c r="K248" s="12">
        <v>0</v>
      </c>
      <c r="L248" s="12">
        <v>0</v>
      </c>
      <c r="M248" s="12"/>
      <c r="N248" s="12"/>
      <c r="O248" s="12">
        <v>0</v>
      </c>
      <c r="P248" s="12">
        <v>0</v>
      </c>
    </row>
    <row r="249" spans="1:16" x14ac:dyDescent="0.25">
      <c r="A249" s="12">
        <v>4001905</v>
      </c>
      <c r="B249" s="12" t="s">
        <v>11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spans="1:16" x14ac:dyDescent="0.25">
      <c r="A250" s="12">
        <v>4002206</v>
      </c>
      <c r="B250" s="12" t="s">
        <v>11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spans="1:16" x14ac:dyDescent="0.25">
      <c r="A251" s="12">
        <v>4002715</v>
      </c>
      <c r="B251" s="12" t="s">
        <v>11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spans="1:16" x14ac:dyDescent="0.25">
      <c r="A252" s="12">
        <v>4003924</v>
      </c>
      <c r="B252" s="12" t="s">
        <v>11</v>
      </c>
      <c r="C252" s="12"/>
      <c r="D252" s="12"/>
      <c r="E252" s="12"/>
      <c r="F252" s="12"/>
      <c r="G252" s="12"/>
      <c r="H252" s="12"/>
      <c r="I252" s="12"/>
      <c r="J252" s="12">
        <v>0</v>
      </c>
      <c r="K252" s="12">
        <v>0</v>
      </c>
      <c r="L252" s="12">
        <v>0</v>
      </c>
      <c r="M252" s="12"/>
      <c r="N252" s="12"/>
      <c r="O252" s="12">
        <v>0</v>
      </c>
      <c r="P252" s="12">
        <v>0</v>
      </c>
    </row>
    <row r="253" spans="1:16" x14ac:dyDescent="0.25">
      <c r="A253" s="12">
        <v>4006051</v>
      </c>
      <c r="B253" s="12" t="s">
        <v>11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spans="1:16" x14ac:dyDescent="0.25">
      <c r="A254" s="12">
        <v>4008140</v>
      </c>
      <c r="B254" s="12" t="s">
        <v>11</v>
      </c>
      <c r="C254" s="12"/>
      <c r="D254" s="12"/>
      <c r="E254" s="12"/>
      <c r="F254" s="12"/>
      <c r="G254" s="12"/>
      <c r="H254" s="12"/>
      <c r="I254" s="12"/>
      <c r="J254" s="12">
        <v>0</v>
      </c>
      <c r="K254" s="12">
        <v>0</v>
      </c>
      <c r="L254" s="12">
        <v>0</v>
      </c>
      <c r="M254" s="12">
        <v>0</v>
      </c>
      <c r="N254" s="12"/>
      <c r="O254" s="12"/>
      <c r="P254" s="12"/>
    </row>
    <row r="255" spans="1:16" x14ac:dyDescent="0.25">
      <c r="A255" s="12">
        <v>4009906</v>
      </c>
      <c r="B255" s="12" t="s">
        <v>11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spans="1:16" x14ac:dyDescent="0.25">
      <c r="A256" s="12">
        <v>4011027</v>
      </c>
      <c r="B256" s="12" t="s">
        <v>11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spans="1:16" x14ac:dyDescent="0.25">
      <c r="A257" s="12">
        <v>4011920</v>
      </c>
      <c r="B257" s="12" t="s">
        <v>11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spans="1:16" x14ac:dyDescent="0.25">
      <c r="A258" s="12">
        <v>4012248</v>
      </c>
      <c r="B258" s="12" t="s">
        <v>11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spans="1:16" x14ac:dyDescent="0.25">
      <c r="A259" s="12">
        <v>4013603</v>
      </c>
      <c r="B259" s="12" t="s">
        <v>11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spans="1:16" x14ac:dyDescent="0.25">
      <c r="A260" s="12">
        <v>5004654</v>
      </c>
      <c r="B260" s="12" t="s">
        <v>11</v>
      </c>
      <c r="C260" s="12"/>
      <c r="D260" s="12">
        <v>0</v>
      </c>
      <c r="E260" s="12">
        <v>0</v>
      </c>
      <c r="F260" s="12">
        <v>0</v>
      </c>
      <c r="G260" s="12"/>
      <c r="H260" s="12"/>
      <c r="I260" s="12">
        <v>0</v>
      </c>
      <c r="J260" s="12">
        <v>0</v>
      </c>
      <c r="K260" s="12">
        <v>0</v>
      </c>
      <c r="L260" s="12">
        <v>0</v>
      </c>
      <c r="M260" s="12"/>
      <c r="N260" s="12"/>
      <c r="O260" s="12"/>
      <c r="P260" s="12"/>
    </row>
    <row r="261" spans="1:16" x14ac:dyDescent="0.25">
      <c r="A261" s="12">
        <v>5008807</v>
      </c>
      <c r="B261" s="12" t="s">
        <v>11</v>
      </c>
      <c r="C261" s="12">
        <v>1</v>
      </c>
      <c r="D261" s="12"/>
      <c r="E261" s="12">
        <v>0</v>
      </c>
      <c r="F261" s="12">
        <v>0</v>
      </c>
      <c r="G261" s="12"/>
      <c r="H261" s="12"/>
      <c r="I261" s="12">
        <v>0</v>
      </c>
      <c r="J261" s="12">
        <v>1</v>
      </c>
      <c r="K261" s="12">
        <v>0</v>
      </c>
      <c r="L261" s="12">
        <v>0</v>
      </c>
      <c r="M261" s="12"/>
      <c r="N261" s="12">
        <v>0</v>
      </c>
      <c r="O261" s="12"/>
      <c r="P261" s="12">
        <v>0</v>
      </c>
    </row>
    <row r="262" spans="1:16" x14ac:dyDescent="0.25">
      <c r="A262" s="12">
        <v>5009400</v>
      </c>
      <c r="B262" s="12" t="s">
        <v>11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spans="1:16" x14ac:dyDescent="0.25">
      <c r="A263" s="12">
        <v>5016255</v>
      </c>
      <c r="B263" s="12" t="s">
        <v>11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spans="1:16" x14ac:dyDescent="0.25">
      <c r="A264" s="12">
        <v>6012448</v>
      </c>
      <c r="B264" s="12" t="s">
        <v>11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spans="1:16" x14ac:dyDescent="0.25">
      <c r="A265" s="12">
        <v>7000457</v>
      </c>
      <c r="B265" s="12" t="s">
        <v>11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spans="1:16" x14ac:dyDescent="0.25">
      <c r="A266" s="12">
        <v>7072644</v>
      </c>
      <c r="B266" s="12" t="s">
        <v>11</v>
      </c>
      <c r="C266" s="12"/>
      <c r="D266" s="12"/>
      <c r="E266" s="12"/>
      <c r="F266" s="12"/>
      <c r="G266" s="12"/>
      <c r="H266" s="12"/>
      <c r="I266" s="12"/>
      <c r="J266" s="12"/>
      <c r="K266" s="12">
        <v>0</v>
      </c>
      <c r="L266" s="12">
        <v>0</v>
      </c>
      <c r="M266" s="12"/>
      <c r="N266" s="12"/>
      <c r="O266" s="12"/>
      <c r="P266" s="12"/>
    </row>
    <row r="267" spans="1:16" x14ac:dyDescent="0.25">
      <c r="A267" s="12">
        <v>7126387</v>
      </c>
      <c r="B267" s="12" t="s">
        <v>11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spans="1:16" x14ac:dyDescent="0.25">
      <c r="A268" s="12">
        <v>10185935</v>
      </c>
      <c r="B268" s="12" t="s">
        <v>11</v>
      </c>
      <c r="C268" s="12"/>
      <c r="D268" s="12"/>
      <c r="E268" s="12"/>
      <c r="F268" s="12"/>
      <c r="G268" s="12"/>
      <c r="H268" s="12"/>
      <c r="I268" s="12"/>
      <c r="J268" s="12">
        <v>1</v>
      </c>
      <c r="K268" s="12">
        <v>0</v>
      </c>
      <c r="L268" s="12">
        <v>0</v>
      </c>
      <c r="M268" s="12">
        <v>0</v>
      </c>
      <c r="N268" s="12"/>
      <c r="O268" s="12">
        <v>0</v>
      </c>
      <c r="P268" s="12">
        <v>0</v>
      </c>
    </row>
    <row r="269" spans="1:16" x14ac:dyDescent="0.25">
      <c r="A269" s="12">
        <v>11061215</v>
      </c>
      <c r="B269" s="12" t="s">
        <v>11</v>
      </c>
      <c r="C269" s="12"/>
      <c r="D269" s="12"/>
      <c r="E269" s="12"/>
      <c r="F269" s="12">
        <v>0</v>
      </c>
      <c r="G269" s="12"/>
      <c r="H269" s="12"/>
      <c r="I269" s="12">
        <v>0</v>
      </c>
      <c r="J269" s="12">
        <v>0</v>
      </c>
      <c r="K269" s="12"/>
      <c r="L269" s="12">
        <v>0</v>
      </c>
      <c r="M269" s="12">
        <v>0</v>
      </c>
      <c r="N269" s="12">
        <v>0</v>
      </c>
      <c r="O269" s="12">
        <v>0</v>
      </c>
      <c r="P269" s="12">
        <v>0</v>
      </c>
    </row>
    <row r="270" spans="1:16" x14ac:dyDescent="0.25">
      <c r="A270" s="12">
        <v>93008468</v>
      </c>
      <c r="B270" s="12" t="s">
        <v>11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spans="1:16" x14ac:dyDescent="0.25">
      <c r="A271" s="12">
        <v>93016155</v>
      </c>
      <c r="B271" s="12" t="s">
        <v>11</v>
      </c>
      <c r="C271" s="12"/>
      <c r="D271" s="12">
        <v>0</v>
      </c>
      <c r="E271" s="12">
        <v>0</v>
      </c>
      <c r="F271" s="12"/>
      <c r="G271" s="12"/>
      <c r="H271" s="12"/>
      <c r="I271" s="12"/>
      <c r="J271" s="12">
        <v>0</v>
      </c>
      <c r="K271" s="12"/>
      <c r="L271" s="12">
        <v>0</v>
      </c>
      <c r="M271" s="12"/>
      <c r="N271" s="12">
        <v>0</v>
      </c>
      <c r="O271" s="12">
        <v>0</v>
      </c>
      <c r="P271" s="12">
        <v>0</v>
      </c>
    </row>
    <row r="272" spans="1:16" x14ac:dyDescent="0.25">
      <c r="A272" s="12">
        <v>93018845</v>
      </c>
      <c r="B272" s="12" t="s">
        <v>11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spans="1:16" x14ac:dyDescent="0.25">
      <c r="A273" s="12" t="s">
        <v>16</v>
      </c>
      <c r="B273" s="12" t="s">
        <v>11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spans="1:16" x14ac:dyDescent="0.25">
      <c r="A274" s="12">
        <v>94006009</v>
      </c>
      <c r="B274" s="12" t="s">
        <v>11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spans="1:16" x14ac:dyDescent="0.25">
      <c r="A275" s="12">
        <v>94014126</v>
      </c>
      <c r="B275" s="12" t="s">
        <v>11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spans="1:16" x14ac:dyDescent="0.25">
      <c r="A276" s="12">
        <v>94900361</v>
      </c>
      <c r="B276" s="12" t="s">
        <v>11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spans="1:16" x14ac:dyDescent="0.25">
      <c r="A277" s="12">
        <v>94901890</v>
      </c>
      <c r="B277" s="12" t="s">
        <v>11</v>
      </c>
      <c r="C277" s="12"/>
      <c r="D277" s="12"/>
      <c r="E277" s="12"/>
      <c r="F277" s="12"/>
      <c r="G277" s="12"/>
      <c r="H277" s="12"/>
      <c r="I277" s="12"/>
      <c r="J277" s="12"/>
      <c r="K277" s="12">
        <v>1</v>
      </c>
      <c r="L277" s="12">
        <v>0</v>
      </c>
      <c r="M277" s="12">
        <v>0</v>
      </c>
      <c r="N277" s="14" t="s">
        <v>163</v>
      </c>
      <c r="O277" s="12">
        <v>0</v>
      </c>
      <c r="P277" s="14" t="s">
        <v>164</v>
      </c>
    </row>
    <row r="278" spans="1:16" x14ac:dyDescent="0.25">
      <c r="A278" s="12">
        <v>95001046</v>
      </c>
      <c r="B278" s="12" t="s">
        <v>11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1:16" x14ac:dyDescent="0.25">
      <c r="A279" s="12">
        <v>96004031</v>
      </c>
      <c r="B279" s="12" t="s">
        <v>11</v>
      </c>
      <c r="C279" s="12"/>
      <c r="D279" s="12"/>
      <c r="E279" s="12"/>
      <c r="F279" s="12">
        <v>1</v>
      </c>
      <c r="G279" s="12"/>
      <c r="H279" s="12"/>
      <c r="I279" s="12">
        <v>0</v>
      </c>
      <c r="J279" s="12">
        <v>1</v>
      </c>
      <c r="K279" s="12"/>
      <c r="L279" s="12">
        <v>0</v>
      </c>
      <c r="M279" s="12"/>
      <c r="N279" s="12">
        <v>0</v>
      </c>
      <c r="O279" s="12"/>
      <c r="P279" s="12">
        <v>0</v>
      </c>
    </row>
    <row r="280" spans="1:16" x14ac:dyDescent="0.25">
      <c r="A280" s="12">
        <v>97004458</v>
      </c>
      <c r="B280" s="12" t="s">
        <v>11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1:16" x14ac:dyDescent="0.25">
      <c r="A281" s="12">
        <v>97009212</v>
      </c>
      <c r="B281" s="12" t="s">
        <v>11</v>
      </c>
      <c r="C281" s="12"/>
      <c r="D281" s="12"/>
      <c r="E281" s="12"/>
      <c r="F281" s="12">
        <v>0</v>
      </c>
      <c r="G281" s="12">
        <v>0</v>
      </c>
      <c r="H281" s="12">
        <v>0</v>
      </c>
      <c r="I281" s="12">
        <v>0</v>
      </c>
      <c r="J281" s="12"/>
      <c r="K281" s="12">
        <v>0</v>
      </c>
      <c r="L281" s="12">
        <v>0</v>
      </c>
      <c r="M281" s="12"/>
      <c r="N281" s="12"/>
      <c r="O281" s="12"/>
      <c r="P281" s="12"/>
    </row>
    <row r="282" spans="1:16" x14ac:dyDescent="0.25">
      <c r="A282" s="12">
        <v>98006038</v>
      </c>
      <c r="B282" s="12" t="s">
        <v>11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spans="1:16" x14ac:dyDescent="0.25">
      <c r="A283" s="12">
        <v>98009041</v>
      </c>
      <c r="B283" s="12" t="s">
        <v>11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spans="1:16" x14ac:dyDescent="0.25">
      <c r="A284" s="12">
        <v>99000714</v>
      </c>
      <c r="B284" s="12" t="s">
        <v>11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spans="1:16" x14ac:dyDescent="0.25">
      <c r="A285" s="12">
        <v>99007116</v>
      </c>
      <c r="B285" s="12" t="s">
        <v>11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spans="1:16" x14ac:dyDescent="0.25">
      <c r="A286" s="12">
        <v>99901293</v>
      </c>
      <c r="B286" s="12" t="s">
        <v>11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spans="1:16" x14ac:dyDescent="0.25">
      <c r="A287" s="12">
        <v>99901604</v>
      </c>
      <c r="B287" s="12" t="s">
        <v>11</v>
      </c>
      <c r="C287" s="12"/>
      <c r="D287" s="12"/>
      <c r="E287" s="12"/>
      <c r="F287" s="12">
        <v>0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spans="1:16" x14ac:dyDescent="0.25">
      <c r="A288" s="12">
        <v>3017227</v>
      </c>
      <c r="B288" s="12" t="s">
        <v>11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spans="1:16" x14ac:dyDescent="0.25">
      <c r="A289" s="12">
        <v>2007648</v>
      </c>
      <c r="B289" s="12" t="s">
        <v>11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spans="1:16" x14ac:dyDescent="0.25">
      <c r="A290" s="12">
        <v>3008510</v>
      </c>
      <c r="B290" s="12" t="s">
        <v>11</v>
      </c>
      <c r="C290" s="12"/>
      <c r="D290" s="12"/>
      <c r="E290" s="12"/>
      <c r="F290" s="14" t="s">
        <v>164</v>
      </c>
      <c r="G290" s="14" t="s">
        <v>163</v>
      </c>
      <c r="H290" s="14" t="s">
        <v>163</v>
      </c>
      <c r="I290" s="12"/>
      <c r="J290" s="12"/>
      <c r="K290" s="12"/>
      <c r="L290" s="12"/>
      <c r="M290" s="12"/>
      <c r="N290" s="12"/>
      <c r="O290" s="12"/>
      <c r="P290" s="12"/>
    </row>
    <row r="291" spans="1:16" x14ac:dyDescent="0.25">
      <c r="A291" s="12" t="s">
        <v>170</v>
      </c>
      <c r="C291" s="12">
        <f>COUNTIF(C163:C290,1)</f>
        <v>2</v>
      </c>
      <c r="D291" s="12">
        <f t="shared" ref="D291:P291" si="0">COUNTIF(D163:D290,1)</f>
        <v>0</v>
      </c>
      <c r="E291" s="12">
        <f t="shared" si="0"/>
        <v>1</v>
      </c>
      <c r="F291" s="12">
        <f t="shared" si="0"/>
        <v>3</v>
      </c>
      <c r="G291" s="12">
        <f t="shared" si="0"/>
        <v>1</v>
      </c>
      <c r="H291" s="12">
        <f t="shared" si="0"/>
        <v>2</v>
      </c>
      <c r="I291" s="12">
        <f t="shared" si="0"/>
        <v>0</v>
      </c>
      <c r="J291" s="12">
        <f t="shared" si="0"/>
        <v>3</v>
      </c>
      <c r="K291" s="12">
        <f t="shared" si="0"/>
        <v>1</v>
      </c>
      <c r="L291" s="12">
        <f t="shared" si="0"/>
        <v>0</v>
      </c>
      <c r="M291" s="12">
        <f t="shared" si="0"/>
        <v>0</v>
      </c>
      <c r="N291" s="12">
        <f t="shared" si="0"/>
        <v>2</v>
      </c>
      <c r="O291" s="12">
        <f t="shared" si="0"/>
        <v>0</v>
      </c>
      <c r="P291" s="12">
        <f t="shared" si="0"/>
        <v>0</v>
      </c>
    </row>
    <row r="292" spans="1:16" x14ac:dyDescent="0.25">
      <c r="A292" s="12" t="s">
        <v>171</v>
      </c>
      <c r="C292" s="12">
        <f>COUNTIF(C163:C290,0)</f>
        <v>2</v>
      </c>
      <c r="D292" s="12">
        <f t="shared" ref="D292:P292" si="1">COUNTIF(D163:D290,0)</f>
        <v>3</v>
      </c>
      <c r="E292" s="12">
        <f t="shared" si="1"/>
        <v>6</v>
      </c>
      <c r="F292" s="12">
        <f t="shared" si="1"/>
        <v>11</v>
      </c>
      <c r="G292" s="12">
        <f t="shared" si="1"/>
        <v>4</v>
      </c>
      <c r="H292" s="12">
        <f t="shared" si="1"/>
        <v>4</v>
      </c>
      <c r="I292" s="12">
        <f t="shared" si="1"/>
        <v>8</v>
      </c>
      <c r="J292" s="12">
        <f t="shared" si="1"/>
        <v>13</v>
      </c>
      <c r="K292" s="12">
        <f t="shared" si="1"/>
        <v>15</v>
      </c>
      <c r="L292" s="12">
        <f t="shared" si="1"/>
        <v>20</v>
      </c>
      <c r="M292" s="12">
        <f t="shared" si="1"/>
        <v>5</v>
      </c>
      <c r="N292" s="12">
        <f t="shared" si="1"/>
        <v>6</v>
      </c>
      <c r="O292" s="12">
        <f t="shared" si="1"/>
        <v>7</v>
      </c>
      <c r="P292" s="12">
        <f t="shared" si="1"/>
        <v>12</v>
      </c>
    </row>
    <row r="293" spans="1:16" x14ac:dyDescent="0.25">
      <c r="A293" s="12">
        <v>4289</v>
      </c>
      <c r="B293" s="12" t="s">
        <v>17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spans="1:16" x14ac:dyDescent="0.25">
      <c r="A294" s="12">
        <v>500245</v>
      </c>
      <c r="B294" s="12" t="s">
        <v>17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spans="1:16" x14ac:dyDescent="0.25">
      <c r="A295" s="12">
        <v>2002573</v>
      </c>
      <c r="B295" s="12" t="s">
        <v>17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spans="1:16" x14ac:dyDescent="0.25">
      <c r="A296" s="12">
        <v>2003539</v>
      </c>
      <c r="B296" s="12" t="s">
        <v>17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spans="1:16" x14ac:dyDescent="0.25">
      <c r="A297" s="12">
        <v>2003649</v>
      </c>
      <c r="B297" s="12" t="s">
        <v>17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spans="1:16" x14ac:dyDescent="0.25">
      <c r="A298" s="12">
        <v>2005572</v>
      </c>
      <c r="B298" s="12" t="s">
        <v>17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spans="1:16" x14ac:dyDescent="0.25">
      <c r="A299" s="12">
        <v>2013117</v>
      </c>
      <c r="B299" s="12" t="s">
        <v>17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spans="1:16" x14ac:dyDescent="0.25">
      <c r="A300" s="12">
        <v>3009633</v>
      </c>
      <c r="B300" s="12" t="s">
        <v>17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spans="1:16" x14ac:dyDescent="0.25">
      <c r="A301" s="12">
        <v>3010583</v>
      </c>
      <c r="B301" s="12" t="s">
        <v>17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spans="1:16" x14ac:dyDescent="0.25">
      <c r="A302" s="16">
        <v>3011892</v>
      </c>
      <c r="B302" s="12" t="s">
        <v>17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spans="1:16" x14ac:dyDescent="0.25">
      <c r="A303" s="12">
        <v>4001382</v>
      </c>
      <c r="B303" s="12" t="s">
        <v>17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spans="1:16" x14ac:dyDescent="0.25">
      <c r="A304" s="12">
        <v>5018675</v>
      </c>
      <c r="B304" s="12" t="s">
        <v>17</v>
      </c>
      <c r="C304" s="12"/>
      <c r="D304" s="12"/>
      <c r="E304" s="12"/>
      <c r="F304" s="12"/>
      <c r="G304" s="12"/>
      <c r="H304" s="12"/>
      <c r="I304" s="12"/>
      <c r="J304" s="12">
        <v>0</v>
      </c>
      <c r="K304" s="12">
        <v>0</v>
      </c>
      <c r="L304" s="12">
        <v>0</v>
      </c>
      <c r="M304" s="12"/>
      <c r="N304" s="12"/>
      <c r="O304" s="12">
        <v>0</v>
      </c>
      <c r="P304" s="12">
        <v>0</v>
      </c>
    </row>
    <row r="305" spans="1:16" x14ac:dyDescent="0.25">
      <c r="A305" s="12">
        <v>6050168</v>
      </c>
      <c r="B305" s="12" t="s">
        <v>17</v>
      </c>
      <c r="C305" s="12">
        <v>1</v>
      </c>
      <c r="D305" s="12"/>
      <c r="E305" s="12">
        <v>1</v>
      </c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spans="1:16" x14ac:dyDescent="0.25">
      <c r="A306" s="12">
        <v>7003242</v>
      </c>
      <c r="B306" s="12" t="s">
        <v>17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spans="1:16" x14ac:dyDescent="0.25">
      <c r="A307" s="12">
        <v>12022536</v>
      </c>
      <c r="B307" s="12" t="s">
        <v>17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spans="1:16" x14ac:dyDescent="0.25">
      <c r="A308" s="12">
        <v>13020792</v>
      </c>
      <c r="B308" s="12" t="s">
        <v>17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spans="1:16" x14ac:dyDescent="0.25">
      <c r="A309" s="12">
        <v>97005797</v>
      </c>
      <c r="B309" s="12" t="s">
        <v>17</v>
      </c>
      <c r="C309" s="12"/>
      <c r="D309" s="12"/>
      <c r="E309" s="12"/>
      <c r="F309" s="12"/>
      <c r="G309" s="12"/>
      <c r="H309" s="12"/>
      <c r="I309" s="12"/>
      <c r="J309" s="12">
        <v>0</v>
      </c>
      <c r="K309" s="12">
        <v>0</v>
      </c>
      <c r="L309" s="12">
        <v>0</v>
      </c>
      <c r="M309" s="12"/>
      <c r="N309" s="12"/>
      <c r="O309" s="12"/>
      <c r="P309" s="12"/>
    </row>
    <row r="310" spans="1:16" x14ac:dyDescent="0.25">
      <c r="A310" s="12">
        <v>99000345</v>
      </c>
      <c r="B310" s="12" t="s">
        <v>17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spans="1:16" x14ac:dyDescent="0.25">
      <c r="A311" s="12">
        <v>5006592</v>
      </c>
      <c r="B311" s="12" t="s">
        <v>17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spans="1:16" x14ac:dyDescent="0.25">
      <c r="A312" s="12">
        <v>5007274</v>
      </c>
      <c r="B312" s="12" t="s">
        <v>17</v>
      </c>
      <c r="C312" s="12"/>
      <c r="D312" s="12">
        <v>0</v>
      </c>
      <c r="E312" s="12"/>
      <c r="F312" s="12"/>
      <c r="G312" s="12"/>
      <c r="H312" s="12"/>
      <c r="I312" s="12"/>
      <c r="J312" s="12">
        <v>0</v>
      </c>
      <c r="K312" s="12">
        <v>0</v>
      </c>
      <c r="L312" s="12">
        <v>0</v>
      </c>
      <c r="M312" s="12"/>
      <c r="N312" s="12"/>
      <c r="O312" s="12">
        <v>0</v>
      </c>
      <c r="P312" s="12"/>
    </row>
    <row r="313" spans="1:16" x14ac:dyDescent="0.25">
      <c r="A313" s="12">
        <v>5015851</v>
      </c>
      <c r="B313" s="12" t="s">
        <v>17</v>
      </c>
      <c r="C313" s="12"/>
      <c r="D313" s="12"/>
      <c r="E313" s="12"/>
      <c r="F313" s="12"/>
      <c r="G313" s="12"/>
      <c r="H313" s="12"/>
      <c r="I313" s="12"/>
      <c r="J313" s="12">
        <v>0</v>
      </c>
      <c r="K313" s="12"/>
      <c r="L313" s="12">
        <v>0</v>
      </c>
      <c r="M313" s="12"/>
      <c r="N313" s="12">
        <v>0</v>
      </c>
      <c r="O313" s="12"/>
      <c r="P313" s="12">
        <v>0</v>
      </c>
    </row>
    <row r="314" spans="1:16" x14ac:dyDescent="0.25">
      <c r="A314" s="12">
        <v>6015647</v>
      </c>
      <c r="B314" s="12" t="s">
        <v>17</v>
      </c>
      <c r="C314" s="12"/>
      <c r="D314" s="12"/>
      <c r="E314" s="12"/>
      <c r="F314" s="12"/>
      <c r="G314" s="12"/>
      <c r="H314" s="12"/>
      <c r="I314" s="12"/>
      <c r="J314" s="12">
        <v>0</v>
      </c>
      <c r="K314" s="12"/>
      <c r="L314" s="12">
        <v>0</v>
      </c>
      <c r="M314" s="12"/>
      <c r="N314" s="12">
        <v>0</v>
      </c>
      <c r="O314" s="12">
        <v>0</v>
      </c>
      <c r="P314" s="12">
        <v>0</v>
      </c>
    </row>
    <row r="315" spans="1:16" x14ac:dyDescent="0.25">
      <c r="A315" s="12">
        <v>6056633</v>
      </c>
      <c r="B315" s="12" t="s">
        <v>17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spans="1:16" x14ac:dyDescent="0.25">
      <c r="A316" s="12">
        <v>7086224</v>
      </c>
      <c r="B316" s="12" t="s">
        <v>17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spans="1:16" x14ac:dyDescent="0.25">
      <c r="A317" s="12">
        <v>8040959</v>
      </c>
      <c r="B317" s="12" t="s">
        <v>17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spans="1:16" x14ac:dyDescent="0.25">
      <c r="A318" s="12">
        <v>8107048</v>
      </c>
      <c r="B318" s="12" t="s">
        <v>17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spans="1:16" x14ac:dyDescent="0.25">
      <c r="A319" s="12">
        <v>8124044</v>
      </c>
      <c r="B319" s="12" t="s">
        <v>17</v>
      </c>
      <c r="C319" s="12"/>
      <c r="D319" s="12"/>
      <c r="E319" s="12"/>
      <c r="F319" s="12">
        <v>1</v>
      </c>
      <c r="G319" s="12"/>
      <c r="H319" s="12"/>
      <c r="I319" s="12">
        <v>1</v>
      </c>
      <c r="J319" s="12">
        <v>0</v>
      </c>
      <c r="K319" s="12"/>
      <c r="L319" s="12"/>
      <c r="M319" s="12"/>
      <c r="N319" s="12"/>
      <c r="O319" s="12"/>
      <c r="P319" s="12"/>
    </row>
    <row r="320" spans="1:16" x14ac:dyDescent="0.25">
      <c r="A320" s="12">
        <v>8142949</v>
      </c>
      <c r="B320" s="12" t="s">
        <v>17</v>
      </c>
      <c r="C320" s="12"/>
      <c r="D320" s="12"/>
      <c r="E320" s="12"/>
      <c r="F320" s="12">
        <v>1</v>
      </c>
      <c r="G320" s="12"/>
      <c r="H320" s="12"/>
      <c r="I320" s="12"/>
      <c r="J320" s="12">
        <v>0</v>
      </c>
      <c r="K320" s="12">
        <v>0</v>
      </c>
      <c r="L320" s="12">
        <v>0</v>
      </c>
      <c r="M320" s="12"/>
      <c r="N320" s="12"/>
      <c r="O320" s="12"/>
      <c r="P320" s="12"/>
    </row>
    <row r="321" spans="1:16" x14ac:dyDescent="0.25">
      <c r="A321" s="12">
        <v>9023306</v>
      </c>
      <c r="B321" s="12" t="s">
        <v>17</v>
      </c>
      <c r="C321" s="12">
        <v>0</v>
      </c>
      <c r="D321" s="12">
        <v>0</v>
      </c>
      <c r="E321" s="12">
        <v>0</v>
      </c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spans="1:16" x14ac:dyDescent="0.25">
      <c r="A322" s="12">
        <v>9034464</v>
      </c>
      <c r="B322" s="12" t="s">
        <v>17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spans="1:16" x14ac:dyDescent="0.25">
      <c r="A323" s="12">
        <v>9040167</v>
      </c>
      <c r="B323" s="12" t="s">
        <v>17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spans="1:16" x14ac:dyDescent="0.25">
      <c r="A324" s="12">
        <v>9054567</v>
      </c>
      <c r="B324" s="12" t="s">
        <v>17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spans="1:16" x14ac:dyDescent="0.25">
      <c r="A325" s="12">
        <v>9083682</v>
      </c>
      <c r="B325" s="12" t="s">
        <v>17</v>
      </c>
      <c r="C325" s="12"/>
      <c r="D325" s="12"/>
      <c r="E325" s="12"/>
      <c r="F325" s="12"/>
      <c r="G325" s="12"/>
      <c r="H325" s="12"/>
      <c r="I325" s="12"/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/>
    </row>
    <row r="326" spans="1:16" x14ac:dyDescent="0.25">
      <c r="A326" s="12">
        <v>9102044</v>
      </c>
      <c r="B326" s="12" t="s">
        <v>17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spans="1:16" x14ac:dyDescent="0.25">
      <c r="A327" s="12">
        <v>9119854</v>
      </c>
      <c r="B327" s="12" t="s">
        <v>17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spans="1:16" x14ac:dyDescent="0.25">
      <c r="A328" s="12">
        <v>9125126</v>
      </c>
      <c r="B328" s="12" t="s">
        <v>17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spans="1:16" x14ac:dyDescent="0.25">
      <c r="A329" s="12">
        <v>9174811</v>
      </c>
      <c r="B329" s="12" t="s">
        <v>17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spans="1:16" x14ac:dyDescent="0.25">
      <c r="A330" s="12">
        <v>10002875</v>
      </c>
      <c r="B330" s="12" t="s">
        <v>17</v>
      </c>
      <c r="C330" s="12"/>
      <c r="D330" s="12"/>
      <c r="E330" s="12"/>
      <c r="F330" s="12">
        <v>0</v>
      </c>
      <c r="G330" s="12"/>
      <c r="H330" s="12"/>
      <c r="I330" s="12">
        <v>0</v>
      </c>
      <c r="J330" s="12"/>
      <c r="K330" s="12"/>
      <c r="L330" s="12">
        <v>0</v>
      </c>
      <c r="M330" s="12"/>
      <c r="N330" s="12">
        <v>0</v>
      </c>
      <c r="O330" s="12"/>
      <c r="P330" s="12"/>
    </row>
    <row r="331" spans="1:16" x14ac:dyDescent="0.25">
      <c r="A331" s="12">
        <v>10023080</v>
      </c>
      <c r="B331" s="12" t="s">
        <v>17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spans="1:16" x14ac:dyDescent="0.25">
      <c r="A332" s="12">
        <v>10025212</v>
      </c>
      <c r="B332" s="12" t="s">
        <v>17</v>
      </c>
      <c r="C332" s="12"/>
      <c r="D332" s="12">
        <v>0</v>
      </c>
      <c r="E332" s="12">
        <v>0</v>
      </c>
      <c r="F332" s="12">
        <v>0</v>
      </c>
      <c r="G332" s="12"/>
      <c r="H332" s="12"/>
      <c r="I332" s="12">
        <v>0</v>
      </c>
      <c r="J332" s="12">
        <v>0</v>
      </c>
      <c r="K332" s="12">
        <v>0</v>
      </c>
      <c r="L332" s="12">
        <v>0</v>
      </c>
      <c r="M332" s="12"/>
      <c r="N332" s="12"/>
      <c r="O332" s="12"/>
      <c r="P332" s="12"/>
    </row>
    <row r="333" spans="1:16" x14ac:dyDescent="0.25">
      <c r="A333" s="12">
        <v>10069407</v>
      </c>
      <c r="B333" s="12" t="s">
        <v>17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spans="1:16" x14ac:dyDescent="0.25">
      <c r="A334" s="12">
        <v>10071135</v>
      </c>
      <c r="B334" s="12" t="s">
        <v>17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spans="1:16" x14ac:dyDescent="0.25">
      <c r="A335" s="12">
        <v>10083649</v>
      </c>
      <c r="B335" s="12" t="s">
        <v>17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spans="1:16" x14ac:dyDescent="0.25">
      <c r="A336" s="12">
        <v>10102021</v>
      </c>
      <c r="B336" s="12" t="s">
        <v>17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spans="1:16" x14ac:dyDescent="0.25">
      <c r="A337" s="12">
        <v>10123729</v>
      </c>
      <c r="B337" s="12" t="s">
        <v>17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spans="1:16" x14ac:dyDescent="0.25">
      <c r="A338" s="12">
        <v>10144736</v>
      </c>
      <c r="B338" s="12" t="s">
        <v>17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spans="1:16" x14ac:dyDescent="0.25">
      <c r="A339" s="12">
        <v>10157275</v>
      </c>
      <c r="B339" s="12" t="s">
        <v>17</v>
      </c>
      <c r="C339" s="12"/>
      <c r="D339" s="12"/>
      <c r="E339" s="12"/>
      <c r="F339" s="12"/>
      <c r="G339" s="12"/>
      <c r="H339" s="12"/>
      <c r="I339" s="12"/>
      <c r="J339" s="12">
        <v>0</v>
      </c>
      <c r="K339" s="12">
        <v>0</v>
      </c>
      <c r="L339" s="12">
        <v>0</v>
      </c>
      <c r="M339" s="12"/>
      <c r="N339" s="12"/>
      <c r="O339" s="12"/>
      <c r="P339" s="12"/>
    </row>
    <row r="340" spans="1:16" x14ac:dyDescent="0.25">
      <c r="A340" s="12">
        <v>10190869</v>
      </c>
      <c r="B340" s="12" t="s">
        <v>17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spans="1:16" x14ac:dyDescent="0.25">
      <c r="A341" s="12">
        <v>11008417</v>
      </c>
      <c r="B341" s="12" t="s">
        <v>17</v>
      </c>
      <c r="C341" s="12">
        <v>0</v>
      </c>
      <c r="D341" s="12">
        <v>0</v>
      </c>
      <c r="E341" s="12"/>
      <c r="F341" s="12"/>
      <c r="G341" s="12"/>
      <c r="H341" s="12"/>
      <c r="I341" s="12"/>
      <c r="J341" s="12">
        <v>0</v>
      </c>
      <c r="K341" s="12">
        <v>0</v>
      </c>
      <c r="L341" s="12">
        <v>0</v>
      </c>
      <c r="M341" s="12"/>
      <c r="N341" s="12"/>
      <c r="O341" s="12">
        <v>0</v>
      </c>
      <c r="P341" s="12">
        <v>0</v>
      </c>
    </row>
    <row r="342" spans="1:16" x14ac:dyDescent="0.25">
      <c r="A342" s="12">
        <v>11043926</v>
      </c>
      <c r="B342" s="12" t="s">
        <v>17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spans="1:16" x14ac:dyDescent="0.25">
      <c r="A343" s="12">
        <v>11049060</v>
      </c>
      <c r="B343" s="12" t="s">
        <v>17</v>
      </c>
      <c r="C343" s="12"/>
      <c r="D343" s="12"/>
      <c r="E343" s="12"/>
      <c r="F343" s="12">
        <v>1</v>
      </c>
      <c r="G343" s="12"/>
      <c r="H343" s="12"/>
      <c r="I343" s="12"/>
      <c r="J343" s="12"/>
      <c r="K343" s="12"/>
      <c r="L343" s="12">
        <v>1</v>
      </c>
      <c r="M343" s="12"/>
      <c r="N343" s="12"/>
      <c r="O343" s="12">
        <v>0</v>
      </c>
      <c r="P343" s="12"/>
    </row>
    <row r="344" spans="1:16" x14ac:dyDescent="0.25">
      <c r="A344" s="12">
        <v>11058012</v>
      </c>
      <c r="B344" s="12" t="s">
        <v>17</v>
      </c>
      <c r="C344" s="12"/>
      <c r="D344" s="12"/>
      <c r="E344" s="12"/>
      <c r="F344" s="12"/>
      <c r="G344" s="12"/>
      <c r="H344" s="12"/>
      <c r="I344" s="12"/>
      <c r="J344" s="12">
        <v>1</v>
      </c>
      <c r="K344" s="12"/>
      <c r="L344" s="12"/>
      <c r="M344" s="12"/>
      <c r="N344" s="12"/>
      <c r="O344" s="12"/>
      <c r="P344" s="12"/>
    </row>
    <row r="345" spans="1:16" x14ac:dyDescent="0.25">
      <c r="A345" s="12">
        <v>11082290</v>
      </c>
      <c r="B345" s="12" t="s">
        <v>17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spans="1:16" x14ac:dyDescent="0.25">
      <c r="A346" s="12">
        <v>11096431</v>
      </c>
      <c r="B346" s="12" t="s">
        <v>17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spans="1:16" x14ac:dyDescent="0.25">
      <c r="A347" s="12">
        <v>11105672</v>
      </c>
      <c r="B347" s="12" t="s">
        <v>17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spans="1:16" x14ac:dyDescent="0.25">
      <c r="A348" s="12" t="s">
        <v>18</v>
      </c>
      <c r="B348" s="12" t="s">
        <v>17</v>
      </c>
      <c r="C348" s="12"/>
      <c r="D348" s="12"/>
      <c r="E348" s="12"/>
      <c r="F348" s="12"/>
      <c r="G348" s="12"/>
      <c r="H348" s="12"/>
      <c r="I348" s="12"/>
      <c r="J348" s="12">
        <v>0</v>
      </c>
      <c r="K348" s="12">
        <v>0</v>
      </c>
      <c r="L348" s="12">
        <v>0</v>
      </c>
      <c r="M348" s="12"/>
      <c r="N348" s="12">
        <v>1</v>
      </c>
      <c r="O348" s="12">
        <v>0</v>
      </c>
      <c r="P348" s="12">
        <v>1</v>
      </c>
    </row>
    <row r="349" spans="1:16" x14ac:dyDescent="0.25">
      <c r="A349" s="12">
        <v>11136262</v>
      </c>
      <c r="B349" s="12" t="s">
        <v>17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spans="1:16" x14ac:dyDescent="0.25">
      <c r="A350" s="12">
        <v>11178455</v>
      </c>
      <c r="B350" s="12" t="s">
        <v>17</v>
      </c>
      <c r="C350" s="12"/>
      <c r="D350" s="12"/>
      <c r="E350" s="12"/>
      <c r="F350" s="12"/>
      <c r="G350" s="12"/>
      <c r="H350" s="12"/>
      <c r="I350" s="12"/>
      <c r="J350" s="12">
        <v>0</v>
      </c>
      <c r="K350" s="12">
        <v>0</v>
      </c>
      <c r="L350" s="12">
        <v>0</v>
      </c>
      <c r="M350" s="12"/>
      <c r="N350" s="12"/>
      <c r="O350" s="12"/>
      <c r="P350" s="12"/>
    </row>
    <row r="351" spans="1:16" x14ac:dyDescent="0.25">
      <c r="A351" s="12">
        <v>11179526</v>
      </c>
      <c r="B351" s="12" t="s">
        <v>17</v>
      </c>
      <c r="C351" s="12"/>
      <c r="D351" s="12"/>
      <c r="E351" s="12"/>
      <c r="F351" s="12"/>
      <c r="G351" s="12"/>
      <c r="H351" s="12"/>
      <c r="I351" s="12"/>
      <c r="J351" s="12">
        <v>0</v>
      </c>
      <c r="K351" s="12">
        <v>0</v>
      </c>
      <c r="L351" s="12">
        <v>0</v>
      </c>
      <c r="M351" s="12"/>
      <c r="N351" s="12"/>
      <c r="O351" s="12"/>
      <c r="P351" s="12"/>
    </row>
    <row r="352" spans="1:16" x14ac:dyDescent="0.25">
      <c r="A352" s="12">
        <v>11187511</v>
      </c>
      <c r="B352" s="12" t="s">
        <v>17</v>
      </c>
      <c r="C352" s="12">
        <v>1</v>
      </c>
      <c r="D352" s="12">
        <v>0</v>
      </c>
      <c r="E352" s="12"/>
      <c r="F352" s="12">
        <v>0</v>
      </c>
      <c r="G352" s="12"/>
      <c r="H352" s="12"/>
      <c r="I352" s="12">
        <v>0</v>
      </c>
      <c r="J352" s="12"/>
      <c r="K352" s="12"/>
      <c r="L352" s="12"/>
      <c r="M352" s="12"/>
      <c r="N352" s="12">
        <v>0</v>
      </c>
      <c r="O352" s="12">
        <v>0</v>
      </c>
      <c r="P352" s="12">
        <v>0</v>
      </c>
    </row>
    <row r="353" spans="1:16" x14ac:dyDescent="0.25">
      <c r="A353" s="12">
        <v>11223290</v>
      </c>
      <c r="B353" s="12" t="s">
        <v>17</v>
      </c>
      <c r="C353" s="12">
        <v>1</v>
      </c>
      <c r="D353" s="12"/>
      <c r="E353" s="12"/>
      <c r="F353" s="12">
        <v>0</v>
      </c>
      <c r="G353" s="12"/>
      <c r="H353" s="12"/>
      <c r="I353" s="12">
        <v>0</v>
      </c>
      <c r="J353" s="12"/>
      <c r="K353" s="12"/>
      <c r="L353" s="12">
        <v>0</v>
      </c>
      <c r="M353" s="12"/>
      <c r="N353" s="12">
        <v>0</v>
      </c>
      <c r="O353" s="12"/>
      <c r="P353" s="12">
        <v>0</v>
      </c>
    </row>
    <row r="354" spans="1:16" x14ac:dyDescent="0.25">
      <c r="A354" s="12">
        <v>11228365</v>
      </c>
      <c r="B354" s="12" t="s">
        <v>17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spans="1:16" x14ac:dyDescent="0.25">
      <c r="A355" s="12">
        <v>12020246</v>
      </c>
      <c r="B355" s="12" t="s">
        <v>17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spans="1:16" x14ac:dyDescent="0.25">
      <c r="A356" s="12">
        <v>12035138</v>
      </c>
      <c r="B356" s="12" t="s">
        <v>17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spans="1:16" x14ac:dyDescent="0.25">
      <c r="A357" s="12">
        <v>12111578</v>
      </c>
      <c r="B357" s="12" t="s">
        <v>17</v>
      </c>
      <c r="C357" s="12"/>
      <c r="D357" s="12"/>
      <c r="E357" s="12"/>
      <c r="F357" s="12"/>
      <c r="G357" s="12"/>
      <c r="H357" s="12"/>
      <c r="I357" s="12"/>
      <c r="J357" s="12">
        <v>0</v>
      </c>
      <c r="K357" s="12">
        <v>0</v>
      </c>
      <c r="L357" s="12"/>
      <c r="M357" s="12"/>
      <c r="N357" s="12"/>
      <c r="O357" s="12"/>
      <c r="P357" s="12"/>
    </row>
    <row r="358" spans="1:16" x14ac:dyDescent="0.25">
      <c r="A358" s="12">
        <v>12133434</v>
      </c>
      <c r="B358" s="12" t="s">
        <v>17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spans="1:16" x14ac:dyDescent="0.25">
      <c r="A359" s="12">
        <v>12164268</v>
      </c>
      <c r="B359" s="12" t="s">
        <v>17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spans="1:16" x14ac:dyDescent="0.25">
      <c r="A360" s="12">
        <v>12164269</v>
      </c>
      <c r="B360" s="12" t="s">
        <v>17</v>
      </c>
      <c r="C360" s="12"/>
      <c r="D360" s="12"/>
      <c r="E360" s="12"/>
      <c r="F360" s="12"/>
      <c r="G360" s="12"/>
      <c r="H360" s="12"/>
      <c r="I360" s="12"/>
      <c r="J360" s="12">
        <v>0</v>
      </c>
      <c r="K360" s="12">
        <v>0</v>
      </c>
      <c r="L360" s="12">
        <v>0</v>
      </c>
      <c r="M360" s="12"/>
      <c r="N360" s="12"/>
      <c r="O360" s="12"/>
      <c r="P360" s="12"/>
    </row>
    <row r="361" spans="1:16" x14ac:dyDescent="0.25">
      <c r="A361" s="12">
        <v>12168562</v>
      </c>
      <c r="B361" s="12" t="s">
        <v>17</v>
      </c>
      <c r="C361" s="12"/>
      <c r="D361" s="12">
        <v>0</v>
      </c>
      <c r="E361" s="12">
        <v>0</v>
      </c>
      <c r="F361" s="12"/>
      <c r="G361" s="12"/>
      <c r="H361" s="12"/>
      <c r="I361" s="12"/>
      <c r="J361" s="12">
        <v>0</v>
      </c>
      <c r="K361" s="12">
        <v>0</v>
      </c>
      <c r="L361" s="12">
        <v>0</v>
      </c>
      <c r="M361" s="12"/>
      <c r="N361" s="12"/>
      <c r="O361" s="12"/>
      <c r="P361" s="12"/>
    </row>
    <row r="362" spans="1:16" x14ac:dyDescent="0.25">
      <c r="A362" s="12">
        <v>12190939</v>
      </c>
      <c r="B362" s="12" t="s">
        <v>17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spans="1:16" x14ac:dyDescent="0.25">
      <c r="A363" s="12">
        <v>12311081</v>
      </c>
      <c r="B363" s="12" t="s">
        <v>17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spans="1:16" x14ac:dyDescent="0.25">
      <c r="A364" s="12">
        <v>6000832</v>
      </c>
      <c r="B364" s="12" t="s">
        <v>17</v>
      </c>
      <c r="C364" s="12"/>
      <c r="D364" s="12"/>
      <c r="E364" s="12"/>
      <c r="F364" s="12"/>
      <c r="G364" s="12">
        <v>0</v>
      </c>
      <c r="H364" s="12">
        <v>0</v>
      </c>
      <c r="I364" s="12">
        <v>0</v>
      </c>
      <c r="J364" s="12"/>
      <c r="K364" s="12"/>
      <c r="L364" s="12"/>
      <c r="M364" s="12"/>
      <c r="N364" s="12"/>
      <c r="O364" s="12">
        <v>0</v>
      </c>
      <c r="P364" s="12"/>
    </row>
    <row r="365" spans="1:16" x14ac:dyDescent="0.25">
      <c r="A365" s="12">
        <v>9030615</v>
      </c>
      <c r="B365" s="12" t="s">
        <v>17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spans="1:16" x14ac:dyDescent="0.25">
      <c r="A366" s="12" t="s">
        <v>19</v>
      </c>
      <c r="B366" s="12" t="s">
        <v>17</v>
      </c>
      <c r="C366" s="12"/>
      <c r="D366" s="12">
        <v>0</v>
      </c>
      <c r="E366" s="12">
        <v>0</v>
      </c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spans="1:16" x14ac:dyDescent="0.25">
      <c r="A367" s="12" t="s">
        <v>20</v>
      </c>
      <c r="B367" s="12" t="s">
        <v>17</v>
      </c>
      <c r="C367" s="13"/>
      <c r="D367" s="12"/>
      <c r="E367" s="12"/>
      <c r="F367" s="12"/>
      <c r="G367" s="12"/>
      <c r="H367" s="12"/>
      <c r="I367" s="12"/>
      <c r="J367" s="12"/>
      <c r="K367" s="12"/>
      <c r="L367" s="12"/>
      <c r="M367" s="13"/>
      <c r="N367" s="12"/>
      <c r="O367" s="12"/>
      <c r="P367" s="12"/>
    </row>
    <row r="368" spans="1:16" x14ac:dyDescent="0.25">
      <c r="A368" s="12" t="s">
        <v>170</v>
      </c>
      <c r="C368" s="12">
        <f>COUNTIF(C293:C367,1)</f>
        <v>3</v>
      </c>
      <c r="D368" s="12">
        <f t="shared" ref="D368:P368" si="2">COUNTIF(D293:D367,1)</f>
        <v>0</v>
      </c>
      <c r="E368" s="12">
        <f>COUNTIF(E293:E367,1)</f>
        <v>1</v>
      </c>
      <c r="F368" s="12">
        <f t="shared" si="2"/>
        <v>3</v>
      </c>
      <c r="G368" s="12">
        <f t="shared" si="2"/>
        <v>0</v>
      </c>
      <c r="H368" s="12">
        <f t="shared" si="2"/>
        <v>0</v>
      </c>
      <c r="I368" s="12">
        <f t="shared" si="2"/>
        <v>1</v>
      </c>
      <c r="J368" s="12">
        <f t="shared" si="2"/>
        <v>1</v>
      </c>
      <c r="K368" s="12">
        <f t="shared" si="2"/>
        <v>0</v>
      </c>
      <c r="L368" s="12">
        <f t="shared" si="2"/>
        <v>1</v>
      </c>
      <c r="M368" s="12">
        <f t="shared" si="2"/>
        <v>0</v>
      </c>
      <c r="N368" s="12">
        <f t="shared" si="2"/>
        <v>1</v>
      </c>
      <c r="O368" s="12">
        <f t="shared" si="2"/>
        <v>0</v>
      </c>
      <c r="P368" s="12">
        <f t="shared" si="2"/>
        <v>1</v>
      </c>
    </row>
    <row r="369" spans="1:16" x14ac:dyDescent="0.25">
      <c r="A369" s="12" t="s">
        <v>171</v>
      </c>
      <c r="C369" s="12">
        <f>COUNTIF(C293:C367,0)</f>
        <v>2</v>
      </c>
      <c r="D369" s="12">
        <f t="shared" ref="D369:P369" si="3">COUNTIF(D293:D367,0)</f>
        <v>7</v>
      </c>
      <c r="E369" s="12">
        <f t="shared" si="3"/>
        <v>4</v>
      </c>
      <c r="F369" s="12">
        <f t="shared" si="3"/>
        <v>4</v>
      </c>
      <c r="G369" s="12">
        <f t="shared" si="3"/>
        <v>1</v>
      </c>
      <c r="H369" s="12">
        <f>COUNTIF(H293:H367,0)</f>
        <v>1</v>
      </c>
      <c r="I369" s="12">
        <f t="shared" si="3"/>
        <v>5</v>
      </c>
      <c r="J369" s="12">
        <f t="shared" si="3"/>
        <v>17</v>
      </c>
      <c r="K369" s="12">
        <f t="shared" si="3"/>
        <v>14</v>
      </c>
      <c r="L369" s="12">
        <f t="shared" si="3"/>
        <v>17</v>
      </c>
      <c r="M369" s="12">
        <f t="shared" si="3"/>
        <v>1</v>
      </c>
      <c r="N369" s="12">
        <f t="shared" si="3"/>
        <v>6</v>
      </c>
      <c r="O369" s="12">
        <f t="shared" si="3"/>
        <v>9</v>
      </c>
      <c r="P369" s="12">
        <f t="shared" si="3"/>
        <v>6</v>
      </c>
    </row>
    <row r="370" spans="1:16" x14ac:dyDescent="0.25">
      <c r="A370" s="12">
        <v>5281</v>
      </c>
      <c r="B370" s="12" t="s">
        <v>21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spans="1:16" x14ac:dyDescent="0.25">
      <c r="A371" s="12">
        <v>200085</v>
      </c>
      <c r="B371" s="12" t="s">
        <v>21</v>
      </c>
      <c r="C371" s="12"/>
      <c r="D371" s="12"/>
      <c r="E371" s="12"/>
      <c r="F371" s="12"/>
      <c r="G371" s="12"/>
      <c r="H371" s="12"/>
      <c r="I371" s="12"/>
      <c r="J371" s="12">
        <v>1</v>
      </c>
      <c r="K371" s="12"/>
      <c r="L371" s="12"/>
      <c r="M371" s="12">
        <v>0</v>
      </c>
      <c r="N371" s="12"/>
      <c r="O371" s="12">
        <v>0</v>
      </c>
      <c r="P371" s="12">
        <v>0</v>
      </c>
    </row>
    <row r="372" spans="1:16" x14ac:dyDescent="0.25">
      <c r="A372" s="12">
        <v>500129</v>
      </c>
      <c r="B372" s="12" t="s">
        <v>21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spans="1:16" x14ac:dyDescent="0.25">
      <c r="A373" s="16">
        <v>1002033</v>
      </c>
      <c r="B373" s="12" t="s">
        <v>21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spans="1:16" x14ac:dyDescent="0.25">
      <c r="A374" s="12">
        <v>1003457</v>
      </c>
      <c r="B374" s="12" t="s">
        <v>21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spans="1:16" x14ac:dyDescent="0.25">
      <c r="A375" s="12">
        <v>2005223</v>
      </c>
      <c r="B375" s="12" t="s">
        <v>21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spans="1:16" x14ac:dyDescent="0.25">
      <c r="A376" s="12">
        <v>2006107</v>
      </c>
      <c r="B376" s="12" t="s">
        <v>21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spans="1:16" x14ac:dyDescent="0.25">
      <c r="A377" s="12">
        <v>2012014</v>
      </c>
      <c r="B377" s="12" t="s">
        <v>21</v>
      </c>
      <c r="C377" s="12">
        <v>1</v>
      </c>
      <c r="D377" s="12"/>
      <c r="E377" s="12"/>
      <c r="F377" s="12"/>
      <c r="G377" s="12"/>
      <c r="H377" s="12"/>
      <c r="I377" s="12"/>
      <c r="J377" s="12"/>
      <c r="K377" s="12"/>
      <c r="L377" s="12">
        <v>0</v>
      </c>
      <c r="M377" s="12"/>
      <c r="N377" s="12">
        <v>1</v>
      </c>
      <c r="O377" s="12">
        <v>0</v>
      </c>
      <c r="P377" s="12">
        <v>0</v>
      </c>
    </row>
    <row r="378" spans="1:16" x14ac:dyDescent="0.25">
      <c r="A378" s="12">
        <v>3000152</v>
      </c>
      <c r="B378" s="12" t="s">
        <v>21</v>
      </c>
      <c r="C378" s="12">
        <v>0</v>
      </c>
      <c r="D378" s="12">
        <v>0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2">
        <v>1</v>
      </c>
      <c r="K378" s="12"/>
      <c r="L378" s="12">
        <v>0</v>
      </c>
      <c r="M378" s="12">
        <v>0</v>
      </c>
      <c r="N378" s="12">
        <v>1</v>
      </c>
      <c r="O378" s="12">
        <v>0</v>
      </c>
      <c r="P378" s="12">
        <v>0</v>
      </c>
    </row>
    <row r="379" spans="1:16" x14ac:dyDescent="0.25">
      <c r="A379" s="12">
        <v>3014566</v>
      </c>
      <c r="B379" s="12" t="s">
        <v>21</v>
      </c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spans="1:16" x14ac:dyDescent="0.25">
      <c r="A380" s="12">
        <v>3015058</v>
      </c>
      <c r="B380" s="12" t="s">
        <v>21</v>
      </c>
      <c r="C380" s="12"/>
      <c r="D380" s="12">
        <v>0</v>
      </c>
      <c r="E380" s="12"/>
      <c r="F380" s="12"/>
      <c r="G380" s="12"/>
      <c r="H380" s="12"/>
      <c r="I380" s="12"/>
      <c r="J380" s="12">
        <v>0</v>
      </c>
      <c r="K380" s="12">
        <v>0</v>
      </c>
      <c r="L380" s="12">
        <v>0</v>
      </c>
      <c r="M380" s="12"/>
      <c r="N380" s="12">
        <v>0</v>
      </c>
      <c r="O380" s="12"/>
      <c r="P380" s="12"/>
    </row>
    <row r="381" spans="1:16" x14ac:dyDescent="0.25">
      <c r="A381" s="16">
        <v>4000996</v>
      </c>
      <c r="B381" s="12" t="s">
        <v>21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spans="1:16" x14ac:dyDescent="0.25">
      <c r="A382" s="12">
        <v>4003768</v>
      </c>
      <c r="B382" s="12" t="s">
        <v>21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spans="1:16" x14ac:dyDescent="0.25">
      <c r="A383" s="12">
        <v>4006540</v>
      </c>
      <c r="B383" s="12" t="s">
        <v>21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spans="1:16" x14ac:dyDescent="0.25">
      <c r="A384" s="12">
        <v>4007054</v>
      </c>
      <c r="B384" s="12" t="s">
        <v>21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spans="1:16" x14ac:dyDescent="0.25">
      <c r="A385" s="12">
        <v>4011002</v>
      </c>
      <c r="B385" s="12" t="s">
        <v>21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spans="1:16" x14ac:dyDescent="0.25">
      <c r="A386" s="12">
        <v>4900268</v>
      </c>
      <c r="B386" s="12" t="s">
        <v>21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spans="1:16" x14ac:dyDescent="0.25">
      <c r="A387" s="12">
        <v>5001097</v>
      </c>
      <c r="B387" s="12" t="s">
        <v>21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spans="1:16" x14ac:dyDescent="0.25">
      <c r="A388" s="12">
        <v>5001098</v>
      </c>
      <c r="B388" s="12" t="s">
        <v>21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spans="1:16" x14ac:dyDescent="0.25">
      <c r="A389" s="12">
        <v>5006152</v>
      </c>
      <c r="B389" s="12" t="s">
        <v>21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spans="1:16" x14ac:dyDescent="0.25">
      <c r="A390" s="12">
        <v>5011824</v>
      </c>
      <c r="B390" s="12" t="s">
        <v>21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spans="1:16" x14ac:dyDescent="0.25">
      <c r="A391" s="12">
        <v>5016179</v>
      </c>
      <c r="B391" s="12" t="s">
        <v>21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spans="1:16" x14ac:dyDescent="0.25">
      <c r="A392" s="12">
        <v>7079011</v>
      </c>
      <c r="B392" s="12" t="s">
        <v>21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spans="1:16" x14ac:dyDescent="0.25">
      <c r="A393" s="12">
        <v>8135416</v>
      </c>
      <c r="B393" s="12" t="s">
        <v>21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spans="1:16" x14ac:dyDescent="0.25">
      <c r="A394" s="12">
        <v>93018945</v>
      </c>
      <c r="B394" s="12" t="s">
        <v>21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spans="1:16" x14ac:dyDescent="0.25">
      <c r="A395" s="12">
        <v>94009028</v>
      </c>
      <c r="B395" s="12" t="s">
        <v>21</v>
      </c>
      <c r="C395" s="12"/>
      <c r="D395" s="12"/>
      <c r="E395" s="12"/>
      <c r="F395" s="12"/>
      <c r="G395" s="12"/>
      <c r="H395" s="12"/>
      <c r="I395" s="12"/>
      <c r="J395" s="12">
        <v>1</v>
      </c>
      <c r="K395" s="12">
        <v>1</v>
      </c>
      <c r="L395" s="12"/>
      <c r="M395" s="12"/>
      <c r="N395" s="12"/>
      <c r="O395" s="12"/>
      <c r="P395" s="12"/>
    </row>
    <row r="396" spans="1:16" x14ac:dyDescent="0.25">
      <c r="A396" s="12">
        <v>95005907</v>
      </c>
      <c r="B396" s="12" t="s">
        <v>21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spans="1:16" x14ac:dyDescent="0.25">
      <c r="A397" s="12">
        <v>95900164</v>
      </c>
      <c r="B397" s="12" t="s">
        <v>21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>
        <v>0</v>
      </c>
      <c r="P397" s="12"/>
    </row>
    <row r="398" spans="1:16" x14ac:dyDescent="0.25">
      <c r="A398" s="12">
        <v>96015811</v>
      </c>
      <c r="B398" s="12" t="s">
        <v>21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spans="1:16" x14ac:dyDescent="0.25">
      <c r="A399" s="12">
        <v>97001240</v>
      </c>
      <c r="B399" s="12" t="s">
        <v>21</v>
      </c>
      <c r="C399" s="12"/>
      <c r="D399" s="12"/>
      <c r="E399" s="12"/>
      <c r="F399" s="12">
        <v>0</v>
      </c>
      <c r="G399" s="12">
        <v>0</v>
      </c>
      <c r="H399" s="12">
        <v>0</v>
      </c>
      <c r="I399" s="12"/>
      <c r="J399" s="12"/>
      <c r="K399" s="12"/>
      <c r="L399" s="12"/>
      <c r="M399" s="12"/>
      <c r="N399" s="12"/>
      <c r="O399" s="12"/>
      <c r="P399" s="12"/>
    </row>
    <row r="400" spans="1:16" x14ac:dyDescent="0.25">
      <c r="A400" s="12">
        <v>97005366</v>
      </c>
      <c r="B400" s="12" t="s">
        <v>21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spans="1:16" x14ac:dyDescent="0.25">
      <c r="A401" s="12">
        <v>98000595</v>
      </c>
      <c r="B401" s="12" t="s">
        <v>21</v>
      </c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spans="1:16" x14ac:dyDescent="0.25">
      <c r="A402" s="12">
        <v>98002692</v>
      </c>
      <c r="B402" s="12" t="s">
        <v>21</v>
      </c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spans="1:16" x14ac:dyDescent="0.25">
      <c r="A403" s="12">
        <v>98005277</v>
      </c>
      <c r="B403" s="12" t="s">
        <v>21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spans="1:16" x14ac:dyDescent="0.25">
      <c r="A404" s="12">
        <v>99001815</v>
      </c>
      <c r="B404" s="12" t="s">
        <v>21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spans="1:16" x14ac:dyDescent="0.25">
      <c r="A405" s="12">
        <v>6012361</v>
      </c>
      <c r="B405" s="12" t="s">
        <v>21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spans="1:16" x14ac:dyDescent="0.25">
      <c r="A406" s="12">
        <v>6015793</v>
      </c>
      <c r="B406" s="12" t="s">
        <v>21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spans="1:16" x14ac:dyDescent="0.25">
      <c r="A407" s="12">
        <v>6043619</v>
      </c>
      <c r="B407" s="12" t="s">
        <v>21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spans="1:16" x14ac:dyDescent="0.25">
      <c r="A408" s="12">
        <v>7001097</v>
      </c>
      <c r="B408" s="12" t="s">
        <v>21</v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spans="1:16" x14ac:dyDescent="0.25">
      <c r="A409" s="12">
        <v>7011435</v>
      </c>
      <c r="B409" s="12" t="s">
        <v>21</v>
      </c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spans="1:16" x14ac:dyDescent="0.25">
      <c r="A410" s="12">
        <v>7045811</v>
      </c>
      <c r="B410" s="12" t="s">
        <v>21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spans="1:16" x14ac:dyDescent="0.25">
      <c r="A411" s="12">
        <v>7071198</v>
      </c>
      <c r="B411" s="12" t="s">
        <v>21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spans="1:16" x14ac:dyDescent="0.25">
      <c r="A412" s="12">
        <v>7101143</v>
      </c>
      <c r="B412" s="12" t="s">
        <v>21</v>
      </c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spans="1:16" x14ac:dyDescent="0.25">
      <c r="A413" s="12">
        <v>8073350</v>
      </c>
      <c r="B413" s="12" t="s">
        <v>21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spans="1:16" x14ac:dyDescent="0.25">
      <c r="A414" s="12">
        <v>8073645</v>
      </c>
      <c r="B414" s="12" t="s">
        <v>21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spans="1:16" x14ac:dyDescent="0.25">
      <c r="A415" s="16">
        <v>8089666</v>
      </c>
      <c r="B415" s="12" t="s">
        <v>21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spans="1:16" x14ac:dyDescent="0.25">
      <c r="A416" s="12">
        <v>8103536</v>
      </c>
      <c r="B416" s="12" t="s">
        <v>21</v>
      </c>
      <c r="C416" s="12"/>
      <c r="D416" s="12"/>
      <c r="E416" s="12"/>
      <c r="F416" s="12">
        <v>1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spans="1:16" x14ac:dyDescent="0.25">
      <c r="A417" s="12" t="s">
        <v>22</v>
      </c>
      <c r="B417" s="12" t="s">
        <v>21</v>
      </c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spans="1:16" x14ac:dyDescent="0.25">
      <c r="A418" s="12">
        <v>9003267</v>
      </c>
      <c r="B418" s="12" t="s">
        <v>21</v>
      </c>
      <c r="C418" s="12"/>
      <c r="D418" s="12">
        <v>0</v>
      </c>
      <c r="E418" s="12">
        <v>0</v>
      </c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spans="1:16" x14ac:dyDescent="0.25">
      <c r="A419" s="12">
        <v>9036964</v>
      </c>
      <c r="B419" s="12" t="s">
        <v>21</v>
      </c>
      <c r="C419" s="12"/>
      <c r="D419" s="12"/>
      <c r="E419" s="12"/>
      <c r="F419" s="12"/>
      <c r="G419" s="12"/>
      <c r="H419" s="12"/>
      <c r="I419" s="12"/>
      <c r="J419" s="12">
        <v>0</v>
      </c>
      <c r="K419" s="12">
        <v>0</v>
      </c>
      <c r="L419" s="12">
        <v>0</v>
      </c>
      <c r="M419" s="12"/>
      <c r="N419" s="12">
        <v>0</v>
      </c>
      <c r="O419" s="12">
        <v>0</v>
      </c>
      <c r="P419" s="12">
        <v>0</v>
      </c>
    </row>
    <row r="420" spans="1:16" x14ac:dyDescent="0.25">
      <c r="A420" s="12">
        <v>9090287</v>
      </c>
      <c r="B420" s="12" t="s">
        <v>21</v>
      </c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>
        <v>0</v>
      </c>
      <c r="P420" s="12"/>
    </row>
    <row r="421" spans="1:16" x14ac:dyDescent="0.25">
      <c r="A421" s="12">
        <v>9095148</v>
      </c>
      <c r="B421" s="12" t="s">
        <v>21</v>
      </c>
      <c r="C421" s="12"/>
      <c r="D421" s="12"/>
      <c r="E421" s="12">
        <v>1</v>
      </c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spans="1:16" x14ac:dyDescent="0.25">
      <c r="A422" s="12">
        <v>9104979</v>
      </c>
      <c r="B422" s="12" t="s">
        <v>21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spans="1:16" x14ac:dyDescent="0.25">
      <c r="A423" s="12">
        <v>9139514</v>
      </c>
      <c r="B423" s="12" t="s">
        <v>21</v>
      </c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spans="1:16" x14ac:dyDescent="0.25">
      <c r="A424" s="12">
        <v>10020659</v>
      </c>
      <c r="B424" s="12" t="s">
        <v>21</v>
      </c>
      <c r="C424" s="12"/>
      <c r="D424" s="12"/>
      <c r="E424" s="12"/>
      <c r="F424" s="12"/>
      <c r="G424" s="12"/>
      <c r="H424" s="12"/>
      <c r="I424" s="12"/>
      <c r="J424" s="12">
        <v>0</v>
      </c>
      <c r="K424" s="12">
        <v>0</v>
      </c>
      <c r="L424" s="12">
        <v>0</v>
      </c>
      <c r="M424" s="12"/>
      <c r="N424" s="12"/>
      <c r="O424" s="12"/>
      <c r="P424" s="12"/>
    </row>
    <row r="425" spans="1:16" x14ac:dyDescent="0.25">
      <c r="A425" s="12">
        <v>10025902</v>
      </c>
      <c r="B425" s="12" t="s">
        <v>21</v>
      </c>
      <c r="C425" s="12">
        <v>0</v>
      </c>
      <c r="D425" s="12"/>
      <c r="E425" s="12"/>
      <c r="F425" s="12"/>
      <c r="G425" s="12"/>
      <c r="H425" s="12"/>
      <c r="I425" s="12"/>
      <c r="J425" s="12"/>
      <c r="K425" s="12">
        <v>1</v>
      </c>
      <c r="L425" s="12"/>
      <c r="M425" s="12"/>
      <c r="N425" s="12"/>
      <c r="O425" s="12"/>
      <c r="P425" s="12"/>
    </row>
    <row r="426" spans="1:16" x14ac:dyDescent="0.25">
      <c r="A426" s="12">
        <v>10027654</v>
      </c>
      <c r="B426" s="12" t="s">
        <v>21</v>
      </c>
      <c r="C426" s="12"/>
      <c r="D426" s="12">
        <v>0</v>
      </c>
      <c r="E426" s="12">
        <v>0</v>
      </c>
      <c r="F426" s="12"/>
      <c r="G426" s="12">
        <v>0</v>
      </c>
      <c r="H426" s="12">
        <v>0</v>
      </c>
      <c r="I426" s="12"/>
      <c r="J426" s="12">
        <v>0</v>
      </c>
      <c r="K426" s="12">
        <v>0</v>
      </c>
      <c r="L426" s="12">
        <v>0</v>
      </c>
      <c r="M426" s="12"/>
      <c r="N426" s="12"/>
      <c r="O426" s="12"/>
      <c r="P426" s="12"/>
    </row>
    <row r="427" spans="1:16" x14ac:dyDescent="0.25">
      <c r="A427" s="12">
        <v>10084485</v>
      </c>
      <c r="B427" s="12" t="s">
        <v>21</v>
      </c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spans="1:16" x14ac:dyDescent="0.25">
      <c r="A428" s="12">
        <v>10098420</v>
      </c>
      <c r="B428" s="12" t="s">
        <v>21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spans="1:16" x14ac:dyDescent="0.25">
      <c r="A429" s="12">
        <v>10129565</v>
      </c>
      <c r="B429" s="12" t="s">
        <v>21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spans="1:16" x14ac:dyDescent="0.25">
      <c r="A430" s="12">
        <v>10146828</v>
      </c>
      <c r="B430" s="12" t="s">
        <v>21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spans="1:16" x14ac:dyDescent="0.25">
      <c r="A431" s="12">
        <v>10163776</v>
      </c>
      <c r="B431" s="12" t="s">
        <v>21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spans="1:16" x14ac:dyDescent="0.25">
      <c r="A432" s="12">
        <v>10173664</v>
      </c>
      <c r="B432" s="12" t="s">
        <v>21</v>
      </c>
      <c r="C432" s="12">
        <v>0</v>
      </c>
      <c r="D432" s="12">
        <v>0</v>
      </c>
      <c r="E432" s="12"/>
      <c r="F432" s="12"/>
      <c r="G432" s="12"/>
      <c r="H432" s="12"/>
      <c r="I432" s="12"/>
      <c r="J432" s="12">
        <v>0</v>
      </c>
      <c r="K432" s="12">
        <v>0</v>
      </c>
      <c r="L432" s="12">
        <v>0</v>
      </c>
      <c r="M432" s="12"/>
      <c r="N432" s="12"/>
      <c r="O432" s="12"/>
      <c r="P432" s="12"/>
    </row>
    <row r="433" spans="1:16" x14ac:dyDescent="0.25">
      <c r="A433" s="12">
        <v>11000454</v>
      </c>
      <c r="B433" s="12" t="s">
        <v>21</v>
      </c>
      <c r="C433" s="12"/>
      <c r="D433" s="12">
        <v>0</v>
      </c>
      <c r="E433" s="12">
        <v>0</v>
      </c>
      <c r="F433" s="12"/>
      <c r="G433" s="12"/>
      <c r="H433" s="12"/>
      <c r="I433" s="12">
        <v>1</v>
      </c>
      <c r="J433" s="12">
        <v>0</v>
      </c>
      <c r="K433" s="12">
        <v>0</v>
      </c>
      <c r="L433" s="12">
        <v>0</v>
      </c>
      <c r="M433" s="12"/>
      <c r="N433" s="12"/>
      <c r="O433" s="12"/>
      <c r="P433" s="12"/>
    </row>
    <row r="434" spans="1:16" x14ac:dyDescent="0.25">
      <c r="A434" s="12">
        <v>11083498</v>
      </c>
      <c r="B434" s="12" t="s">
        <v>21</v>
      </c>
      <c r="C434" s="12"/>
      <c r="D434" s="12">
        <v>0</v>
      </c>
      <c r="E434" s="12">
        <v>0</v>
      </c>
      <c r="F434" s="12"/>
      <c r="G434" s="12"/>
      <c r="H434" s="12"/>
      <c r="I434" s="12"/>
      <c r="J434" s="12">
        <v>0</v>
      </c>
      <c r="K434" s="12">
        <v>0</v>
      </c>
      <c r="L434" s="12">
        <v>0</v>
      </c>
      <c r="M434" s="12"/>
      <c r="N434" s="12"/>
      <c r="O434" s="12"/>
      <c r="P434" s="12"/>
    </row>
    <row r="435" spans="1:16" x14ac:dyDescent="0.25">
      <c r="A435" s="12">
        <v>11138447</v>
      </c>
      <c r="B435" s="12" t="s">
        <v>21</v>
      </c>
      <c r="C435" s="12"/>
      <c r="D435" s="12"/>
      <c r="E435" s="12"/>
      <c r="F435" s="12"/>
      <c r="G435" s="12"/>
      <c r="H435" s="12"/>
      <c r="I435" s="12"/>
      <c r="J435" s="12">
        <v>0</v>
      </c>
      <c r="K435" s="12">
        <v>0</v>
      </c>
      <c r="L435" s="12">
        <v>0</v>
      </c>
      <c r="M435" s="12"/>
      <c r="N435" s="12"/>
      <c r="O435" s="12"/>
      <c r="P435" s="12"/>
    </row>
    <row r="436" spans="1:16" x14ac:dyDescent="0.25">
      <c r="A436" s="12">
        <v>11144001</v>
      </c>
      <c r="B436" s="12" t="s">
        <v>21</v>
      </c>
      <c r="C436" s="12"/>
      <c r="D436" s="12"/>
      <c r="E436" s="12"/>
      <c r="F436" s="12">
        <v>0</v>
      </c>
      <c r="G436" s="12">
        <v>0</v>
      </c>
      <c r="H436" s="12">
        <v>0</v>
      </c>
      <c r="I436" s="12"/>
      <c r="J436" s="12"/>
      <c r="K436" s="12"/>
      <c r="L436" s="12"/>
      <c r="M436" s="12"/>
      <c r="N436" s="12"/>
      <c r="O436" s="12"/>
      <c r="P436" s="12"/>
    </row>
    <row r="437" spans="1:16" x14ac:dyDescent="0.25">
      <c r="A437" s="12" t="s">
        <v>23</v>
      </c>
      <c r="B437" s="12" t="s">
        <v>21</v>
      </c>
      <c r="C437" s="12"/>
      <c r="D437" s="12"/>
      <c r="E437" s="12"/>
      <c r="F437" s="12"/>
      <c r="G437" s="12"/>
      <c r="H437" s="12"/>
      <c r="I437" s="12"/>
      <c r="J437" s="12">
        <v>0</v>
      </c>
      <c r="K437" s="12">
        <v>0</v>
      </c>
      <c r="L437" s="12">
        <v>0</v>
      </c>
      <c r="M437" s="12"/>
      <c r="N437" s="12"/>
      <c r="O437" s="12"/>
      <c r="P437" s="12"/>
    </row>
    <row r="438" spans="1:16" x14ac:dyDescent="0.25">
      <c r="A438" s="12" t="s">
        <v>24</v>
      </c>
      <c r="B438" s="12" t="s">
        <v>21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spans="1:16" x14ac:dyDescent="0.25">
      <c r="A439" s="12">
        <v>12021531</v>
      </c>
      <c r="B439" s="12" t="s">
        <v>21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spans="1:16" x14ac:dyDescent="0.25">
      <c r="A440" s="12">
        <v>12185514</v>
      </c>
      <c r="B440" s="12" t="s">
        <v>21</v>
      </c>
      <c r="C440" s="12"/>
      <c r="D440" s="12">
        <v>0</v>
      </c>
      <c r="E440" s="12"/>
      <c r="F440" s="12">
        <v>1</v>
      </c>
      <c r="G440" s="12">
        <v>0</v>
      </c>
      <c r="H440" s="12">
        <v>0</v>
      </c>
      <c r="I440" s="12">
        <v>0</v>
      </c>
      <c r="J440" s="12"/>
      <c r="K440" s="12">
        <v>0</v>
      </c>
      <c r="L440" s="12">
        <v>0</v>
      </c>
      <c r="M440" s="12"/>
      <c r="N440" s="12"/>
      <c r="O440" s="12"/>
      <c r="P440" s="12"/>
    </row>
    <row r="441" spans="1:16" x14ac:dyDescent="0.25">
      <c r="A441" s="12">
        <v>12202633</v>
      </c>
      <c r="B441" s="12" t="s">
        <v>21</v>
      </c>
      <c r="C441" s="12"/>
      <c r="D441" s="12"/>
      <c r="E441" s="12"/>
      <c r="F441" s="12">
        <v>0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spans="1:16" x14ac:dyDescent="0.25">
      <c r="A442" s="12">
        <v>12325258</v>
      </c>
      <c r="B442" s="12" t="s">
        <v>21</v>
      </c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spans="1:16" x14ac:dyDescent="0.25">
      <c r="A443" s="12">
        <v>5018677</v>
      </c>
      <c r="B443" s="12" t="s">
        <v>21</v>
      </c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spans="1:16" x14ac:dyDescent="0.25">
      <c r="A444" s="12">
        <v>11243521</v>
      </c>
      <c r="B444" s="12" t="s">
        <v>21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spans="1:16" x14ac:dyDescent="0.25">
      <c r="A445" s="12">
        <v>2008127</v>
      </c>
      <c r="B445" s="12" t="s">
        <v>21</v>
      </c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spans="1:16" x14ac:dyDescent="0.25">
      <c r="A446" s="12">
        <v>6081681</v>
      </c>
      <c r="B446" s="12" t="s">
        <v>21</v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spans="1:16" x14ac:dyDescent="0.25">
      <c r="A447" s="12" t="s">
        <v>170</v>
      </c>
      <c r="C447" s="12">
        <f>COUNTIF(C370:C446,1)</f>
        <v>1</v>
      </c>
      <c r="D447" s="12">
        <f>COUNTIF(D370:D446,1)</f>
        <v>0</v>
      </c>
      <c r="E447" s="12">
        <f t="shared" ref="E447:P447" si="4">COUNTIF(E370:E446,1)</f>
        <v>1</v>
      </c>
      <c r="F447" s="12">
        <f t="shared" si="4"/>
        <v>2</v>
      </c>
      <c r="G447" s="12">
        <f t="shared" si="4"/>
        <v>0</v>
      </c>
      <c r="H447" s="12">
        <f t="shared" si="4"/>
        <v>0</v>
      </c>
      <c r="I447" s="12">
        <f t="shared" si="4"/>
        <v>1</v>
      </c>
      <c r="J447" s="12">
        <f t="shared" si="4"/>
        <v>3</v>
      </c>
      <c r="K447" s="12">
        <f t="shared" si="4"/>
        <v>2</v>
      </c>
      <c r="L447" s="12">
        <f t="shared" si="4"/>
        <v>0</v>
      </c>
      <c r="M447" s="12">
        <f t="shared" si="4"/>
        <v>0</v>
      </c>
      <c r="N447" s="12">
        <f t="shared" si="4"/>
        <v>2</v>
      </c>
      <c r="O447" s="12">
        <f t="shared" si="4"/>
        <v>0</v>
      </c>
      <c r="P447" s="12">
        <f t="shared" si="4"/>
        <v>0</v>
      </c>
    </row>
    <row r="448" spans="1:16" x14ac:dyDescent="0.25">
      <c r="A448" s="12" t="s">
        <v>171</v>
      </c>
      <c r="C448" s="12">
        <f>COUNTIF(C370:C446,0)</f>
        <v>3</v>
      </c>
      <c r="D448" s="12">
        <f t="shared" ref="D448:P448" si="5">COUNTIF(D370:D446,0)</f>
        <v>8</v>
      </c>
      <c r="E448" s="12">
        <f t="shared" si="5"/>
        <v>5</v>
      </c>
      <c r="F448" s="12">
        <f t="shared" si="5"/>
        <v>4</v>
      </c>
      <c r="G448" s="12">
        <f t="shared" si="5"/>
        <v>5</v>
      </c>
      <c r="H448" s="12">
        <f t="shared" si="5"/>
        <v>5</v>
      </c>
      <c r="I448" s="12">
        <f t="shared" si="5"/>
        <v>2</v>
      </c>
      <c r="J448" s="12">
        <f t="shared" si="5"/>
        <v>9</v>
      </c>
      <c r="K448" s="12">
        <f t="shared" si="5"/>
        <v>10</v>
      </c>
      <c r="L448" s="12">
        <f t="shared" si="5"/>
        <v>12</v>
      </c>
      <c r="M448" s="12">
        <f t="shared" si="5"/>
        <v>2</v>
      </c>
      <c r="N448" s="12">
        <f t="shared" si="5"/>
        <v>2</v>
      </c>
      <c r="O448" s="12">
        <f t="shared" si="5"/>
        <v>6</v>
      </c>
      <c r="P448" s="12">
        <f t="shared" si="5"/>
        <v>4</v>
      </c>
    </row>
    <row r="449" spans="1:16" x14ac:dyDescent="0.25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spans="1:16" x14ac:dyDescent="0.25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spans="1:16" x14ac:dyDescent="0.25">
      <c r="A451" s="12"/>
      <c r="B451" s="12"/>
      <c r="C451" s="13"/>
      <c r="D451" s="12"/>
      <c r="E451" s="12"/>
      <c r="F451" s="12"/>
      <c r="G451" s="12"/>
      <c r="H451" s="12"/>
      <c r="I451" s="12"/>
      <c r="J451" s="12"/>
      <c r="K451" s="12"/>
      <c r="L451" s="12"/>
      <c r="M451" s="13"/>
      <c r="N451" s="12"/>
      <c r="O451" s="12"/>
      <c r="P451" s="12"/>
    </row>
    <row r="452" spans="1:16" x14ac:dyDescent="0.25">
      <c r="A452" s="12"/>
      <c r="B452" s="12"/>
      <c r="C452" s="13"/>
      <c r="D452" s="12"/>
      <c r="E452" s="12"/>
      <c r="F452" s="12"/>
      <c r="G452" s="12"/>
      <c r="H452" s="12"/>
      <c r="I452" s="12"/>
      <c r="J452" s="12"/>
      <c r="K452" s="12"/>
      <c r="L452" s="12"/>
      <c r="M452" s="13"/>
      <c r="N452" s="12"/>
      <c r="O452" s="12"/>
      <c r="P452" s="12"/>
    </row>
    <row r="453" spans="1:16" x14ac:dyDescent="0.25">
      <c r="A453" s="12"/>
      <c r="B453" s="12"/>
      <c r="C453" s="13"/>
      <c r="D453" s="12"/>
      <c r="E453" s="12"/>
      <c r="F453" s="12"/>
      <c r="G453" s="12"/>
      <c r="H453" s="12"/>
      <c r="I453" s="12"/>
      <c r="J453" s="12"/>
      <c r="K453" s="12"/>
      <c r="L453" s="12"/>
      <c r="M453" s="13"/>
      <c r="N453" s="12"/>
      <c r="O453" s="12"/>
      <c r="P453" s="12"/>
    </row>
    <row r="454" spans="1:16" x14ac:dyDescent="0.25">
      <c r="A454" s="12"/>
      <c r="B454" s="12"/>
      <c r="C454" s="13"/>
      <c r="D454" s="12"/>
      <c r="E454" s="12"/>
      <c r="F454" s="12"/>
      <c r="G454" s="12"/>
      <c r="H454" s="12"/>
      <c r="I454" s="12"/>
      <c r="J454" s="12"/>
      <c r="K454" s="12"/>
      <c r="L454" s="12"/>
      <c r="M454" s="13"/>
      <c r="N454" s="12"/>
      <c r="O454" s="12"/>
      <c r="P454" s="12"/>
    </row>
    <row r="455" spans="1:16" x14ac:dyDescent="0.25">
      <c r="A455" s="12"/>
      <c r="B455" s="12"/>
      <c r="C455" s="13"/>
      <c r="D455" s="12"/>
      <c r="E455" s="12"/>
      <c r="F455" s="12"/>
      <c r="G455" s="12"/>
      <c r="H455" s="12"/>
      <c r="I455" s="12"/>
      <c r="J455" s="12"/>
      <c r="K455" s="12"/>
      <c r="L455" s="12"/>
      <c r="M455" s="13"/>
      <c r="N455" s="12"/>
      <c r="O455" s="12"/>
      <c r="P455" s="12"/>
    </row>
    <row r="456" spans="1:16" x14ac:dyDescent="0.25">
      <c r="A456" s="12"/>
      <c r="B456" s="12"/>
      <c r="C456" s="13"/>
      <c r="D456" s="12"/>
      <c r="E456" s="12"/>
      <c r="F456" s="12"/>
      <c r="G456" s="12"/>
      <c r="H456" s="12"/>
      <c r="I456" s="12"/>
      <c r="J456" s="12"/>
      <c r="K456" s="12"/>
      <c r="L456" s="12"/>
      <c r="M456" s="13"/>
      <c r="N456" s="12"/>
      <c r="O456" s="12"/>
      <c r="P456" s="12"/>
    </row>
    <row r="457" spans="1:16" x14ac:dyDescent="0.25">
      <c r="A457" s="12"/>
      <c r="B457" s="12"/>
      <c r="C457" s="13"/>
      <c r="D457" s="12"/>
      <c r="E457" s="12"/>
      <c r="F457" s="12"/>
      <c r="G457" s="12"/>
      <c r="H457" s="12"/>
      <c r="I457" s="12"/>
      <c r="J457" s="12"/>
      <c r="K457" s="12"/>
      <c r="L457" s="12"/>
      <c r="M457" s="13"/>
      <c r="N457" s="12"/>
      <c r="O457" s="12"/>
      <c r="P457" s="12"/>
    </row>
    <row r="458" spans="1:16" x14ac:dyDescent="0.25">
      <c r="A458" s="13"/>
      <c r="B458" s="13"/>
      <c r="C458" s="13"/>
      <c r="D458" s="12"/>
      <c r="E458" s="12"/>
      <c r="F458" s="12"/>
      <c r="G458" s="12"/>
      <c r="H458" s="12"/>
      <c r="I458" s="12"/>
      <c r="J458" s="12"/>
      <c r="K458" s="12"/>
      <c r="L458" s="12"/>
      <c r="M458" s="13"/>
      <c r="N458" s="12"/>
      <c r="O458" s="12"/>
      <c r="P458" s="12"/>
    </row>
    <row r="459" spans="1:16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spans="1:16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spans="1:16" x14ac:dyDescent="0.25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spans="1:16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spans="1:16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spans="1:16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spans="1:16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spans="1:16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spans="1:16" x14ac:dyDescent="0.25">
      <c r="A467" s="14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spans="1:16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spans="1:16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spans="1:16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spans="1:16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spans="1:16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spans="1:16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spans="1:16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spans="1:16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spans="1:16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spans="1:16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spans="1:16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spans="1:16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spans="1:16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spans="1:16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spans="1:16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spans="1:16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spans="1:16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spans="1:16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spans="1:16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spans="1:16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spans="1:16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spans="1:16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spans="1:16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spans="1:16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spans="1:16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spans="1:16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spans="1:16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spans="1:16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spans="1:16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spans="1:16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spans="1:16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spans="1:16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spans="1:16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spans="1:16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spans="1:16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spans="1:16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spans="1:16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spans="1:16" x14ac:dyDescent="0.25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spans="1:16" x14ac:dyDescent="0.25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spans="1:16" x14ac:dyDescent="0.25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spans="1:16" x14ac:dyDescent="0.25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spans="1:16" x14ac:dyDescent="0.25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spans="1:16" x14ac:dyDescent="0.25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spans="1:16" x14ac:dyDescent="0.25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spans="1:16" x14ac:dyDescent="0.25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spans="1:16" x14ac:dyDescent="0.25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spans="1:16" x14ac:dyDescent="0.25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spans="1:16" x14ac:dyDescent="0.25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spans="1:16" x14ac:dyDescent="0.25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spans="1:16" x14ac:dyDescent="0.25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spans="1:16" x14ac:dyDescent="0.25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spans="1:16" x14ac:dyDescent="0.25">
      <c r="A519" s="6"/>
    </row>
    <row r="520" spans="1:16" x14ac:dyDescent="0.25">
      <c r="A520" s="6"/>
    </row>
    <row r="521" spans="1:16" x14ac:dyDescent="0.25">
      <c r="A521" s="6"/>
    </row>
    <row r="522" spans="1:16" x14ac:dyDescent="0.25">
      <c r="A522" s="6"/>
    </row>
    <row r="523" spans="1:16" x14ac:dyDescent="0.25">
      <c r="A523" s="6"/>
    </row>
    <row r="524" spans="1:16" x14ac:dyDescent="0.25">
      <c r="A524" s="6"/>
    </row>
    <row r="525" spans="1:16" x14ac:dyDescent="0.25">
      <c r="A525" s="6"/>
    </row>
    <row r="526" spans="1:16" x14ac:dyDescent="0.25">
      <c r="A526" s="6"/>
    </row>
    <row r="527" spans="1:16" x14ac:dyDescent="0.25">
      <c r="A527" s="6"/>
    </row>
    <row r="528" spans="1:16" x14ac:dyDescent="0.25">
      <c r="A528" s="6"/>
    </row>
    <row r="529" spans="1:1" x14ac:dyDescent="0.25">
      <c r="A529" s="6"/>
    </row>
    <row r="530" spans="1:1" x14ac:dyDescent="0.25">
      <c r="A530" s="6"/>
    </row>
    <row r="531" spans="1:1" x14ac:dyDescent="0.25">
      <c r="A531" s="6"/>
    </row>
    <row r="532" spans="1:1" x14ac:dyDescent="0.25">
      <c r="A532" s="6"/>
    </row>
    <row r="533" spans="1:1" x14ac:dyDescent="0.25">
      <c r="A533" s="6"/>
    </row>
    <row r="534" spans="1:1" x14ac:dyDescent="0.25">
      <c r="A534" s="6"/>
    </row>
    <row r="535" spans="1:1" x14ac:dyDescent="0.25">
      <c r="A535" s="6"/>
    </row>
    <row r="536" spans="1:1" x14ac:dyDescent="0.25">
      <c r="A536" s="6"/>
    </row>
  </sheetData>
  <conditionalFormatting sqref="B454:B457">
    <cfRule type="duplicateValues" dxfId="9" priority="2"/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3A6B-E3ED-4178-9D28-DE80DCB3EB14}">
  <dimension ref="A1:DB433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M316" sqref="CM316"/>
    </sheetView>
  </sheetViews>
  <sheetFormatPr baseColWidth="10" defaultRowHeight="15" x14ac:dyDescent="0.25"/>
  <cols>
    <col min="2" max="2" width="11.85546875" customWidth="1"/>
  </cols>
  <sheetData>
    <row r="1" spans="1:106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7" t="s">
        <v>47</v>
      </c>
      <c r="Z1" s="7" t="s">
        <v>48</v>
      </c>
      <c r="AA1" s="7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7" t="s">
        <v>57</v>
      </c>
      <c r="AJ1" s="7" t="s">
        <v>58</v>
      </c>
      <c r="AK1" s="7" t="s">
        <v>162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7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7" t="s">
        <v>78</v>
      </c>
      <c r="BE1" s="7" t="s">
        <v>79</v>
      </c>
      <c r="BF1" s="7" t="s">
        <v>80</v>
      </c>
      <c r="BG1" s="7" t="s">
        <v>81</v>
      </c>
      <c r="BH1" s="7" t="s">
        <v>82</v>
      </c>
      <c r="BI1" s="7" t="s">
        <v>83</v>
      </c>
      <c r="BJ1" s="7" t="s">
        <v>84</v>
      </c>
      <c r="BK1" s="7" t="s">
        <v>85</v>
      </c>
      <c r="BL1" s="7" t="s">
        <v>86</v>
      </c>
      <c r="BM1" s="7" t="s">
        <v>87</v>
      </c>
      <c r="BN1" s="7" t="s">
        <v>88</v>
      </c>
      <c r="BO1" s="7" t="s">
        <v>89</v>
      </c>
      <c r="BP1" s="7" t="s">
        <v>90</v>
      </c>
      <c r="BQ1" s="7" t="s">
        <v>91</v>
      </c>
      <c r="BR1" s="7" t="s">
        <v>92</v>
      </c>
      <c r="BS1" s="7" t="s">
        <v>93</v>
      </c>
      <c r="BT1" s="7" t="s">
        <v>94</v>
      </c>
      <c r="BU1" s="7" t="s">
        <v>95</v>
      </c>
      <c r="BV1" s="7" t="s">
        <v>96</v>
      </c>
      <c r="BW1" s="7" t="s">
        <v>97</v>
      </c>
      <c r="BX1" s="7" t="s">
        <v>98</v>
      </c>
      <c r="BY1" s="7" t="s">
        <v>99</v>
      </c>
      <c r="BZ1" s="7" t="s">
        <v>100</v>
      </c>
      <c r="CA1" s="7" t="s">
        <v>101</v>
      </c>
      <c r="CB1" s="7" t="s">
        <v>102</v>
      </c>
      <c r="CC1" s="7" t="s">
        <v>103</v>
      </c>
      <c r="CD1" s="7" t="s">
        <v>104</v>
      </c>
      <c r="CE1" s="7" t="s">
        <v>105</v>
      </c>
      <c r="CF1" s="7" t="s">
        <v>106</v>
      </c>
      <c r="CG1" s="7" t="s">
        <v>107</v>
      </c>
      <c r="CH1" s="7" t="s">
        <v>108</v>
      </c>
      <c r="CI1" s="7" t="s">
        <v>109</v>
      </c>
      <c r="CJ1" s="7" t="s">
        <v>110</v>
      </c>
      <c r="CK1" s="7" t="s">
        <v>111</v>
      </c>
      <c r="CL1" s="7" t="s">
        <v>112</v>
      </c>
      <c r="CM1" s="7" t="s">
        <v>113</v>
      </c>
      <c r="CN1" s="7" t="s">
        <v>114</v>
      </c>
      <c r="CO1" s="7" t="s">
        <v>115</v>
      </c>
      <c r="CP1" s="7" t="s">
        <v>116</v>
      </c>
      <c r="CQ1" s="7" t="s">
        <v>117</v>
      </c>
      <c r="CR1" s="7" t="s">
        <v>118</v>
      </c>
      <c r="CS1" s="7" t="s">
        <v>119</v>
      </c>
      <c r="CT1" s="7" t="s">
        <v>120</v>
      </c>
      <c r="CU1" s="7" t="s">
        <v>121</v>
      </c>
      <c r="CV1" s="7" t="s">
        <v>122</v>
      </c>
      <c r="CW1" s="7" t="s">
        <v>123</v>
      </c>
      <c r="CX1" s="7" t="s">
        <v>124</v>
      </c>
      <c r="CY1" s="7" t="s">
        <v>125</v>
      </c>
      <c r="CZ1" s="7" t="s">
        <v>126</v>
      </c>
      <c r="DA1" s="7" t="s">
        <v>127</v>
      </c>
      <c r="DB1" s="7" t="s">
        <v>128</v>
      </c>
    </row>
    <row r="2" spans="1:106" x14ac:dyDescent="0.25">
      <c r="A2" s="2" t="s">
        <v>2</v>
      </c>
      <c r="B2" s="3" t="s">
        <v>3</v>
      </c>
      <c r="G2" t="s">
        <v>129</v>
      </c>
      <c r="H2" t="s">
        <v>129</v>
      </c>
      <c r="I2" t="s">
        <v>130</v>
      </c>
      <c r="X2" t="s">
        <v>131</v>
      </c>
      <c r="Y2" t="s">
        <v>132</v>
      </c>
      <c r="Z2" t="s">
        <v>133</v>
      </c>
      <c r="AA2" t="s">
        <v>133</v>
      </c>
      <c r="AB2" t="s">
        <v>134</v>
      </c>
      <c r="CI2" t="s">
        <v>135</v>
      </c>
      <c r="CJ2" t="s">
        <v>136</v>
      </c>
      <c r="CK2" t="s">
        <v>137</v>
      </c>
      <c r="CL2" t="s">
        <v>138</v>
      </c>
    </row>
    <row r="3" spans="1:106" x14ac:dyDescent="0.25">
      <c r="A3">
        <v>7072184</v>
      </c>
      <c r="B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BS3" s="5">
        <v>1</v>
      </c>
      <c r="BW3">
        <v>0</v>
      </c>
      <c r="CG3" s="4"/>
      <c r="CH3" s="4"/>
      <c r="CI3" s="4"/>
      <c r="CJ3" s="4"/>
      <c r="CK3" s="4"/>
      <c r="CL3" s="4"/>
    </row>
    <row r="4" spans="1:106" x14ac:dyDescent="0.25">
      <c r="A4">
        <v>9108231</v>
      </c>
      <c r="B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CG4" s="4"/>
      <c r="CH4" s="4"/>
      <c r="CI4" s="4"/>
      <c r="CJ4" s="4"/>
      <c r="CK4" s="4"/>
      <c r="CL4" s="4"/>
    </row>
    <row r="5" spans="1:106" x14ac:dyDescent="0.25">
      <c r="A5">
        <v>12061933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X5">
        <v>1</v>
      </c>
      <c r="AC5">
        <v>1</v>
      </c>
      <c r="AF5">
        <v>0</v>
      </c>
      <c r="AL5">
        <v>1</v>
      </c>
      <c r="AM5">
        <v>1</v>
      </c>
      <c r="CG5" s="4"/>
      <c r="CH5" s="4"/>
      <c r="CI5" s="4"/>
      <c r="CJ5" s="4"/>
      <c r="CK5" s="4"/>
      <c r="CL5" s="4"/>
    </row>
    <row r="6" spans="1:106" x14ac:dyDescent="0.25">
      <c r="A6">
        <v>95005911</v>
      </c>
      <c r="B6" t="s">
        <v>4</v>
      </c>
    </row>
    <row r="7" spans="1:106" x14ac:dyDescent="0.25">
      <c r="A7">
        <v>99001908</v>
      </c>
      <c r="B7" t="s">
        <v>4</v>
      </c>
    </row>
    <row r="8" spans="1:106" x14ac:dyDescent="0.25">
      <c r="A8">
        <v>99004067</v>
      </c>
      <c r="B8" t="s">
        <v>4</v>
      </c>
    </row>
    <row r="9" spans="1:106" x14ac:dyDescent="0.25">
      <c r="A9">
        <v>97002136</v>
      </c>
      <c r="B9" t="s">
        <v>4</v>
      </c>
      <c r="J9">
        <v>1</v>
      </c>
      <c r="CG9">
        <v>1</v>
      </c>
    </row>
    <row r="10" spans="1:106" x14ac:dyDescent="0.25">
      <c r="A10">
        <v>1502</v>
      </c>
      <c r="B10" t="s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CG10" s="4"/>
      <c r="CH10" s="4"/>
      <c r="CI10" s="4"/>
      <c r="CJ10" s="4"/>
      <c r="CK10" s="4"/>
      <c r="CL10" s="4"/>
    </row>
    <row r="11" spans="1:106" x14ac:dyDescent="0.25">
      <c r="A11">
        <v>4003543</v>
      </c>
      <c r="B11" t="s">
        <v>4</v>
      </c>
      <c r="C11" s="4"/>
      <c r="D11" s="4"/>
      <c r="E11" s="4"/>
      <c r="F11" s="4"/>
      <c r="G11" s="4"/>
      <c r="H11" s="4"/>
      <c r="I11" s="4"/>
      <c r="J11" s="4"/>
      <c r="K11" s="4"/>
      <c r="L11" s="4"/>
      <c r="CG11" s="4"/>
      <c r="CH11" s="4"/>
      <c r="CI11" s="4"/>
      <c r="CJ11" s="4"/>
      <c r="CK11" s="4"/>
      <c r="CL11" s="4"/>
    </row>
    <row r="12" spans="1:106" x14ac:dyDescent="0.25">
      <c r="A12">
        <v>4900261</v>
      </c>
      <c r="B12" t="s">
        <v>4</v>
      </c>
      <c r="C12" s="4"/>
      <c r="D12" s="4"/>
      <c r="E12" s="4"/>
      <c r="F12" s="4"/>
      <c r="G12" s="4"/>
      <c r="H12" s="4"/>
      <c r="I12" s="4"/>
      <c r="J12" s="4"/>
      <c r="K12" s="4"/>
      <c r="L12" s="4"/>
      <c r="CG12" s="4"/>
      <c r="CH12" s="4"/>
      <c r="CI12" s="4"/>
      <c r="CJ12" s="4"/>
      <c r="CK12" s="4"/>
      <c r="CL12" s="4"/>
    </row>
    <row r="13" spans="1:106" x14ac:dyDescent="0.25">
      <c r="C13" s="4">
        <f>COUNTA(C3:C12)</f>
        <v>0</v>
      </c>
      <c r="D13" s="4">
        <f t="shared" ref="D13:BO13" si="0">COUNTA(D3:D12)</f>
        <v>0</v>
      </c>
      <c r="E13" s="4">
        <f t="shared" si="0"/>
        <v>0</v>
      </c>
      <c r="F13" s="4">
        <f t="shared" si="0"/>
        <v>0</v>
      </c>
      <c r="G13" s="4">
        <f t="shared" si="0"/>
        <v>0</v>
      </c>
      <c r="H13" s="4">
        <f t="shared" si="0"/>
        <v>0</v>
      </c>
      <c r="I13" s="4">
        <f t="shared" si="0"/>
        <v>0</v>
      </c>
      <c r="J13" s="4">
        <f t="shared" si="0"/>
        <v>1</v>
      </c>
      <c r="K13" s="4">
        <f t="shared" si="0"/>
        <v>0</v>
      </c>
      <c r="L13" s="4">
        <f t="shared" si="0"/>
        <v>0</v>
      </c>
      <c r="M13" s="4">
        <f t="shared" si="0"/>
        <v>0</v>
      </c>
      <c r="N13" s="4">
        <f t="shared" si="0"/>
        <v>0</v>
      </c>
      <c r="O13" s="4">
        <f t="shared" si="0"/>
        <v>0</v>
      </c>
      <c r="P13" s="4">
        <f t="shared" si="0"/>
        <v>0</v>
      </c>
      <c r="Q13" s="4">
        <f t="shared" si="0"/>
        <v>0</v>
      </c>
      <c r="R13" s="4">
        <f t="shared" si="0"/>
        <v>0</v>
      </c>
      <c r="S13" s="4">
        <f t="shared" si="0"/>
        <v>0</v>
      </c>
      <c r="T13" s="4">
        <f t="shared" si="0"/>
        <v>0</v>
      </c>
      <c r="U13" s="4">
        <f t="shared" si="0"/>
        <v>0</v>
      </c>
      <c r="V13" s="4">
        <f t="shared" si="0"/>
        <v>0</v>
      </c>
      <c r="W13" s="4">
        <f t="shared" si="0"/>
        <v>0</v>
      </c>
      <c r="X13" s="4">
        <f t="shared" si="0"/>
        <v>1</v>
      </c>
      <c r="Y13" s="4">
        <f t="shared" si="0"/>
        <v>0</v>
      </c>
      <c r="Z13" s="4">
        <f t="shared" si="0"/>
        <v>0</v>
      </c>
      <c r="AA13" s="4">
        <f t="shared" si="0"/>
        <v>0</v>
      </c>
      <c r="AB13" s="4">
        <f t="shared" si="0"/>
        <v>0</v>
      </c>
      <c r="AC13" s="4">
        <f t="shared" si="0"/>
        <v>1</v>
      </c>
      <c r="AD13" s="4">
        <f t="shared" si="0"/>
        <v>0</v>
      </c>
      <c r="AE13" s="4">
        <f t="shared" si="0"/>
        <v>0</v>
      </c>
      <c r="AF13" s="4">
        <f t="shared" si="0"/>
        <v>1</v>
      </c>
      <c r="AG13" s="4">
        <f t="shared" si="0"/>
        <v>0</v>
      </c>
      <c r="AH13" s="4">
        <f t="shared" si="0"/>
        <v>0</v>
      </c>
      <c r="AI13" s="4">
        <f t="shared" si="0"/>
        <v>0</v>
      </c>
      <c r="AJ13" s="4">
        <f t="shared" si="0"/>
        <v>0</v>
      </c>
      <c r="AK13" s="4">
        <f t="shared" si="0"/>
        <v>0</v>
      </c>
      <c r="AL13" s="4">
        <f t="shared" si="0"/>
        <v>1</v>
      </c>
      <c r="AM13" s="4">
        <f t="shared" si="0"/>
        <v>1</v>
      </c>
      <c r="AN13" s="4">
        <f t="shared" si="0"/>
        <v>0</v>
      </c>
      <c r="AO13" s="4">
        <f t="shared" si="0"/>
        <v>0</v>
      </c>
      <c r="AP13" s="4">
        <f t="shared" si="0"/>
        <v>0</v>
      </c>
      <c r="AQ13" s="4">
        <f t="shared" si="0"/>
        <v>0</v>
      </c>
      <c r="AR13" s="4">
        <f t="shared" si="0"/>
        <v>0</v>
      </c>
      <c r="AS13" s="4">
        <f t="shared" si="0"/>
        <v>0</v>
      </c>
      <c r="AT13" s="4">
        <f t="shared" si="0"/>
        <v>0</v>
      </c>
      <c r="AU13" s="4">
        <f t="shared" si="0"/>
        <v>0</v>
      </c>
      <c r="AV13" s="4">
        <f t="shared" si="0"/>
        <v>0</v>
      </c>
      <c r="AW13" s="4">
        <f t="shared" si="0"/>
        <v>0</v>
      </c>
      <c r="AX13" s="4">
        <f t="shared" si="0"/>
        <v>0</v>
      </c>
      <c r="AY13" s="4">
        <f t="shared" si="0"/>
        <v>0</v>
      </c>
      <c r="AZ13" s="4">
        <f t="shared" si="0"/>
        <v>0</v>
      </c>
      <c r="BA13" s="4">
        <f t="shared" si="0"/>
        <v>0</v>
      </c>
      <c r="BB13" s="4">
        <f t="shared" si="0"/>
        <v>0</v>
      </c>
      <c r="BC13" s="4">
        <f t="shared" si="0"/>
        <v>0</v>
      </c>
      <c r="BD13" s="4">
        <f t="shared" si="0"/>
        <v>0</v>
      </c>
      <c r="BE13" s="4">
        <f t="shared" si="0"/>
        <v>0</v>
      </c>
      <c r="BF13" s="4">
        <f t="shared" si="0"/>
        <v>0</v>
      </c>
      <c r="BG13" s="4">
        <f t="shared" si="0"/>
        <v>0</v>
      </c>
      <c r="BH13" s="4">
        <f t="shared" si="0"/>
        <v>0</v>
      </c>
      <c r="BI13" s="4">
        <f t="shared" si="0"/>
        <v>0</v>
      </c>
      <c r="BJ13" s="4">
        <f t="shared" si="0"/>
        <v>0</v>
      </c>
      <c r="BK13" s="4">
        <f t="shared" si="0"/>
        <v>0</v>
      </c>
      <c r="BL13" s="4">
        <f t="shared" si="0"/>
        <v>0</v>
      </c>
      <c r="BM13" s="4">
        <f t="shared" si="0"/>
        <v>0</v>
      </c>
      <c r="BN13" s="4">
        <f t="shared" si="0"/>
        <v>0</v>
      </c>
      <c r="BO13" s="4">
        <f t="shared" si="0"/>
        <v>0</v>
      </c>
      <c r="BP13" s="4">
        <f t="shared" ref="BP13:DB13" si="1">COUNTA(BP3:BP12)</f>
        <v>0</v>
      </c>
      <c r="BQ13" s="4">
        <f t="shared" si="1"/>
        <v>0</v>
      </c>
      <c r="BR13" s="4">
        <f t="shared" si="1"/>
        <v>0</v>
      </c>
      <c r="BS13" s="4">
        <f t="shared" si="1"/>
        <v>1</v>
      </c>
      <c r="BT13" s="4">
        <f t="shared" si="1"/>
        <v>0</v>
      </c>
      <c r="BU13" s="4">
        <f t="shared" si="1"/>
        <v>0</v>
      </c>
      <c r="BV13" s="4">
        <f t="shared" si="1"/>
        <v>0</v>
      </c>
      <c r="BW13" s="4">
        <f t="shared" si="1"/>
        <v>1</v>
      </c>
      <c r="BX13" s="4">
        <f t="shared" si="1"/>
        <v>0</v>
      </c>
      <c r="BY13" s="4">
        <f t="shared" si="1"/>
        <v>0</v>
      </c>
      <c r="BZ13" s="4">
        <f t="shared" si="1"/>
        <v>0</v>
      </c>
      <c r="CA13" s="4">
        <f t="shared" si="1"/>
        <v>0</v>
      </c>
      <c r="CB13" s="4">
        <f t="shared" si="1"/>
        <v>0</v>
      </c>
      <c r="CC13" s="4">
        <f t="shared" si="1"/>
        <v>0</v>
      </c>
      <c r="CD13" s="4">
        <f t="shared" si="1"/>
        <v>0</v>
      </c>
      <c r="CE13" s="4">
        <f t="shared" si="1"/>
        <v>0</v>
      </c>
      <c r="CF13" s="4">
        <f t="shared" si="1"/>
        <v>0</v>
      </c>
      <c r="CG13" s="4">
        <f t="shared" si="1"/>
        <v>1</v>
      </c>
      <c r="CH13" s="4">
        <f t="shared" si="1"/>
        <v>0</v>
      </c>
      <c r="CI13" s="4">
        <f t="shared" si="1"/>
        <v>0</v>
      </c>
      <c r="CJ13" s="4">
        <f t="shared" si="1"/>
        <v>0</v>
      </c>
      <c r="CK13" s="4">
        <f t="shared" si="1"/>
        <v>0</v>
      </c>
      <c r="CL13" s="4">
        <f t="shared" si="1"/>
        <v>0</v>
      </c>
      <c r="CM13" s="4">
        <f t="shared" si="1"/>
        <v>0</v>
      </c>
      <c r="CN13" s="4">
        <f t="shared" si="1"/>
        <v>0</v>
      </c>
      <c r="CO13" s="4">
        <f t="shared" si="1"/>
        <v>0</v>
      </c>
      <c r="CP13" s="4">
        <f t="shared" si="1"/>
        <v>0</v>
      </c>
      <c r="CQ13" s="4">
        <f t="shared" si="1"/>
        <v>0</v>
      </c>
      <c r="CR13" s="4">
        <f t="shared" si="1"/>
        <v>0</v>
      </c>
      <c r="CS13" s="4">
        <f t="shared" si="1"/>
        <v>0</v>
      </c>
      <c r="CT13" s="4">
        <f t="shared" si="1"/>
        <v>0</v>
      </c>
      <c r="CU13" s="4">
        <f t="shared" si="1"/>
        <v>0</v>
      </c>
      <c r="CV13" s="4">
        <f t="shared" si="1"/>
        <v>0</v>
      </c>
      <c r="CW13" s="4">
        <f t="shared" si="1"/>
        <v>0</v>
      </c>
      <c r="CX13" s="4">
        <f t="shared" si="1"/>
        <v>0</v>
      </c>
      <c r="CY13" s="4">
        <f t="shared" si="1"/>
        <v>0</v>
      </c>
      <c r="CZ13" s="4">
        <f t="shared" si="1"/>
        <v>0</v>
      </c>
      <c r="DA13" s="4">
        <f t="shared" si="1"/>
        <v>0</v>
      </c>
      <c r="DB13" s="4">
        <f t="shared" si="1"/>
        <v>0</v>
      </c>
    </row>
    <row r="14" spans="1:106" x14ac:dyDescent="0.25">
      <c r="A14">
        <v>14242856</v>
      </c>
      <c r="B14" t="s">
        <v>5</v>
      </c>
      <c r="C14" s="4"/>
      <c r="D14" s="4"/>
      <c r="E14" s="4"/>
      <c r="F14" s="4"/>
      <c r="G14" s="4"/>
      <c r="H14" s="4"/>
      <c r="I14" s="4"/>
      <c r="J14" s="4"/>
      <c r="K14" s="4"/>
      <c r="L14" s="4"/>
      <c r="CG14" s="4"/>
      <c r="CH14" s="4"/>
      <c r="CI14" s="4"/>
      <c r="CJ14" s="4"/>
      <c r="CK14" s="4"/>
      <c r="CL14" s="4"/>
    </row>
    <row r="15" spans="1:106" x14ac:dyDescent="0.25">
      <c r="A15">
        <v>99001183</v>
      </c>
      <c r="B15" t="s">
        <v>5</v>
      </c>
      <c r="C15" s="4"/>
      <c r="D15" s="4"/>
      <c r="E15" s="4"/>
      <c r="F15" s="4"/>
      <c r="G15" s="4"/>
      <c r="H15" s="4"/>
      <c r="I15" s="4"/>
      <c r="J15" s="4"/>
      <c r="K15" s="4"/>
      <c r="L15" s="4"/>
      <c r="CG15" s="4"/>
      <c r="CH15" s="4"/>
      <c r="CI15" s="4"/>
      <c r="CJ15" s="4"/>
      <c r="CK15" s="4"/>
      <c r="CL15" s="4"/>
    </row>
    <row r="16" spans="1:106" x14ac:dyDescent="0.25">
      <c r="A16">
        <v>3000983</v>
      </c>
      <c r="B16" t="s">
        <v>5</v>
      </c>
      <c r="C16" s="4"/>
      <c r="D16" s="4"/>
      <c r="E16" s="4"/>
      <c r="F16" s="4"/>
      <c r="G16" s="4"/>
      <c r="H16" s="4"/>
      <c r="I16" s="4"/>
      <c r="J16" s="4"/>
      <c r="K16" s="4"/>
      <c r="L16" s="4"/>
      <c r="X16">
        <v>0</v>
      </c>
      <c r="Y16">
        <v>0</v>
      </c>
      <c r="CG16" s="4"/>
      <c r="CH16" s="4"/>
      <c r="CI16" s="4"/>
      <c r="CJ16" s="4"/>
      <c r="CK16" s="4"/>
      <c r="CL16" s="4"/>
    </row>
    <row r="17" spans="1:106" x14ac:dyDescent="0.25">
      <c r="A17">
        <v>10064335</v>
      </c>
      <c r="B17" t="s">
        <v>5</v>
      </c>
      <c r="C17" s="4"/>
      <c r="D17" s="4"/>
      <c r="E17" s="4"/>
      <c r="F17" s="4"/>
      <c r="G17" s="4"/>
      <c r="H17" s="4"/>
      <c r="I17" s="4"/>
      <c r="J17" s="4"/>
      <c r="K17" s="4"/>
      <c r="L17" s="4"/>
      <c r="BW17">
        <v>1</v>
      </c>
      <c r="CG17" s="4"/>
      <c r="CH17" s="4"/>
      <c r="CI17" s="4"/>
      <c r="CJ17" s="4"/>
      <c r="CK17" s="4"/>
      <c r="CL17" s="4"/>
      <c r="DB17">
        <v>1</v>
      </c>
    </row>
    <row r="18" spans="1:106" x14ac:dyDescent="0.25">
      <c r="A18" s="4"/>
      <c r="B18" s="4"/>
      <c r="C18" s="4">
        <f>COUNTA(C14:C17)</f>
        <v>0</v>
      </c>
      <c r="D18" s="4">
        <f t="shared" ref="D18:BO18" si="2">COUNTA(D14:D17)</f>
        <v>0</v>
      </c>
      <c r="E18" s="4">
        <f t="shared" si="2"/>
        <v>0</v>
      </c>
      <c r="F18" s="4">
        <f t="shared" si="2"/>
        <v>0</v>
      </c>
      <c r="G18" s="4">
        <f t="shared" si="2"/>
        <v>0</v>
      </c>
      <c r="H18" s="4">
        <f t="shared" si="2"/>
        <v>0</v>
      </c>
      <c r="I18" s="4">
        <f t="shared" si="2"/>
        <v>0</v>
      </c>
      <c r="J18" s="4">
        <f t="shared" si="2"/>
        <v>0</v>
      </c>
      <c r="K18" s="4">
        <f t="shared" si="2"/>
        <v>0</v>
      </c>
      <c r="L18" s="4">
        <f t="shared" si="2"/>
        <v>0</v>
      </c>
      <c r="M18" s="4">
        <f t="shared" si="2"/>
        <v>0</v>
      </c>
      <c r="N18" s="4">
        <f t="shared" si="2"/>
        <v>0</v>
      </c>
      <c r="O18" s="4">
        <f t="shared" si="2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2"/>
        <v>0</v>
      </c>
      <c r="T18" s="4">
        <f t="shared" si="2"/>
        <v>0</v>
      </c>
      <c r="U18" s="4">
        <f t="shared" si="2"/>
        <v>0</v>
      </c>
      <c r="V18" s="4">
        <f t="shared" si="2"/>
        <v>0</v>
      </c>
      <c r="W18" s="4">
        <f t="shared" si="2"/>
        <v>0</v>
      </c>
      <c r="X18" s="4">
        <f t="shared" si="2"/>
        <v>1</v>
      </c>
      <c r="Y18" s="4">
        <f t="shared" si="2"/>
        <v>1</v>
      </c>
      <c r="Z18" s="4">
        <f t="shared" si="2"/>
        <v>0</v>
      </c>
      <c r="AA18" s="4">
        <f t="shared" si="2"/>
        <v>0</v>
      </c>
      <c r="AB18" s="4">
        <f t="shared" si="2"/>
        <v>0</v>
      </c>
      <c r="AC18" s="4">
        <f t="shared" si="2"/>
        <v>0</v>
      </c>
      <c r="AD18" s="4">
        <f t="shared" si="2"/>
        <v>0</v>
      </c>
      <c r="AE18" s="4">
        <f t="shared" si="2"/>
        <v>0</v>
      </c>
      <c r="AF18" s="4">
        <f t="shared" si="2"/>
        <v>0</v>
      </c>
      <c r="AG18" s="4">
        <f t="shared" si="2"/>
        <v>0</v>
      </c>
      <c r="AH18" s="4">
        <f t="shared" si="2"/>
        <v>0</v>
      </c>
      <c r="AI18" s="4">
        <f t="shared" si="2"/>
        <v>0</v>
      </c>
      <c r="AJ18" s="4">
        <f t="shared" si="2"/>
        <v>0</v>
      </c>
      <c r="AK18" s="4">
        <f t="shared" si="2"/>
        <v>0</v>
      </c>
      <c r="AL18" s="4">
        <f t="shared" si="2"/>
        <v>0</v>
      </c>
      <c r="AM18" s="4">
        <f t="shared" si="2"/>
        <v>0</v>
      </c>
      <c r="AN18" s="4">
        <f t="shared" si="2"/>
        <v>0</v>
      </c>
      <c r="AO18" s="4">
        <f t="shared" si="2"/>
        <v>0</v>
      </c>
      <c r="AP18" s="4">
        <f t="shared" si="2"/>
        <v>0</v>
      </c>
      <c r="AQ18" s="4">
        <f t="shared" si="2"/>
        <v>0</v>
      </c>
      <c r="AR18" s="4">
        <f t="shared" si="2"/>
        <v>0</v>
      </c>
      <c r="AS18" s="4">
        <f t="shared" si="2"/>
        <v>0</v>
      </c>
      <c r="AT18" s="4">
        <f t="shared" si="2"/>
        <v>0</v>
      </c>
      <c r="AU18" s="4">
        <f t="shared" si="2"/>
        <v>0</v>
      </c>
      <c r="AV18" s="4">
        <f t="shared" si="2"/>
        <v>0</v>
      </c>
      <c r="AW18" s="4">
        <f t="shared" si="2"/>
        <v>0</v>
      </c>
      <c r="AX18" s="4">
        <f t="shared" si="2"/>
        <v>0</v>
      </c>
      <c r="AY18" s="4">
        <f t="shared" si="2"/>
        <v>0</v>
      </c>
      <c r="AZ18" s="4">
        <f t="shared" si="2"/>
        <v>0</v>
      </c>
      <c r="BA18" s="4">
        <f t="shared" si="2"/>
        <v>0</v>
      </c>
      <c r="BB18" s="4">
        <f t="shared" si="2"/>
        <v>0</v>
      </c>
      <c r="BC18" s="4">
        <f t="shared" si="2"/>
        <v>0</v>
      </c>
      <c r="BD18" s="4">
        <f t="shared" si="2"/>
        <v>0</v>
      </c>
      <c r="BE18" s="4">
        <f t="shared" si="2"/>
        <v>0</v>
      </c>
      <c r="BF18" s="4">
        <f t="shared" si="2"/>
        <v>0</v>
      </c>
      <c r="BG18" s="4">
        <f t="shared" si="2"/>
        <v>0</v>
      </c>
      <c r="BH18" s="4">
        <f t="shared" si="2"/>
        <v>0</v>
      </c>
      <c r="BI18" s="4">
        <f t="shared" si="2"/>
        <v>0</v>
      </c>
      <c r="BJ18" s="4">
        <f t="shared" si="2"/>
        <v>0</v>
      </c>
      <c r="BK18" s="4">
        <f t="shared" si="2"/>
        <v>0</v>
      </c>
      <c r="BL18" s="4">
        <f t="shared" si="2"/>
        <v>0</v>
      </c>
      <c r="BM18" s="4">
        <f t="shared" si="2"/>
        <v>0</v>
      </c>
      <c r="BN18" s="4">
        <f t="shared" si="2"/>
        <v>0</v>
      </c>
      <c r="BO18" s="4">
        <f t="shared" si="2"/>
        <v>0</v>
      </c>
      <c r="BP18" s="4">
        <f t="shared" ref="BP18:DB18" si="3">COUNTA(BP14:BP17)</f>
        <v>0</v>
      </c>
      <c r="BQ18" s="4">
        <f t="shared" si="3"/>
        <v>0</v>
      </c>
      <c r="BR18" s="4">
        <f t="shared" si="3"/>
        <v>0</v>
      </c>
      <c r="BS18" s="4">
        <f t="shared" si="3"/>
        <v>0</v>
      </c>
      <c r="BT18" s="4">
        <f t="shared" si="3"/>
        <v>0</v>
      </c>
      <c r="BU18" s="4">
        <f t="shared" si="3"/>
        <v>0</v>
      </c>
      <c r="BV18" s="4">
        <f t="shared" si="3"/>
        <v>0</v>
      </c>
      <c r="BW18" s="4">
        <f t="shared" si="3"/>
        <v>1</v>
      </c>
      <c r="BX18" s="4">
        <f t="shared" si="3"/>
        <v>0</v>
      </c>
      <c r="BY18" s="4">
        <f t="shared" si="3"/>
        <v>0</v>
      </c>
      <c r="BZ18" s="4">
        <f t="shared" si="3"/>
        <v>0</v>
      </c>
      <c r="CA18" s="4">
        <f t="shared" si="3"/>
        <v>0</v>
      </c>
      <c r="CB18" s="4">
        <f t="shared" si="3"/>
        <v>0</v>
      </c>
      <c r="CC18" s="4">
        <f t="shared" si="3"/>
        <v>0</v>
      </c>
      <c r="CD18" s="4">
        <f t="shared" si="3"/>
        <v>0</v>
      </c>
      <c r="CE18" s="4">
        <f t="shared" si="3"/>
        <v>0</v>
      </c>
      <c r="CF18" s="4">
        <f t="shared" si="3"/>
        <v>0</v>
      </c>
      <c r="CG18" s="4">
        <f t="shared" si="3"/>
        <v>0</v>
      </c>
      <c r="CH18" s="4">
        <f t="shared" si="3"/>
        <v>0</v>
      </c>
      <c r="CI18" s="4">
        <f t="shared" si="3"/>
        <v>0</v>
      </c>
      <c r="CJ18" s="4">
        <f t="shared" si="3"/>
        <v>0</v>
      </c>
      <c r="CK18" s="4">
        <f t="shared" si="3"/>
        <v>0</v>
      </c>
      <c r="CL18" s="4">
        <f t="shared" si="3"/>
        <v>0</v>
      </c>
      <c r="CM18" s="4">
        <f t="shared" si="3"/>
        <v>0</v>
      </c>
      <c r="CN18" s="4">
        <f t="shared" si="3"/>
        <v>0</v>
      </c>
      <c r="CO18" s="4">
        <f t="shared" si="3"/>
        <v>0</v>
      </c>
      <c r="CP18" s="4">
        <f t="shared" si="3"/>
        <v>0</v>
      </c>
      <c r="CQ18" s="4">
        <f t="shared" si="3"/>
        <v>0</v>
      </c>
      <c r="CR18" s="4">
        <f t="shared" si="3"/>
        <v>0</v>
      </c>
      <c r="CS18" s="4">
        <f t="shared" si="3"/>
        <v>0</v>
      </c>
      <c r="CT18" s="4">
        <f t="shared" si="3"/>
        <v>0</v>
      </c>
      <c r="CU18" s="4">
        <f t="shared" si="3"/>
        <v>0</v>
      </c>
      <c r="CV18" s="4">
        <f t="shared" si="3"/>
        <v>0</v>
      </c>
      <c r="CW18" s="4">
        <f t="shared" si="3"/>
        <v>0</v>
      </c>
      <c r="CX18" s="4">
        <f t="shared" si="3"/>
        <v>0</v>
      </c>
      <c r="CY18" s="4">
        <f t="shared" si="3"/>
        <v>0</v>
      </c>
      <c r="CZ18" s="4">
        <f t="shared" si="3"/>
        <v>0</v>
      </c>
      <c r="DA18" s="4">
        <f t="shared" si="3"/>
        <v>0</v>
      </c>
      <c r="DB18" s="4">
        <f t="shared" si="3"/>
        <v>1</v>
      </c>
    </row>
    <row r="19" spans="1:106" x14ac:dyDescent="0.25">
      <c r="A19">
        <v>1480</v>
      </c>
      <c r="B19" t="s">
        <v>6</v>
      </c>
    </row>
    <row r="20" spans="1:106" x14ac:dyDescent="0.25">
      <c r="A20">
        <v>7063959</v>
      </c>
      <c r="B20" t="s">
        <v>6</v>
      </c>
      <c r="C20" s="4"/>
      <c r="D20" s="4"/>
      <c r="E20" s="4"/>
      <c r="F20" s="4"/>
      <c r="G20" s="4"/>
      <c r="H20" s="4"/>
      <c r="I20" s="4"/>
      <c r="J20" s="4"/>
      <c r="K20" s="4"/>
      <c r="L20" s="4"/>
      <c r="BP20">
        <v>0</v>
      </c>
      <c r="CG20" s="4"/>
      <c r="CH20" s="4"/>
      <c r="CI20" s="4"/>
      <c r="CJ20" s="4"/>
      <c r="CK20" s="4"/>
      <c r="CL20" s="4"/>
    </row>
    <row r="21" spans="1:106" x14ac:dyDescent="0.25">
      <c r="A21">
        <v>1003215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BP21">
        <v>0</v>
      </c>
      <c r="BR21">
        <v>0</v>
      </c>
      <c r="BS21">
        <v>1</v>
      </c>
      <c r="BW21">
        <v>0</v>
      </c>
      <c r="BY21">
        <v>0</v>
      </c>
      <c r="CA21">
        <v>0</v>
      </c>
      <c r="CD21">
        <v>0</v>
      </c>
      <c r="CG21" s="4"/>
      <c r="CH21" s="4"/>
      <c r="CI21" s="4"/>
      <c r="CJ21" s="4"/>
      <c r="CK21" s="4"/>
      <c r="CL21" s="4"/>
      <c r="CM21">
        <v>1</v>
      </c>
      <c r="CN21">
        <v>0</v>
      </c>
      <c r="CO21">
        <v>1</v>
      </c>
    </row>
    <row r="22" spans="1:106" x14ac:dyDescent="0.25">
      <c r="A22">
        <v>99000802</v>
      </c>
      <c r="B22" t="s">
        <v>6</v>
      </c>
      <c r="C22" s="4"/>
      <c r="D22" s="4"/>
      <c r="E22" s="4"/>
      <c r="F22" s="4"/>
      <c r="G22" s="4"/>
      <c r="H22" s="4"/>
      <c r="I22" s="4"/>
      <c r="J22" s="4"/>
      <c r="K22" s="4"/>
      <c r="L22" s="4"/>
      <c r="CG22" s="4"/>
      <c r="CH22" s="4"/>
      <c r="CI22" s="4"/>
      <c r="CJ22" s="4"/>
      <c r="CK22" s="4"/>
      <c r="CL22" s="4"/>
    </row>
    <row r="23" spans="1:106" x14ac:dyDescent="0.25">
      <c r="A23">
        <v>99000892</v>
      </c>
      <c r="B23" t="s">
        <v>6</v>
      </c>
      <c r="C23" s="4"/>
      <c r="D23" s="4"/>
      <c r="E23" s="4"/>
      <c r="F23" s="4"/>
      <c r="G23" s="4"/>
      <c r="H23" s="4"/>
      <c r="I23" s="4"/>
      <c r="J23" s="4"/>
      <c r="K23" s="4"/>
      <c r="L23" s="4"/>
      <c r="CG23" s="4"/>
      <c r="CH23" s="4"/>
      <c r="CI23" s="4"/>
      <c r="CJ23" s="4"/>
      <c r="CK23" s="4"/>
      <c r="CL23" s="4"/>
    </row>
    <row r="24" spans="1:106" x14ac:dyDescent="0.25">
      <c r="A24">
        <v>1000192</v>
      </c>
      <c r="B24" t="s">
        <v>6</v>
      </c>
      <c r="C24" s="4"/>
      <c r="D24" s="4"/>
      <c r="E24" s="4"/>
      <c r="F24" s="4"/>
      <c r="G24" s="4"/>
      <c r="H24" s="4"/>
      <c r="I24" s="4"/>
      <c r="J24" s="4"/>
      <c r="K24" s="4"/>
      <c r="L24" s="4"/>
      <c r="CG24" s="4"/>
      <c r="CH24" s="4"/>
      <c r="CI24" s="4"/>
      <c r="CJ24" s="4"/>
      <c r="CK24" s="4"/>
      <c r="CL24" s="4"/>
    </row>
    <row r="25" spans="1:106" x14ac:dyDescent="0.25">
      <c r="A25">
        <v>1506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CG25" s="4"/>
      <c r="CH25" s="4"/>
      <c r="CI25" s="4"/>
      <c r="CJ25" s="4"/>
      <c r="CK25" s="4"/>
      <c r="CL25" s="4"/>
    </row>
    <row r="26" spans="1:106" x14ac:dyDescent="0.25">
      <c r="A26">
        <v>99000894</v>
      </c>
      <c r="B26" t="s">
        <v>6</v>
      </c>
      <c r="C26" s="4"/>
      <c r="D26" s="4"/>
      <c r="E26" s="4"/>
      <c r="F26" s="4"/>
      <c r="G26" s="4"/>
      <c r="H26" s="4"/>
      <c r="I26" s="4"/>
      <c r="J26" s="4"/>
      <c r="K26" s="4"/>
      <c r="L26" s="4"/>
      <c r="CG26" s="4"/>
      <c r="CH26" s="4"/>
      <c r="CI26" s="4"/>
      <c r="CJ26" s="4"/>
      <c r="CK26" s="4"/>
      <c r="CL26" s="4"/>
    </row>
    <row r="27" spans="1:106" x14ac:dyDescent="0.25">
      <c r="A27">
        <v>99000897</v>
      </c>
      <c r="B27" t="s">
        <v>6</v>
      </c>
    </row>
    <row r="28" spans="1:106" x14ac:dyDescent="0.25">
      <c r="A28">
        <v>99001245</v>
      </c>
      <c r="B28" t="s">
        <v>6</v>
      </c>
    </row>
    <row r="29" spans="1:106" x14ac:dyDescent="0.25">
      <c r="A29">
        <v>99001902</v>
      </c>
      <c r="B29" t="s">
        <v>6</v>
      </c>
    </row>
    <row r="30" spans="1:106" x14ac:dyDescent="0.25">
      <c r="A30">
        <v>99001912</v>
      </c>
      <c r="B30" t="s">
        <v>6</v>
      </c>
    </row>
    <row r="31" spans="1:106" x14ac:dyDescent="0.25">
      <c r="A31">
        <v>99001913</v>
      </c>
      <c r="B31" t="s">
        <v>6</v>
      </c>
    </row>
    <row r="32" spans="1:106" x14ac:dyDescent="0.25">
      <c r="A32">
        <v>99001937</v>
      </c>
      <c r="B32" t="s">
        <v>6</v>
      </c>
    </row>
    <row r="33" spans="1:106" x14ac:dyDescent="0.25">
      <c r="A33">
        <v>99001943</v>
      </c>
      <c r="B33" t="s">
        <v>6</v>
      </c>
    </row>
    <row r="34" spans="1:106" x14ac:dyDescent="0.25">
      <c r="A34">
        <v>99001927</v>
      </c>
      <c r="B34" t="s">
        <v>6</v>
      </c>
    </row>
    <row r="35" spans="1:106" x14ac:dyDescent="0.25">
      <c r="A35">
        <v>1505</v>
      </c>
      <c r="B35" t="s">
        <v>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>
        <v>1</v>
      </c>
      <c r="CG35" s="4"/>
      <c r="CH35" s="4"/>
      <c r="CI35" s="4"/>
      <c r="CJ35" s="4"/>
      <c r="CK35" s="4"/>
      <c r="CL35" s="4"/>
    </row>
    <row r="36" spans="1:106" x14ac:dyDescent="0.25">
      <c r="A36">
        <v>1000197</v>
      </c>
      <c r="B36" t="s">
        <v>6</v>
      </c>
      <c r="C36" s="4"/>
      <c r="D36" s="4"/>
      <c r="E36" s="4"/>
      <c r="F36" s="4"/>
      <c r="G36" s="4"/>
      <c r="H36" s="4"/>
      <c r="I36" s="4"/>
      <c r="J36" s="4"/>
      <c r="K36" s="4"/>
      <c r="L36" s="4"/>
      <c r="CG36" s="4"/>
      <c r="CH36" s="4"/>
      <c r="CI36" s="4"/>
      <c r="CJ36" s="4"/>
      <c r="CK36" s="4"/>
      <c r="CL36" s="4"/>
    </row>
    <row r="37" spans="1:106" x14ac:dyDescent="0.25">
      <c r="A37">
        <v>96018835</v>
      </c>
      <c r="B37" t="s">
        <v>6</v>
      </c>
      <c r="E37">
        <v>0</v>
      </c>
      <c r="I37" s="4"/>
      <c r="J37" s="4"/>
      <c r="K37" s="4"/>
      <c r="L37" s="4"/>
      <c r="X37">
        <v>0</v>
      </c>
      <c r="AN37">
        <v>0</v>
      </c>
      <c r="AO37">
        <v>0</v>
      </c>
      <c r="CG37" s="4"/>
      <c r="CH37" s="4"/>
      <c r="CI37" s="4"/>
      <c r="CJ37" s="4"/>
      <c r="CK37" s="4"/>
      <c r="CL37" s="4"/>
    </row>
    <row r="38" spans="1:106" x14ac:dyDescent="0.25">
      <c r="A38">
        <v>98008326</v>
      </c>
      <c r="B38" t="s">
        <v>6</v>
      </c>
      <c r="C38" s="4"/>
      <c r="D38" s="4"/>
      <c r="E38" s="4"/>
      <c r="F38" s="4"/>
      <c r="G38" s="4"/>
      <c r="H38" s="4"/>
      <c r="I38" s="4"/>
      <c r="J38" s="4"/>
      <c r="K38" s="4"/>
      <c r="L38" s="4"/>
      <c r="CG38" s="4"/>
      <c r="CH38" s="4"/>
      <c r="CI38" s="4"/>
      <c r="CJ38" s="4"/>
      <c r="CK38" s="4"/>
      <c r="CL38" s="4"/>
    </row>
    <row r="39" spans="1:106" x14ac:dyDescent="0.25">
      <c r="A39">
        <v>99000717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BQ39">
        <v>1</v>
      </c>
      <c r="CG39" s="4"/>
      <c r="CH39" s="4"/>
      <c r="CI39" s="4"/>
      <c r="CJ39" s="4"/>
      <c r="CK39" s="4"/>
      <c r="CL39" s="4"/>
    </row>
    <row r="40" spans="1:106" x14ac:dyDescent="0.25">
      <c r="C40">
        <f>COUNTA(C19:C39)</f>
        <v>0</v>
      </c>
      <c r="D40">
        <f t="shared" ref="D40:BO40" si="4">COUNTA(D19:D39)</f>
        <v>0</v>
      </c>
      <c r="E40">
        <f t="shared" si="4"/>
        <v>1</v>
      </c>
      <c r="F40">
        <f t="shared" si="4"/>
        <v>0</v>
      </c>
      <c r="G40">
        <f t="shared" si="4"/>
        <v>0</v>
      </c>
      <c r="H40">
        <f t="shared" si="4"/>
        <v>0</v>
      </c>
      <c r="I40">
        <f t="shared" si="4"/>
        <v>0</v>
      </c>
      <c r="J40">
        <f t="shared" si="4"/>
        <v>0</v>
      </c>
      <c r="K40">
        <f t="shared" si="4"/>
        <v>0</v>
      </c>
      <c r="L40">
        <f t="shared" si="4"/>
        <v>0</v>
      </c>
      <c r="M40">
        <f t="shared" si="4"/>
        <v>1</v>
      </c>
      <c r="N40">
        <f t="shared" si="4"/>
        <v>0</v>
      </c>
      <c r="O40">
        <f t="shared" si="4"/>
        <v>0</v>
      </c>
      <c r="P40">
        <f t="shared" si="4"/>
        <v>0</v>
      </c>
      <c r="Q40">
        <f t="shared" si="4"/>
        <v>0</v>
      </c>
      <c r="R40">
        <f t="shared" si="4"/>
        <v>0</v>
      </c>
      <c r="S40">
        <f t="shared" si="4"/>
        <v>0</v>
      </c>
      <c r="T40">
        <f t="shared" si="4"/>
        <v>0</v>
      </c>
      <c r="U40">
        <f t="shared" si="4"/>
        <v>0</v>
      </c>
      <c r="V40">
        <f t="shared" si="4"/>
        <v>0</v>
      </c>
      <c r="W40">
        <f t="shared" si="4"/>
        <v>0</v>
      </c>
      <c r="X40">
        <f t="shared" si="4"/>
        <v>1</v>
      </c>
      <c r="Y40">
        <f t="shared" si="4"/>
        <v>0</v>
      </c>
      <c r="Z40">
        <f t="shared" si="4"/>
        <v>0</v>
      </c>
      <c r="AA40">
        <f t="shared" si="4"/>
        <v>0</v>
      </c>
      <c r="AB40">
        <f t="shared" si="4"/>
        <v>0</v>
      </c>
      <c r="AC40">
        <f t="shared" si="4"/>
        <v>0</v>
      </c>
      <c r="AD40">
        <f t="shared" si="4"/>
        <v>0</v>
      </c>
      <c r="AE40">
        <f t="shared" si="4"/>
        <v>0</v>
      </c>
      <c r="AF40">
        <f t="shared" si="4"/>
        <v>0</v>
      </c>
      <c r="AG40">
        <f t="shared" si="4"/>
        <v>0</v>
      </c>
      <c r="AH40">
        <f t="shared" si="4"/>
        <v>0</v>
      </c>
      <c r="AI40">
        <f t="shared" si="4"/>
        <v>0</v>
      </c>
      <c r="AJ40">
        <f t="shared" si="4"/>
        <v>0</v>
      </c>
      <c r="AK40">
        <f t="shared" si="4"/>
        <v>0</v>
      </c>
      <c r="AL40">
        <f t="shared" si="4"/>
        <v>0</v>
      </c>
      <c r="AM40">
        <f t="shared" si="4"/>
        <v>0</v>
      </c>
      <c r="AN40">
        <f t="shared" si="4"/>
        <v>1</v>
      </c>
      <c r="AO40">
        <f t="shared" si="4"/>
        <v>1</v>
      </c>
      <c r="AP40">
        <f t="shared" si="4"/>
        <v>0</v>
      </c>
      <c r="AQ40">
        <f t="shared" si="4"/>
        <v>0</v>
      </c>
      <c r="AR40">
        <f t="shared" si="4"/>
        <v>0</v>
      </c>
      <c r="AS40">
        <f t="shared" si="4"/>
        <v>0</v>
      </c>
      <c r="AT40">
        <f t="shared" si="4"/>
        <v>0</v>
      </c>
      <c r="AU40">
        <f t="shared" si="4"/>
        <v>0</v>
      </c>
      <c r="AV40">
        <f t="shared" si="4"/>
        <v>0</v>
      </c>
      <c r="AW40">
        <f t="shared" si="4"/>
        <v>0</v>
      </c>
      <c r="AX40">
        <f t="shared" si="4"/>
        <v>0</v>
      </c>
      <c r="AY40">
        <f t="shared" si="4"/>
        <v>0</v>
      </c>
      <c r="AZ40">
        <f t="shared" si="4"/>
        <v>0</v>
      </c>
      <c r="BA40">
        <f t="shared" si="4"/>
        <v>0</v>
      </c>
      <c r="BB40">
        <f t="shared" si="4"/>
        <v>0</v>
      </c>
      <c r="BC40">
        <f t="shared" si="4"/>
        <v>0</v>
      </c>
      <c r="BD40">
        <f t="shared" si="4"/>
        <v>0</v>
      </c>
      <c r="BE40">
        <f t="shared" si="4"/>
        <v>0</v>
      </c>
      <c r="BF40">
        <f t="shared" si="4"/>
        <v>0</v>
      </c>
      <c r="BG40">
        <f t="shared" si="4"/>
        <v>0</v>
      </c>
      <c r="BH40">
        <f t="shared" si="4"/>
        <v>0</v>
      </c>
      <c r="BI40">
        <f t="shared" si="4"/>
        <v>0</v>
      </c>
      <c r="BJ40">
        <f t="shared" si="4"/>
        <v>0</v>
      </c>
      <c r="BK40">
        <f t="shared" si="4"/>
        <v>0</v>
      </c>
      <c r="BL40">
        <f t="shared" si="4"/>
        <v>0</v>
      </c>
      <c r="BM40">
        <f t="shared" si="4"/>
        <v>0</v>
      </c>
      <c r="BN40">
        <f t="shared" si="4"/>
        <v>0</v>
      </c>
      <c r="BO40">
        <f t="shared" si="4"/>
        <v>0</v>
      </c>
      <c r="BP40">
        <f t="shared" ref="BP40:DB40" si="5">COUNTA(BP19:BP39)</f>
        <v>2</v>
      </c>
      <c r="BQ40">
        <f t="shared" si="5"/>
        <v>1</v>
      </c>
      <c r="BR40">
        <f t="shared" si="5"/>
        <v>1</v>
      </c>
      <c r="BS40">
        <f t="shared" si="5"/>
        <v>1</v>
      </c>
      <c r="BT40">
        <f t="shared" si="5"/>
        <v>0</v>
      </c>
      <c r="BU40">
        <f t="shared" si="5"/>
        <v>0</v>
      </c>
      <c r="BV40">
        <f t="shared" si="5"/>
        <v>0</v>
      </c>
      <c r="BW40">
        <f t="shared" si="5"/>
        <v>1</v>
      </c>
      <c r="BX40">
        <f t="shared" si="5"/>
        <v>0</v>
      </c>
      <c r="BY40">
        <f t="shared" si="5"/>
        <v>1</v>
      </c>
      <c r="BZ40">
        <f t="shared" si="5"/>
        <v>0</v>
      </c>
      <c r="CA40">
        <f t="shared" si="5"/>
        <v>1</v>
      </c>
      <c r="CB40">
        <f t="shared" si="5"/>
        <v>0</v>
      </c>
      <c r="CC40">
        <f t="shared" si="5"/>
        <v>0</v>
      </c>
      <c r="CD40">
        <f t="shared" si="5"/>
        <v>1</v>
      </c>
      <c r="CE40">
        <f t="shared" si="5"/>
        <v>0</v>
      </c>
      <c r="CF40">
        <f t="shared" si="5"/>
        <v>0</v>
      </c>
      <c r="CG40">
        <f t="shared" si="5"/>
        <v>0</v>
      </c>
      <c r="CH40">
        <f t="shared" si="5"/>
        <v>0</v>
      </c>
      <c r="CI40">
        <f t="shared" si="5"/>
        <v>0</v>
      </c>
      <c r="CJ40">
        <f t="shared" si="5"/>
        <v>0</v>
      </c>
      <c r="CK40">
        <f t="shared" si="5"/>
        <v>0</v>
      </c>
      <c r="CL40">
        <f t="shared" si="5"/>
        <v>0</v>
      </c>
      <c r="CM40">
        <f t="shared" si="5"/>
        <v>1</v>
      </c>
      <c r="CN40">
        <f t="shared" si="5"/>
        <v>1</v>
      </c>
      <c r="CO40">
        <f t="shared" si="5"/>
        <v>1</v>
      </c>
      <c r="CP40">
        <f t="shared" si="5"/>
        <v>0</v>
      </c>
      <c r="CQ40">
        <f t="shared" si="5"/>
        <v>0</v>
      </c>
      <c r="CR40">
        <f t="shared" si="5"/>
        <v>0</v>
      </c>
      <c r="CS40">
        <f t="shared" si="5"/>
        <v>0</v>
      </c>
      <c r="CT40">
        <f t="shared" si="5"/>
        <v>0</v>
      </c>
      <c r="CU40">
        <f t="shared" si="5"/>
        <v>0</v>
      </c>
      <c r="CV40">
        <f t="shared" si="5"/>
        <v>0</v>
      </c>
      <c r="CW40">
        <f t="shared" si="5"/>
        <v>0</v>
      </c>
      <c r="CX40">
        <f t="shared" si="5"/>
        <v>0</v>
      </c>
      <c r="CY40">
        <f t="shared" si="5"/>
        <v>0</v>
      </c>
      <c r="CZ40">
        <f t="shared" si="5"/>
        <v>0</v>
      </c>
      <c r="DA40">
        <f t="shared" si="5"/>
        <v>0</v>
      </c>
      <c r="DB40">
        <f t="shared" si="5"/>
        <v>0</v>
      </c>
    </row>
    <row r="41" spans="1:106" x14ac:dyDescent="0.25">
      <c r="A41">
        <v>6016435</v>
      </c>
      <c r="B41" t="s">
        <v>7</v>
      </c>
    </row>
    <row r="42" spans="1:106" x14ac:dyDescent="0.25">
      <c r="A42">
        <v>8045149</v>
      </c>
      <c r="B42" t="s">
        <v>7</v>
      </c>
    </row>
    <row r="43" spans="1:106" x14ac:dyDescent="0.25">
      <c r="A43">
        <v>10023001</v>
      </c>
      <c r="B43" t="s">
        <v>7</v>
      </c>
    </row>
    <row r="44" spans="1:106" x14ac:dyDescent="0.25">
      <c r="A44">
        <v>10027526</v>
      </c>
      <c r="B44" t="s">
        <v>7</v>
      </c>
    </row>
    <row r="45" spans="1:106" x14ac:dyDescent="0.25">
      <c r="A45">
        <v>14222171</v>
      </c>
      <c r="B45" t="s">
        <v>7</v>
      </c>
    </row>
    <row r="46" spans="1:106" x14ac:dyDescent="0.25">
      <c r="A46">
        <v>1006143</v>
      </c>
      <c r="B46" t="s">
        <v>7</v>
      </c>
    </row>
    <row r="47" spans="1:106" x14ac:dyDescent="0.25">
      <c r="A47">
        <v>6006917</v>
      </c>
      <c r="B47" t="s">
        <v>7</v>
      </c>
    </row>
    <row r="48" spans="1:106" x14ac:dyDescent="0.25">
      <c r="C48">
        <f>COUNTA(C41:C47)</f>
        <v>0</v>
      </c>
      <c r="D48">
        <f t="shared" ref="D48:BO48" si="6">COUNTA(D41:D47)</f>
        <v>0</v>
      </c>
      <c r="E48">
        <f t="shared" si="6"/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0</v>
      </c>
      <c r="J48">
        <f t="shared" si="6"/>
        <v>0</v>
      </c>
      <c r="K48">
        <f t="shared" si="6"/>
        <v>0</v>
      </c>
      <c r="L48">
        <f t="shared" si="6"/>
        <v>0</v>
      </c>
      <c r="M48">
        <f t="shared" si="6"/>
        <v>0</v>
      </c>
      <c r="N48">
        <f t="shared" si="6"/>
        <v>0</v>
      </c>
      <c r="O48">
        <f t="shared" si="6"/>
        <v>0</v>
      </c>
      <c r="P48">
        <f t="shared" si="6"/>
        <v>0</v>
      </c>
      <c r="Q48">
        <f t="shared" si="6"/>
        <v>0</v>
      </c>
      <c r="R48">
        <f t="shared" si="6"/>
        <v>0</v>
      </c>
      <c r="S48">
        <f t="shared" si="6"/>
        <v>0</v>
      </c>
      <c r="T48">
        <f t="shared" si="6"/>
        <v>0</v>
      </c>
      <c r="U48">
        <f t="shared" si="6"/>
        <v>0</v>
      </c>
      <c r="V48">
        <f t="shared" si="6"/>
        <v>0</v>
      </c>
      <c r="W48">
        <f t="shared" si="6"/>
        <v>0</v>
      </c>
      <c r="X48">
        <f t="shared" si="6"/>
        <v>0</v>
      </c>
      <c r="Y48">
        <f t="shared" si="6"/>
        <v>0</v>
      </c>
      <c r="Z48">
        <f t="shared" si="6"/>
        <v>0</v>
      </c>
      <c r="AA48">
        <f t="shared" si="6"/>
        <v>0</v>
      </c>
      <c r="AB48">
        <f t="shared" si="6"/>
        <v>0</v>
      </c>
      <c r="AC48">
        <f t="shared" si="6"/>
        <v>0</v>
      </c>
      <c r="AD48">
        <f t="shared" si="6"/>
        <v>0</v>
      </c>
      <c r="AE48">
        <f t="shared" si="6"/>
        <v>0</v>
      </c>
      <c r="AF48">
        <f t="shared" si="6"/>
        <v>0</v>
      </c>
      <c r="AG48">
        <f t="shared" si="6"/>
        <v>0</v>
      </c>
      <c r="AH48">
        <f t="shared" si="6"/>
        <v>0</v>
      </c>
      <c r="AI48">
        <f t="shared" si="6"/>
        <v>0</v>
      </c>
      <c r="AJ48">
        <f t="shared" si="6"/>
        <v>0</v>
      </c>
      <c r="AK48">
        <f t="shared" si="6"/>
        <v>0</v>
      </c>
      <c r="AL48">
        <f t="shared" si="6"/>
        <v>0</v>
      </c>
      <c r="AM48">
        <f t="shared" si="6"/>
        <v>0</v>
      </c>
      <c r="AN48">
        <f t="shared" si="6"/>
        <v>0</v>
      </c>
      <c r="AO48">
        <f t="shared" si="6"/>
        <v>0</v>
      </c>
      <c r="AP48">
        <f t="shared" si="6"/>
        <v>0</v>
      </c>
      <c r="AQ48">
        <f t="shared" si="6"/>
        <v>0</v>
      </c>
      <c r="AR48">
        <f t="shared" si="6"/>
        <v>0</v>
      </c>
      <c r="AS48">
        <f t="shared" si="6"/>
        <v>0</v>
      </c>
      <c r="AT48">
        <f t="shared" si="6"/>
        <v>0</v>
      </c>
      <c r="AU48">
        <f t="shared" si="6"/>
        <v>0</v>
      </c>
      <c r="AV48">
        <f t="shared" si="6"/>
        <v>0</v>
      </c>
      <c r="AW48">
        <f t="shared" si="6"/>
        <v>0</v>
      </c>
      <c r="AX48">
        <f t="shared" si="6"/>
        <v>0</v>
      </c>
      <c r="AY48">
        <f t="shared" si="6"/>
        <v>0</v>
      </c>
      <c r="AZ48">
        <f t="shared" si="6"/>
        <v>0</v>
      </c>
      <c r="BA48">
        <f t="shared" si="6"/>
        <v>0</v>
      </c>
      <c r="BB48">
        <f t="shared" si="6"/>
        <v>0</v>
      </c>
      <c r="BC48">
        <f t="shared" si="6"/>
        <v>0</v>
      </c>
      <c r="BD48">
        <f t="shared" si="6"/>
        <v>0</v>
      </c>
      <c r="BE48">
        <f t="shared" si="6"/>
        <v>0</v>
      </c>
      <c r="BF48">
        <f t="shared" si="6"/>
        <v>0</v>
      </c>
      <c r="BG48">
        <f t="shared" si="6"/>
        <v>0</v>
      </c>
      <c r="BH48">
        <f t="shared" si="6"/>
        <v>0</v>
      </c>
      <c r="BI48">
        <f t="shared" si="6"/>
        <v>0</v>
      </c>
      <c r="BJ48">
        <f t="shared" si="6"/>
        <v>0</v>
      </c>
      <c r="BK48">
        <f t="shared" si="6"/>
        <v>0</v>
      </c>
      <c r="BL48">
        <f t="shared" si="6"/>
        <v>0</v>
      </c>
      <c r="BM48">
        <f t="shared" si="6"/>
        <v>0</v>
      </c>
      <c r="BN48">
        <f t="shared" si="6"/>
        <v>0</v>
      </c>
      <c r="BO48">
        <f t="shared" si="6"/>
        <v>0</v>
      </c>
      <c r="BP48">
        <f t="shared" ref="BP48:DB48" si="7">COUNTA(BP41:BP47)</f>
        <v>0</v>
      </c>
      <c r="BQ48">
        <f t="shared" si="7"/>
        <v>0</v>
      </c>
      <c r="BR48">
        <f t="shared" si="7"/>
        <v>0</v>
      </c>
      <c r="BS48">
        <f t="shared" si="7"/>
        <v>0</v>
      </c>
      <c r="BT48">
        <f t="shared" si="7"/>
        <v>0</v>
      </c>
      <c r="BU48">
        <f t="shared" si="7"/>
        <v>0</v>
      </c>
      <c r="BV48">
        <f t="shared" si="7"/>
        <v>0</v>
      </c>
      <c r="BW48">
        <f t="shared" si="7"/>
        <v>0</v>
      </c>
      <c r="BX48">
        <f t="shared" si="7"/>
        <v>0</v>
      </c>
      <c r="BY48">
        <f t="shared" si="7"/>
        <v>0</v>
      </c>
      <c r="BZ48">
        <f t="shared" si="7"/>
        <v>0</v>
      </c>
      <c r="CA48">
        <f t="shared" si="7"/>
        <v>0</v>
      </c>
      <c r="CB48">
        <f t="shared" si="7"/>
        <v>0</v>
      </c>
      <c r="CC48">
        <f t="shared" si="7"/>
        <v>0</v>
      </c>
      <c r="CD48">
        <f t="shared" si="7"/>
        <v>0</v>
      </c>
      <c r="CE48">
        <f t="shared" si="7"/>
        <v>0</v>
      </c>
      <c r="CF48">
        <f t="shared" si="7"/>
        <v>0</v>
      </c>
      <c r="CG48">
        <f t="shared" si="7"/>
        <v>0</v>
      </c>
      <c r="CH48">
        <f t="shared" si="7"/>
        <v>0</v>
      </c>
      <c r="CI48">
        <f t="shared" si="7"/>
        <v>0</v>
      </c>
      <c r="CJ48">
        <f t="shared" si="7"/>
        <v>0</v>
      </c>
      <c r="CK48">
        <f t="shared" si="7"/>
        <v>0</v>
      </c>
      <c r="CL48">
        <f t="shared" si="7"/>
        <v>0</v>
      </c>
      <c r="CM48">
        <f t="shared" si="7"/>
        <v>0</v>
      </c>
      <c r="CN48">
        <f t="shared" si="7"/>
        <v>0</v>
      </c>
      <c r="CO48">
        <f t="shared" si="7"/>
        <v>0</v>
      </c>
      <c r="CP48">
        <f t="shared" si="7"/>
        <v>0</v>
      </c>
      <c r="CQ48">
        <f t="shared" si="7"/>
        <v>0</v>
      </c>
      <c r="CR48">
        <f t="shared" si="7"/>
        <v>0</v>
      </c>
      <c r="CS48">
        <f t="shared" si="7"/>
        <v>0</v>
      </c>
      <c r="CT48">
        <f t="shared" si="7"/>
        <v>0</v>
      </c>
      <c r="CU48">
        <f t="shared" si="7"/>
        <v>0</v>
      </c>
      <c r="CV48">
        <f t="shared" si="7"/>
        <v>0</v>
      </c>
      <c r="CW48">
        <f t="shared" si="7"/>
        <v>0</v>
      </c>
      <c r="CX48">
        <f t="shared" si="7"/>
        <v>0</v>
      </c>
      <c r="CY48">
        <f t="shared" si="7"/>
        <v>0</v>
      </c>
      <c r="CZ48">
        <f t="shared" si="7"/>
        <v>0</v>
      </c>
      <c r="DA48">
        <f t="shared" si="7"/>
        <v>0</v>
      </c>
      <c r="DB48">
        <f t="shared" si="7"/>
        <v>0</v>
      </c>
    </row>
    <row r="49" spans="1:106" x14ac:dyDescent="0.25">
      <c r="A49">
        <v>8057159</v>
      </c>
      <c r="B49" t="s">
        <v>8</v>
      </c>
    </row>
    <row r="50" spans="1:106" x14ac:dyDescent="0.25">
      <c r="A50">
        <v>9140312</v>
      </c>
      <c r="B50" t="s">
        <v>8</v>
      </c>
    </row>
    <row r="51" spans="1:106" x14ac:dyDescent="0.25">
      <c r="A51">
        <v>12008230</v>
      </c>
      <c r="B51" t="s">
        <v>8</v>
      </c>
      <c r="X51">
        <v>0</v>
      </c>
      <c r="Y51">
        <v>0</v>
      </c>
      <c r="BN51">
        <v>0</v>
      </c>
      <c r="BP51">
        <v>0</v>
      </c>
      <c r="CZ51">
        <v>0</v>
      </c>
      <c r="DA51">
        <v>0</v>
      </c>
    </row>
    <row r="52" spans="1:106" x14ac:dyDescent="0.25">
      <c r="A52" t="s">
        <v>9</v>
      </c>
      <c r="B52" t="s">
        <v>8</v>
      </c>
    </row>
    <row r="53" spans="1:106" x14ac:dyDescent="0.25">
      <c r="A53">
        <v>13118872</v>
      </c>
      <c r="B53" t="s">
        <v>8</v>
      </c>
    </row>
    <row r="54" spans="1:106" x14ac:dyDescent="0.25">
      <c r="A54">
        <v>12012030</v>
      </c>
      <c r="B54" t="s">
        <v>8</v>
      </c>
    </row>
    <row r="55" spans="1:106" x14ac:dyDescent="0.25">
      <c r="C55">
        <f>COUNTA(C49:C54)</f>
        <v>0</v>
      </c>
      <c r="D55">
        <f t="shared" ref="D55:BO55" si="8">COUNTA(D49:D54)</f>
        <v>0</v>
      </c>
      <c r="E55">
        <f t="shared" si="8"/>
        <v>0</v>
      </c>
      <c r="F55">
        <f t="shared" si="8"/>
        <v>0</v>
      </c>
      <c r="G55">
        <f t="shared" si="8"/>
        <v>0</v>
      </c>
      <c r="H55">
        <f t="shared" si="8"/>
        <v>0</v>
      </c>
      <c r="I55">
        <f t="shared" si="8"/>
        <v>0</v>
      </c>
      <c r="J55">
        <f t="shared" si="8"/>
        <v>0</v>
      </c>
      <c r="K55">
        <f t="shared" si="8"/>
        <v>0</v>
      </c>
      <c r="L55">
        <f t="shared" si="8"/>
        <v>0</v>
      </c>
      <c r="M55">
        <f t="shared" si="8"/>
        <v>0</v>
      </c>
      <c r="N55">
        <f t="shared" si="8"/>
        <v>0</v>
      </c>
      <c r="O55">
        <f t="shared" si="8"/>
        <v>0</v>
      </c>
      <c r="P55">
        <f t="shared" si="8"/>
        <v>0</v>
      </c>
      <c r="Q55">
        <f t="shared" si="8"/>
        <v>0</v>
      </c>
      <c r="R55">
        <f t="shared" si="8"/>
        <v>0</v>
      </c>
      <c r="S55">
        <f t="shared" si="8"/>
        <v>0</v>
      </c>
      <c r="T55">
        <f t="shared" si="8"/>
        <v>0</v>
      </c>
      <c r="U55">
        <f t="shared" si="8"/>
        <v>0</v>
      </c>
      <c r="V55">
        <f t="shared" si="8"/>
        <v>0</v>
      </c>
      <c r="W55">
        <f t="shared" si="8"/>
        <v>0</v>
      </c>
      <c r="X55">
        <f t="shared" si="8"/>
        <v>1</v>
      </c>
      <c r="Y55">
        <f t="shared" si="8"/>
        <v>1</v>
      </c>
      <c r="Z55">
        <f t="shared" si="8"/>
        <v>0</v>
      </c>
      <c r="AA55">
        <f t="shared" si="8"/>
        <v>0</v>
      </c>
      <c r="AB55">
        <f t="shared" si="8"/>
        <v>0</v>
      </c>
      <c r="AC55">
        <f t="shared" si="8"/>
        <v>0</v>
      </c>
      <c r="AD55">
        <f t="shared" si="8"/>
        <v>0</v>
      </c>
      <c r="AE55">
        <f t="shared" si="8"/>
        <v>0</v>
      </c>
      <c r="AF55">
        <f t="shared" si="8"/>
        <v>0</v>
      </c>
      <c r="AG55">
        <f t="shared" si="8"/>
        <v>0</v>
      </c>
      <c r="AH55">
        <f t="shared" si="8"/>
        <v>0</v>
      </c>
      <c r="AI55">
        <f t="shared" si="8"/>
        <v>0</v>
      </c>
      <c r="AJ55">
        <f t="shared" si="8"/>
        <v>0</v>
      </c>
      <c r="AK55">
        <f t="shared" si="8"/>
        <v>0</v>
      </c>
      <c r="AL55">
        <f t="shared" si="8"/>
        <v>0</v>
      </c>
      <c r="AM55">
        <f t="shared" si="8"/>
        <v>0</v>
      </c>
      <c r="AN55">
        <f t="shared" si="8"/>
        <v>0</v>
      </c>
      <c r="AO55">
        <f t="shared" si="8"/>
        <v>0</v>
      </c>
      <c r="AP55">
        <f t="shared" si="8"/>
        <v>0</v>
      </c>
      <c r="AQ55">
        <f t="shared" si="8"/>
        <v>0</v>
      </c>
      <c r="AR55">
        <f t="shared" si="8"/>
        <v>0</v>
      </c>
      <c r="AS55">
        <f t="shared" si="8"/>
        <v>0</v>
      </c>
      <c r="AT55">
        <f t="shared" si="8"/>
        <v>0</v>
      </c>
      <c r="AU55">
        <f t="shared" si="8"/>
        <v>0</v>
      </c>
      <c r="AV55">
        <f t="shared" si="8"/>
        <v>0</v>
      </c>
      <c r="AW55">
        <f t="shared" si="8"/>
        <v>0</v>
      </c>
      <c r="AX55">
        <f t="shared" si="8"/>
        <v>0</v>
      </c>
      <c r="AY55">
        <f t="shared" si="8"/>
        <v>0</v>
      </c>
      <c r="AZ55">
        <f t="shared" si="8"/>
        <v>0</v>
      </c>
      <c r="BA55">
        <f t="shared" si="8"/>
        <v>0</v>
      </c>
      <c r="BB55">
        <f t="shared" si="8"/>
        <v>0</v>
      </c>
      <c r="BC55">
        <f t="shared" si="8"/>
        <v>0</v>
      </c>
      <c r="BD55">
        <f t="shared" si="8"/>
        <v>0</v>
      </c>
      <c r="BE55">
        <f t="shared" si="8"/>
        <v>0</v>
      </c>
      <c r="BF55">
        <f t="shared" si="8"/>
        <v>0</v>
      </c>
      <c r="BG55">
        <f t="shared" si="8"/>
        <v>0</v>
      </c>
      <c r="BH55">
        <f t="shared" si="8"/>
        <v>0</v>
      </c>
      <c r="BI55">
        <f t="shared" si="8"/>
        <v>0</v>
      </c>
      <c r="BJ55">
        <f t="shared" si="8"/>
        <v>0</v>
      </c>
      <c r="BK55">
        <f t="shared" si="8"/>
        <v>0</v>
      </c>
      <c r="BL55">
        <f t="shared" si="8"/>
        <v>0</v>
      </c>
      <c r="BM55">
        <f t="shared" si="8"/>
        <v>0</v>
      </c>
      <c r="BN55">
        <f t="shared" si="8"/>
        <v>1</v>
      </c>
      <c r="BO55">
        <f t="shared" si="8"/>
        <v>0</v>
      </c>
      <c r="BP55">
        <f t="shared" ref="BP55:DB55" si="9">COUNTA(BP49:BP54)</f>
        <v>1</v>
      </c>
      <c r="BQ55">
        <f t="shared" si="9"/>
        <v>0</v>
      </c>
      <c r="BR55">
        <f t="shared" si="9"/>
        <v>0</v>
      </c>
      <c r="BS55">
        <f t="shared" si="9"/>
        <v>0</v>
      </c>
      <c r="BT55">
        <f t="shared" si="9"/>
        <v>0</v>
      </c>
      <c r="BU55">
        <f t="shared" si="9"/>
        <v>0</v>
      </c>
      <c r="BV55">
        <f t="shared" si="9"/>
        <v>0</v>
      </c>
      <c r="BW55">
        <f t="shared" si="9"/>
        <v>0</v>
      </c>
      <c r="BX55">
        <f t="shared" si="9"/>
        <v>0</v>
      </c>
      <c r="BY55">
        <f t="shared" si="9"/>
        <v>0</v>
      </c>
      <c r="BZ55">
        <f t="shared" si="9"/>
        <v>0</v>
      </c>
      <c r="CA55">
        <f t="shared" si="9"/>
        <v>0</v>
      </c>
      <c r="CB55">
        <f t="shared" si="9"/>
        <v>0</v>
      </c>
      <c r="CC55">
        <f t="shared" si="9"/>
        <v>0</v>
      </c>
      <c r="CD55">
        <f t="shared" si="9"/>
        <v>0</v>
      </c>
      <c r="CE55">
        <f t="shared" si="9"/>
        <v>0</v>
      </c>
      <c r="CF55">
        <f t="shared" si="9"/>
        <v>0</v>
      </c>
      <c r="CG55">
        <f t="shared" si="9"/>
        <v>0</v>
      </c>
      <c r="CH55">
        <f t="shared" si="9"/>
        <v>0</v>
      </c>
      <c r="CI55">
        <f t="shared" si="9"/>
        <v>0</v>
      </c>
      <c r="CJ55">
        <f t="shared" si="9"/>
        <v>0</v>
      </c>
      <c r="CK55">
        <f t="shared" si="9"/>
        <v>0</v>
      </c>
      <c r="CL55">
        <f t="shared" si="9"/>
        <v>0</v>
      </c>
      <c r="CM55">
        <f t="shared" si="9"/>
        <v>0</v>
      </c>
      <c r="CN55">
        <f t="shared" si="9"/>
        <v>0</v>
      </c>
      <c r="CO55">
        <f t="shared" si="9"/>
        <v>0</v>
      </c>
      <c r="CP55">
        <f t="shared" si="9"/>
        <v>0</v>
      </c>
      <c r="CQ55">
        <f t="shared" si="9"/>
        <v>0</v>
      </c>
      <c r="CR55">
        <f t="shared" si="9"/>
        <v>0</v>
      </c>
      <c r="CS55">
        <f t="shared" si="9"/>
        <v>0</v>
      </c>
      <c r="CT55">
        <f t="shared" si="9"/>
        <v>0</v>
      </c>
      <c r="CU55">
        <f t="shared" si="9"/>
        <v>0</v>
      </c>
      <c r="CV55">
        <f t="shared" si="9"/>
        <v>0</v>
      </c>
      <c r="CW55">
        <f t="shared" si="9"/>
        <v>0</v>
      </c>
      <c r="CX55">
        <f t="shared" si="9"/>
        <v>0</v>
      </c>
      <c r="CY55">
        <f t="shared" si="9"/>
        <v>0</v>
      </c>
      <c r="CZ55">
        <f t="shared" si="9"/>
        <v>1</v>
      </c>
      <c r="DA55">
        <f t="shared" si="9"/>
        <v>1</v>
      </c>
      <c r="DB55">
        <f t="shared" si="9"/>
        <v>0</v>
      </c>
    </row>
    <row r="56" spans="1:106" x14ac:dyDescent="0.25">
      <c r="A56">
        <v>9074418</v>
      </c>
      <c r="B56" t="s">
        <v>10</v>
      </c>
      <c r="J56">
        <v>0</v>
      </c>
      <c r="M56">
        <v>0</v>
      </c>
      <c r="O56">
        <v>0</v>
      </c>
      <c r="BR56">
        <v>0</v>
      </c>
      <c r="BX56">
        <v>0</v>
      </c>
      <c r="CB56">
        <v>0</v>
      </c>
      <c r="CC56">
        <v>0</v>
      </c>
      <c r="CD56">
        <v>0</v>
      </c>
    </row>
    <row r="57" spans="1:106" x14ac:dyDescent="0.25">
      <c r="A57">
        <v>1263</v>
      </c>
      <c r="B57" t="s">
        <v>10</v>
      </c>
    </row>
    <row r="58" spans="1:106" x14ac:dyDescent="0.25">
      <c r="A58">
        <v>98004910</v>
      </c>
      <c r="B58" t="s">
        <v>10</v>
      </c>
      <c r="BU58">
        <v>1</v>
      </c>
    </row>
    <row r="59" spans="1:106" x14ac:dyDescent="0.25">
      <c r="A59">
        <v>7103068</v>
      </c>
      <c r="B59" t="s">
        <v>10</v>
      </c>
      <c r="M59">
        <v>0</v>
      </c>
      <c r="O59">
        <v>0</v>
      </c>
      <c r="V59">
        <v>0</v>
      </c>
      <c r="X59">
        <v>0</v>
      </c>
      <c r="Z59">
        <v>0</v>
      </c>
      <c r="AA59">
        <v>0</v>
      </c>
      <c r="AN59">
        <v>0</v>
      </c>
      <c r="BP59">
        <v>1</v>
      </c>
      <c r="CB59">
        <v>0</v>
      </c>
      <c r="CC59">
        <v>0</v>
      </c>
      <c r="CD59">
        <v>0</v>
      </c>
    </row>
    <row r="60" spans="1:106" x14ac:dyDescent="0.25">
      <c r="A60">
        <v>11240728</v>
      </c>
      <c r="B60" t="s">
        <v>10</v>
      </c>
    </row>
    <row r="61" spans="1:106" x14ac:dyDescent="0.25">
      <c r="C61">
        <f>COUNTA(C56:C60)</f>
        <v>0</v>
      </c>
      <c r="D61">
        <f t="shared" ref="D61:BO61" si="10">COUNTA(D56:D60)</f>
        <v>0</v>
      </c>
      <c r="E61">
        <f t="shared" si="10"/>
        <v>0</v>
      </c>
      <c r="F61">
        <f t="shared" si="10"/>
        <v>0</v>
      </c>
      <c r="G61">
        <f t="shared" si="10"/>
        <v>0</v>
      </c>
      <c r="H61">
        <f t="shared" si="10"/>
        <v>0</v>
      </c>
      <c r="I61">
        <f t="shared" si="10"/>
        <v>0</v>
      </c>
      <c r="J61">
        <f t="shared" si="10"/>
        <v>1</v>
      </c>
      <c r="K61">
        <f t="shared" si="10"/>
        <v>0</v>
      </c>
      <c r="L61">
        <f t="shared" si="10"/>
        <v>0</v>
      </c>
      <c r="M61">
        <f t="shared" si="10"/>
        <v>2</v>
      </c>
      <c r="N61">
        <f t="shared" si="10"/>
        <v>0</v>
      </c>
      <c r="O61">
        <f t="shared" si="10"/>
        <v>2</v>
      </c>
      <c r="P61">
        <f t="shared" si="10"/>
        <v>0</v>
      </c>
      <c r="Q61">
        <f t="shared" si="10"/>
        <v>0</v>
      </c>
      <c r="R61">
        <f t="shared" si="10"/>
        <v>0</v>
      </c>
      <c r="S61">
        <f t="shared" si="10"/>
        <v>0</v>
      </c>
      <c r="T61">
        <f t="shared" si="10"/>
        <v>0</v>
      </c>
      <c r="U61">
        <f t="shared" si="10"/>
        <v>0</v>
      </c>
      <c r="V61">
        <f t="shared" si="10"/>
        <v>1</v>
      </c>
      <c r="W61">
        <f t="shared" si="10"/>
        <v>0</v>
      </c>
      <c r="X61">
        <f t="shared" si="10"/>
        <v>1</v>
      </c>
      <c r="Y61">
        <f t="shared" si="10"/>
        <v>0</v>
      </c>
      <c r="Z61">
        <f t="shared" si="10"/>
        <v>1</v>
      </c>
      <c r="AA61">
        <f t="shared" si="10"/>
        <v>1</v>
      </c>
      <c r="AB61">
        <f t="shared" si="10"/>
        <v>0</v>
      </c>
      <c r="AC61">
        <f t="shared" si="10"/>
        <v>0</v>
      </c>
      <c r="AD61">
        <f t="shared" si="10"/>
        <v>0</v>
      </c>
      <c r="AE61">
        <f t="shared" si="10"/>
        <v>0</v>
      </c>
      <c r="AF61">
        <f t="shared" si="10"/>
        <v>0</v>
      </c>
      <c r="AG61">
        <f t="shared" si="10"/>
        <v>0</v>
      </c>
      <c r="AH61">
        <f t="shared" si="10"/>
        <v>0</v>
      </c>
      <c r="AI61">
        <f t="shared" si="10"/>
        <v>0</v>
      </c>
      <c r="AJ61">
        <f t="shared" si="10"/>
        <v>0</v>
      </c>
      <c r="AK61">
        <f t="shared" si="10"/>
        <v>0</v>
      </c>
      <c r="AL61">
        <f t="shared" si="10"/>
        <v>0</v>
      </c>
      <c r="AM61">
        <f t="shared" si="10"/>
        <v>0</v>
      </c>
      <c r="AN61">
        <f t="shared" si="10"/>
        <v>1</v>
      </c>
      <c r="AO61">
        <f t="shared" si="10"/>
        <v>0</v>
      </c>
      <c r="AP61">
        <f t="shared" si="10"/>
        <v>0</v>
      </c>
      <c r="AQ61">
        <f t="shared" si="10"/>
        <v>0</v>
      </c>
      <c r="AR61">
        <f t="shared" si="10"/>
        <v>0</v>
      </c>
      <c r="AS61">
        <f t="shared" si="10"/>
        <v>0</v>
      </c>
      <c r="AT61">
        <f t="shared" si="10"/>
        <v>0</v>
      </c>
      <c r="AU61">
        <f t="shared" si="10"/>
        <v>0</v>
      </c>
      <c r="AV61">
        <f t="shared" si="10"/>
        <v>0</v>
      </c>
      <c r="AW61">
        <f t="shared" si="10"/>
        <v>0</v>
      </c>
      <c r="AX61">
        <f t="shared" si="10"/>
        <v>0</v>
      </c>
      <c r="AY61">
        <f t="shared" si="10"/>
        <v>0</v>
      </c>
      <c r="AZ61">
        <f t="shared" si="10"/>
        <v>0</v>
      </c>
      <c r="BA61">
        <f t="shared" si="10"/>
        <v>0</v>
      </c>
      <c r="BB61">
        <f t="shared" si="10"/>
        <v>0</v>
      </c>
      <c r="BC61">
        <f t="shared" si="10"/>
        <v>0</v>
      </c>
      <c r="BD61">
        <f t="shared" si="10"/>
        <v>0</v>
      </c>
      <c r="BE61">
        <f t="shared" si="10"/>
        <v>0</v>
      </c>
      <c r="BF61">
        <f t="shared" si="10"/>
        <v>0</v>
      </c>
      <c r="BG61">
        <f t="shared" si="10"/>
        <v>0</v>
      </c>
      <c r="BH61">
        <f t="shared" si="10"/>
        <v>0</v>
      </c>
      <c r="BI61">
        <f t="shared" si="10"/>
        <v>0</v>
      </c>
      <c r="BJ61">
        <f t="shared" si="10"/>
        <v>0</v>
      </c>
      <c r="BK61">
        <f t="shared" si="10"/>
        <v>0</v>
      </c>
      <c r="BL61">
        <f t="shared" si="10"/>
        <v>0</v>
      </c>
      <c r="BM61">
        <f t="shared" si="10"/>
        <v>0</v>
      </c>
      <c r="BN61">
        <f t="shared" si="10"/>
        <v>0</v>
      </c>
      <c r="BO61">
        <f t="shared" si="10"/>
        <v>0</v>
      </c>
      <c r="BP61">
        <f t="shared" ref="BP61:DB61" si="11">COUNTA(BP56:BP60)</f>
        <v>1</v>
      </c>
      <c r="BQ61">
        <f t="shared" si="11"/>
        <v>0</v>
      </c>
      <c r="BR61">
        <f t="shared" si="11"/>
        <v>1</v>
      </c>
      <c r="BS61">
        <f t="shared" si="11"/>
        <v>0</v>
      </c>
      <c r="BT61">
        <f t="shared" si="11"/>
        <v>0</v>
      </c>
      <c r="BU61">
        <f t="shared" si="11"/>
        <v>1</v>
      </c>
      <c r="BV61">
        <f t="shared" si="11"/>
        <v>0</v>
      </c>
      <c r="BW61">
        <f t="shared" si="11"/>
        <v>0</v>
      </c>
      <c r="BX61">
        <f t="shared" si="11"/>
        <v>1</v>
      </c>
      <c r="BY61">
        <f t="shared" si="11"/>
        <v>0</v>
      </c>
      <c r="BZ61">
        <f t="shared" si="11"/>
        <v>0</v>
      </c>
      <c r="CA61">
        <f t="shared" si="11"/>
        <v>0</v>
      </c>
      <c r="CB61">
        <f t="shared" si="11"/>
        <v>2</v>
      </c>
      <c r="CC61">
        <f t="shared" si="11"/>
        <v>2</v>
      </c>
      <c r="CD61">
        <f t="shared" si="11"/>
        <v>2</v>
      </c>
      <c r="CE61">
        <f t="shared" si="11"/>
        <v>0</v>
      </c>
      <c r="CF61">
        <f t="shared" si="11"/>
        <v>0</v>
      </c>
      <c r="CG61">
        <f t="shared" si="11"/>
        <v>0</v>
      </c>
      <c r="CH61">
        <f t="shared" si="11"/>
        <v>0</v>
      </c>
      <c r="CI61">
        <f t="shared" si="11"/>
        <v>0</v>
      </c>
      <c r="CJ61">
        <f t="shared" si="11"/>
        <v>0</v>
      </c>
      <c r="CK61">
        <f t="shared" si="11"/>
        <v>0</v>
      </c>
      <c r="CL61">
        <f t="shared" si="11"/>
        <v>0</v>
      </c>
      <c r="CM61">
        <f t="shared" si="11"/>
        <v>0</v>
      </c>
      <c r="CN61">
        <f t="shared" si="11"/>
        <v>0</v>
      </c>
      <c r="CO61">
        <f t="shared" si="11"/>
        <v>0</v>
      </c>
      <c r="CP61">
        <f t="shared" si="11"/>
        <v>0</v>
      </c>
      <c r="CQ61">
        <f t="shared" si="11"/>
        <v>0</v>
      </c>
      <c r="CR61">
        <f t="shared" si="11"/>
        <v>0</v>
      </c>
      <c r="CS61">
        <f t="shared" si="11"/>
        <v>0</v>
      </c>
      <c r="CT61">
        <f t="shared" si="11"/>
        <v>0</v>
      </c>
      <c r="CU61">
        <f t="shared" si="11"/>
        <v>0</v>
      </c>
      <c r="CV61">
        <f t="shared" si="11"/>
        <v>0</v>
      </c>
      <c r="CW61">
        <f t="shared" si="11"/>
        <v>0</v>
      </c>
      <c r="CX61">
        <f t="shared" si="11"/>
        <v>0</v>
      </c>
      <c r="CY61">
        <f t="shared" si="11"/>
        <v>0</v>
      </c>
      <c r="CZ61">
        <f t="shared" si="11"/>
        <v>0</v>
      </c>
      <c r="DA61">
        <f t="shared" si="11"/>
        <v>0</v>
      </c>
      <c r="DB61">
        <f t="shared" si="11"/>
        <v>0</v>
      </c>
    </row>
    <row r="62" spans="1:106" x14ac:dyDescent="0.25">
      <c r="A62">
        <v>5015869</v>
      </c>
      <c r="B62" t="s">
        <v>11</v>
      </c>
    </row>
    <row r="63" spans="1:106" x14ac:dyDescent="0.25">
      <c r="A63">
        <v>5016969</v>
      </c>
      <c r="B63" t="s">
        <v>11</v>
      </c>
    </row>
    <row r="64" spans="1:106" x14ac:dyDescent="0.25">
      <c r="A64">
        <v>6023231</v>
      </c>
      <c r="B64" t="s">
        <v>11</v>
      </c>
    </row>
    <row r="65" spans="1:45" x14ac:dyDescent="0.25">
      <c r="A65">
        <v>6011198</v>
      </c>
      <c r="B65" t="s">
        <v>11</v>
      </c>
      <c r="D65">
        <v>1</v>
      </c>
      <c r="AS65">
        <v>1</v>
      </c>
    </row>
    <row r="66" spans="1:45" x14ac:dyDescent="0.25">
      <c r="A66">
        <v>6012681</v>
      </c>
      <c r="B66" t="s">
        <v>11</v>
      </c>
      <c r="D66" s="10"/>
      <c r="E66" s="10"/>
      <c r="F66" s="10"/>
      <c r="G66" s="10"/>
      <c r="H66" s="10"/>
    </row>
    <row r="67" spans="1:45" x14ac:dyDescent="0.25">
      <c r="A67">
        <v>6014511</v>
      </c>
      <c r="B67" t="s">
        <v>11</v>
      </c>
    </row>
    <row r="68" spans="1:45" x14ac:dyDescent="0.25">
      <c r="A68">
        <v>6045127</v>
      </c>
      <c r="B68" t="s">
        <v>11</v>
      </c>
      <c r="X68">
        <v>0</v>
      </c>
      <c r="Z68">
        <v>0</v>
      </c>
      <c r="AA68">
        <v>0</v>
      </c>
      <c r="AM68">
        <v>0</v>
      </c>
      <c r="AR68">
        <v>1</v>
      </c>
    </row>
    <row r="69" spans="1:45" x14ac:dyDescent="0.25">
      <c r="A69">
        <v>7000458</v>
      </c>
      <c r="B69" t="s">
        <v>11</v>
      </c>
    </row>
    <row r="70" spans="1:45" x14ac:dyDescent="0.25">
      <c r="A70">
        <v>7015502</v>
      </c>
      <c r="B70" t="s">
        <v>11</v>
      </c>
    </row>
    <row r="71" spans="1:45" x14ac:dyDescent="0.25">
      <c r="A71">
        <v>7025847</v>
      </c>
      <c r="B71" t="s">
        <v>11</v>
      </c>
    </row>
    <row r="72" spans="1:45" x14ac:dyDescent="0.25">
      <c r="A72">
        <v>7082707</v>
      </c>
      <c r="B72" t="s">
        <v>11</v>
      </c>
    </row>
    <row r="73" spans="1:45" x14ac:dyDescent="0.25">
      <c r="A73">
        <v>7083159</v>
      </c>
      <c r="B73" t="s">
        <v>11</v>
      </c>
      <c r="O73">
        <v>1</v>
      </c>
    </row>
    <row r="74" spans="1:45" x14ac:dyDescent="0.25">
      <c r="A74">
        <v>7084659</v>
      </c>
      <c r="B74" t="s">
        <v>11</v>
      </c>
    </row>
    <row r="75" spans="1:45" x14ac:dyDescent="0.25">
      <c r="A75">
        <v>7076814</v>
      </c>
      <c r="B75" t="s">
        <v>11</v>
      </c>
    </row>
    <row r="76" spans="1:45" x14ac:dyDescent="0.25">
      <c r="A76">
        <v>7076815</v>
      </c>
      <c r="B76" t="s">
        <v>11</v>
      </c>
      <c r="E76">
        <v>1</v>
      </c>
      <c r="H76">
        <v>1</v>
      </c>
    </row>
    <row r="77" spans="1:45" x14ac:dyDescent="0.25">
      <c r="A77">
        <v>7089231</v>
      </c>
      <c r="B77" t="s">
        <v>11</v>
      </c>
    </row>
    <row r="78" spans="1:45" x14ac:dyDescent="0.25">
      <c r="A78">
        <v>7116004</v>
      </c>
      <c r="B78" t="s">
        <v>11</v>
      </c>
    </row>
    <row r="79" spans="1:45" x14ac:dyDescent="0.25">
      <c r="A79">
        <v>8003819</v>
      </c>
      <c r="B79" t="s">
        <v>11</v>
      </c>
    </row>
    <row r="80" spans="1:45" x14ac:dyDescent="0.25">
      <c r="A80">
        <v>8091779</v>
      </c>
      <c r="B80" t="s">
        <v>11</v>
      </c>
    </row>
    <row r="81" spans="1:82" x14ac:dyDescent="0.25">
      <c r="A81">
        <v>8112522</v>
      </c>
      <c r="B81" t="s">
        <v>11</v>
      </c>
    </row>
    <row r="82" spans="1:82" x14ac:dyDescent="0.25">
      <c r="A82" t="s">
        <v>12</v>
      </c>
      <c r="B82" t="s">
        <v>11</v>
      </c>
    </row>
    <row r="83" spans="1:82" x14ac:dyDescent="0.25">
      <c r="A83">
        <v>8130998</v>
      </c>
      <c r="B83" t="s">
        <v>11</v>
      </c>
      <c r="CB83">
        <v>0</v>
      </c>
      <c r="CC83">
        <v>0</v>
      </c>
      <c r="CD83">
        <v>0</v>
      </c>
    </row>
    <row r="84" spans="1:82" x14ac:dyDescent="0.25">
      <c r="A84">
        <v>9002836</v>
      </c>
      <c r="B84" t="s">
        <v>11</v>
      </c>
    </row>
    <row r="85" spans="1:82" x14ac:dyDescent="0.25">
      <c r="A85">
        <v>9003331</v>
      </c>
      <c r="B85" t="s">
        <v>11</v>
      </c>
    </row>
    <row r="86" spans="1:82" x14ac:dyDescent="0.25">
      <c r="A86">
        <v>9003370</v>
      </c>
      <c r="B86" t="s">
        <v>11</v>
      </c>
    </row>
    <row r="87" spans="1:82" x14ac:dyDescent="0.25">
      <c r="A87">
        <v>9016278</v>
      </c>
      <c r="B87" t="s">
        <v>11</v>
      </c>
    </row>
    <row r="88" spans="1:82" x14ac:dyDescent="0.25">
      <c r="A88">
        <v>9030684</v>
      </c>
      <c r="B88" t="s">
        <v>11</v>
      </c>
    </row>
    <row r="89" spans="1:82" x14ac:dyDescent="0.25">
      <c r="A89">
        <v>9031387</v>
      </c>
      <c r="B89" t="s">
        <v>11</v>
      </c>
    </row>
    <row r="90" spans="1:82" x14ac:dyDescent="0.25">
      <c r="A90">
        <v>9038676</v>
      </c>
      <c r="B90" t="s">
        <v>11</v>
      </c>
    </row>
    <row r="91" spans="1:82" x14ac:dyDescent="0.25">
      <c r="A91">
        <v>9039416</v>
      </c>
      <c r="B91" t="s">
        <v>11</v>
      </c>
    </row>
    <row r="92" spans="1:82" x14ac:dyDescent="0.25">
      <c r="A92">
        <v>9042861</v>
      </c>
      <c r="B92" t="s">
        <v>11</v>
      </c>
    </row>
    <row r="93" spans="1:82" x14ac:dyDescent="0.25">
      <c r="A93">
        <v>9044899</v>
      </c>
      <c r="B93" t="s">
        <v>11</v>
      </c>
    </row>
    <row r="94" spans="1:82" x14ac:dyDescent="0.25">
      <c r="A94">
        <v>9052398</v>
      </c>
      <c r="B94" t="s">
        <v>11</v>
      </c>
    </row>
    <row r="95" spans="1:82" x14ac:dyDescent="0.25">
      <c r="A95">
        <v>9085204</v>
      </c>
      <c r="B95" t="s">
        <v>11</v>
      </c>
    </row>
    <row r="96" spans="1:82" x14ac:dyDescent="0.25">
      <c r="A96">
        <v>9105492</v>
      </c>
      <c r="B96" t="s">
        <v>11</v>
      </c>
    </row>
    <row r="97" spans="1:93" x14ac:dyDescent="0.25">
      <c r="A97">
        <v>9138470</v>
      </c>
      <c r="B97" t="s">
        <v>11</v>
      </c>
    </row>
    <row r="98" spans="1:93" x14ac:dyDescent="0.25">
      <c r="A98">
        <v>9150676</v>
      </c>
      <c r="B98" t="s">
        <v>11</v>
      </c>
    </row>
    <row r="99" spans="1:93" x14ac:dyDescent="0.25">
      <c r="A99">
        <v>10010926</v>
      </c>
      <c r="B99" t="s">
        <v>11</v>
      </c>
      <c r="D99" s="10"/>
      <c r="E99" s="10"/>
      <c r="F99" s="10"/>
      <c r="G99" s="10"/>
      <c r="H99" s="10"/>
    </row>
    <row r="100" spans="1:93" x14ac:dyDescent="0.25">
      <c r="A100" t="s">
        <v>13</v>
      </c>
      <c r="B100" t="s">
        <v>11</v>
      </c>
    </row>
    <row r="101" spans="1:93" x14ac:dyDescent="0.25">
      <c r="A101">
        <v>10091530</v>
      </c>
      <c r="B101" t="s">
        <v>11</v>
      </c>
      <c r="CB101">
        <v>0</v>
      </c>
      <c r="CC101">
        <v>0</v>
      </c>
      <c r="CD101">
        <v>0</v>
      </c>
    </row>
    <row r="102" spans="1:93" x14ac:dyDescent="0.25">
      <c r="A102">
        <v>10102052</v>
      </c>
      <c r="B102" t="s">
        <v>11</v>
      </c>
    </row>
    <row r="103" spans="1:93" x14ac:dyDescent="0.25">
      <c r="A103">
        <v>10104735</v>
      </c>
      <c r="B103" t="s">
        <v>11</v>
      </c>
      <c r="J103">
        <v>0</v>
      </c>
      <c r="O103">
        <v>0</v>
      </c>
    </row>
    <row r="104" spans="1:93" x14ac:dyDescent="0.25">
      <c r="A104">
        <v>10131550</v>
      </c>
      <c r="B104" t="s">
        <v>11</v>
      </c>
      <c r="W104">
        <v>0</v>
      </c>
    </row>
    <row r="105" spans="1:93" x14ac:dyDescent="0.25">
      <c r="A105">
        <v>10131607</v>
      </c>
      <c r="B105" t="s">
        <v>11</v>
      </c>
    </row>
    <row r="106" spans="1:93" x14ac:dyDescent="0.25">
      <c r="A106">
        <v>10145202</v>
      </c>
      <c r="B106" t="s">
        <v>11</v>
      </c>
    </row>
    <row r="107" spans="1:93" x14ac:dyDescent="0.25">
      <c r="A107">
        <v>10158770</v>
      </c>
      <c r="B107" t="s">
        <v>11</v>
      </c>
    </row>
    <row r="108" spans="1:93" x14ac:dyDescent="0.25">
      <c r="A108">
        <v>10162949</v>
      </c>
      <c r="B108" t="s">
        <v>11</v>
      </c>
    </row>
    <row r="109" spans="1:93" x14ac:dyDescent="0.25">
      <c r="A109">
        <v>10171633</v>
      </c>
      <c r="B109" t="s">
        <v>11</v>
      </c>
    </row>
    <row r="110" spans="1:93" x14ac:dyDescent="0.25">
      <c r="A110">
        <v>11005762</v>
      </c>
      <c r="B110" t="s">
        <v>11</v>
      </c>
      <c r="W110">
        <v>0</v>
      </c>
      <c r="X110">
        <v>0</v>
      </c>
      <c r="Z110">
        <v>0</v>
      </c>
      <c r="AA110">
        <v>0</v>
      </c>
      <c r="CB110">
        <v>0</v>
      </c>
      <c r="CC110">
        <v>0</v>
      </c>
      <c r="CD110">
        <v>0</v>
      </c>
      <c r="CO110">
        <v>0</v>
      </c>
    </row>
    <row r="111" spans="1:93" x14ac:dyDescent="0.25">
      <c r="A111" t="s">
        <v>14</v>
      </c>
      <c r="B111" t="s">
        <v>11</v>
      </c>
    </row>
    <row r="112" spans="1:93" x14ac:dyDescent="0.25">
      <c r="A112">
        <v>11018341</v>
      </c>
      <c r="B112" t="s">
        <v>11</v>
      </c>
      <c r="M112">
        <v>0</v>
      </c>
      <c r="O112">
        <v>0</v>
      </c>
      <c r="U112">
        <v>0</v>
      </c>
      <c r="AS112">
        <v>0</v>
      </c>
    </row>
    <row r="113" spans="1:93" x14ac:dyDescent="0.25">
      <c r="A113">
        <v>11021445</v>
      </c>
      <c r="B113" t="s">
        <v>11</v>
      </c>
    </row>
    <row r="114" spans="1:93" x14ac:dyDescent="0.25">
      <c r="A114">
        <v>11025151</v>
      </c>
      <c r="B114" t="s">
        <v>11</v>
      </c>
      <c r="X114">
        <v>0</v>
      </c>
      <c r="BD114">
        <v>0</v>
      </c>
      <c r="CB114">
        <v>0</v>
      </c>
      <c r="CC114">
        <v>0</v>
      </c>
      <c r="CD114">
        <v>0</v>
      </c>
      <c r="CF114">
        <v>0</v>
      </c>
    </row>
    <row r="115" spans="1:93" x14ac:dyDescent="0.25">
      <c r="A115">
        <v>11039110</v>
      </c>
      <c r="B115" t="s">
        <v>11</v>
      </c>
      <c r="CB115">
        <v>0</v>
      </c>
      <c r="CC115">
        <v>0</v>
      </c>
      <c r="CD115">
        <v>0</v>
      </c>
    </row>
    <row r="116" spans="1:93" x14ac:dyDescent="0.25">
      <c r="A116">
        <v>11108410</v>
      </c>
      <c r="B116" t="s">
        <v>11</v>
      </c>
    </row>
    <row r="117" spans="1:93" x14ac:dyDescent="0.25">
      <c r="A117">
        <v>11139605</v>
      </c>
      <c r="B117" t="s">
        <v>11</v>
      </c>
    </row>
    <row r="118" spans="1:93" x14ac:dyDescent="0.25">
      <c r="A118">
        <v>11201694</v>
      </c>
      <c r="B118" t="s">
        <v>11</v>
      </c>
    </row>
    <row r="119" spans="1:93" x14ac:dyDescent="0.25">
      <c r="A119">
        <v>11242543</v>
      </c>
      <c r="B119" t="s">
        <v>11</v>
      </c>
    </row>
    <row r="120" spans="1:93" x14ac:dyDescent="0.25">
      <c r="A120">
        <v>11247293</v>
      </c>
      <c r="B120" t="s">
        <v>11</v>
      </c>
    </row>
    <row r="121" spans="1:93" x14ac:dyDescent="0.25">
      <c r="A121">
        <v>12006449</v>
      </c>
      <c r="B121" t="s">
        <v>11</v>
      </c>
      <c r="CB121">
        <v>0</v>
      </c>
      <c r="CC121">
        <v>0</v>
      </c>
      <c r="CD121">
        <v>0</v>
      </c>
    </row>
    <row r="122" spans="1:93" x14ac:dyDescent="0.25">
      <c r="A122">
        <v>12049136</v>
      </c>
      <c r="B122" t="s">
        <v>11</v>
      </c>
    </row>
    <row r="123" spans="1:93" x14ac:dyDescent="0.25">
      <c r="A123">
        <v>12087508</v>
      </c>
      <c r="B123" t="s">
        <v>11</v>
      </c>
      <c r="I123" s="12">
        <v>1</v>
      </c>
      <c r="J123" s="12">
        <v>1</v>
      </c>
      <c r="K123" s="12">
        <v>0</v>
      </c>
      <c r="L123" s="12"/>
      <c r="M123" s="12"/>
      <c r="N123" s="12"/>
      <c r="O123" s="12"/>
      <c r="P123" s="12">
        <v>3</v>
      </c>
      <c r="Q123" s="12">
        <v>2</v>
      </c>
      <c r="R123" s="12"/>
      <c r="S123" s="12"/>
      <c r="T123" s="12"/>
      <c r="U123" s="12"/>
      <c r="V123" s="12"/>
      <c r="W123" s="12"/>
      <c r="X123" s="12">
        <v>0</v>
      </c>
      <c r="AA123">
        <v>1</v>
      </c>
      <c r="AB123">
        <v>0</v>
      </c>
      <c r="AY123">
        <v>0</v>
      </c>
      <c r="BA123">
        <v>0</v>
      </c>
      <c r="BC123">
        <v>0</v>
      </c>
      <c r="BD123">
        <v>0</v>
      </c>
      <c r="BK123">
        <v>0</v>
      </c>
      <c r="BL123">
        <v>1</v>
      </c>
      <c r="CD123">
        <v>0</v>
      </c>
      <c r="CG123">
        <v>0</v>
      </c>
      <c r="CM123">
        <v>0</v>
      </c>
      <c r="CN123">
        <v>0</v>
      </c>
      <c r="CO123">
        <v>0</v>
      </c>
    </row>
    <row r="124" spans="1:93" x14ac:dyDescent="0.25">
      <c r="A124">
        <v>12229481</v>
      </c>
      <c r="B124" t="s">
        <v>11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93" x14ac:dyDescent="0.25">
      <c r="A125">
        <v>12258821</v>
      </c>
      <c r="B125" t="s">
        <v>11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4" t="s">
        <v>163</v>
      </c>
      <c r="BD125">
        <v>0</v>
      </c>
    </row>
    <row r="126" spans="1:93" s="12" customFormat="1" x14ac:dyDescent="0.25">
      <c r="A126" s="12">
        <v>12309729</v>
      </c>
      <c r="B126" s="12" t="s">
        <v>11</v>
      </c>
    </row>
    <row r="127" spans="1:93" s="12" customFormat="1" x14ac:dyDescent="0.25">
      <c r="A127" s="12" t="s">
        <v>15</v>
      </c>
      <c r="B127" s="12" t="s">
        <v>11</v>
      </c>
    </row>
    <row r="128" spans="1:93" s="12" customFormat="1" x14ac:dyDescent="0.25">
      <c r="A128" s="12">
        <v>13005942</v>
      </c>
      <c r="B128" s="12" t="s">
        <v>11</v>
      </c>
    </row>
    <row r="129" spans="1:93" s="12" customFormat="1" x14ac:dyDescent="0.25">
      <c r="A129" s="12">
        <v>324</v>
      </c>
      <c r="B129" s="12" t="s">
        <v>11</v>
      </c>
    </row>
    <row r="130" spans="1:93" s="12" customFormat="1" x14ac:dyDescent="0.25">
      <c r="A130" s="12">
        <v>3909</v>
      </c>
      <c r="B130" s="12" t="s">
        <v>11</v>
      </c>
      <c r="X130" s="12">
        <v>1</v>
      </c>
    </row>
    <row r="131" spans="1:93" s="12" customFormat="1" x14ac:dyDescent="0.25">
      <c r="A131" s="12">
        <v>4663</v>
      </c>
      <c r="B131" s="12" t="s">
        <v>11</v>
      </c>
    </row>
    <row r="132" spans="1:93" s="12" customFormat="1" x14ac:dyDescent="0.25">
      <c r="A132" s="12">
        <v>1005522</v>
      </c>
      <c r="B132" s="12" t="s">
        <v>11</v>
      </c>
    </row>
    <row r="133" spans="1:93" s="12" customFormat="1" x14ac:dyDescent="0.25">
      <c r="A133" s="12">
        <v>1007631</v>
      </c>
      <c r="B133" s="12" t="s">
        <v>11</v>
      </c>
      <c r="J133" s="12">
        <v>0</v>
      </c>
      <c r="O133" s="12">
        <v>0</v>
      </c>
      <c r="P133" s="12">
        <v>0</v>
      </c>
      <c r="Q133" s="12">
        <v>0</v>
      </c>
      <c r="X133" s="12">
        <v>0</v>
      </c>
      <c r="BD133" s="5">
        <v>0</v>
      </c>
      <c r="CA133" s="12">
        <v>0</v>
      </c>
      <c r="CB133" s="12">
        <v>0</v>
      </c>
      <c r="CC133" s="12">
        <v>0</v>
      </c>
      <c r="CD133" s="12">
        <v>0</v>
      </c>
      <c r="CF133" s="12">
        <v>0</v>
      </c>
    </row>
    <row r="134" spans="1:93" s="12" customFormat="1" x14ac:dyDescent="0.25">
      <c r="A134" s="12">
        <v>1009760</v>
      </c>
      <c r="B134" s="12" t="s">
        <v>11</v>
      </c>
      <c r="CG134" s="12">
        <v>1</v>
      </c>
      <c r="CH134" s="12">
        <v>0</v>
      </c>
      <c r="CM134" s="12">
        <v>0</v>
      </c>
      <c r="CO134" s="12">
        <v>0</v>
      </c>
    </row>
    <row r="135" spans="1:93" s="12" customFormat="1" x14ac:dyDescent="0.25">
      <c r="A135" s="12">
        <v>2000646</v>
      </c>
      <c r="B135" s="12" t="s">
        <v>11</v>
      </c>
    </row>
    <row r="136" spans="1:93" s="12" customFormat="1" x14ac:dyDescent="0.25">
      <c r="A136" s="12">
        <v>2003761</v>
      </c>
      <c r="B136" s="12" t="s">
        <v>11</v>
      </c>
    </row>
    <row r="137" spans="1:93" s="12" customFormat="1" x14ac:dyDescent="0.25">
      <c r="A137" s="12">
        <v>2004061</v>
      </c>
      <c r="B137" s="12" t="s">
        <v>11</v>
      </c>
    </row>
    <row r="138" spans="1:93" s="12" customFormat="1" x14ac:dyDescent="0.25">
      <c r="A138" s="12">
        <v>2006469</v>
      </c>
      <c r="B138" s="12" t="s">
        <v>11</v>
      </c>
    </row>
    <row r="139" spans="1:93" s="12" customFormat="1" x14ac:dyDescent="0.25">
      <c r="A139" s="12">
        <v>3005132</v>
      </c>
      <c r="B139" s="12" t="s">
        <v>11</v>
      </c>
    </row>
    <row r="140" spans="1:93" s="12" customFormat="1" x14ac:dyDescent="0.25">
      <c r="A140" s="12">
        <v>3009119</v>
      </c>
      <c r="B140" s="12" t="s">
        <v>11</v>
      </c>
    </row>
    <row r="141" spans="1:93" s="12" customFormat="1" x14ac:dyDescent="0.25">
      <c r="A141" s="12">
        <v>3009936</v>
      </c>
      <c r="B141" s="12" t="s">
        <v>11</v>
      </c>
    </row>
    <row r="142" spans="1:93" s="12" customFormat="1" x14ac:dyDescent="0.25">
      <c r="A142" s="12">
        <v>3011094</v>
      </c>
      <c r="B142" s="12" t="s">
        <v>11</v>
      </c>
    </row>
    <row r="143" spans="1:93" s="12" customFormat="1" x14ac:dyDescent="0.25">
      <c r="A143" s="12">
        <v>3014643</v>
      </c>
      <c r="B143" s="12" t="s">
        <v>11</v>
      </c>
    </row>
    <row r="144" spans="1:93" s="12" customFormat="1" x14ac:dyDescent="0.25">
      <c r="A144" s="12">
        <v>3016056</v>
      </c>
      <c r="B144" s="12" t="s">
        <v>11</v>
      </c>
    </row>
    <row r="145" spans="1:93" s="12" customFormat="1" x14ac:dyDescent="0.25">
      <c r="A145" s="12">
        <v>3900219</v>
      </c>
      <c r="B145" s="12" t="s">
        <v>11</v>
      </c>
      <c r="CM145" s="12">
        <v>1</v>
      </c>
      <c r="CO145" s="12">
        <v>0</v>
      </c>
    </row>
    <row r="146" spans="1:93" s="12" customFormat="1" x14ac:dyDescent="0.25">
      <c r="A146" s="12">
        <v>4000158</v>
      </c>
      <c r="B146" s="12" t="s">
        <v>11</v>
      </c>
    </row>
    <row r="147" spans="1:93" s="12" customFormat="1" x14ac:dyDescent="0.25">
      <c r="A147" s="12">
        <v>4000304</v>
      </c>
      <c r="B147" s="12" t="s">
        <v>11</v>
      </c>
      <c r="Z147" s="12">
        <v>0</v>
      </c>
      <c r="AA147" s="12">
        <v>0</v>
      </c>
      <c r="CB147" s="12">
        <v>0</v>
      </c>
      <c r="CC147" s="12">
        <v>0</v>
      </c>
      <c r="CD147" s="12">
        <v>0</v>
      </c>
      <c r="CN147" s="12">
        <v>0</v>
      </c>
      <c r="CO147" s="12">
        <v>0</v>
      </c>
    </row>
    <row r="148" spans="1:93" s="12" customFormat="1" x14ac:dyDescent="0.25">
      <c r="A148" s="12">
        <v>4001905</v>
      </c>
      <c r="B148" s="12" t="s">
        <v>11</v>
      </c>
    </row>
    <row r="149" spans="1:93" s="12" customFormat="1" x14ac:dyDescent="0.25">
      <c r="A149" s="12">
        <v>4002206</v>
      </c>
      <c r="B149" s="12" t="s">
        <v>11</v>
      </c>
    </row>
    <row r="150" spans="1:93" s="12" customFormat="1" x14ac:dyDescent="0.25">
      <c r="A150" s="12">
        <v>4002715</v>
      </c>
      <c r="B150" s="12" t="s">
        <v>11</v>
      </c>
    </row>
    <row r="151" spans="1:93" s="12" customFormat="1" x14ac:dyDescent="0.25">
      <c r="A151" s="12">
        <v>4003924</v>
      </c>
      <c r="B151" s="12" t="s">
        <v>11</v>
      </c>
      <c r="CB151" s="12">
        <v>0</v>
      </c>
      <c r="CC151" s="12">
        <v>0</v>
      </c>
      <c r="CD151" s="12">
        <v>0</v>
      </c>
      <c r="CN151" s="12">
        <v>0</v>
      </c>
      <c r="CO151" s="12">
        <v>0</v>
      </c>
    </row>
    <row r="152" spans="1:93" s="12" customFormat="1" x14ac:dyDescent="0.25">
      <c r="A152" s="12">
        <v>4006051</v>
      </c>
      <c r="B152" s="12" t="s">
        <v>11</v>
      </c>
    </row>
    <row r="153" spans="1:93" s="12" customFormat="1" x14ac:dyDescent="0.25">
      <c r="A153" s="12">
        <v>4008140</v>
      </c>
      <c r="B153" s="12" t="s">
        <v>11</v>
      </c>
      <c r="W153" s="12">
        <v>0</v>
      </c>
      <c r="CB153" s="12">
        <v>0</v>
      </c>
      <c r="CC153" s="12">
        <v>0</v>
      </c>
      <c r="CD153" s="12">
        <v>0</v>
      </c>
      <c r="CG153" s="12">
        <v>0</v>
      </c>
      <c r="CH153" s="12">
        <v>0</v>
      </c>
    </row>
    <row r="154" spans="1:93" s="12" customFormat="1" x14ac:dyDescent="0.25">
      <c r="A154" s="12">
        <v>4009906</v>
      </c>
      <c r="B154" s="12" t="s">
        <v>11</v>
      </c>
    </row>
    <row r="155" spans="1:93" s="12" customFormat="1" x14ac:dyDescent="0.25">
      <c r="A155" s="12">
        <v>4011027</v>
      </c>
      <c r="B155" s="12" t="s">
        <v>11</v>
      </c>
    </row>
    <row r="156" spans="1:93" s="12" customFormat="1" x14ac:dyDescent="0.25">
      <c r="A156" s="12">
        <v>4011920</v>
      </c>
      <c r="B156" s="12" t="s">
        <v>11</v>
      </c>
    </row>
    <row r="157" spans="1:93" s="12" customFormat="1" x14ac:dyDescent="0.25">
      <c r="A157" s="12">
        <v>4012248</v>
      </c>
      <c r="B157" s="12" t="s">
        <v>11</v>
      </c>
    </row>
    <row r="158" spans="1:93" s="12" customFormat="1" x14ac:dyDescent="0.25">
      <c r="A158" s="12">
        <v>4013603</v>
      </c>
      <c r="B158" s="12" t="s">
        <v>11</v>
      </c>
    </row>
    <row r="159" spans="1:93" s="12" customFormat="1" x14ac:dyDescent="0.25">
      <c r="A159" s="12">
        <v>5004654</v>
      </c>
      <c r="B159" s="12" t="s">
        <v>11</v>
      </c>
      <c r="M159" s="12">
        <v>0</v>
      </c>
      <c r="O159" s="12">
        <v>0</v>
      </c>
      <c r="R159" s="12">
        <v>0</v>
      </c>
      <c r="X159" s="12">
        <v>0</v>
      </c>
      <c r="BD159" s="12">
        <v>0</v>
      </c>
      <c r="CB159" s="12">
        <v>0</v>
      </c>
      <c r="CC159" s="12">
        <v>0</v>
      </c>
      <c r="CD159" s="12">
        <v>0</v>
      </c>
    </row>
    <row r="160" spans="1:93" s="12" customFormat="1" x14ac:dyDescent="0.25">
      <c r="A160" s="12">
        <v>5008807</v>
      </c>
      <c r="B160" s="12" t="s">
        <v>11</v>
      </c>
      <c r="J160" s="12">
        <v>0</v>
      </c>
      <c r="L160" s="12">
        <v>1</v>
      </c>
      <c r="N160" s="12">
        <v>1</v>
      </c>
      <c r="O160" s="12">
        <v>0</v>
      </c>
      <c r="S160" s="12">
        <v>1</v>
      </c>
      <c r="X160" s="12">
        <v>0</v>
      </c>
      <c r="AC160" s="12">
        <v>0</v>
      </c>
      <c r="AD160" s="12">
        <v>0</v>
      </c>
      <c r="AF160" s="12">
        <v>0</v>
      </c>
      <c r="AH160" s="12">
        <v>0</v>
      </c>
      <c r="AI160" s="5">
        <v>0</v>
      </c>
      <c r="AJ160" s="12">
        <v>0</v>
      </c>
      <c r="AK160" s="12">
        <v>0</v>
      </c>
      <c r="AM160" s="12">
        <v>0</v>
      </c>
      <c r="AP160" s="12">
        <v>0</v>
      </c>
      <c r="BA160" s="5">
        <v>0</v>
      </c>
      <c r="BD160" s="12">
        <v>0</v>
      </c>
      <c r="BE160" s="12">
        <v>0</v>
      </c>
      <c r="BP160" s="12">
        <v>0</v>
      </c>
      <c r="CB160" s="12">
        <v>1</v>
      </c>
      <c r="CC160" s="12">
        <v>0</v>
      </c>
      <c r="CD160" s="12">
        <v>0</v>
      </c>
      <c r="CF160" s="12">
        <v>0</v>
      </c>
      <c r="CM160" s="12">
        <v>0</v>
      </c>
      <c r="CO160" s="12">
        <v>0</v>
      </c>
    </row>
    <row r="161" spans="1:97" s="12" customFormat="1" x14ac:dyDescent="0.25">
      <c r="A161" s="12">
        <v>5009400</v>
      </c>
      <c r="B161" s="12" t="s">
        <v>11</v>
      </c>
    </row>
    <row r="162" spans="1:97" s="12" customFormat="1" x14ac:dyDescent="0.25">
      <c r="A162" s="12">
        <v>5016255</v>
      </c>
      <c r="B162" s="12" t="s">
        <v>11</v>
      </c>
    </row>
    <row r="163" spans="1:97" s="12" customFormat="1" x14ac:dyDescent="0.25">
      <c r="A163" s="12">
        <v>6012448</v>
      </c>
      <c r="B163" s="12" t="s">
        <v>11</v>
      </c>
    </row>
    <row r="164" spans="1:97" s="12" customFormat="1" x14ac:dyDescent="0.25">
      <c r="A164" s="12">
        <v>7000457</v>
      </c>
      <c r="B164" s="12" t="s">
        <v>11</v>
      </c>
    </row>
    <row r="165" spans="1:97" s="12" customFormat="1" x14ac:dyDescent="0.25">
      <c r="A165" s="12">
        <v>7072644</v>
      </c>
      <c r="B165" s="12" t="s">
        <v>11</v>
      </c>
      <c r="C165" s="12">
        <v>0</v>
      </c>
      <c r="D165" s="12">
        <v>1</v>
      </c>
      <c r="E165" s="12">
        <v>0</v>
      </c>
      <c r="F165" s="12">
        <v>0</v>
      </c>
      <c r="G165" s="12">
        <v>0</v>
      </c>
      <c r="H165" s="12">
        <v>0</v>
      </c>
      <c r="BP165" s="12">
        <v>0</v>
      </c>
      <c r="CC165" s="12">
        <v>0</v>
      </c>
      <c r="CD165" s="12">
        <v>0</v>
      </c>
    </row>
    <row r="166" spans="1:97" s="12" customFormat="1" x14ac:dyDescent="0.25">
      <c r="A166" s="12">
        <v>7126387</v>
      </c>
      <c r="B166" s="12" t="s">
        <v>11</v>
      </c>
    </row>
    <row r="167" spans="1:97" s="12" customFormat="1" x14ac:dyDescent="0.25">
      <c r="A167" s="12">
        <v>10185935</v>
      </c>
      <c r="B167" s="12" t="s">
        <v>11</v>
      </c>
      <c r="CB167" s="12">
        <v>1</v>
      </c>
      <c r="CC167" s="12">
        <v>0</v>
      </c>
      <c r="CD167" s="12">
        <v>0</v>
      </c>
      <c r="CH167" s="12">
        <v>0</v>
      </c>
      <c r="CN167" s="12">
        <v>0</v>
      </c>
      <c r="CO167" s="12">
        <v>0</v>
      </c>
      <c r="CR167" s="12">
        <v>0</v>
      </c>
      <c r="CS167" s="12">
        <v>0</v>
      </c>
    </row>
    <row r="168" spans="1:97" s="12" customFormat="1" x14ac:dyDescent="0.25">
      <c r="A168" s="12">
        <v>11061215</v>
      </c>
      <c r="B168" s="12" t="s">
        <v>11</v>
      </c>
      <c r="X168" s="12">
        <v>0</v>
      </c>
      <c r="AO168" s="12">
        <v>0</v>
      </c>
      <c r="AY168" s="12">
        <v>0</v>
      </c>
      <c r="BA168" s="12">
        <v>0</v>
      </c>
      <c r="BD168" s="12">
        <v>0</v>
      </c>
      <c r="BF168" s="12">
        <v>0</v>
      </c>
      <c r="CB168" s="12">
        <v>0</v>
      </c>
      <c r="CD168" s="12">
        <v>0</v>
      </c>
      <c r="CG168" s="12">
        <v>0</v>
      </c>
      <c r="CH168" s="12">
        <v>0</v>
      </c>
      <c r="CM168" s="12">
        <v>0</v>
      </c>
      <c r="CN168" s="12">
        <v>0</v>
      </c>
      <c r="CO168" s="12">
        <v>0</v>
      </c>
    </row>
    <row r="169" spans="1:97" s="12" customFormat="1" x14ac:dyDescent="0.25">
      <c r="A169" s="12">
        <v>93008468</v>
      </c>
      <c r="B169" s="12" t="s">
        <v>11</v>
      </c>
    </row>
    <row r="170" spans="1:97" s="12" customFormat="1" x14ac:dyDescent="0.25">
      <c r="A170" s="12">
        <v>93016155</v>
      </c>
      <c r="B170" s="12" t="s">
        <v>11</v>
      </c>
      <c r="D170" s="12">
        <v>1</v>
      </c>
      <c r="E170" s="12">
        <v>1</v>
      </c>
      <c r="F170" s="12">
        <v>0</v>
      </c>
      <c r="L170" s="12">
        <v>1</v>
      </c>
      <c r="M170" s="12">
        <v>0</v>
      </c>
      <c r="N170" s="14" t="s">
        <v>163</v>
      </c>
      <c r="O170" s="12">
        <v>0</v>
      </c>
      <c r="R170" s="12">
        <v>0</v>
      </c>
      <c r="CB170" s="12">
        <v>0</v>
      </c>
      <c r="CD170" s="12">
        <v>0</v>
      </c>
      <c r="CM170" s="12">
        <v>0</v>
      </c>
      <c r="CN170" s="12">
        <v>0</v>
      </c>
      <c r="CO170" s="12">
        <v>0</v>
      </c>
    </row>
    <row r="171" spans="1:97" s="12" customFormat="1" x14ac:dyDescent="0.25">
      <c r="A171" s="12">
        <v>93018845</v>
      </c>
      <c r="B171" s="12" t="s">
        <v>11</v>
      </c>
    </row>
    <row r="172" spans="1:97" s="12" customFormat="1" x14ac:dyDescent="0.25">
      <c r="A172" s="12" t="s">
        <v>16</v>
      </c>
      <c r="B172" s="12" t="s">
        <v>11</v>
      </c>
    </row>
    <row r="173" spans="1:97" s="12" customFormat="1" x14ac:dyDescent="0.25">
      <c r="A173" s="12">
        <v>94006009</v>
      </c>
      <c r="B173" s="12" t="s">
        <v>11</v>
      </c>
    </row>
    <row r="174" spans="1:97" s="12" customFormat="1" x14ac:dyDescent="0.25">
      <c r="A174" s="12">
        <v>94014126</v>
      </c>
      <c r="B174" s="12" t="s">
        <v>11</v>
      </c>
    </row>
    <row r="175" spans="1:97" s="12" customFormat="1" x14ac:dyDescent="0.25">
      <c r="A175" s="12">
        <v>94900361</v>
      </c>
      <c r="B175" s="12" t="s">
        <v>11</v>
      </c>
    </row>
    <row r="176" spans="1:97" s="12" customFormat="1" x14ac:dyDescent="0.25">
      <c r="A176" s="12">
        <v>94901890</v>
      </c>
      <c r="B176" s="12" t="s">
        <v>11</v>
      </c>
      <c r="CC176" s="12">
        <v>1</v>
      </c>
      <c r="CD176" s="12">
        <v>0</v>
      </c>
      <c r="CH176" s="12">
        <v>0</v>
      </c>
      <c r="CM176" s="19">
        <v>1</v>
      </c>
      <c r="CN176" s="12">
        <v>0</v>
      </c>
      <c r="CO176" s="20">
        <v>1</v>
      </c>
    </row>
    <row r="177" spans="1:106" s="12" customFormat="1" x14ac:dyDescent="0.25">
      <c r="A177" s="12">
        <v>95001046</v>
      </c>
      <c r="B177" s="12" t="s">
        <v>11</v>
      </c>
    </row>
    <row r="178" spans="1:106" s="12" customFormat="1" x14ac:dyDescent="0.25">
      <c r="A178" s="12">
        <v>96004031</v>
      </c>
      <c r="B178" s="12" t="s">
        <v>11</v>
      </c>
      <c r="X178" s="12">
        <v>1</v>
      </c>
      <c r="AN178" s="12">
        <v>0</v>
      </c>
      <c r="AO178" s="12">
        <v>0</v>
      </c>
      <c r="BD178" s="12">
        <v>0</v>
      </c>
      <c r="BZ178" s="12">
        <v>0</v>
      </c>
      <c r="CB178" s="12">
        <v>1</v>
      </c>
      <c r="CD178" s="12">
        <v>0</v>
      </c>
      <c r="CM178" s="12">
        <v>0</v>
      </c>
      <c r="CO178" s="12">
        <v>0</v>
      </c>
    </row>
    <row r="179" spans="1:106" s="12" customFormat="1" x14ac:dyDescent="0.25">
      <c r="A179" s="12">
        <v>97004458</v>
      </c>
      <c r="B179" s="12" t="s">
        <v>11</v>
      </c>
    </row>
    <row r="180" spans="1:106" s="12" customFormat="1" x14ac:dyDescent="0.25">
      <c r="A180" s="12">
        <v>97009212</v>
      </c>
      <c r="B180" s="12" t="s">
        <v>11</v>
      </c>
      <c r="X180" s="12">
        <v>0</v>
      </c>
      <c r="Z180" s="12">
        <v>0</v>
      </c>
      <c r="AA180" s="12">
        <v>0</v>
      </c>
      <c r="AY180" s="12">
        <v>0</v>
      </c>
      <c r="BA180" s="12">
        <v>0</v>
      </c>
      <c r="BB180" s="12">
        <v>0</v>
      </c>
      <c r="BD180" s="12">
        <v>0</v>
      </c>
      <c r="BF180" s="12">
        <v>0</v>
      </c>
      <c r="BJ180" s="12">
        <v>0</v>
      </c>
      <c r="CC180" s="12">
        <v>0</v>
      </c>
      <c r="CD180" s="12">
        <v>0</v>
      </c>
    </row>
    <row r="181" spans="1:106" s="12" customFormat="1" x14ac:dyDescent="0.25">
      <c r="A181" s="12">
        <v>98006038</v>
      </c>
      <c r="B181" s="12" t="s">
        <v>11</v>
      </c>
    </row>
    <row r="182" spans="1:106" s="12" customFormat="1" x14ac:dyDescent="0.25">
      <c r="A182" s="12">
        <v>98009041</v>
      </c>
      <c r="B182" s="12" t="s">
        <v>11</v>
      </c>
    </row>
    <row r="183" spans="1:106" s="12" customFormat="1" x14ac:dyDescent="0.25">
      <c r="A183" s="12">
        <v>99000714</v>
      </c>
      <c r="B183" s="12" t="s">
        <v>11</v>
      </c>
    </row>
    <row r="184" spans="1:106" s="12" customFormat="1" x14ac:dyDescent="0.25">
      <c r="A184" s="12">
        <v>99007116</v>
      </c>
      <c r="B184" s="12" t="s">
        <v>11</v>
      </c>
    </row>
    <row r="185" spans="1:106" s="12" customFormat="1" x14ac:dyDescent="0.25">
      <c r="A185" s="12">
        <v>99901293</v>
      </c>
      <c r="B185" s="12" t="s">
        <v>11</v>
      </c>
    </row>
    <row r="186" spans="1:106" s="12" customFormat="1" x14ac:dyDescent="0.25">
      <c r="A186" s="12">
        <v>99901604</v>
      </c>
      <c r="B186" s="12" t="s">
        <v>11</v>
      </c>
      <c r="X186" s="12">
        <v>0</v>
      </c>
    </row>
    <row r="187" spans="1:106" s="12" customFormat="1" x14ac:dyDescent="0.25">
      <c r="A187" s="12">
        <v>3017227</v>
      </c>
      <c r="B187" s="12" t="s">
        <v>11</v>
      </c>
    </row>
    <row r="188" spans="1:106" s="12" customFormat="1" x14ac:dyDescent="0.25">
      <c r="A188" s="12">
        <v>2007648</v>
      </c>
      <c r="B188" s="12" t="s">
        <v>11</v>
      </c>
    </row>
    <row r="189" spans="1:106" s="12" customFormat="1" x14ac:dyDescent="0.25">
      <c r="A189" s="12">
        <v>3008510</v>
      </c>
      <c r="B189" s="12" t="s">
        <v>11</v>
      </c>
      <c r="X189" s="14" t="s">
        <v>164</v>
      </c>
      <c r="Z189" s="14" t="s">
        <v>163</v>
      </c>
      <c r="AA189" s="14" t="s">
        <v>163</v>
      </c>
      <c r="AE189" s="12">
        <v>0</v>
      </c>
      <c r="AG189" s="12">
        <v>0</v>
      </c>
      <c r="AH189" s="12">
        <v>0</v>
      </c>
      <c r="AJ189" s="14" t="s">
        <v>163</v>
      </c>
      <c r="AK189" s="12">
        <v>0</v>
      </c>
      <c r="AM189" s="12">
        <v>1</v>
      </c>
      <c r="AQ189" s="12">
        <v>0</v>
      </c>
      <c r="BH189" s="12">
        <v>0</v>
      </c>
    </row>
    <row r="190" spans="1:106" s="12" customFormat="1" x14ac:dyDescent="0.25">
      <c r="C190" s="12">
        <f>COUNTA(C62:C189)</f>
        <v>1</v>
      </c>
      <c r="D190" s="12">
        <f t="shared" ref="D190:BO190" si="12">COUNTA(D62:D189)</f>
        <v>3</v>
      </c>
      <c r="E190" s="12">
        <f t="shared" si="12"/>
        <v>3</v>
      </c>
      <c r="F190" s="12">
        <f t="shared" si="12"/>
        <v>2</v>
      </c>
      <c r="G190" s="12">
        <f t="shared" si="12"/>
        <v>1</v>
      </c>
      <c r="H190" s="12">
        <f t="shared" si="12"/>
        <v>2</v>
      </c>
      <c r="I190" s="12">
        <f t="shared" si="12"/>
        <v>1</v>
      </c>
      <c r="J190" s="12">
        <f t="shared" si="12"/>
        <v>4</v>
      </c>
      <c r="K190" s="12">
        <f t="shared" si="12"/>
        <v>1</v>
      </c>
      <c r="L190" s="12">
        <f t="shared" si="12"/>
        <v>2</v>
      </c>
      <c r="M190" s="12">
        <f t="shared" si="12"/>
        <v>3</v>
      </c>
      <c r="N190" s="12">
        <f t="shared" si="12"/>
        <v>2</v>
      </c>
      <c r="O190" s="12">
        <f t="shared" si="12"/>
        <v>7</v>
      </c>
      <c r="P190" s="12">
        <f t="shared" si="12"/>
        <v>2</v>
      </c>
      <c r="Q190" s="12">
        <f t="shared" si="12"/>
        <v>2</v>
      </c>
      <c r="R190" s="12">
        <f t="shared" si="12"/>
        <v>2</v>
      </c>
      <c r="S190" s="12">
        <f t="shared" si="12"/>
        <v>1</v>
      </c>
      <c r="T190" s="12">
        <f t="shared" si="12"/>
        <v>0</v>
      </c>
      <c r="U190" s="12">
        <f t="shared" si="12"/>
        <v>1</v>
      </c>
      <c r="V190" s="12">
        <f t="shared" si="12"/>
        <v>0</v>
      </c>
      <c r="W190" s="12">
        <f t="shared" si="12"/>
        <v>3</v>
      </c>
      <c r="X190" s="12">
        <f t="shared" si="12"/>
        <v>14</v>
      </c>
      <c r="Y190" s="12">
        <f t="shared" si="12"/>
        <v>0</v>
      </c>
      <c r="Z190" s="12">
        <f t="shared" si="12"/>
        <v>5</v>
      </c>
      <c r="AA190" s="12">
        <f t="shared" si="12"/>
        <v>6</v>
      </c>
      <c r="AB190" s="12">
        <f t="shared" si="12"/>
        <v>1</v>
      </c>
      <c r="AC190" s="12">
        <f t="shared" si="12"/>
        <v>1</v>
      </c>
      <c r="AD190" s="12">
        <f t="shared" si="12"/>
        <v>1</v>
      </c>
      <c r="AE190" s="12">
        <f t="shared" si="12"/>
        <v>1</v>
      </c>
      <c r="AF190" s="12">
        <f t="shared" si="12"/>
        <v>1</v>
      </c>
      <c r="AG190" s="12">
        <f t="shared" si="12"/>
        <v>1</v>
      </c>
      <c r="AH190" s="12">
        <f t="shared" si="12"/>
        <v>2</v>
      </c>
      <c r="AI190" s="12">
        <f t="shared" si="12"/>
        <v>1</v>
      </c>
      <c r="AJ190" s="12">
        <f t="shared" si="12"/>
        <v>2</v>
      </c>
      <c r="AK190" s="12">
        <f t="shared" si="12"/>
        <v>2</v>
      </c>
      <c r="AL190" s="12">
        <f t="shared" si="12"/>
        <v>0</v>
      </c>
      <c r="AM190" s="12">
        <f t="shared" si="12"/>
        <v>3</v>
      </c>
      <c r="AN190" s="12">
        <f t="shared" si="12"/>
        <v>1</v>
      </c>
      <c r="AO190" s="12">
        <f t="shared" si="12"/>
        <v>2</v>
      </c>
      <c r="AP190" s="12">
        <f t="shared" si="12"/>
        <v>1</v>
      </c>
      <c r="AQ190" s="12">
        <f t="shared" si="12"/>
        <v>1</v>
      </c>
      <c r="AR190" s="12">
        <f t="shared" si="12"/>
        <v>1</v>
      </c>
      <c r="AS190" s="12">
        <f t="shared" si="12"/>
        <v>2</v>
      </c>
      <c r="AT190" s="12">
        <f t="shared" si="12"/>
        <v>0</v>
      </c>
      <c r="AU190" s="12">
        <f t="shared" si="12"/>
        <v>0</v>
      </c>
      <c r="AV190" s="12">
        <f t="shared" si="12"/>
        <v>0</v>
      </c>
      <c r="AW190" s="12">
        <f t="shared" si="12"/>
        <v>0</v>
      </c>
      <c r="AX190" s="12">
        <f t="shared" si="12"/>
        <v>0</v>
      </c>
      <c r="AY190" s="12">
        <f t="shared" si="12"/>
        <v>3</v>
      </c>
      <c r="AZ190" s="12">
        <f t="shared" si="12"/>
        <v>0</v>
      </c>
      <c r="BA190" s="12">
        <f t="shared" si="12"/>
        <v>4</v>
      </c>
      <c r="BB190" s="12">
        <f t="shared" si="12"/>
        <v>1</v>
      </c>
      <c r="BC190" s="12">
        <f t="shared" si="12"/>
        <v>1</v>
      </c>
      <c r="BD190" s="12">
        <f t="shared" si="12"/>
        <v>9</v>
      </c>
      <c r="BE190" s="12">
        <f t="shared" si="12"/>
        <v>1</v>
      </c>
      <c r="BF190" s="12">
        <f t="shared" si="12"/>
        <v>2</v>
      </c>
      <c r="BG190" s="12">
        <f t="shared" si="12"/>
        <v>0</v>
      </c>
      <c r="BH190" s="12">
        <f t="shared" si="12"/>
        <v>1</v>
      </c>
      <c r="BI190" s="12">
        <f t="shared" si="12"/>
        <v>0</v>
      </c>
      <c r="BJ190" s="12">
        <f t="shared" si="12"/>
        <v>1</v>
      </c>
      <c r="BK190" s="12">
        <f t="shared" si="12"/>
        <v>1</v>
      </c>
      <c r="BL190" s="12">
        <f t="shared" si="12"/>
        <v>1</v>
      </c>
      <c r="BM190" s="12">
        <f t="shared" si="12"/>
        <v>0</v>
      </c>
      <c r="BN190" s="12">
        <f t="shared" si="12"/>
        <v>0</v>
      </c>
      <c r="BO190" s="12">
        <f t="shared" si="12"/>
        <v>0</v>
      </c>
      <c r="BP190" s="12">
        <f t="shared" ref="BP190:DB190" si="13">COUNTA(BP62:BP189)</f>
        <v>2</v>
      </c>
      <c r="BQ190" s="12">
        <f t="shared" si="13"/>
        <v>0</v>
      </c>
      <c r="BR190" s="12">
        <f t="shared" si="13"/>
        <v>0</v>
      </c>
      <c r="BS190" s="12">
        <f t="shared" si="13"/>
        <v>0</v>
      </c>
      <c r="BT190" s="12">
        <f t="shared" si="13"/>
        <v>0</v>
      </c>
      <c r="BU190" s="12">
        <f t="shared" si="13"/>
        <v>0</v>
      </c>
      <c r="BV190" s="12">
        <f t="shared" si="13"/>
        <v>0</v>
      </c>
      <c r="BW190" s="12">
        <f t="shared" si="13"/>
        <v>0</v>
      </c>
      <c r="BX190" s="12">
        <f t="shared" si="13"/>
        <v>0</v>
      </c>
      <c r="BY190" s="12">
        <f t="shared" si="13"/>
        <v>0</v>
      </c>
      <c r="BZ190" s="12">
        <f t="shared" si="13"/>
        <v>1</v>
      </c>
      <c r="CA190" s="12">
        <f t="shared" si="13"/>
        <v>1</v>
      </c>
      <c r="CB190" s="12">
        <f t="shared" si="13"/>
        <v>16</v>
      </c>
      <c r="CC190" s="12">
        <f t="shared" si="13"/>
        <v>16</v>
      </c>
      <c r="CD190" s="12">
        <f t="shared" si="13"/>
        <v>20</v>
      </c>
      <c r="CE190" s="12">
        <f t="shared" si="13"/>
        <v>0</v>
      </c>
      <c r="CF190" s="12">
        <f t="shared" si="13"/>
        <v>3</v>
      </c>
      <c r="CG190" s="12">
        <f t="shared" si="13"/>
        <v>4</v>
      </c>
      <c r="CH190" s="12">
        <f t="shared" si="13"/>
        <v>5</v>
      </c>
      <c r="CI190" s="12">
        <f t="shared" si="13"/>
        <v>0</v>
      </c>
      <c r="CJ190" s="12">
        <f t="shared" si="13"/>
        <v>0</v>
      </c>
      <c r="CK190" s="12">
        <f t="shared" si="13"/>
        <v>0</v>
      </c>
      <c r="CL190" s="12">
        <f t="shared" si="13"/>
        <v>0</v>
      </c>
      <c r="CM190" s="12">
        <f t="shared" si="13"/>
        <v>8</v>
      </c>
      <c r="CN190" s="12">
        <f t="shared" si="13"/>
        <v>7</v>
      </c>
      <c r="CO190" s="12">
        <f t="shared" si="13"/>
        <v>12</v>
      </c>
      <c r="CP190" s="12">
        <f t="shared" si="13"/>
        <v>0</v>
      </c>
      <c r="CQ190" s="12">
        <f t="shared" si="13"/>
        <v>0</v>
      </c>
      <c r="CR190" s="12">
        <f t="shared" si="13"/>
        <v>1</v>
      </c>
      <c r="CS190" s="12">
        <f t="shared" si="13"/>
        <v>1</v>
      </c>
      <c r="CT190" s="12">
        <f t="shared" si="13"/>
        <v>0</v>
      </c>
      <c r="CU190" s="12">
        <f t="shared" si="13"/>
        <v>0</v>
      </c>
      <c r="CV190" s="12">
        <f t="shared" si="13"/>
        <v>0</v>
      </c>
      <c r="CW190" s="12">
        <f t="shared" si="13"/>
        <v>0</v>
      </c>
      <c r="CX190" s="12">
        <f t="shared" si="13"/>
        <v>0</v>
      </c>
      <c r="CY190" s="12">
        <f t="shared" si="13"/>
        <v>0</v>
      </c>
      <c r="CZ190" s="12">
        <f t="shared" si="13"/>
        <v>0</v>
      </c>
      <c r="DA190" s="12">
        <f t="shared" si="13"/>
        <v>0</v>
      </c>
      <c r="DB190" s="12">
        <f t="shared" si="13"/>
        <v>0</v>
      </c>
    </row>
    <row r="191" spans="1:106" s="12" customFormat="1" x14ac:dyDescent="0.25">
      <c r="A191" s="12">
        <v>4289</v>
      </c>
      <c r="B191" s="12" t="s">
        <v>17</v>
      </c>
    </row>
    <row r="192" spans="1:106" s="12" customFormat="1" x14ac:dyDescent="0.25">
      <c r="A192" s="12">
        <v>500245</v>
      </c>
      <c r="B192" s="12" t="s">
        <v>17</v>
      </c>
    </row>
    <row r="193" spans="1:93" s="12" customFormat="1" x14ac:dyDescent="0.25">
      <c r="A193" s="12">
        <v>2002573</v>
      </c>
      <c r="B193" s="12" t="s">
        <v>17</v>
      </c>
    </row>
    <row r="194" spans="1:93" s="12" customFormat="1" x14ac:dyDescent="0.25">
      <c r="A194" s="12">
        <v>2003539</v>
      </c>
      <c r="B194" s="12" t="s">
        <v>17</v>
      </c>
    </row>
    <row r="195" spans="1:93" s="12" customFormat="1" x14ac:dyDescent="0.25">
      <c r="A195" s="12">
        <v>2003649</v>
      </c>
      <c r="B195" s="12" t="s">
        <v>17</v>
      </c>
    </row>
    <row r="196" spans="1:93" s="12" customFormat="1" x14ac:dyDescent="0.25">
      <c r="A196" s="12">
        <v>2005572</v>
      </c>
      <c r="B196" s="12" t="s">
        <v>17</v>
      </c>
    </row>
    <row r="197" spans="1:93" s="12" customFormat="1" x14ac:dyDescent="0.25">
      <c r="A197" s="12">
        <v>2013117</v>
      </c>
      <c r="B197" s="12" t="s">
        <v>17</v>
      </c>
    </row>
    <row r="198" spans="1:93" s="12" customFormat="1" x14ac:dyDescent="0.25">
      <c r="A198" s="12">
        <v>3009633</v>
      </c>
      <c r="B198" s="12" t="s">
        <v>17</v>
      </c>
    </row>
    <row r="199" spans="1:93" s="12" customFormat="1" x14ac:dyDescent="0.25">
      <c r="A199" s="12">
        <v>3010583</v>
      </c>
      <c r="B199" s="12" t="s">
        <v>17</v>
      </c>
    </row>
    <row r="200" spans="1:93" s="12" customFormat="1" x14ac:dyDescent="0.25">
      <c r="A200" s="16">
        <v>3011892</v>
      </c>
      <c r="B200" s="12" t="s">
        <v>17</v>
      </c>
    </row>
    <row r="201" spans="1:93" s="12" customFormat="1" x14ac:dyDescent="0.25">
      <c r="A201" s="12">
        <v>4001382</v>
      </c>
      <c r="B201" s="12" t="s">
        <v>17</v>
      </c>
    </row>
    <row r="202" spans="1:93" s="12" customFormat="1" x14ac:dyDescent="0.25">
      <c r="A202" s="12">
        <v>5018675</v>
      </c>
      <c r="B202" s="12" t="s">
        <v>17</v>
      </c>
      <c r="CB202" s="12">
        <v>0</v>
      </c>
      <c r="CC202" s="12">
        <v>0</v>
      </c>
      <c r="CD202" s="12">
        <v>0</v>
      </c>
      <c r="CK202" s="12">
        <v>0</v>
      </c>
      <c r="CN202" s="12">
        <v>0</v>
      </c>
      <c r="CO202" s="12">
        <v>0</v>
      </c>
    </row>
    <row r="203" spans="1:93" s="12" customFormat="1" x14ac:dyDescent="0.25">
      <c r="A203" s="12">
        <v>6050168</v>
      </c>
      <c r="B203" s="12" t="s">
        <v>17</v>
      </c>
      <c r="J203" s="12">
        <v>1</v>
      </c>
      <c r="O203" s="12">
        <v>1</v>
      </c>
      <c r="BR203" s="12">
        <v>0</v>
      </c>
      <c r="BS203" s="12">
        <v>0</v>
      </c>
    </row>
    <row r="204" spans="1:93" s="12" customFormat="1" x14ac:dyDescent="0.25">
      <c r="A204" s="12">
        <v>7003242</v>
      </c>
      <c r="B204" s="12" t="s">
        <v>17</v>
      </c>
    </row>
    <row r="205" spans="1:93" s="12" customFormat="1" x14ac:dyDescent="0.25">
      <c r="A205" s="12">
        <v>12022536</v>
      </c>
      <c r="B205" s="12" t="s">
        <v>17</v>
      </c>
    </row>
    <row r="206" spans="1:93" s="12" customFormat="1" x14ac:dyDescent="0.25">
      <c r="A206" s="12">
        <v>13020792</v>
      </c>
      <c r="B206" s="12" t="s">
        <v>17</v>
      </c>
    </row>
    <row r="207" spans="1:93" s="12" customFormat="1" x14ac:dyDescent="0.25">
      <c r="A207" s="12">
        <v>97005797</v>
      </c>
      <c r="B207" s="12" t="s">
        <v>17</v>
      </c>
      <c r="CB207" s="12">
        <v>0</v>
      </c>
      <c r="CC207" s="12">
        <v>0</v>
      </c>
      <c r="CD207" s="12">
        <v>0</v>
      </c>
    </row>
    <row r="208" spans="1:93" s="12" customFormat="1" x14ac:dyDescent="0.25">
      <c r="A208" s="12">
        <v>99000345</v>
      </c>
      <c r="B208" s="12" t="s">
        <v>17</v>
      </c>
    </row>
    <row r="209" spans="1:103" s="12" customFormat="1" x14ac:dyDescent="0.25">
      <c r="A209" s="12">
        <v>5006592</v>
      </c>
      <c r="B209" s="12" t="s">
        <v>17</v>
      </c>
    </row>
    <row r="210" spans="1:103" s="12" customFormat="1" x14ac:dyDescent="0.25">
      <c r="A210" s="12">
        <v>5007274</v>
      </c>
      <c r="B210" s="12" t="s">
        <v>17</v>
      </c>
      <c r="M210" s="12">
        <v>0</v>
      </c>
      <c r="P210" s="12">
        <v>0</v>
      </c>
      <c r="AO210" s="12">
        <v>0</v>
      </c>
      <c r="CB210" s="12">
        <v>0</v>
      </c>
      <c r="CC210" s="12">
        <v>0</v>
      </c>
      <c r="CD210" s="12">
        <v>0</v>
      </c>
      <c r="CN210" s="12">
        <v>0</v>
      </c>
      <c r="CV210" s="12">
        <v>0</v>
      </c>
      <c r="CX210" s="12">
        <v>0</v>
      </c>
      <c r="CY210" s="12">
        <v>0</v>
      </c>
    </row>
    <row r="211" spans="1:103" s="12" customFormat="1" x14ac:dyDescent="0.25">
      <c r="A211" s="12">
        <v>5015851</v>
      </c>
      <c r="B211" s="12" t="s">
        <v>17</v>
      </c>
      <c r="P211" s="12">
        <v>0</v>
      </c>
      <c r="Q211" s="12">
        <v>0</v>
      </c>
      <c r="CB211" s="12">
        <v>0</v>
      </c>
      <c r="CD211" s="12">
        <v>0</v>
      </c>
      <c r="CM211" s="12">
        <v>0</v>
      </c>
      <c r="CO211" s="12">
        <v>0</v>
      </c>
    </row>
    <row r="212" spans="1:103" s="12" customFormat="1" x14ac:dyDescent="0.25">
      <c r="A212" s="12">
        <v>6015647</v>
      </c>
      <c r="B212" s="12" t="s">
        <v>17</v>
      </c>
      <c r="BQ212" s="12">
        <v>0</v>
      </c>
      <c r="CB212" s="12">
        <v>0</v>
      </c>
      <c r="CD212" s="12">
        <v>0</v>
      </c>
      <c r="CM212" s="12">
        <v>0</v>
      </c>
      <c r="CN212" s="12">
        <v>0</v>
      </c>
      <c r="CO212" s="12">
        <v>0</v>
      </c>
      <c r="CS212" s="12">
        <v>0</v>
      </c>
    </row>
    <row r="213" spans="1:103" s="12" customFormat="1" x14ac:dyDescent="0.25">
      <c r="A213" s="12">
        <v>6056633</v>
      </c>
      <c r="B213" s="12" t="s">
        <v>17</v>
      </c>
    </row>
    <row r="214" spans="1:103" s="12" customFormat="1" x14ac:dyDescent="0.25">
      <c r="A214" s="12">
        <v>7086224</v>
      </c>
      <c r="B214" s="12" t="s">
        <v>17</v>
      </c>
    </row>
    <row r="215" spans="1:103" s="12" customFormat="1" x14ac:dyDescent="0.25">
      <c r="A215" s="12">
        <v>8040959</v>
      </c>
      <c r="B215" s="12" t="s">
        <v>17</v>
      </c>
    </row>
    <row r="216" spans="1:103" s="12" customFormat="1" x14ac:dyDescent="0.25">
      <c r="A216" s="12">
        <v>8107048</v>
      </c>
      <c r="B216" s="12" t="s">
        <v>17</v>
      </c>
    </row>
    <row r="217" spans="1:103" s="12" customFormat="1" x14ac:dyDescent="0.25">
      <c r="A217" s="12">
        <v>8124044</v>
      </c>
      <c r="B217" s="12" t="s">
        <v>17</v>
      </c>
      <c r="X217" s="12">
        <v>1</v>
      </c>
      <c r="BD217" s="12">
        <v>1</v>
      </c>
      <c r="CB217" s="12">
        <v>0</v>
      </c>
    </row>
    <row r="218" spans="1:103" s="12" customFormat="1" x14ac:dyDescent="0.25">
      <c r="A218" s="12">
        <v>8142949</v>
      </c>
      <c r="B218" s="12" t="s">
        <v>17</v>
      </c>
      <c r="X218" s="12">
        <v>1</v>
      </c>
      <c r="CB218" s="12">
        <v>0</v>
      </c>
      <c r="CC218" s="12">
        <v>0</v>
      </c>
      <c r="CD218" s="12">
        <v>0</v>
      </c>
      <c r="CF218" s="12">
        <v>0</v>
      </c>
    </row>
    <row r="219" spans="1:103" s="12" customFormat="1" x14ac:dyDescent="0.25">
      <c r="A219" s="12">
        <v>9023306</v>
      </c>
      <c r="B219" s="12" t="s">
        <v>17</v>
      </c>
      <c r="J219" s="12">
        <v>0</v>
      </c>
      <c r="L219" s="12">
        <v>0</v>
      </c>
      <c r="M219" s="12">
        <v>0</v>
      </c>
      <c r="O219" s="12">
        <v>0</v>
      </c>
    </row>
    <row r="220" spans="1:103" s="12" customFormat="1" x14ac:dyDescent="0.25">
      <c r="A220" s="12">
        <v>9034464</v>
      </c>
      <c r="B220" s="12" t="s">
        <v>17</v>
      </c>
    </row>
    <row r="221" spans="1:103" s="12" customFormat="1" x14ac:dyDescent="0.25">
      <c r="A221" s="12">
        <v>9040167</v>
      </c>
      <c r="B221" s="12" t="s">
        <v>17</v>
      </c>
    </row>
    <row r="222" spans="1:103" s="12" customFormat="1" x14ac:dyDescent="0.25">
      <c r="A222" s="12">
        <v>9054567</v>
      </c>
      <c r="B222" s="12" t="s">
        <v>17</v>
      </c>
    </row>
    <row r="223" spans="1:103" s="12" customFormat="1" x14ac:dyDescent="0.25">
      <c r="A223" s="12">
        <v>9083682</v>
      </c>
      <c r="B223" s="12" t="s">
        <v>17</v>
      </c>
      <c r="CB223" s="12">
        <v>0</v>
      </c>
      <c r="CC223" s="12">
        <v>0</v>
      </c>
      <c r="CD223" s="12">
        <v>0</v>
      </c>
      <c r="CG223" s="12">
        <v>0</v>
      </c>
      <c r="CH223" s="12">
        <v>0</v>
      </c>
      <c r="CM223" s="12">
        <v>0</v>
      </c>
      <c r="CN223" s="12">
        <v>0</v>
      </c>
    </row>
    <row r="224" spans="1:103" s="12" customFormat="1" x14ac:dyDescent="0.25">
      <c r="A224" s="12">
        <v>9102044</v>
      </c>
      <c r="B224" s="12" t="s">
        <v>17</v>
      </c>
    </row>
    <row r="225" spans="1:93" s="12" customFormat="1" x14ac:dyDescent="0.25">
      <c r="A225" s="12">
        <v>9119854</v>
      </c>
      <c r="B225" s="12" t="s">
        <v>17</v>
      </c>
    </row>
    <row r="226" spans="1:93" s="12" customFormat="1" x14ac:dyDescent="0.25">
      <c r="A226" s="12">
        <v>9125126</v>
      </c>
      <c r="B226" s="12" t="s">
        <v>17</v>
      </c>
    </row>
    <row r="227" spans="1:93" s="12" customFormat="1" x14ac:dyDescent="0.25">
      <c r="A227" s="12">
        <v>9174811</v>
      </c>
      <c r="B227" s="12" t="s">
        <v>17</v>
      </c>
    </row>
    <row r="228" spans="1:93" s="12" customFormat="1" x14ac:dyDescent="0.25">
      <c r="A228" s="12">
        <v>10002875</v>
      </c>
      <c r="B228" s="12" t="s">
        <v>17</v>
      </c>
      <c r="X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BA228" s="12">
        <v>0</v>
      </c>
      <c r="BC228" s="12">
        <v>0</v>
      </c>
      <c r="BD228" s="12">
        <v>0</v>
      </c>
      <c r="BE228" s="12">
        <v>0</v>
      </c>
      <c r="BJ228" s="12">
        <v>0</v>
      </c>
      <c r="CD228" s="12">
        <v>0</v>
      </c>
      <c r="CM228" s="12">
        <v>0</v>
      </c>
    </row>
    <row r="229" spans="1:93" s="12" customFormat="1" x14ac:dyDescent="0.25">
      <c r="A229" s="12">
        <v>10023080</v>
      </c>
      <c r="B229" s="12" t="s">
        <v>17</v>
      </c>
    </row>
    <row r="230" spans="1:93" s="12" customFormat="1" x14ac:dyDescent="0.25">
      <c r="A230" s="12">
        <v>10025212</v>
      </c>
      <c r="B230" s="12" t="s">
        <v>17</v>
      </c>
      <c r="L230" s="12">
        <v>0</v>
      </c>
      <c r="M230" s="12">
        <v>0</v>
      </c>
      <c r="O230" s="12">
        <v>0</v>
      </c>
      <c r="X230" s="12">
        <v>0</v>
      </c>
      <c r="AZ230" s="12">
        <v>0</v>
      </c>
      <c r="BA230" s="12">
        <v>0</v>
      </c>
      <c r="BB230" s="12">
        <v>0</v>
      </c>
      <c r="BD230" s="12">
        <v>0</v>
      </c>
      <c r="BG230" s="12">
        <v>0</v>
      </c>
      <c r="CB230" s="12">
        <v>0</v>
      </c>
      <c r="CC230" s="12">
        <v>0</v>
      </c>
      <c r="CD230" s="12">
        <v>0</v>
      </c>
    </row>
    <row r="231" spans="1:93" s="12" customFormat="1" x14ac:dyDescent="0.25">
      <c r="A231" s="12">
        <v>10069407</v>
      </c>
      <c r="B231" s="12" t="s">
        <v>17</v>
      </c>
    </row>
    <row r="232" spans="1:93" s="12" customFormat="1" x14ac:dyDescent="0.25">
      <c r="A232" s="12">
        <v>10071135</v>
      </c>
      <c r="B232" s="12" t="s">
        <v>17</v>
      </c>
    </row>
    <row r="233" spans="1:93" s="12" customFormat="1" x14ac:dyDescent="0.25">
      <c r="A233" s="12">
        <v>10083649</v>
      </c>
      <c r="B233" s="12" t="s">
        <v>17</v>
      </c>
    </row>
    <row r="234" spans="1:93" s="12" customFormat="1" x14ac:dyDescent="0.25">
      <c r="A234" s="12">
        <v>10102021</v>
      </c>
      <c r="B234" s="12" t="s">
        <v>17</v>
      </c>
    </row>
    <row r="235" spans="1:93" s="12" customFormat="1" x14ac:dyDescent="0.25">
      <c r="A235" s="12">
        <v>10123729</v>
      </c>
      <c r="B235" s="12" t="s">
        <v>17</v>
      </c>
    </row>
    <row r="236" spans="1:93" s="12" customFormat="1" x14ac:dyDescent="0.25">
      <c r="A236" s="12">
        <v>10144736</v>
      </c>
      <c r="B236" s="12" t="s">
        <v>17</v>
      </c>
    </row>
    <row r="237" spans="1:93" s="12" customFormat="1" x14ac:dyDescent="0.25">
      <c r="A237" s="12">
        <v>10157275</v>
      </c>
      <c r="B237" s="12" t="s">
        <v>17</v>
      </c>
      <c r="CB237" s="12">
        <v>0</v>
      </c>
      <c r="CC237" s="12">
        <v>0</v>
      </c>
      <c r="CD237" s="12">
        <v>0</v>
      </c>
      <c r="CF237" s="12">
        <v>0</v>
      </c>
    </row>
    <row r="238" spans="1:93" s="12" customFormat="1" x14ac:dyDescent="0.25">
      <c r="A238" s="12">
        <v>10190869</v>
      </c>
      <c r="B238" s="12" t="s">
        <v>17</v>
      </c>
    </row>
    <row r="239" spans="1:93" s="12" customFormat="1" x14ac:dyDescent="0.25">
      <c r="A239" s="12">
        <v>11008417</v>
      </c>
      <c r="B239" s="12" t="s">
        <v>17</v>
      </c>
      <c r="J239" s="12">
        <v>0</v>
      </c>
      <c r="M239" s="12">
        <v>0</v>
      </c>
      <c r="CB239" s="12">
        <v>0</v>
      </c>
      <c r="CC239" s="12">
        <v>0</v>
      </c>
      <c r="CD239" s="12">
        <v>0</v>
      </c>
      <c r="CF239" s="12">
        <v>1</v>
      </c>
      <c r="CK239" s="12">
        <v>1</v>
      </c>
      <c r="CL239" s="12">
        <v>1</v>
      </c>
      <c r="CN239" s="12">
        <v>0</v>
      </c>
      <c r="CO239" s="12">
        <v>0</v>
      </c>
    </row>
    <row r="240" spans="1:93" s="12" customFormat="1" x14ac:dyDescent="0.25">
      <c r="A240" s="12">
        <v>11043926</v>
      </c>
      <c r="B240" s="12" t="s">
        <v>17</v>
      </c>
    </row>
    <row r="241" spans="1:95" s="12" customFormat="1" x14ac:dyDescent="0.25">
      <c r="A241" s="12">
        <v>11049060</v>
      </c>
      <c r="B241" s="12" t="s">
        <v>17</v>
      </c>
      <c r="X241" s="12">
        <v>1</v>
      </c>
      <c r="AI241" s="12">
        <v>0</v>
      </c>
      <c r="CD241" s="12">
        <v>1</v>
      </c>
      <c r="CN241" s="12">
        <v>0</v>
      </c>
    </row>
    <row r="242" spans="1:95" s="12" customFormat="1" x14ac:dyDescent="0.25">
      <c r="A242" s="12">
        <v>11058012</v>
      </c>
      <c r="B242" s="12" t="s">
        <v>17</v>
      </c>
      <c r="CB242" s="12">
        <v>1</v>
      </c>
    </row>
    <row r="243" spans="1:95" s="12" customFormat="1" x14ac:dyDescent="0.25">
      <c r="A243" s="12">
        <v>11082290</v>
      </c>
      <c r="B243" s="12" t="s">
        <v>17</v>
      </c>
    </row>
    <row r="244" spans="1:95" s="12" customFormat="1" x14ac:dyDescent="0.25">
      <c r="A244" s="12">
        <v>11096431</v>
      </c>
      <c r="B244" s="12" t="s">
        <v>17</v>
      </c>
    </row>
    <row r="245" spans="1:95" s="12" customFormat="1" x14ac:dyDescent="0.25">
      <c r="A245" s="12">
        <v>11105672</v>
      </c>
      <c r="B245" s="12" t="s">
        <v>17</v>
      </c>
    </row>
    <row r="246" spans="1:95" s="12" customFormat="1" x14ac:dyDescent="0.25">
      <c r="A246" s="12" t="s">
        <v>18</v>
      </c>
      <c r="B246" s="12" t="s">
        <v>17</v>
      </c>
      <c r="CB246" s="12">
        <v>0</v>
      </c>
      <c r="CC246" s="12">
        <v>0</v>
      </c>
      <c r="CD246" s="12">
        <v>0</v>
      </c>
      <c r="CM246" s="12">
        <v>1</v>
      </c>
      <c r="CN246" s="12">
        <v>0</v>
      </c>
      <c r="CO246" s="12">
        <v>1</v>
      </c>
      <c r="CQ246" s="12">
        <v>0</v>
      </c>
    </row>
    <row r="247" spans="1:95" s="12" customFormat="1" x14ac:dyDescent="0.25">
      <c r="A247" s="12">
        <v>11136262</v>
      </c>
      <c r="B247" s="12" t="s">
        <v>17</v>
      </c>
    </row>
    <row r="248" spans="1:95" s="12" customFormat="1" x14ac:dyDescent="0.25">
      <c r="A248" s="12">
        <v>11178455</v>
      </c>
      <c r="B248" s="12" t="s">
        <v>17</v>
      </c>
      <c r="CB248" s="12">
        <v>0</v>
      </c>
      <c r="CC248" s="12">
        <v>0</v>
      </c>
      <c r="CD248" s="12">
        <v>0</v>
      </c>
    </row>
    <row r="249" spans="1:95" s="12" customFormat="1" x14ac:dyDescent="0.25">
      <c r="A249" s="12">
        <v>11179526</v>
      </c>
      <c r="B249" s="12" t="s">
        <v>17</v>
      </c>
      <c r="CB249" s="12">
        <v>0</v>
      </c>
      <c r="CC249" s="12">
        <v>0</v>
      </c>
      <c r="CD249" s="12">
        <v>0</v>
      </c>
    </row>
    <row r="250" spans="1:95" s="12" customFormat="1" x14ac:dyDescent="0.25">
      <c r="A250" s="12">
        <v>11187511</v>
      </c>
      <c r="B250" s="12" t="s">
        <v>17</v>
      </c>
      <c r="J250" s="12">
        <v>1</v>
      </c>
      <c r="M250" s="12">
        <v>0</v>
      </c>
      <c r="X250" s="12">
        <v>0</v>
      </c>
      <c r="AB250" s="12">
        <v>0</v>
      </c>
      <c r="AC250" s="12">
        <v>0</v>
      </c>
      <c r="AF250" s="12">
        <v>0</v>
      </c>
      <c r="AN250" s="12">
        <v>0</v>
      </c>
      <c r="AO250" s="12">
        <v>0</v>
      </c>
      <c r="AP250" s="12">
        <v>0</v>
      </c>
      <c r="BA250" s="12">
        <v>0</v>
      </c>
      <c r="BD250" s="12">
        <v>0</v>
      </c>
      <c r="CM250" s="12">
        <v>0</v>
      </c>
      <c r="CN250" s="12">
        <v>0</v>
      </c>
      <c r="CO250" s="12">
        <v>0</v>
      </c>
      <c r="CQ250" s="12">
        <v>0</v>
      </c>
    </row>
    <row r="251" spans="1:95" s="12" customFormat="1" x14ac:dyDescent="0.25">
      <c r="A251" s="12">
        <v>11223290</v>
      </c>
      <c r="B251" s="12" t="s">
        <v>17</v>
      </c>
      <c r="J251" s="12">
        <v>1</v>
      </c>
      <c r="K251" s="12">
        <v>0</v>
      </c>
      <c r="X251" s="12">
        <v>0</v>
      </c>
      <c r="AB251" s="12">
        <v>0</v>
      </c>
      <c r="AF251" s="12">
        <v>0</v>
      </c>
      <c r="AN251" s="12">
        <v>0</v>
      </c>
      <c r="AO251" s="12">
        <v>0</v>
      </c>
      <c r="AP251" s="12">
        <v>0</v>
      </c>
      <c r="AZ251" s="12">
        <v>0</v>
      </c>
      <c r="BD251" s="12">
        <v>0</v>
      </c>
      <c r="CD251" s="12">
        <v>0</v>
      </c>
      <c r="CK251" s="12">
        <v>0</v>
      </c>
      <c r="CM251" s="12">
        <v>0</v>
      </c>
      <c r="CO251" s="12">
        <v>0</v>
      </c>
    </row>
    <row r="252" spans="1:95" s="12" customFormat="1" x14ac:dyDescent="0.25">
      <c r="A252" s="12">
        <v>11228365</v>
      </c>
      <c r="B252" s="12" t="s">
        <v>17</v>
      </c>
    </row>
    <row r="253" spans="1:95" s="12" customFormat="1" x14ac:dyDescent="0.25">
      <c r="A253" s="12">
        <v>12020246</v>
      </c>
      <c r="B253" s="12" t="s">
        <v>17</v>
      </c>
    </row>
    <row r="254" spans="1:95" s="12" customFormat="1" x14ac:dyDescent="0.25">
      <c r="A254" s="12">
        <v>12035138</v>
      </c>
      <c r="B254" s="12" t="s">
        <v>17</v>
      </c>
    </row>
    <row r="255" spans="1:95" s="12" customFormat="1" x14ac:dyDescent="0.25">
      <c r="A255" s="12">
        <v>12111578</v>
      </c>
      <c r="B255" s="12" t="s">
        <v>17</v>
      </c>
      <c r="CB255" s="12">
        <v>0</v>
      </c>
      <c r="CC255" s="12">
        <v>0</v>
      </c>
    </row>
    <row r="256" spans="1:95" s="12" customFormat="1" x14ac:dyDescent="0.25">
      <c r="A256" s="12">
        <v>12133434</v>
      </c>
      <c r="B256" s="12" t="s">
        <v>17</v>
      </c>
    </row>
    <row r="257" spans="1:106" s="12" customFormat="1" x14ac:dyDescent="0.25">
      <c r="A257" s="12">
        <v>12164268</v>
      </c>
      <c r="B257" s="12" t="s">
        <v>17</v>
      </c>
    </row>
    <row r="258" spans="1:106" s="12" customFormat="1" x14ac:dyDescent="0.25">
      <c r="A258" s="12">
        <v>12164269</v>
      </c>
      <c r="B258" s="12" t="s">
        <v>17</v>
      </c>
      <c r="CB258" s="12">
        <v>0</v>
      </c>
      <c r="CC258" s="12">
        <v>0</v>
      </c>
      <c r="CD258" s="12">
        <v>0</v>
      </c>
    </row>
    <row r="259" spans="1:106" s="12" customFormat="1" x14ac:dyDescent="0.25">
      <c r="A259" s="12">
        <v>12168562</v>
      </c>
      <c r="B259" s="12" t="s">
        <v>17</v>
      </c>
      <c r="I259" s="12">
        <v>0</v>
      </c>
      <c r="L259" s="12">
        <v>0</v>
      </c>
      <c r="M259" s="12">
        <v>0</v>
      </c>
      <c r="O259" s="12">
        <v>0</v>
      </c>
      <c r="CB259" s="12">
        <v>0</v>
      </c>
      <c r="CC259" s="12">
        <v>0</v>
      </c>
      <c r="CD259" s="12">
        <v>0</v>
      </c>
    </row>
    <row r="260" spans="1:106" s="12" customFormat="1" x14ac:dyDescent="0.25">
      <c r="A260" s="12">
        <v>12190939</v>
      </c>
      <c r="B260" s="12" t="s">
        <v>17</v>
      </c>
    </row>
    <row r="261" spans="1:106" s="12" customFormat="1" x14ac:dyDescent="0.25">
      <c r="A261" s="12">
        <v>12311081</v>
      </c>
      <c r="B261" s="12" t="s">
        <v>17</v>
      </c>
    </row>
    <row r="262" spans="1:106" s="12" customFormat="1" x14ac:dyDescent="0.25">
      <c r="A262" s="12">
        <v>6000832</v>
      </c>
      <c r="B262" s="12" t="s">
        <v>17</v>
      </c>
      <c r="Z262" s="12">
        <v>0</v>
      </c>
      <c r="AA262" s="12">
        <v>0</v>
      </c>
      <c r="BD262" s="12">
        <v>0</v>
      </c>
      <c r="CN262" s="12">
        <v>0</v>
      </c>
    </row>
    <row r="263" spans="1:106" s="12" customFormat="1" x14ac:dyDescent="0.25">
      <c r="A263" s="12">
        <v>9030615</v>
      </c>
      <c r="B263" s="12" t="s">
        <v>17</v>
      </c>
    </row>
    <row r="264" spans="1:106" s="12" customFormat="1" x14ac:dyDescent="0.25">
      <c r="A264" s="12" t="s">
        <v>19</v>
      </c>
      <c r="B264" s="12" t="s">
        <v>17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BP264" s="12">
        <v>0</v>
      </c>
      <c r="BQ264" s="12">
        <v>0</v>
      </c>
      <c r="BR264" s="12">
        <v>0</v>
      </c>
      <c r="BS264" s="12">
        <v>0</v>
      </c>
      <c r="BT264" s="12">
        <v>0</v>
      </c>
      <c r="BX264" s="12">
        <v>0</v>
      </c>
    </row>
    <row r="265" spans="1:106" s="12" customFormat="1" x14ac:dyDescent="0.25">
      <c r="A265" s="12" t="s">
        <v>20</v>
      </c>
      <c r="B265" s="12" t="s">
        <v>17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CG265" s="13"/>
      <c r="CH265" s="13"/>
      <c r="CI265" s="13"/>
      <c r="CJ265" s="13"/>
      <c r="CK265" s="13"/>
      <c r="CL265" s="13"/>
    </row>
    <row r="266" spans="1:106" s="12" customFormat="1" x14ac:dyDescent="0.25">
      <c r="C266" s="12">
        <f>COUNTA(C191:C265)</f>
        <v>0</v>
      </c>
      <c r="D266" s="12">
        <f t="shared" ref="D266:BO266" si="14">COUNTA(D191:D265)</f>
        <v>0</v>
      </c>
      <c r="E266" s="12">
        <f t="shared" si="14"/>
        <v>0</v>
      </c>
      <c r="F266" s="12">
        <f t="shared" si="14"/>
        <v>0</v>
      </c>
      <c r="G266" s="12">
        <f t="shared" si="14"/>
        <v>0</v>
      </c>
      <c r="H266" s="12">
        <f t="shared" si="14"/>
        <v>0</v>
      </c>
      <c r="I266" s="12">
        <f t="shared" si="14"/>
        <v>1</v>
      </c>
      <c r="J266" s="12">
        <f t="shared" si="14"/>
        <v>5</v>
      </c>
      <c r="K266" s="12">
        <f t="shared" si="14"/>
        <v>1</v>
      </c>
      <c r="L266" s="12">
        <f t="shared" si="14"/>
        <v>4</v>
      </c>
      <c r="M266" s="12">
        <f t="shared" si="14"/>
        <v>7</v>
      </c>
      <c r="N266" s="12">
        <f t="shared" si="14"/>
        <v>1</v>
      </c>
      <c r="O266" s="12">
        <f t="shared" si="14"/>
        <v>5</v>
      </c>
      <c r="P266" s="12">
        <f t="shared" si="14"/>
        <v>3</v>
      </c>
      <c r="Q266" s="12">
        <f t="shared" si="14"/>
        <v>2</v>
      </c>
      <c r="R266" s="12">
        <f t="shared" si="14"/>
        <v>1</v>
      </c>
      <c r="S266" s="12">
        <f t="shared" si="14"/>
        <v>1</v>
      </c>
      <c r="T266" s="12">
        <f t="shared" si="14"/>
        <v>1</v>
      </c>
      <c r="U266" s="12">
        <f t="shared" si="14"/>
        <v>0</v>
      </c>
      <c r="V266" s="12">
        <f t="shared" si="14"/>
        <v>0</v>
      </c>
      <c r="W266" s="12">
        <f t="shared" si="14"/>
        <v>0</v>
      </c>
      <c r="X266" s="12">
        <f t="shared" si="14"/>
        <v>7</v>
      </c>
      <c r="Y266" s="12">
        <f t="shared" si="14"/>
        <v>0</v>
      </c>
      <c r="Z266" s="12">
        <f t="shared" si="14"/>
        <v>1</v>
      </c>
      <c r="AA266" s="12">
        <f t="shared" si="14"/>
        <v>1</v>
      </c>
      <c r="AB266" s="12">
        <f t="shared" si="14"/>
        <v>2</v>
      </c>
      <c r="AC266" s="12">
        <f t="shared" si="14"/>
        <v>1</v>
      </c>
      <c r="AD266" s="12">
        <f t="shared" si="14"/>
        <v>0</v>
      </c>
      <c r="AE266" s="12">
        <f t="shared" si="14"/>
        <v>0</v>
      </c>
      <c r="AF266" s="12">
        <f t="shared" si="14"/>
        <v>2</v>
      </c>
      <c r="AG266" s="12">
        <f t="shared" si="14"/>
        <v>0</v>
      </c>
      <c r="AH266" s="12">
        <f t="shared" si="14"/>
        <v>0</v>
      </c>
      <c r="AI266" s="12">
        <f t="shared" si="14"/>
        <v>1</v>
      </c>
      <c r="AJ266" s="12">
        <f t="shared" si="14"/>
        <v>0</v>
      </c>
      <c r="AK266" s="12">
        <f t="shared" si="14"/>
        <v>0</v>
      </c>
      <c r="AL266" s="12">
        <f t="shared" si="14"/>
        <v>0</v>
      </c>
      <c r="AM266" s="12">
        <f t="shared" si="14"/>
        <v>0</v>
      </c>
      <c r="AN266" s="12">
        <f t="shared" si="14"/>
        <v>2</v>
      </c>
      <c r="AO266" s="12">
        <f t="shared" si="14"/>
        <v>3</v>
      </c>
      <c r="AP266" s="12">
        <f t="shared" si="14"/>
        <v>2</v>
      </c>
      <c r="AQ266" s="12">
        <f t="shared" si="14"/>
        <v>0</v>
      </c>
      <c r="AR266" s="12">
        <f t="shared" si="14"/>
        <v>0</v>
      </c>
      <c r="AS266" s="12">
        <f t="shared" si="14"/>
        <v>0</v>
      </c>
      <c r="AT266" s="12">
        <f t="shared" si="14"/>
        <v>1</v>
      </c>
      <c r="AU266" s="12">
        <f t="shared" si="14"/>
        <v>1</v>
      </c>
      <c r="AV266" s="12">
        <f t="shared" si="14"/>
        <v>1</v>
      </c>
      <c r="AW266" s="12">
        <f t="shared" si="14"/>
        <v>1</v>
      </c>
      <c r="AX266" s="12">
        <f t="shared" si="14"/>
        <v>1</v>
      </c>
      <c r="AY266" s="12">
        <f t="shared" si="14"/>
        <v>1</v>
      </c>
      <c r="AZ266" s="12">
        <f t="shared" si="14"/>
        <v>2</v>
      </c>
      <c r="BA266" s="12">
        <f t="shared" si="14"/>
        <v>3</v>
      </c>
      <c r="BB266" s="12">
        <f t="shared" si="14"/>
        <v>1</v>
      </c>
      <c r="BC266" s="12">
        <f t="shared" si="14"/>
        <v>1</v>
      </c>
      <c r="BD266" s="12">
        <f t="shared" si="14"/>
        <v>6</v>
      </c>
      <c r="BE266" s="12">
        <f t="shared" si="14"/>
        <v>1</v>
      </c>
      <c r="BF266" s="12">
        <f t="shared" si="14"/>
        <v>0</v>
      </c>
      <c r="BG266" s="12">
        <f t="shared" si="14"/>
        <v>1</v>
      </c>
      <c r="BH266" s="12">
        <f t="shared" si="14"/>
        <v>0</v>
      </c>
      <c r="BI266" s="12">
        <f t="shared" si="14"/>
        <v>0</v>
      </c>
      <c r="BJ266" s="12">
        <f t="shared" si="14"/>
        <v>1</v>
      </c>
      <c r="BK266" s="12">
        <f t="shared" si="14"/>
        <v>0</v>
      </c>
      <c r="BL266" s="12">
        <f t="shared" si="14"/>
        <v>0</v>
      </c>
      <c r="BM266" s="12">
        <f t="shared" si="14"/>
        <v>0</v>
      </c>
      <c r="BN266" s="12">
        <f t="shared" si="14"/>
        <v>0</v>
      </c>
      <c r="BO266" s="12">
        <f t="shared" si="14"/>
        <v>0</v>
      </c>
      <c r="BP266" s="12">
        <f t="shared" ref="BP266:DB266" si="15">COUNTA(BP191:BP265)</f>
        <v>1</v>
      </c>
      <c r="BQ266" s="12">
        <f t="shared" si="15"/>
        <v>2</v>
      </c>
      <c r="BR266" s="12">
        <f t="shared" si="15"/>
        <v>2</v>
      </c>
      <c r="BS266" s="12">
        <f t="shared" si="15"/>
        <v>2</v>
      </c>
      <c r="BT266" s="12">
        <f t="shared" si="15"/>
        <v>1</v>
      </c>
      <c r="BU266" s="12">
        <f t="shared" si="15"/>
        <v>0</v>
      </c>
      <c r="BV266" s="12">
        <f t="shared" si="15"/>
        <v>0</v>
      </c>
      <c r="BW266" s="12">
        <f t="shared" si="15"/>
        <v>0</v>
      </c>
      <c r="BX266" s="12">
        <f t="shared" si="15"/>
        <v>1</v>
      </c>
      <c r="BY266" s="12">
        <f t="shared" si="15"/>
        <v>0</v>
      </c>
      <c r="BZ266" s="12">
        <f t="shared" si="15"/>
        <v>0</v>
      </c>
      <c r="CA266" s="12">
        <f t="shared" si="15"/>
        <v>0</v>
      </c>
      <c r="CB266" s="12">
        <f t="shared" si="15"/>
        <v>18</v>
      </c>
      <c r="CC266" s="12">
        <f t="shared" si="15"/>
        <v>14</v>
      </c>
      <c r="CD266" s="12">
        <f t="shared" si="15"/>
        <v>18</v>
      </c>
      <c r="CE266" s="12">
        <f t="shared" si="15"/>
        <v>0</v>
      </c>
      <c r="CF266" s="12">
        <f t="shared" si="15"/>
        <v>3</v>
      </c>
      <c r="CG266" s="12">
        <f t="shared" si="15"/>
        <v>1</v>
      </c>
      <c r="CH266" s="12">
        <f t="shared" si="15"/>
        <v>1</v>
      </c>
      <c r="CI266" s="12">
        <f t="shared" si="15"/>
        <v>0</v>
      </c>
      <c r="CJ266" s="12">
        <f t="shared" si="15"/>
        <v>0</v>
      </c>
      <c r="CK266" s="12">
        <f t="shared" si="15"/>
        <v>3</v>
      </c>
      <c r="CL266" s="12">
        <f t="shared" si="15"/>
        <v>1</v>
      </c>
      <c r="CM266" s="12">
        <f t="shared" si="15"/>
        <v>7</v>
      </c>
      <c r="CN266" s="12">
        <f t="shared" si="15"/>
        <v>9</v>
      </c>
      <c r="CO266" s="12">
        <f t="shared" si="15"/>
        <v>7</v>
      </c>
      <c r="CP266" s="12">
        <f t="shared" si="15"/>
        <v>0</v>
      </c>
      <c r="CQ266" s="12">
        <f t="shared" si="15"/>
        <v>2</v>
      </c>
      <c r="CR266" s="12">
        <f t="shared" si="15"/>
        <v>0</v>
      </c>
      <c r="CS266" s="12">
        <f t="shared" si="15"/>
        <v>1</v>
      </c>
      <c r="CT266" s="12">
        <f t="shared" si="15"/>
        <v>0</v>
      </c>
      <c r="CU266" s="12">
        <f t="shared" si="15"/>
        <v>0</v>
      </c>
      <c r="CV266" s="12">
        <f t="shared" si="15"/>
        <v>1</v>
      </c>
      <c r="CW266" s="12">
        <f t="shared" si="15"/>
        <v>0</v>
      </c>
      <c r="CX266" s="12">
        <f t="shared" si="15"/>
        <v>1</v>
      </c>
      <c r="CY266" s="12">
        <f t="shared" si="15"/>
        <v>1</v>
      </c>
      <c r="CZ266" s="12">
        <f t="shared" si="15"/>
        <v>0</v>
      </c>
      <c r="DA266" s="12">
        <f t="shared" si="15"/>
        <v>0</v>
      </c>
      <c r="DB266" s="12">
        <f t="shared" si="15"/>
        <v>0</v>
      </c>
    </row>
    <row r="267" spans="1:106" s="12" customFormat="1" x14ac:dyDescent="0.25">
      <c r="A267" s="12">
        <v>5281</v>
      </c>
      <c r="B267" s="12" t="s">
        <v>21</v>
      </c>
    </row>
    <row r="268" spans="1:106" s="12" customFormat="1" x14ac:dyDescent="0.25">
      <c r="A268" s="12">
        <v>200085</v>
      </c>
      <c r="B268" s="12" t="s">
        <v>21</v>
      </c>
      <c r="CB268" s="12">
        <v>1</v>
      </c>
      <c r="CE268" s="12">
        <v>0</v>
      </c>
      <c r="CF268" s="12">
        <v>0</v>
      </c>
      <c r="CH268" s="12">
        <v>0</v>
      </c>
      <c r="CN268" s="12">
        <v>0</v>
      </c>
      <c r="CO268" s="12">
        <v>0</v>
      </c>
      <c r="CT268" s="12">
        <v>0</v>
      </c>
      <c r="CV268" s="12">
        <v>0</v>
      </c>
      <c r="CW268" s="12">
        <v>0</v>
      </c>
    </row>
    <row r="269" spans="1:106" s="12" customFormat="1" x14ac:dyDescent="0.25">
      <c r="A269" s="12">
        <v>500129</v>
      </c>
      <c r="B269" s="12" t="s">
        <v>21</v>
      </c>
    </row>
    <row r="270" spans="1:106" s="12" customFormat="1" x14ac:dyDescent="0.25">
      <c r="A270" s="16">
        <v>1002033</v>
      </c>
      <c r="B270" s="12" t="s">
        <v>21</v>
      </c>
    </row>
    <row r="271" spans="1:106" s="12" customFormat="1" x14ac:dyDescent="0.25">
      <c r="A271" s="12">
        <v>1003457</v>
      </c>
      <c r="B271" s="12" t="s">
        <v>21</v>
      </c>
    </row>
    <row r="272" spans="1:106" s="12" customFormat="1" x14ac:dyDescent="0.25">
      <c r="A272" s="12">
        <v>2005223</v>
      </c>
      <c r="B272" s="12" t="s">
        <v>21</v>
      </c>
    </row>
    <row r="273" spans="1:95" s="12" customFormat="1" x14ac:dyDescent="0.25">
      <c r="A273" s="12">
        <v>2006107</v>
      </c>
      <c r="B273" s="12" t="s">
        <v>21</v>
      </c>
    </row>
    <row r="274" spans="1:95" s="12" customFormat="1" x14ac:dyDescent="0.25">
      <c r="A274" s="12">
        <v>2012014</v>
      </c>
      <c r="B274" s="12" t="s">
        <v>21</v>
      </c>
      <c r="I274" s="12">
        <v>1</v>
      </c>
      <c r="J274" s="12">
        <v>1</v>
      </c>
      <c r="K274" s="12">
        <v>0</v>
      </c>
      <c r="Q274" s="12">
        <v>1</v>
      </c>
      <c r="S274" s="12">
        <v>1</v>
      </c>
      <c r="T274" s="12">
        <v>0</v>
      </c>
      <c r="Y274" s="12">
        <v>1</v>
      </c>
      <c r="BP274" s="12">
        <v>0</v>
      </c>
      <c r="BR274" s="12">
        <v>0</v>
      </c>
      <c r="BS274" s="12">
        <v>1</v>
      </c>
      <c r="CD274" s="12">
        <v>0</v>
      </c>
      <c r="CG274" s="12">
        <v>0</v>
      </c>
      <c r="CM274" s="5">
        <v>0</v>
      </c>
      <c r="CN274" s="12">
        <v>0</v>
      </c>
      <c r="CO274" s="12">
        <v>0</v>
      </c>
    </row>
    <row r="275" spans="1:95" s="12" customFormat="1" x14ac:dyDescent="0.25">
      <c r="A275" s="12">
        <v>3000152</v>
      </c>
      <c r="B275" s="12" t="s">
        <v>21</v>
      </c>
      <c r="J275" s="12">
        <v>0</v>
      </c>
      <c r="L275" s="12">
        <v>0</v>
      </c>
      <c r="M275" s="12">
        <v>0</v>
      </c>
      <c r="O275" s="12">
        <v>0</v>
      </c>
      <c r="X275" s="12">
        <v>0</v>
      </c>
      <c r="Z275" s="12">
        <v>0</v>
      </c>
      <c r="AA275" s="12">
        <v>0</v>
      </c>
      <c r="AY275" s="12">
        <v>0</v>
      </c>
      <c r="BA275" s="12">
        <v>0</v>
      </c>
      <c r="BB275" s="12">
        <v>0</v>
      </c>
      <c r="BD275" s="12">
        <v>0</v>
      </c>
      <c r="BF275" s="12">
        <v>0</v>
      </c>
      <c r="CB275" s="12">
        <v>1</v>
      </c>
      <c r="CD275" s="12">
        <v>0</v>
      </c>
      <c r="CH275" s="12">
        <v>0</v>
      </c>
      <c r="CK275" s="12">
        <v>0</v>
      </c>
      <c r="CM275" s="12">
        <v>1</v>
      </c>
      <c r="CN275" s="12">
        <v>0</v>
      </c>
      <c r="CO275" s="12">
        <v>0</v>
      </c>
      <c r="CQ275" s="12">
        <v>0</v>
      </c>
    </row>
    <row r="276" spans="1:95" s="12" customFormat="1" x14ac:dyDescent="0.25">
      <c r="A276" s="12">
        <v>3014566</v>
      </c>
      <c r="B276" s="12" t="s">
        <v>21</v>
      </c>
    </row>
    <row r="277" spans="1:95" s="12" customFormat="1" x14ac:dyDescent="0.25">
      <c r="A277" s="12">
        <v>3015058</v>
      </c>
      <c r="B277" s="12" t="s">
        <v>21</v>
      </c>
      <c r="L277" s="12">
        <v>0</v>
      </c>
      <c r="M277" s="12">
        <v>0</v>
      </c>
      <c r="CB277" s="12">
        <v>0</v>
      </c>
      <c r="CC277" s="12">
        <v>0</v>
      </c>
      <c r="CD277" s="12">
        <v>0</v>
      </c>
      <c r="CF277" s="12">
        <v>0</v>
      </c>
      <c r="CM277" s="5">
        <v>0</v>
      </c>
    </row>
    <row r="278" spans="1:95" s="12" customFormat="1" x14ac:dyDescent="0.25">
      <c r="A278" s="16">
        <v>4000996</v>
      </c>
      <c r="B278" s="12" t="s">
        <v>21</v>
      </c>
    </row>
    <row r="279" spans="1:95" s="12" customFormat="1" x14ac:dyDescent="0.25">
      <c r="A279" s="12">
        <v>4003768</v>
      </c>
      <c r="B279" s="12" t="s">
        <v>21</v>
      </c>
    </row>
    <row r="280" spans="1:95" s="12" customFormat="1" x14ac:dyDescent="0.25">
      <c r="A280" s="12">
        <v>4006540</v>
      </c>
      <c r="B280" s="12" t="s">
        <v>21</v>
      </c>
    </row>
    <row r="281" spans="1:95" s="12" customFormat="1" x14ac:dyDescent="0.25">
      <c r="A281" s="12">
        <v>4007054</v>
      </c>
      <c r="B281" s="12" t="s">
        <v>21</v>
      </c>
    </row>
    <row r="282" spans="1:95" s="12" customFormat="1" x14ac:dyDescent="0.25">
      <c r="A282" s="12">
        <v>4011002</v>
      </c>
      <c r="B282" s="12" t="s">
        <v>21</v>
      </c>
    </row>
    <row r="283" spans="1:95" s="12" customFormat="1" x14ac:dyDescent="0.25">
      <c r="A283" s="12">
        <v>4900268</v>
      </c>
      <c r="B283" s="12" t="s">
        <v>21</v>
      </c>
    </row>
    <row r="284" spans="1:95" s="12" customFormat="1" x14ac:dyDescent="0.25">
      <c r="A284" s="12">
        <v>5001097</v>
      </c>
      <c r="B284" s="12" t="s">
        <v>21</v>
      </c>
    </row>
    <row r="285" spans="1:95" s="12" customFormat="1" x14ac:dyDescent="0.25">
      <c r="A285" s="12">
        <v>5001098</v>
      </c>
      <c r="B285" s="12" t="s">
        <v>21</v>
      </c>
    </row>
    <row r="286" spans="1:95" s="12" customFormat="1" x14ac:dyDescent="0.25">
      <c r="A286" s="12">
        <v>5006152</v>
      </c>
      <c r="B286" s="12" t="s">
        <v>21</v>
      </c>
    </row>
    <row r="287" spans="1:95" s="12" customFormat="1" x14ac:dyDescent="0.25">
      <c r="A287" s="12">
        <v>5011824</v>
      </c>
      <c r="B287" s="12" t="s">
        <v>21</v>
      </c>
    </row>
    <row r="288" spans="1:95" s="12" customFormat="1" x14ac:dyDescent="0.25">
      <c r="A288" s="12">
        <v>5016179</v>
      </c>
      <c r="B288" s="12" t="s">
        <v>21</v>
      </c>
    </row>
    <row r="289" spans="1:99" s="12" customFormat="1" x14ac:dyDescent="0.25">
      <c r="A289" s="12">
        <v>7079011</v>
      </c>
      <c r="B289" s="12" t="s">
        <v>21</v>
      </c>
    </row>
    <row r="290" spans="1:99" s="12" customFormat="1" x14ac:dyDescent="0.25">
      <c r="A290" s="12">
        <v>8135416</v>
      </c>
      <c r="B290" s="12" t="s">
        <v>21</v>
      </c>
    </row>
    <row r="291" spans="1:99" s="12" customFormat="1" x14ac:dyDescent="0.25">
      <c r="A291" s="12">
        <v>93018945</v>
      </c>
      <c r="B291" s="12" t="s">
        <v>21</v>
      </c>
    </row>
    <row r="292" spans="1:99" s="12" customFormat="1" x14ac:dyDescent="0.25">
      <c r="A292" s="12">
        <v>94009028</v>
      </c>
      <c r="B292" s="12" t="s">
        <v>21</v>
      </c>
      <c r="CB292" s="12">
        <v>1</v>
      </c>
      <c r="CC292" s="12">
        <v>1</v>
      </c>
    </row>
    <row r="293" spans="1:99" s="12" customFormat="1" x14ac:dyDescent="0.25">
      <c r="A293" s="12">
        <v>95005907</v>
      </c>
      <c r="B293" s="12" t="s">
        <v>21</v>
      </c>
    </row>
    <row r="294" spans="1:99" s="12" customFormat="1" x14ac:dyDescent="0.25">
      <c r="A294" s="12">
        <v>95900164</v>
      </c>
      <c r="B294" s="12" t="s">
        <v>21</v>
      </c>
      <c r="CN294" s="12">
        <v>0</v>
      </c>
    </row>
    <row r="295" spans="1:99" s="12" customFormat="1" x14ac:dyDescent="0.25">
      <c r="A295" s="12">
        <v>96015811</v>
      </c>
      <c r="B295" s="12" t="s">
        <v>21</v>
      </c>
    </row>
    <row r="296" spans="1:99" s="12" customFormat="1" x14ac:dyDescent="0.25">
      <c r="A296" s="12">
        <v>97001240</v>
      </c>
      <c r="B296" s="12" t="s">
        <v>21</v>
      </c>
      <c r="I296" s="12">
        <v>1</v>
      </c>
      <c r="X296" s="12">
        <v>0</v>
      </c>
      <c r="Z296" s="12">
        <v>0</v>
      </c>
      <c r="AA296" s="12">
        <v>0</v>
      </c>
      <c r="BO296" s="12">
        <v>0</v>
      </c>
      <c r="BP296" s="12">
        <v>0</v>
      </c>
      <c r="BR296" s="12">
        <v>0</v>
      </c>
      <c r="BS296" s="12">
        <v>1</v>
      </c>
      <c r="CU296" s="12">
        <v>1</v>
      </c>
    </row>
    <row r="297" spans="1:99" s="12" customFormat="1" x14ac:dyDescent="0.25">
      <c r="A297" s="12">
        <v>97005366</v>
      </c>
      <c r="B297" s="12" t="s">
        <v>21</v>
      </c>
    </row>
    <row r="298" spans="1:99" s="12" customFormat="1" x14ac:dyDescent="0.25">
      <c r="A298" s="12">
        <v>98000595</v>
      </c>
      <c r="B298" s="12" t="s">
        <v>21</v>
      </c>
    </row>
    <row r="299" spans="1:99" s="12" customFormat="1" x14ac:dyDescent="0.25">
      <c r="A299" s="12">
        <v>98002692</v>
      </c>
      <c r="B299" s="12" t="s">
        <v>21</v>
      </c>
    </row>
    <row r="300" spans="1:99" s="12" customFormat="1" x14ac:dyDescent="0.25">
      <c r="A300" s="12">
        <v>98005277</v>
      </c>
      <c r="B300" s="12" t="s">
        <v>21</v>
      </c>
    </row>
    <row r="301" spans="1:99" s="12" customFormat="1" x14ac:dyDescent="0.25">
      <c r="A301" s="12">
        <v>99001815</v>
      </c>
      <c r="B301" s="12" t="s">
        <v>21</v>
      </c>
    </row>
    <row r="302" spans="1:99" s="12" customFormat="1" x14ac:dyDescent="0.25">
      <c r="A302" s="12">
        <v>6012361</v>
      </c>
      <c r="B302" s="12" t="s">
        <v>21</v>
      </c>
    </row>
    <row r="303" spans="1:99" s="12" customFormat="1" x14ac:dyDescent="0.25">
      <c r="A303" s="12">
        <v>6015793</v>
      </c>
      <c r="B303" s="12" t="s">
        <v>21</v>
      </c>
    </row>
    <row r="304" spans="1:99" s="12" customFormat="1" x14ac:dyDescent="0.25">
      <c r="A304" s="12">
        <v>6043619</v>
      </c>
      <c r="B304" s="12" t="s">
        <v>21</v>
      </c>
    </row>
    <row r="305" spans="1:95" s="12" customFormat="1" x14ac:dyDescent="0.25">
      <c r="A305" s="12">
        <v>7001097</v>
      </c>
      <c r="B305" s="12" t="s">
        <v>21</v>
      </c>
    </row>
    <row r="306" spans="1:95" s="12" customFormat="1" x14ac:dyDescent="0.25">
      <c r="A306" s="12">
        <v>7011435</v>
      </c>
      <c r="B306" s="12" t="s">
        <v>21</v>
      </c>
    </row>
    <row r="307" spans="1:95" s="12" customFormat="1" x14ac:dyDescent="0.25">
      <c r="A307" s="12">
        <v>7045811</v>
      </c>
      <c r="B307" s="12" t="s">
        <v>21</v>
      </c>
    </row>
    <row r="308" spans="1:95" s="12" customFormat="1" x14ac:dyDescent="0.25">
      <c r="A308" s="12">
        <v>7071198</v>
      </c>
      <c r="B308" s="12" t="s">
        <v>21</v>
      </c>
      <c r="BQ308" s="12">
        <v>1</v>
      </c>
    </row>
    <row r="309" spans="1:95" s="12" customFormat="1" x14ac:dyDescent="0.25">
      <c r="A309" s="12">
        <v>7101143</v>
      </c>
      <c r="B309" s="12" t="s">
        <v>21</v>
      </c>
    </row>
    <row r="310" spans="1:95" s="12" customFormat="1" x14ac:dyDescent="0.25">
      <c r="A310" s="12">
        <v>8073350</v>
      </c>
      <c r="B310" s="12" t="s">
        <v>21</v>
      </c>
    </row>
    <row r="311" spans="1:95" s="12" customFormat="1" x14ac:dyDescent="0.25">
      <c r="A311" s="12">
        <v>8073645</v>
      </c>
      <c r="B311" s="12" t="s">
        <v>21</v>
      </c>
    </row>
    <row r="312" spans="1:95" s="12" customFormat="1" x14ac:dyDescent="0.25">
      <c r="A312" s="16">
        <v>8089666</v>
      </c>
      <c r="B312" s="12" t="s">
        <v>21</v>
      </c>
    </row>
    <row r="313" spans="1:95" s="12" customFormat="1" x14ac:dyDescent="0.25">
      <c r="A313" s="12">
        <v>8103536</v>
      </c>
      <c r="B313" s="12" t="s">
        <v>21</v>
      </c>
      <c r="X313" s="12">
        <v>1</v>
      </c>
    </row>
    <row r="314" spans="1:95" s="12" customFormat="1" x14ac:dyDescent="0.25">
      <c r="A314" s="12" t="s">
        <v>22</v>
      </c>
      <c r="B314" s="12" t="s">
        <v>21</v>
      </c>
    </row>
    <row r="315" spans="1:95" s="12" customFormat="1" x14ac:dyDescent="0.25">
      <c r="A315" s="12">
        <v>9003267</v>
      </c>
      <c r="B315" s="12" t="s">
        <v>21</v>
      </c>
      <c r="M315" s="12">
        <v>0</v>
      </c>
      <c r="O315" s="12">
        <v>0</v>
      </c>
      <c r="W315" s="12">
        <v>0</v>
      </c>
    </row>
    <row r="316" spans="1:95" s="12" customFormat="1" x14ac:dyDescent="0.25">
      <c r="A316" s="12">
        <v>9036964</v>
      </c>
      <c r="B316" s="12" t="s">
        <v>21</v>
      </c>
      <c r="AD316" s="12">
        <v>0</v>
      </c>
      <c r="AV316" s="12">
        <v>0</v>
      </c>
      <c r="AW316" s="12">
        <v>0</v>
      </c>
      <c r="AZ316" s="12">
        <v>0</v>
      </c>
      <c r="BA316" s="12">
        <v>0</v>
      </c>
      <c r="BE316" s="12">
        <v>0</v>
      </c>
      <c r="BI316" s="12">
        <v>0</v>
      </c>
      <c r="BJ316" s="12">
        <v>0</v>
      </c>
      <c r="BM316" s="12">
        <v>0</v>
      </c>
      <c r="CB316" s="12">
        <v>0</v>
      </c>
      <c r="CC316" s="12">
        <v>0</v>
      </c>
      <c r="CD316" s="12">
        <v>0</v>
      </c>
      <c r="CF316" s="12">
        <v>0</v>
      </c>
      <c r="CM316" s="5">
        <v>1</v>
      </c>
      <c r="CN316" s="12">
        <v>0</v>
      </c>
      <c r="CO316" s="12">
        <v>0</v>
      </c>
    </row>
    <row r="317" spans="1:95" s="12" customFormat="1" x14ac:dyDescent="0.25">
      <c r="A317" s="12">
        <v>9090287</v>
      </c>
      <c r="B317" s="12" t="s">
        <v>21</v>
      </c>
      <c r="CI317" s="12">
        <v>0</v>
      </c>
      <c r="CJ317" s="12">
        <v>0</v>
      </c>
      <c r="CN317" s="12">
        <v>0</v>
      </c>
      <c r="CP317" s="12">
        <v>0</v>
      </c>
      <c r="CQ317" s="12">
        <v>0</v>
      </c>
    </row>
    <row r="318" spans="1:95" s="12" customFormat="1" x14ac:dyDescent="0.25">
      <c r="A318" s="12">
        <v>9095148</v>
      </c>
      <c r="B318" s="12" t="s">
        <v>21</v>
      </c>
      <c r="O318" s="12">
        <v>1</v>
      </c>
    </row>
    <row r="319" spans="1:95" s="12" customFormat="1" x14ac:dyDescent="0.25">
      <c r="A319" s="12">
        <v>9104979</v>
      </c>
      <c r="B319" s="12" t="s">
        <v>21</v>
      </c>
    </row>
    <row r="320" spans="1:95" s="12" customFormat="1" x14ac:dyDescent="0.25">
      <c r="A320" s="12">
        <v>9139514</v>
      </c>
      <c r="B320" s="12" t="s">
        <v>21</v>
      </c>
    </row>
    <row r="321" spans="1:103" s="12" customFormat="1" x14ac:dyDescent="0.25">
      <c r="A321" s="12">
        <v>10020659</v>
      </c>
      <c r="B321" s="12" t="s">
        <v>21</v>
      </c>
      <c r="CB321" s="12">
        <v>0</v>
      </c>
      <c r="CC321" s="12">
        <v>0</v>
      </c>
      <c r="CD321" s="12">
        <v>0</v>
      </c>
    </row>
    <row r="322" spans="1:103" s="12" customFormat="1" x14ac:dyDescent="0.25">
      <c r="A322" s="12">
        <v>10025902</v>
      </c>
      <c r="B322" s="12" t="s">
        <v>21</v>
      </c>
      <c r="J322" s="12">
        <v>0</v>
      </c>
      <c r="BP322" s="12">
        <v>0</v>
      </c>
      <c r="CC322" s="12">
        <v>1</v>
      </c>
    </row>
    <row r="323" spans="1:103" s="12" customFormat="1" x14ac:dyDescent="0.25">
      <c r="A323" s="12">
        <v>10027654</v>
      </c>
      <c r="B323" s="12" t="s">
        <v>21</v>
      </c>
      <c r="M323" s="12">
        <v>0</v>
      </c>
      <c r="N323" s="12">
        <v>1</v>
      </c>
      <c r="O323" s="12">
        <v>0</v>
      </c>
      <c r="Z323" s="12">
        <v>0</v>
      </c>
      <c r="AA323" s="12">
        <v>0</v>
      </c>
      <c r="CB323" s="12">
        <v>0</v>
      </c>
      <c r="CC323" s="12">
        <v>0</v>
      </c>
      <c r="CD323" s="12">
        <v>0</v>
      </c>
    </row>
    <row r="324" spans="1:103" s="12" customFormat="1" x14ac:dyDescent="0.25">
      <c r="A324" s="12">
        <v>10084485</v>
      </c>
      <c r="B324" s="12" t="s">
        <v>21</v>
      </c>
    </row>
    <row r="325" spans="1:103" s="12" customFormat="1" x14ac:dyDescent="0.25">
      <c r="A325" s="12">
        <v>10098420</v>
      </c>
      <c r="B325" s="12" t="s">
        <v>21</v>
      </c>
    </row>
    <row r="326" spans="1:103" s="12" customFormat="1" x14ac:dyDescent="0.25">
      <c r="A326" s="12">
        <v>10129565</v>
      </c>
      <c r="B326" s="12" t="s">
        <v>21</v>
      </c>
    </row>
    <row r="327" spans="1:103" s="12" customFormat="1" x14ac:dyDescent="0.25">
      <c r="A327" s="12">
        <v>10146828</v>
      </c>
      <c r="B327" s="12" t="s">
        <v>21</v>
      </c>
    </row>
    <row r="328" spans="1:103" s="12" customFormat="1" x14ac:dyDescent="0.25">
      <c r="A328" s="12">
        <v>10163776</v>
      </c>
      <c r="B328" s="12" t="s">
        <v>21</v>
      </c>
    </row>
    <row r="329" spans="1:103" s="12" customFormat="1" x14ac:dyDescent="0.25">
      <c r="A329" s="12">
        <v>10173664</v>
      </c>
      <c r="B329" s="12" t="s">
        <v>21</v>
      </c>
      <c r="J329" s="12">
        <v>0</v>
      </c>
      <c r="L329" s="12">
        <v>0</v>
      </c>
      <c r="M329" s="12">
        <v>0</v>
      </c>
      <c r="W329" s="12">
        <v>0</v>
      </c>
      <c r="CB329" s="12">
        <v>0</v>
      </c>
      <c r="CC329" s="12">
        <v>0</v>
      </c>
      <c r="CD329" s="12">
        <v>0</v>
      </c>
    </row>
    <row r="330" spans="1:103" s="12" customFormat="1" x14ac:dyDescent="0.25">
      <c r="A330" s="12">
        <v>11000454</v>
      </c>
      <c r="B330" s="12" t="s">
        <v>21</v>
      </c>
      <c r="M330" s="12">
        <v>0</v>
      </c>
      <c r="N330" s="12">
        <v>0</v>
      </c>
      <c r="O330" s="12">
        <v>0</v>
      </c>
      <c r="R330" s="12">
        <v>0</v>
      </c>
      <c r="BD330" s="12">
        <v>1</v>
      </c>
      <c r="BE330" s="12">
        <v>0</v>
      </c>
      <c r="BR330" s="12">
        <v>0</v>
      </c>
      <c r="BS330" s="12">
        <v>0</v>
      </c>
      <c r="BT330" s="12">
        <v>0</v>
      </c>
      <c r="CB330" s="12">
        <v>0</v>
      </c>
      <c r="CC330" s="12">
        <v>0</v>
      </c>
      <c r="CD330" s="12">
        <v>0</v>
      </c>
      <c r="CF330" s="12">
        <v>0</v>
      </c>
      <c r="CT330" s="12">
        <v>0</v>
      </c>
    </row>
    <row r="331" spans="1:103" s="12" customFormat="1" x14ac:dyDescent="0.25">
      <c r="A331" s="12">
        <v>11083498</v>
      </c>
      <c r="B331" s="12" t="s">
        <v>21</v>
      </c>
      <c r="M331" s="12">
        <v>0</v>
      </c>
      <c r="N331" s="12">
        <v>1</v>
      </c>
      <c r="O331" s="12">
        <v>0</v>
      </c>
      <c r="BQ331" s="12">
        <v>0</v>
      </c>
      <c r="CB331" s="12">
        <v>0</v>
      </c>
      <c r="CC331" s="12">
        <v>0</v>
      </c>
      <c r="CD331" s="12">
        <v>0</v>
      </c>
    </row>
    <row r="332" spans="1:103" s="12" customFormat="1" x14ac:dyDescent="0.25">
      <c r="A332" s="12">
        <v>11138447</v>
      </c>
      <c r="B332" s="12" t="s">
        <v>21</v>
      </c>
      <c r="CB332" s="12">
        <v>0</v>
      </c>
      <c r="CC332" s="12">
        <v>0</v>
      </c>
      <c r="CD332" s="12">
        <v>0</v>
      </c>
    </row>
    <row r="333" spans="1:103" s="12" customFormat="1" x14ac:dyDescent="0.25">
      <c r="A333" s="12">
        <v>11144001</v>
      </c>
      <c r="B333" s="12" t="s">
        <v>21</v>
      </c>
      <c r="X333" s="12">
        <v>0</v>
      </c>
      <c r="Z333" s="12">
        <v>0</v>
      </c>
      <c r="AA333" s="12">
        <v>0</v>
      </c>
      <c r="AP333" s="12">
        <v>1</v>
      </c>
      <c r="CX333" s="12">
        <v>0</v>
      </c>
      <c r="CY333" s="12">
        <v>0</v>
      </c>
    </row>
    <row r="334" spans="1:103" s="12" customFormat="1" x14ac:dyDescent="0.25">
      <c r="A334" s="12" t="s">
        <v>23</v>
      </c>
      <c r="B334" s="12" t="s">
        <v>21</v>
      </c>
      <c r="CB334" s="12">
        <v>0</v>
      </c>
      <c r="CC334" s="12">
        <v>0</v>
      </c>
      <c r="CD334" s="12">
        <v>0</v>
      </c>
    </row>
    <row r="335" spans="1:103" s="12" customFormat="1" x14ac:dyDescent="0.25">
      <c r="A335" s="12" t="s">
        <v>24</v>
      </c>
      <c r="B335" s="12" t="s">
        <v>21</v>
      </c>
    </row>
    <row r="336" spans="1:103" s="12" customFormat="1" x14ac:dyDescent="0.25">
      <c r="A336" s="12">
        <v>12021531</v>
      </c>
      <c r="B336" s="12" t="s">
        <v>21</v>
      </c>
    </row>
    <row r="337" spans="1:106" s="12" customFormat="1" x14ac:dyDescent="0.25">
      <c r="A337" s="12">
        <v>12185514</v>
      </c>
      <c r="B337" s="12" t="s">
        <v>21</v>
      </c>
      <c r="L337" s="12">
        <v>0</v>
      </c>
      <c r="M337" s="12">
        <v>0</v>
      </c>
      <c r="X337" s="12">
        <v>1</v>
      </c>
      <c r="Z337" s="12">
        <v>0</v>
      </c>
      <c r="AA337" s="12">
        <v>0</v>
      </c>
      <c r="AM337" s="12">
        <v>1</v>
      </c>
      <c r="AN337" s="12">
        <v>0</v>
      </c>
      <c r="AY337" s="12">
        <v>0</v>
      </c>
      <c r="BD337" s="12">
        <v>0</v>
      </c>
      <c r="CC337" s="12">
        <v>0</v>
      </c>
      <c r="CD337" s="12">
        <v>0</v>
      </c>
    </row>
    <row r="338" spans="1:106" s="12" customFormat="1" x14ac:dyDescent="0.25">
      <c r="A338" s="12">
        <v>12202633</v>
      </c>
      <c r="B338" s="12" t="s">
        <v>21</v>
      </c>
      <c r="X338" s="12">
        <v>0</v>
      </c>
    </row>
    <row r="339" spans="1:106" s="12" customFormat="1" x14ac:dyDescent="0.25">
      <c r="A339" s="12">
        <v>12325258</v>
      </c>
      <c r="B339" s="12" t="s">
        <v>21</v>
      </c>
    </row>
    <row r="340" spans="1:106" s="12" customFormat="1" x14ac:dyDescent="0.25">
      <c r="A340" s="12">
        <v>5018677</v>
      </c>
      <c r="B340" s="12" t="s">
        <v>21</v>
      </c>
    </row>
    <row r="341" spans="1:106" s="12" customFormat="1" x14ac:dyDescent="0.25">
      <c r="A341" s="12">
        <v>11243521</v>
      </c>
      <c r="B341" s="12" t="s">
        <v>21</v>
      </c>
    </row>
    <row r="342" spans="1:106" s="12" customFormat="1" x14ac:dyDescent="0.25">
      <c r="A342" s="12">
        <v>2008127</v>
      </c>
      <c r="B342" s="12" t="s">
        <v>21</v>
      </c>
    </row>
    <row r="343" spans="1:106" s="12" customFormat="1" x14ac:dyDescent="0.25">
      <c r="A343" s="12">
        <v>6081681</v>
      </c>
      <c r="B343" s="12" t="s">
        <v>21</v>
      </c>
    </row>
    <row r="344" spans="1:106" x14ac:dyDescent="0.25">
      <c r="A344" s="6"/>
      <c r="C344">
        <f>COUNTA(C267:C343)</f>
        <v>0</v>
      </c>
      <c r="D344">
        <f t="shared" ref="D344:BO344" si="16">COUNTA(D267:D343)</f>
        <v>0</v>
      </c>
      <c r="E344">
        <f t="shared" si="16"/>
        <v>0</v>
      </c>
      <c r="F344">
        <f t="shared" si="16"/>
        <v>0</v>
      </c>
      <c r="G344">
        <f t="shared" si="16"/>
        <v>0</v>
      </c>
      <c r="H344">
        <f t="shared" si="16"/>
        <v>0</v>
      </c>
      <c r="I344">
        <f t="shared" si="16"/>
        <v>2</v>
      </c>
      <c r="J344">
        <f t="shared" si="16"/>
        <v>4</v>
      </c>
      <c r="K344">
        <f t="shared" si="16"/>
        <v>1</v>
      </c>
      <c r="L344">
        <f t="shared" si="16"/>
        <v>4</v>
      </c>
      <c r="M344">
        <f t="shared" si="16"/>
        <v>8</v>
      </c>
      <c r="N344">
        <f t="shared" si="16"/>
        <v>3</v>
      </c>
      <c r="O344">
        <f t="shared" si="16"/>
        <v>6</v>
      </c>
      <c r="P344">
        <f t="shared" si="16"/>
        <v>0</v>
      </c>
      <c r="Q344">
        <f t="shared" si="16"/>
        <v>1</v>
      </c>
      <c r="R344">
        <f t="shared" si="16"/>
        <v>1</v>
      </c>
      <c r="S344">
        <f t="shared" si="16"/>
        <v>1</v>
      </c>
      <c r="T344">
        <f t="shared" si="16"/>
        <v>1</v>
      </c>
      <c r="U344">
        <f t="shared" si="16"/>
        <v>0</v>
      </c>
      <c r="V344">
        <f t="shared" si="16"/>
        <v>0</v>
      </c>
      <c r="W344">
        <f t="shared" si="16"/>
        <v>2</v>
      </c>
      <c r="X344">
        <f t="shared" si="16"/>
        <v>6</v>
      </c>
      <c r="Y344">
        <f t="shared" si="16"/>
        <v>1</v>
      </c>
      <c r="Z344">
        <f t="shared" si="16"/>
        <v>5</v>
      </c>
      <c r="AA344">
        <f t="shared" si="16"/>
        <v>5</v>
      </c>
      <c r="AB344">
        <f t="shared" si="16"/>
        <v>0</v>
      </c>
      <c r="AC344">
        <f t="shared" si="16"/>
        <v>0</v>
      </c>
      <c r="AD344">
        <f t="shared" si="16"/>
        <v>1</v>
      </c>
      <c r="AE344">
        <f t="shared" si="16"/>
        <v>0</v>
      </c>
      <c r="AF344">
        <f t="shared" si="16"/>
        <v>0</v>
      </c>
      <c r="AG344">
        <f t="shared" si="16"/>
        <v>0</v>
      </c>
      <c r="AH344">
        <f t="shared" si="16"/>
        <v>0</v>
      </c>
      <c r="AI344">
        <f t="shared" si="16"/>
        <v>0</v>
      </c>
      <c r="AJ344">
        <f t="shared" si="16"/>
        <v>0</v>
      </c>
      <c r="AK344">
        <f t="shared" si="16"/>
        <v>0</v>
      </c>
      <c r="AL344">
        <f t="shared" si="16"/>
        <v>0</v>
      </c>
      <c r="AM344">
        <f t="shared" si="16"/>
        <v>1</v>
      </c>
      <c r="AN344">
        <f t="shared" si="16"/>
        <v>1</v>
      </c>
      <c r="AO344">
        <f t="shared" si="16"/>
        <v>0</v>
      </c>
      <c r="AP344">
        <f t="shared" si="16"/>
        <v>1</v>
      </c>
      <c r="AQ344">
        <f t="shared" si="16"/>
        <v>0</v>
      </c>
      <c r="AR344">
        <f t="shared" si="16"/>
        <v>0</v>
      </c>
      <c r="AS344">
        <f t="shared" si="16"/>
        <v>0</v>
      </c>
      <c r="AT344">
        <f t="shared" si="16"/>
        <v>0</v>
      </c>
      <c r="AU344">
        <f t="shared" si="16"/>
        <v>0</v>
      </c>
      <c r="AV344">
        <f t="shared" si="16"/>
        <v>1</v>
      </c>
      <c r="AW344">
        <f t="shared" si="16"/>
        <v>1</v>
      </c>
      <c r="AX344">
        <f t="shared" si="16"/>
        <v>0</v>
      </c>
      <c r="AY344">
        <f t="shared" si="16"/>
        <v>2</v>
      </c>
      <c r="AZ344">
        <f t="shared" si="16"/>
        <v>1</v>
      </c>
      <c r="BA344">
        <f t="shared" si="16"/>
        <v>2</v>
      </c>
      <c r="BB344">
        <f t="shared" si="16"/>
        <v>1</v>
      </c>
      <c r="BC344">
        <f t="shared" si="16"/>
        <v>0</v>
      </c>
      <c r="BD344">
        <f t="shared" si="16"/>
        <v>3</v>
      </c>
      <c r="BE344">
        <f t="shared" si="16"/>
        <v>2</v>
      </c>
      <c r="BF344">
        <f t="shared" si="16"/>
        <v>1</v>
      </c>
      <c r="BG344">
        <f t="shared" si="16"/>
        <v>0</v>
      </c>
      <c r="BH344">
        <f t="shared" si="16"/>
        <v>0</v>
      </c>
      <c r="BI344">
        <f t="shared" si="16"/>
        <v>1</v>
      </c>
      <c r="BJ344">
        <f t="shared" si="16"/>
        <v>1</v>
      </c>
      <c r="BK344">
        <f t="shared" si="16"/>
        <v>0</v>
      </c>
      <c r="BL344">
        <f t="shared" si="16"/>
        <v>0</v>
      </c>
      <c r="BM344">
        <f t="shared" si="16"/>
        <v>1</v>
      </c>
      <c r="BN344">
        <f t="shared" si="16"/>
        <v>0</v>
      </c>
      <c r="BO344">
        <f t="shared" si="16"/>
        <v>1</v>
      </c>
      <c r="BP344">
        <f t="shared" ref="BP344:DB344" si="17">COUNTA(BP267:BP343)</f>
        <v>3</v>
      </c>
      <c r="BQ344">
        <f t="shared" si="17"/>
        <v>2</v>
      </c>
      <c r="BR344">
        <f t="shared" si="17"/>
        <v>3</v>
      </c>
      <c r="BS344">
        <f t="shared" si="17"/>
        <v>3</v>
      </c>
      <c r="BT344">
        <f t="shared" si="17"/>
        <v>1</v>
      </c>
      <c r="BU344">
        <f t="shared" si="17"/>
        <v>0</v>
      </c>
      <c r="BV344">
        <f t="shared" si="17"/>
        <v>0</v>
      </c>
      <c r="BW344">
        <f t="shared" si="17"/>
        <v>0</v>
      </c>
      <c r="BX344">
        <f t="shared" si="17"/>
        <v>0</v>
      </c>
      <c r="BY344">
        <f t="shared" si="17"/>
        <v>0</v>
      </c>
      <c r="BZ344">
        <f t="shared" si="17"/>
        <v>0</v>
      </c>
      <c r="CA344">
        <f t="shared" si="17"/>
        <v>0</v>
      </c>
      <c r="CB344">
        <f t="shared" si="17"/>
        <v>12</v>
      </c>
      <c r="CC344">
        <f t="shared" si="17"/>
        <v>12</v>
      </c>
      <c r="CD344">
        <f t="shared" si="17"/>
        <v>12</v>
      </c>
      <c r="CE344">
        <f t="shared" si="17"/>
        <v>1</v>
      </c>
      <c r="CF344">
        <f t="shared" si="17"/>
        <v>4</v>
      </c>
      <c r="CG344">
        <f t="shared" si="17"/>
        <v>1</v>
      </c>
      <c r="CH344">
        <f t="shared" si="17"/>
        <v>2</v>
      </c>
      <c r="CI344">
        <f t="shared" si="17"/>
        <v>1</v>
      </c>
      <c r="CJ344">
        <f t="shared" si="17"/>
        <v>1</v>
      </c>
      <c r="CK344">
        <f t="shared" si="17"/>
        <v>1</v>
      </c>
      <c r="CL344">
        <f t="shared" si="17"/>
        <v>0</v>
      </c>
      <c r="CM344">
        <f t="shared" si="17"/>
        <v>4</v>
      </c>
      <c r="CN344">
        <f t="shared" si="17"/>
        <v>6</v>
      </c>
      <c r="CO344">
        <f t="shared" si="17"/>
        <v>4</v>
      </c>
      <c r="CP344">
        <f t="shared" si="17"/>
        <v>1</v>
      </c>
      <c r="CQ344">
        <f t="shared" si="17"/>
        <v>2</v>
      </c>
      <c r="CR344">
        <f t="shared" si="17"/>
        <v>0</v>
      </c>
      <c r="CS344">
        <f t="shared" si="17"/>
        <v>0</v>
      </c>
      <c r="CT344">
        <f t="shared" si="17"/>
        <v>2</v>
      </c>
      <c r="CU344">
        <f t="shared" si="17"/>
        <v>1</v>
      </c>
      <c r="CV344">
        <f t="shared" si="17"/>
        <v>1</v>
      </c>
      <c r="CW344">
        <f t="shared" si="17"/>
        <v>1</v>
      </c>
      <c r="CX344">
        <f t="shared" si="17"/>
        <v>1</v>
      </c>
      <c r="CY344">
        <f t="shared" si="17"/>
        <v>1</v>
      </c>
      <c r="CZ344">
        <f t="shared" si="17"/>
        <v>0</v>
      </c>
      <c r="DA344">
        <f t="shared" si="17"/>
        <v>0</v>
      </c>
      <c r="DB344">
        <f t="shared" si="17"/>
        <v>0</v>
      </c>
    </row>
    <row r="345" spans="1:106" s="12" customFormat="1" x14ac:dyDescent="0.25">
      <c r="A345" s="11"/>
    </row>
    <row r="346" spans="1:106" s="12" customFormat="1" x14ac:dyDescent="0.25">
      <c r="A346" s="11"/>
    </row>
    <row r="347" spans="1:106" s="12" customFormat="1" x14ac:dyDescent="0.25">
      <c r="A347" s="11"/>
    </row>
    <row r="348" spans="1:106" s="12" customFormat="1" x14ac:dyDescent="0.25"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CG348" s="13"/>
      <c r="CH348" s="13"/>
      <c r="CI348" s="13"/>
      <c r="CJ348" s="13"/>
      <c r="CK348" s="13"/>
      <c r="CL348" s="13"/>
    </row>
    <row r="349" spans="1:106" s="12" customFormat="1" x14ac:dyDescent="0.25"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CG349" s="13"/>
      <c r="CH349" s="13"/>
      <c r="CI349" s="13"/>
      <c r="CJ349" s="13"/>
      <c r="CK349" s="13"/>
      <c r="CL349" s="13"/>
    </row>
    <row r="350" spans="1:106" s="12" customFormat="1" x14ac:dyDescent="0.25"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CG350" s="13"/>
      <c r="CH350" s="13"/>
      <c r="CI350" s="13"/>
      <c r="CJ350" s="13"/>
      <c r="CK350" s="13"/>
      <c r="CL350" s="13"/>
    </row>
    <row r="351" spans="1:106" s="12" customFormat="1" x14ac:dyDescent="0.25"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CG351" s="13"/>
      <c r="CH351" s="13"/>
      <c r="CI351" s="13"/>
      <c r="CJ351" s="13"/>
      <c r="CK351" s="13"/>
      <c r="CL351" s="13"/>
    </row>
    <row r="352" spans="1:106" s="12" customFormat="1" x14ac:dyDescent="0.25"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CG352" s="13"/>
      <c r="CH352" s="13"/>
      <c r="CI352" s="13"/>
      <c r="CJ352" s="13"/>
      <c r="CK352" s="13"/>
      <c r="CL352" s="13"/>
    </row>
    <row r="353" spans="1:90" s="12" customFormat="1" x14ac:dyDescent="0.25"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CG353" s="13"/>
      <c r="CH353" s="13"/>
      <c r="CI353" s="13"/>
      <c r="CJ353" s="13"/>
      <c r="CK353" s="13"/>
      <c r="CL353" s="13"/>
    </row>
    <row r="354" spans="1:90" s="12" customFormat="1" x14ac:dyDescent="0.25"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CG354" s="13"/>
      <c r="CH354" s="13"/>
      <c r="CI354" s="13"/>
      <c r="CJ354" s="13"/>
      <c r="CK354" s="13"/>
      <c r="CL354" s="13"/>
    </row>
    <row r="355" spans="1:90" s="12" customForma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CG355" s="13"/>
      <c r="CH355" s="13"/>
      <c r="CI355" s="13"/>
      <c r="CJ355" s="13"/>
      <c r="CK355" s="13"/>
      <c r="CL355" s="13"/>
    </row>
    <row r="356" spans="1:90" s="12" customFormat="1" x14ac:dyDescent="0.25"/>
    <row r="357" spans="1:90" s="12" customFormat="1" x14ac:dyDescent="0.25"/>
    <row r="358" spans="1:90" s="12" customFormat="1" x14ac:dyDescent="0.25">
      <c r="A358" s="11"/>
    </row>
    <row r="359" spans="1:90" s="12" customFormat="1" x14ac:dyDescent="0.25"/>
    <row r="360" spans="1:90" s="12" customFormat="1" x14ac:dyDescent="0.25"/>
    <row r="361" spans="1:90" s="12" customFormat="1" x14ac:dyDescent="0.25"/>
    <row r="362" spans="1:90" s="12" customFormat="1" x14ac:dyDescent="0.25"/>
    <row r="363" spans="1:90" s="12" customFormat="1" x14ac:dyDescent="0.25"/>
    <row r="364" spans="1:90" s="12" customFormat="1" x14ac:dyDescent="0.25">
      <c r="A364" s="14"/>
    </row>
    <row r="365" spans="1:90" s="12" customFormat="1" x14ac:dyDescent="0.25"/>
    <row r="366" spans="1:90" s="12" customFormat="1" x14ac:dyDescent="0.25"/>
    <row r="367" spans="1:90" s="12" customFormat="1" x14ac:dyDescent="0.25"/>
    <row r="368" spans="1:90" s="12" customFormat="1" x14ac:dyDescent="0.25"/>
    <row r="369" s="12" customFormat="1" x14ac:dyDescent="0.25"/>
    <row r="370" s="12" customFormat="1" x14ac:dyDescent="0.25"/>
    <row r="371" s="12" customFormat="1" x14ac:dyDescent="0.25"/>
    <row r="372" s="12" customFormat="1" x14ac:dyDescent="0.25"/>
    <row r="373" s="12" customFormat="1" x14ac:dyDescent="0.25"/>
    <row r="374" s="12" customFormat="1" x14ac:dyDescent="0.25"/>
    <row r="375" s="12" customFormat="1" x14ac:dyDescent="0.25"/>
    <row r="376" s="12" customFormat="1" x14ac:dyDescent="0.25"/>
    <row r="377" s="12" customFormat="1" x14ac:dyDescent="0.25"/>
    <row r="378" s="12" customFormat="1" x14ac:dyDescent="0.25"/>
    <row r="379" s="12" customFormat="1" x14ac:dyDescent="0.25"/>
    <row r="380" s="12" customFormat="1" x14ac:dyDescent="0.25"/>
    <row r="381" s="12" customFormat="1" x14ac:dyDescent="0.25"/>
    <row r="382" s="12" customFormat="1" x14ac:dyDescent="0.25"/>
    <row r="383" s="12" customFormat="1" x14ac:dyDescent="0.25"/>
    <row r="384" s="12" customFormat="1" x14ac:dyDescent="0.25"/>
    <row r="385" s="12" customFormat="1" x14ac:dyDescent="0.25"/>
    <row r="386" s="12" customFormat="1" x14ac:dyDescent="0.25"/>
    <row r="387" s="12" customFormat="1" x14ac:dyDescent="0.25"/>
    <row r="388" s="12" customFormat="1" x14ac:dyDescent="0.25"/>
    <row r="389" s="12" customFormat="1" x14ac:dyDescent="0.25"/>
    <row r="390" s="12" customFormat="1" x14ac:dyDescent="0.25"/>
    <row r="391" s="12" customFormat="1" x14ac:dyDescent="0.25"/>
    <row r="392" s="12" customFormat="1" x14ac:dyDescent="0.25"/>
    <row r="393" s="12" customFormat="1" x14ac:dyDescent="0.25"/>
    <row r="394" s="12" customFormat="1" x14ac:dyDescent="0.25"/>
    <row r="395" s="12" customFormat="1" x14ac:dyDescent="0.25"/>
    <row r="396" s="12" customFormat="1" x14ac:dyDescent="0.25"/>
    <row r="397" s="12" customFormat="1" x14ac:dyDescent="0.25"/>
    <row r="398" s="12" customFormat="1" x14ac:dyDescent="0.25"/>
    <row r="399" s="12" customFormat="1" x14ac:dyDescent="0.25"/>
    <row r="400" s="12" customFormat="1" x14ac:dyDescent="0.25"/>
    <row r="401" spans="1:1" s="12" customFormat="1" x14ac:dyDescent="0.25"/>
    <row r="402" spans="1:1" s="12" customFormat="1" x14ac:dyDescent="0.25">
      <c r="A402" s="11"/>
    </row>
    <row r="403" spans="1:1" s="12" customFormat="1" x14ac:dyDescent="0.25">
      <c r="A403" s="11"/>
    </row>
    <row r="404" spans="1:1" s="12" customFormat="1" x14ac:dyDescent="0.25">
      <c r="A404" s="11"/>
    </row>
    <row r="405" spans="1:1" s="12" customFormat="1" x14ac:dyDescent="0.25">
      <c r="A405" s="11"/>
    </row>
    <row r="406" spans="1:1" s="12" customFormat="1" x14ac:dyDescent="0.25">
      <c r="A406" s="11"/>
    </row>
    <row r="407" spans="1:1" s="12" customFormat="1" x14ac:dyDescent="0.25">
      <c r="A407" s="11"/>
    </row>
    <row r="408" spans="1:1" s="12" customFormat="1" x14ac:dyDescent="0.25">
      <c r="A408" s="11"/>
    </row>
    <row r="409" spans="1:1" s="12" customFormat="1" x14ac:dyDescent="0.25">
      <c r="A409" s="11"/>
    </row>
    <row r="410" spans="1:1" s="12" customFormat="1" x14ac:dyDescent="0.25">
      <c r="A410" s="11"/>
    </row>
    <row r="411" spans="1:1" s="12" customFormat="1" x14ac:dyDescent="0.25">
      <c r="A411" s="11"/>
    </row>
    <row r="412" spans="1:1" s="12" customFormat="1" x14ac:dyDescent="0.25">
      <c r="A412" s="11"/>
    </row>
    <row r="413" spans="1:1" s="12" customFormat="1" x14ac:dyDescent="0.25">
      <c r="A413" s="11"/>
    </row>
    <row r="414" spans="1:1" s="12" customFormat="1" x14ac:dyDescent="0.25">
      <c r="A414" s="11"/>
    </row>
    <row r="415" spans="1:1" s="12" customFormat="1" x14ac:dyDescent="0.25">
      <c r="A415" s="11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</sheetData>
  <conditionalFormatting sqref="A17">
    <cfRule type="duplicateValues" dxfId="8" priority="1"/>
  </conditionalFormatting>
  <conditionalFormatting sqref="A2:B2">
    <cfRule type="duplicateValues" dxfId="7" priority="3"/>
  </conditionalFormatting>
  <conditionalFormatting sqref="B351:B354">
    <cfRule type="duplicateValues" dxfId="6" priority="2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67A9-9A6B-4D67-B2A4-3C12BE573FC4}">
  <dimension ref="A1:DB435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N1" sqref="CN1"/>
    </sheetView>
  </sheetViews>
  <sheetFormatPr baseColWidth="10" defaultRowHeight="15" x14ac:dyDescent="0.25"/>
  <cols>
    <col min="2" max="2" width="11.85546875" customWidth="1"/>
  </cols>
  <sheetData>
    <row r="1" spans="1:106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7" t="s">
        <v>47</v>
      </c>
      <c r="Z1" s="7" t="s">
        <v>48</v>
      </c>
      <c r="AA1" s="7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7" t="s">
        <v>57</v>
      </c>
      <c r="AJ1" s="7" t="s">
        <v>58</v>
      </c>
      <c r="AK1" s="7" t="s">
        <v>59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7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7" t="s">
        <v>78</v>
      </c>
      <c r="BE1" s="7" t="s">
        <v>79</v>
      </c>
      <c r="BF1" s="7" t="s">
        <v>80</v>
      </c>
      <c r="BG1" s="7" t="s">
        <v>81</v>
      </c>
      <c r="BH1" s="7" t="s">
        <v>82</v>
      </c>
      <c r="BI1" s="7" t="s">
        <v>83</v>
      </c>
      <c r="BJ1" s="7" t="s">
        <v>84</v>
      </c>
      <c r="BK1" s="7" t="s">
        <v>85</v>
      </c>
      <c r="BL1" s="7" t="s">
        <v>86</v>
      </c>
      <c r="BM1" s="7" t="s">
        <v>87</v>
      </c>
      <c r="BN1" s="7" t="s">
        <v>88</v>
      </c>
      <c r="BO1" s="7" t="s">
        <v>89</v>
      </c>
      <c r="BP1" s="7" t="s">
        <v>90</v>
      </c>
      <c r="BQ1" s="7" t="s">
        <v>91</v>
      </c>
      <c r="BR1" s="7" t="s">
        <v>92</v>
      </c>
      <c r="BS1" s="7" t="s">
        <v>93</v>
      </c>
      <c r="BT1" s="7" t="s">
        <v>94</v>
      </c>
      <c r="BU1" s="7" t="s">
        <v>95</v>
      </c>
      <c r="BV1" s="7" t="s">
        <v>96</v>
      </c>
      <c r="BW1" s="7" t="s">
        <v>97</v>
      </c>
      <c r="BX1" s="7" t="s">
        <v>98</v>
      </c>
      <c r="BY1" s="7" t="s">
        <v>99</v>
      </c>
      <c r="BZ1" s="7" t="s">
        <v>100</v>
      </c>
      <c r="CA1" s="7" t="s">
        <v>101</v>
      </c>
      <c r="CB1" s="7" t="s">
        <v>102</v>
      </c>
      <c r="CC1" s="7" t="s">
        <v>103</v>
      </c>
      <c r="CD1" s="7" t="s">
        <v>104</v>
      </c>
      <c r="CE1" s="7" t="s">
        <v>105</v>
      </c>
      <c r="CF1" s="7" t="s">
        <v>106</v>
      </c>
      <c r="CG1" s="7" t="s">
        <v>107</v>
      </c>
      <c r="CH1" s="7" t="s">
        <v>108</v>
      </c>
      <c r="CI1" s="7" t="s">
        <v>109</v>
      </c>
      <c r="CJ1" s="7" t="s">
        <v>110</v>
      </c>
      <c r="CK1" s="7" t="s">
        <v>111</v>
      </c>
      <c r="CL1" s="7" t="s">
        <v>112</v>
      </c>
      <c r="CM1" s="7" t="s">
        <v>113</v>
      </c>
      <c r="CN1" s="7" t="s">
        <v>114</v>
      </c>
      <c r="CO1" s="7" t="s">
        <v>115</v>
      </c>
      <c r="CP1" s="7" t="s">
        <v>116</v>
      </c>
      <c r="CQ1" s="7" t="s">
        <v>117</v>
      </c>
      <c r="CR1" s="7" t="s">
        <v>118</v>
      </c>
      <c r="CS1" s="7" t="s">
        <v>119</v>
      </c>
      <c r="CT1" s="7" t="s">
        <v>120</v>
      </c>
      <c r="CU1" s="7" t="s">
        <v>121</v>
      </c>
      <c r="CV1" s="7" t="s">
        <v>122</v>
      </c>
      <c r="CW1" s="7" t="s">
        <v>123</v>
      </c>
      <c r="CX1" s="7" t="s">
        <v>124</v>
      </c>
      <c r="CY1" s="7" t="s">
        <v>125</v>
      </c>
      <c r="CZ1" s="7" t="s">
        <v>126</v>
      </c>
      <c r="DA1" s="7" t="s">
        <v>127</v>
      </c>
      <c r="DB1" s="7" t="s">
        <v>128</v>
      </c>
    </row>
    <row r="2" spans="1:106" x14ac:dyDescent="0.25">
      <c r="A2" s="2" t="s">
        <v>2</v>
      </c>
      <c r="B2" s="3" t="s">
        <v>3</v>
      </c>
      <c r="G2" t="s">
        <v>129</v>
      </c>
      <c r="H2" t="s">
        <v>129</v>
      </c>
      <c r="I2" t="s">
        <v>130</v>
      </c>
      <c r="X2" t="s">
        <v>131</v>
      </c>
      <c r="Y2" t="s">
        <v>132</v>
      </c>
      <c r="Z2" t="s">
        <v>133</v>
      </c>
      <c r="AA2" t="s">
        <v>133</v>
      </c>
      <c r="AB2" t="s">
        <v>134</v>
      </c>
      <c r="CI2" t="s">
        <v>135</v>
      </c>
      <c r="CJ2" t="s">
        <v>136</v>
      </c>
      <c r="CK2" t="s">
        <v>137</v>
      </c>
      <c r="CL2" t="s">
        <v>138</v>
      </c>
    </row>
    <row r="3" spans="1:106" s="12" customFormat="1" x14ac:dyDescent="0.25">
      <c r="A3" s="12">
        <v>7072184</v>
      </c>
      <c r="B3" s="12" t="s">
        <v>4</v>
      </c>
      <c r="C3" s="13"/>
      <c r="D3" s="13"/>
      <c r="E3" s="13"/>
      <c r="F3" s="13"/>
      <c r="G3" s="13"/>
      <c r="H3" s="13"/>
      <c r="I3" s="13"/>
      <c r="J3" s="13"/>
      <c r="K3" s="13"/>
      <c r="L3" s="13"/>
      <c r="CG3" s="13"/>
      <c r="CH3" s="13"/>
      <c r="CI3" s="13"/>
      <c r="CJ3" s="13"/>
      <c r="CK3" s="13"/>
      <c r="CL3" s="13"/>
    </row>
    <row r="4" spans="1:106" s="12" customFormat="1" x14ac:dyDescent="0.25">
      <c r="A4" s="12">
        <v>9108231</v>
      </c>
      <c r="B4" s="12" t="s">
        <v>4</v>
      </c>
      <c r="C4" s="13"/>
      <c r="D4" s="13"/>
      <c r="E4" s="13"/>
      <c r="F4" s="13"/>
      <c r="G4" s="13"/>
      <c r="H4" s="13"/>
      <c r="I4" s="13"/>
      <c r="J4" s="13"/>
      <c r="K4" s="13"/>
      <c r="L4" s="13"/>
      <c r="CG4" s="13"/>
      <c r="CH4" s="13"/>
      <c r="CI4" s="13"/>
      <c r="CJ4" s="13"/>
      <c r="CK4" s="13"/>
      <c r="CL4" s="13"/>
    </row>
    <row r="5" spans="1:106" s="12" customFormat="1" x14ac:dyDescent="0.25">
      <c r="A5" s="12">
        <v>12061933</v>
      </c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X5" s="14" t="s">
        <v>139</v>
      </c>
      <c r="AF5" s="14" t="s">
        <v>140</v>
      </c>
      <c r="AG5" s="14"/>
      <c r="AL5" s="14" t="s">
        <v>141</v>
      </c>
      <c r="CG5" s="13"/>
      <c r="CH5" s="13"/>
      <c r="CI5" s="13"/>
      <c r="CJ5" s="13"/>
      <c r="CK5" s="13"/>
      <c r="CL5" s="13"/>
    </row>
    <row r="6" spans="1:106" s="12" customFormat="1" x14ac:dyDescent="0.25">
      <c r="A6" s="12">
        <v>95005911</v>
      </c>
      <c r="B6" s="12" t="s">
        <v>4</v>
      </c>
    </row>
    <row r="7" spans="1:106" s="12" customFormat="1" x14ac:dyDescent="0.25">
      <c r="A7" s="12">
        <v>99001908</v>
      </c>
      <c r="B7" s="12" t="s">
        <v>4</v>
      </c>
    </row>
    <row r="8" spans="1:106" s="12" customFormat="1" x14ac:dyDescent="0.25">
      <c r="A8" s="12">
        <v>99004067</v>
      </c>
      <c r="B8" s="12" t="s">
        <v>4</v>
      </c>
    </row>
    <row r="9" spans="1:106" s="12" customFormat="1" x14ac:dyDescent="0.25">
      <c r="A9" s="12">
        <v>97002136</v>
      </c>
      <c r="B9" s="12" t="s">
        <v>4</v>
      </c>
    </row>
    <row r="10" spans="1:106" s="12" customFormat="1" x14ac:dyDescent="0.25">
      <c r="A10" s="12">
        <v>1502</v>
      </c>
      <c r="B10" s="12" t="s">
        <v>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CG10" s="13"/>
      <c r="CH10" s="13"/>
      <c r="CI10" s="13"/>
      <c r="CJ10" s="13"/>
      <c r="CK10" s="13"/>
      <c r="CL10" s="13"/>
    </row>
    <row r="11" spans="1:106" s="12" customFormat="1" x14ac:dyDescent="0.25">
      <c r="A11" s="12">
        <v>4003543</v>
      </c>
      <c r="B11" s="12" t="s">
        <v>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CG11" s="13"/>
      <c r="CH11" s="13"/>
      <c r="CI11" s="13"/>
      <c r="CJ11" s="13"/>
      <c r="CK11" s="13"/>
      <c r="CL11" s="13"/>
    </row>
    <row r="12" spans="1:106" s="12" customFormat="1" x14ac:dyDescent="0.25">
      <c r="A12" s="12">
        <v>4900261</v>
      </c>
      <c r="B12" s="12" t="s">
        <v>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CG12" s="13"/>
      <c r="CH12" s="13"/>
      <c r="CI12" s="13"/>
      <c r="CJ12" s="13"/>
      <c r="CK12" s="13"/>
      <c r="CL12" s="13"/>
    </row>
    <row r="13" spans="1:106" x14ac:dyDescent="0.25">
      <c r="C13" s="4">
        <f>COUNTA(C3:C12)</f>
        <v>0</v>
      </c>
      <c r="D13" s="4">
        <f t="shared" ref="D13:BO13" si="0">COUNTA(D3:D12)</f>
        <v>0</v>
      </c>
      <c r="E13" s="4">
        <f t="shared" si="0"/>
        <v>0</v>
      </c>
      <c r="F13" s="4">
        <f t="shared" si="0"/>
        <v>0</v>
      </c>
      <c r="G13" s="4">
        <f t="shared" si="0"/>
        <v>0</v>
      </c>
      <c r="H13" s="4">
        <f t="shared" si="0"/>
        <v>0</v>
      </c>
      <c r="I13" s="4">
        <f t="shared" si="0"/>
        <v>0</v>
      </c>
      <c r="J13" s="4">
        <f t="shared" si="0"/>
        <v>0</v>
      </c>
      <c r="K13" s="4">
        <f t="shared" si="0"/>
        <v>0</v>
      </c>
      <c r="L13" s="4">
        <f t="shared" si="0"/>
        <v>0</v>
      </c>
      <c r="M13" s="4">
        <f t="shared" si="0"/>
        <v>0</v>
      </c>
      <c r="N13" s="4">
        <f t="shared" si="0"/>
        <v>0</v>
      </c>
      <c r="O13" s="4">
        <f t="shared" si="0"/>
        <v>0</v>
      </c>
      <c r="P13" s="4">
        <f t="shared" si="0"/>
        <v>0</v>
      </c>
      <c r="Q13" s="4">
        <f t="shared" si="0"/>
        <v>0</v>
      </c>
      <c r="R13" s="4">
        <f t="shared" si="0"/>
        <v>0</v>
      </c>
      <c r="S13" s="4">
        <f t="shared" si="0"/>
        <v>0</v>
      </c>
      <c r="T13" s="4">
        <f t="shared" si="0"/>
        <v>0</v>
      </c>
      <c r="U13" s="4">
        <f t="shared" si="0"/>
        <v>0</v>
      </c>
      <c r="V13" s="4">
        <f t="shared" si="0"/>
        <v>0</v>
      </c>
      <c r="W13" s="4">
        <f t="shared" si="0"/>
        <v>0</v>
      </c>
      <c r="X13" s="4">
        <f t="shared" si="0"/>
        <v>1</v>
      </c>
      <c r="Y13" s="4">
        <f t="shared" si="0"/>
        <v>0</v>
      </c>
      <c r="Z13" s="4">
        <f t="shared" si="0"/>
        <v>0</v>
      </c>
      <c r="AA13" s="4">
        <f t="shared" si="0"/>
        <v>0</v>
      </c>
      <c r="AB13" s="4">
        <f t="shared" si="0"/>
        <v>0</v>
      </c>
      <c r="AC13" s="4">
        <f t="shared" si="0"/>
        <v>0</v>
      </c>
      <c r="AD13" s="4">
        <f t="shared" si="0"/>
        <v>0</v>
      </c>
      <c r="AE13" s="4">
        <f t="shared" si="0"/>
        <v>0</v>
      </c>
      <c r="AF13" s="4">
        <f t="shared" si="0"/>
        <v>1</v>
      </c>
      <c r="AG13" s="4">
        <f t="shared" si="0"/>
        <v>0</v>
      </c>
      <c r="AH13" s="4">
        <f t="shared" si="0"/>
        <v>0</v>
      </c>
      <c r="AI13" s="4">
        <f t="shared" si="0"/>
        <v>0</v>
      </c>
      <c r="AJ13" s="4">
        <f t="shared" si="0"/>
        <v>0</v>
      </c>
      <c r="AK13" s="4">
        <f t="shared" si="0"/>
        <v>0</v>
      </c>
      <c r="AL13" s="4">
        <f t="shared" si="0"/>
        <v>1</v>
      </c>
      <c r="AM13" s="4">
        <f t="shared" si="0"/>
        <v>0</v>
      </c>
      <c r="AN13" s="4">
        <f t="shared" si="0"/>
        <v>0</v>
      </c>
      <c r="AO13" s="4">
        <f t="shared" si="0"/>
        <v>0</v>
      </c>
      <c r="AP13" s="4">
        <f t="shared" si="0"/>
        <v>0</v>
      </c>
      <c r="AQ13" s="4">
        <f t="shared" si="0"/>
        <v>0</v>
      </c>
      <c r="AR13" s="4">
        <f t="shared" si="0"/>
        <v>0</v>
      </c>
      <c r="AS13" s="4">
        <f t="shared" si="0"/>
        <v>0</v>
      </c>
      <c r="AT13" s="4">
        <f t="shared" si="0"/>
        <v>0</v>
      </c>
      <c r="AU13" s="4">
        <f t="shared" si="0"/>
        <v>0</v>
      </c>
      <c r="AV13" s="4">
        <f t="shared" si="0"/>
        <v>0</v>
      </c>
      <c r="AW13" s="4">
        <f t="shared" si="0"/>
        <v>0</v>
      </c>
      <c r="AX13" s="4">
        <f t="shared" si="0"/>
        <v>0</v>
      </c>
      <c r="AY13" s="4">
        <f t="shared" si="0"/>
        <v>0</v>
      </c>
      <c r="AZ13" s="4">
        <f t="shared" si="0"/>
        <v>0</v>
      </c>
      <c r="BA13" s="4">
        <f t="shared" si="0"/>
        <v>0</v>
      </c>
      <c r="BB13" s="4">
        <f t="shared" si="0"/>
        <v>0</v>
      </c>
      <c r="BC13" s="4">
        <f t="shared" si="0"/>
        <v>0</v>
      </c>
      <c r="BD13" s="4">
        <f t="shared" si="0"/>
        <v>0</v>
      </c>
      <c r="BE13" s="4">
        <f t="shared" si="0"/>
        <v>0</v>
      </c>
      <c r="BF13" s="4">
        <f t="shared" si="0"/>
        <v>0</v>
      </c>
      <c r="BG13" s="4">
        <f t="shared" si="0"/>
        <v>0</v>
      </c>
      <c r="BH13" s="4">
        <f t="shared" si="0"/>
        <v>0</v>
      </c>
      <c r="BI13" s="4">
        <f t="shared" si="0"/>
        <v>0</v>
      </c>
      <c r="BJ13" s="4">
        <f t="shared" si="0"/>
        <v>0</v>
      </c>
      <c r="BK13" s="4">
        <f t="shared" si="0"/>
        <v>0</v>
      </c>
      <c r="BL13" s="4">
        <f t="shared" si="0"/>
        <v>0</v>
      </c>
      <c r="BM13" s="4">
        <f t="shared" si="0"/>
        <v>0</v>
      </c>
      <c r="BN13" s="4">
        <f t="shared" si="0"/>
        <v>0</v>
      </c>
      <c r="BO13" s="4">
        <f t="shared" si="0"/>
        <v>0</v>
      </c>
      <c r="BP13" s="4">
        <f t="shared" ref="BP13:DB13" si="1">COUNTA(BP3:BP12)</f>
        <v>0</v>
      </c>
      <c r="BQ13" s="4">
        <f t="shared" si="1"/>
        <v>0</v>
      </c>
      <c r="BR13" s="4">
        <f t="shared" si="1"/>
        <v>0</v>
      </c>
      <c r="BS13" s="4">
        <f t="shared" si="1"/>
        <v>0</v>
      </c>
      <c r="BT13" s="4">
        <f t="shared" si="1"/>
        <v>0</v>
      </c>
      <c r="BU13" s="4">
        <f t="shared" si="1"/>
        <v>0</v>
      </c>
      <c r="BV13" s="4">
        <f t="shared" si="1"/>
        <v>0</v>
      </c>
      <c r="BW13" s="4">
        <f t="shared" si="1"/>
        <v>0</v>
      </c>
      <c r="BX13" s="4">
        <f t="shared" si="1"/>
        <v>0</v>
      </c>
      <c r="BY13" s="4">
        <f t="shared" si="1"/>
        <v>0</v>
      </c>
      <c r="BZ13" s="4">
        <f t="shared" si="1"/>
        <v>0</v>
      </c>
      <c r="CA13" s="4">
        <f t="shared" si="1"/>
        <v>0</v>
      </c>
      <c r="CB13" s="4">
        <f t="shared" si="1"/>
        <v>0</v>
      </c>
      <c r="CC13" s="4">
        <f t="shared" si="1"/>
        <v>0</v>
      </c>
      <c r="CD13" s="4">
        <f t="shared" si="1"/>
        <v>0</v>
      </c>
      <c r="CE13" s="4">
        <f t="shared" si="1"/>
        <v>0</v>
      </c>
      <c r="CF13" s="4">
        <f t="shared" si="1"/>
        <v>0</v>
      </c>
      <c r="CG13" s="4">
        <f t="shared" si="1"/>
        <v>0</v>
      </c>
      <c r="CH13" s="4">
        <f t="shared" si="1"/>
        <v>0</v>
      </c>
      <c r="CI13" s="4">
        <f t="shared" si="1"/>
        <v>0</v>
      </c>
      <c r="CJ13" s="4">
        <f t="shared" si="1"/>
        <v>0</v>
      </c>
      <c r="CK13" s="4">
        <f t="shared" si="1"/>
        <v>0</v>
      </c>
      <c r="CL13" s="4">
        <f t="shared" si="1"/>
        <v>0</v>
      </c>
      <c r="CM13" s="4">
        <f t="shared" si="1"/>
        <v>0</v>
      </c>
      <c r="CN13" s="4">
        <f t="shared" si="1"/>
        <v>0</v>
      </c>
      <c r="CO13" s="4">
        <f t="shared" si="1"/>
        <v>0</v>
      </c>
      <c r="CP13" s="4">
        <f t="shared" si="1"/>
        <v>0</v>
      </c>
      <c r="CQ13" s="4">
        <f t="shared" si="1"/>
        <v>0</v>
      </c>
      <c r="CR13" s="4">
        <f t="shared" si="1"/>
        <v>0</v>
      </c>
      <c r="CS13" s="4">
        <f t="shared" si="1"/>
        <v>0</v>
      </c>
      <c r="CT13" s="4">
        <f t="shared" si="1"/>
        <v>0</v>
      </c>
      <c r="CU13" s="4">
        <f t="shared" si="1"/>
        <v>0</v>
      </c>
      <c r="CV13" s="4">
        <f t="shared" si="1"/>
        <v>0</v>
      </c>
      <c r="CW13" s="4">
        <f t="shared" si="1"/>
        <v>0</v>
      </c>
      <c r="CX13" s="4">
        <f t="shared" si="1"/>
        <v>0</v>
      </c>
      <c r="CY13" s="4">
        <f t="shared" si="1"/>
        <v>0</v>
      </c>
      <c r="CZ13" s="4">
        <f t="shared" si="1"/>
        <v>0</v>
      </c>
      <c r="DA13" s="4">
        <f t="shared" si="1"/>
        <v>0</v>
      </c>
      <c r="DB13" s="4">
        <f t="shared" si="1"/>
        <v>0</v>
      </c>
    </row>
    <row r="14" spans="1:106" s="12" customFormat="1" x14ac:dyDescent="0.25">
      <c r="A14" s="12">
        <v>14242856</v>
      </c>
      <c r="B14" s="12" t="s">
        <v>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CG14" s="13"/>
      <c r="CH14" s="13"/>
      <c r="CI14" s="13"/>
      <c r="CJ14" s="13"/>
      <c r="CK14" s="13"/>
      <c r="CL14" s="13"/>
    </row>
    <row r="15" spans="1:106" s="12" customFormat="1" x14ac:dyDescent="0.25">
      <c r="A15" s="12">
        <v>99001183</v>
      </c>
      <c r="B15" s="12" t="s">
        <v>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CG15" s="13"/>
      <c r="CH15" s="13"/>
      <c r="CI15" s="13"/>
      <c r="CJ15" s="13"/>
      <c r="CK15" s="13"/>
      <c r="CL15" s="13"/>
    </row>
    <row r="16" spans="1:106" s="12" customFormat="1" x14ac:dyDescent="0.25">
      <c r="A16" s="12">
        <v>3000983</v>
      </c>
      <c r="B16" s="12" t="s">
        <v>5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CG16" s="13"/>
      <c r="CH16" s="13"/>
      <c r="CI16" s="13"/>
      <c r="CJ16" s="13"/>
      <c r="CK16" s="13"/>
      <c r="CL16" s="13"/>
    </row>
    <row r="17" spans="1:106" s="12" customFormat="1" x14ac:dyDescent="0.25">
      <c r="A17" s="12">
        <v>10064335</v>
      </c>
      <c r="B17" s="12" t="s">
        <v>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CG17" s="13"/>
      <c r="CH17" s="13"/>
      <c r="CI17" s="13"/>
      <c r="CJ17" s="13"/>
      <c r="CK17" s="13"/>
      <c r="CL17" s="13"/>
    </row>
    <row r="18" spans="1:106" x14ac:dyDescent="0.25">
      <c r="A18" s="4"/>
      <c r="B18" s="4"/>
      <c r="C18" s="4">
        <f>COUNTA(C14:C17)</f>
        <v>0</v>
      </c>
      <c r="D18" s="4">
        <f t="shared" ref="D18:BO18" si="2">COUNTA(D14:D17)</f>
        <v>0</v>
      </c>
      <c r="E18" s="4">
        <f t="shared" si="2"/>
        <v>0</v>
      </c>
      <c r="F18" s="4">
        <f t="shared" si="2"/>
        <v>0</v>
      </c>
      <c r="G18" s="4">
        <f t="shared" si="2"/>
        <v>0</v>
      </c>
      <c r="H18" s="4">
        <f t="shared" si="2"/>
        <v>0</v>
      </c>
      <c r="I18" s="4">
        <f t="shared" si="2"/>
        <v>0</v>
      </c>
      <c r="J18" s="4">
        <f t="shared" si="2"/>
        <v>0</v>
      </c>
      <c r="K18" s="4">
        <f t="shared" si="2"/>
        <v>0</v>
      </c>
      <c r="L18" s="4">
        <f t="shared" si="2"/>
        <v>0</v>
      </c>
      <c r="M18" s="4">
        <f t="shared" si="2"/>
        <v>0</v>
      </c>
      <c r="N18" s="4">
        <f t="shared" si="2"/>
        <v>0</v>
      </c>
      <c r="O18" s="4">
        <f t="shared" si="2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2"/>
        <v>0</v>
      </c>
      <c r="T18" s="4">
        <f t="shared" si="2"/>
        <v>0</v>
      </c>
      <c r="U18" s="4">
        <f t="shared" si="2"/>
        <v>0</v>
      </c>
      <c r="V18" s="4">
        <f t="shared" si="2"/>
        <v>0</v>
      </c>
      <c r="W18" s="4">
        <f t="shared" si="2"/>
        <v>0</v>
      </c>
      <c r="X18" s="4">
        <f t="shared" si="2"/>
        <v>0</v>
      </c>
      <c r="Y18" s="4">
        <f t="shared" si="2"/>
        <v>0</v>
      </c>
      <c r="Z18" s="4">
        <f t="shared" si="2"/>
        <v>0</v>
      </c>
      <c r="AA18" s="4">
        <f t="shared" si="2"/>
        <v>0</v>
      </c>
      <c r="AB18" s="4">
        <f t="shared" si="2"/>
        <v>0</v>
      </c>
      <c r="AC18" s="4">
        <f t="shared" si="2"/>
        <v>0</v>
      </c>
      <c r="AD18" s="4">
        <f t="shared" si="2"/>
        <v>0</v>
      </c>
      <c r="AE18" s="4">
        <f t="shared" si="2"/>
        <v>0</v>
      </c>
      <c r="AF18" s="4">
        <f t="shared" si="2"/>
        <v>0</v>
      </c>
      <c r="AG18" s="4">
        <f t="shared" si="2"/>
        <v>0</v>
      </c>
      <c r="AH18" s="4">
        <f t="shared" si="2"/>
        <v>0</v>
      </c>
      <c r="AI18" s="4">
        <f t="shared" si="2"/>
        <v>0</v>
      </c>
      <c r="AJ18" s="4">
        <f t="shared" si="2"/>
        <v>0</v>
      </c>
      <c r="AK18" s="4">
        <f t="shared" si="2"/>
        <v>0</v>
      </c>
      <c r="AL18" s="4">
        <f t="shared" si="2"/>
        <v>0</v>
      </c>
      <c r="AM18" s="4">
        <f t="shared" si="2"/>
        <v>0</v>
      </c>
      <c r="AN18" s="4">
        <f t="shared" si="2"/>
        <v>0</v>
      </c>
      <c r="AO18" s="4">
        <f t="shared" si="2"/>
        <v>0</v>
      </c>
      <c r="AP18" s="4">
        <f t="shared" si="2"/>
        <v>0</v>
      </c>
      <c r="AQ18" s="4">
        <f t="shared" si="2"/>
        <v>0</v>
      </c>
      <c r="AR18" s="4">
        <f t="shared" si="2"/>
        <v>0</v>
      </c>
      <c r="AS18" s="4">
        <f t="shared" si="2"/>
        <v>0</v>
      </c>
      <c r="AT18" s="4">
        <f t="shared" si="2"/>
        <v>0</v>
      </c>
      <c r="AU18" s="4">
        <f t="shared" si="2"/>
        <v>0</v>
      </c>
      <c r="AV18" s="4">
        <f t="shared" si="2"/>
        <v>0</v>
      </c>
      <c r="AW18" s="4">
        <f t="shared" si="2"/>
        <v>0</v>
      </c>
      <c r="AX18" s="4">
        <f t="shared" si="2"/>
        <v>0</v>
      </c>
      <c r="AY18" s="4">
        <f t="shared" si="2"/>
        <v>0</v>
      </c>
      <c r="AZ18" s="4">
        <f t="shared" si="2"/>
        <v>0</v>
      </c>
      <c r="BA18" s="4">
        <f t="shared" si="2"/>
        <v>0</v>
      </c>
      <c r="BB18" s="4">
        <f t="shared" si="2"/>
        <v>0</v>
      </c>
      <c r="BC18" s="4">
        <f t="shared" si="2"/>
        <v>0</v>
      </c>
      <c r="BD18" s="4">
        <f t="shared" si="2"/>
        <v>0</v>
      </c>
      <c r="BE18" s="4">
        <f t="shared" si="2"/>
        <v>0</v>
      </c>
      <c r="BF18" s="4">
        <f t="shared" si="2"/>
        <v>0</v>
      </c>
      <c r="BG18" s="4">
        <f t="shared" si="2"/>
        <v>0</v>
      </c>
      <c r="BH18" s="4">
        <f t="shared" si="2"/>
        <v>0</v>
      </c>
      <c r="BI18" s="4">
        <f t="shared" si="2"/>
        <v>0</v>
      </c>
      <c r="BJ18" s="4">
        <f t="shared" si="2"/>
        <v>0</v>
      </c>
      <c r="BK18" s="4">
        <f t="shared" si="2"/>
        <v>0</v>
      </c>
      <c r="BL18" s="4">
        <f t="shared" si="2"/>
        <v>0</v>
      </c>
      <c r="BM18" s="4">
        <f t="shared" si="2"/>
        <v>0</v>
      </c>
      <c r="BN18" s="4">
        <f t="shared" si="2"/>
        <v>0</v>
      </c>
      <c r="BO18" s="4">
        <f t="shared" si="2"/>
        <v>0</v>
      </c>
      <c r="BP18" s="4">
        <f t="shared" ref="BP18:DB18" si="3">COUNTA(BP14:BP17)</f>
        <v>0</v>
      </c>
      <c r="BQ18" s="4">
        <f t="shared" si="3"/>
        <v>0</v>
      </c>
      <c r="BR18" s="4">
        <f t="shared" si="3"/>
        <v>0</v>
      </c>
      <c r="BS18" s="4">
        <f t="shared" si="3"/>
        <v>0</v>
      </c>
      <c r="BT18" s="4">
        <f t="shared" si="3"/>
        <v>0</v>
      </c>
      <c r="BU18" s="4">
        <f t="shared" si="3"/>
        <v>0</v>
      </c>
      <c r="BV18" s="4">
        <f t="shared" si="3"/>
        <v>0</v>
      </c>
      <c r="BW18" s="4">
        <f t="shared" si="3"/>
        <v>0</v>
      </c>
      <c r="BX18" s="4">
        <f t="shared" si="3"/>
        <v>0</v>
      </c>
      <c r="BY18" s="4">
        <f t="shared" si="3"/>
        <v>0</v>
      </c>
      <c r="BZ18" s="4">
        <f t="shared" si="3"/>
        <v>0</v>
      </c>
      <c r="CA18" s="4">
        <f t="shared" si="3"/>
        <v>0</v>
      </c>
      <c r="CB18" s="4">
        <f t="shared" si="3"/>
        <v>0</v>
      </c>
      <c r="CC18" s="4">
        <f t="shared" si="3"/>
        <v>0</v>
      </c>
      <c r="CD18" s="4">
        <f t="shared" si="3"/>
        <v>0</v>
      </c>
      <c r="CE18" s="4">
        <f t="shared" si="3"/>
        <v>0</v>
      </c>
      <c r="CF18" s="4">
        <f t="shared" si="3"/>
        <v>0</v>
      </c>
      <c r="CG18" s="4">
        <f t="shared" si="3"/>
        <v>0</v>
      </c>
      <c r="CH18" s="4">
        <f t="shared" si="3"/>
        <v>0</v>
      </c>
      <c r="CI18" s="4">
        <f t="shared" si="3"/>
        <v>0</v>
      </c>
      <c r="CJ18" s="4">
        <f t="shared" si="3"/>
        <v>0</v>
      </c>
      <c r="CK18" s="4">
        <f t="shared" si="3"/>
        <v>0</v>
      </c>
      <c r="CL18" s="4">
        <f t="shared" si="3"/>
        <v>0</v>
      </c>
      <c r="CM18" s="4">
        <f t="shared" si="3"/>
        <v>0</v>
      </c>
      <c r="CN18" s="4">
        <f t="shared" si="3"/>
        <v>0</v>
      </c>
      <c r="CO18" s="4">
        <f t="shared" si="3"/>
        <v>0</v>
      </c>
      <c r="CP18" s="4">
        <f t="shared" si="3"/>
        <v>0</v>
      </c>
      <c r="CQ18" s="4">
        <f t="shared" si="3"/>
        <v>0</v>
      </c>
      <c r="CR18" s="4">
        <f t="shared" si="3"/>
        <v>0</v>
      </c>
      <c r="CS18" s="4">
        <f t="shared" si="3"/>
        <v>0</v>
      </c>
      <c r="CT18" s="4">
        <f t="shared" si="3"/>
        <v>0</v>
      </c>
      <c r="CU18" s="4">
        <f t="shared" si="3"/>
        <v>0</v>
      </c>
      <c r="CV18" s="4">
        <f t="shared" si="3"/>
        <v>0</v>
      </c>
      <c r="CW18" s="4">
        <f t="shared" si="3"/>
        <v>0</v>
      </c>
      <c r="CX18" s="4">
        <f t="shared" si="3"/>
        <v>0</v>
      </c>
      <c r="CY18" s="4">
        <f t="shared" si="3"/>
        <v>0</v>
      </c>
      <c r="CZ18" s="4">
        <f t="shared" si="3"/>
        <v>0</v>
      </c>
      <c r="DA18" s="4">
        <f t="shared" si="3"/>
        <v>0</v>
      </c>
      <c r="DB18" s="4">
        <f t="shared" si="3"/>
        <v>0</v>
      </c>
    </row>
    <row r="19" spans="1:106" s="12" customFormat="1" x14ac:dyDescent="0.25">
      <c r="A19" s="12">
        <v>1480</v>
      </c>
      <c r="B19" s="12" t="s">
        <v>6</v>
      </c>
    </row>
    <row r="20" spans="1:106" s="12" customFormat="1" x14ac:dyDescent="0.25">
      <c r="A20" s="12">
        <v>7063959</v>
      </c>
      <c r="B20" s="12" t="s">
        <v>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CG20" s="13"/>
      <c r="CH20" s="13"/>
      <c r="CI20" s="13"/>
      <c r="CJ20" s="13"/>
      <c r="CK20" s="13"/>
      <c r="CL20" s="13"/>
    </row>
    <row r="21" spans="1:106" s="12" customFormat="1" x14ac:dyDescent="0.25">
      <c r="A21" s="12">
        <v>1003215</v>
      </c>
      <c r="B21" s="12" t="s">
        <v>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CG21" s="13"/>
      <c r="CH21" s="13"/>
      <c r="CI21" s="13"/>
      <c r="CJ21" s="13"/>
      <c r="CK21" s="13"/>
      <c r="CL21" s="13"/>
    </row>
    <row r="22" spans="1:106" s="12" customFormat="1" x14ac:dyDescent="0.25">
      <c r="A22" s="12">
        <v>99000802</v>
      </c>
      <c r="B22" s="12" t="s">
        <v>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CG22" s="13"/>
      <c r="CH22" s="13"/>
      <c r="CI22" s="13"/>
      <c r="CJ22" s="13"/>
      <c r="CK22" s="13"/>
      <c r="CL22" s="13"/>
    </row>
    <row r="23" spans="1:106" s="12" customFormat="1" x14ac:dyDescent="0.25">
      <c r="A23" s="12">
        <v>99000892</v>
      </c>
      <c r="B23" s="12" t="s">
        <v>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CG23" s="13"/>
      <c r="CH23" s="13"/>
      <c r="CI23" s="13"/>
      <c r="CJ23" s="13"/>
      <c r="CK23" s="13"/>
      <c r="CL23" s="13"/>
    </row>
    <row r="24" spans="1:106" s="12" customFormat="1" x14ac:dyDescent="0.25">
      <c r="A24" s="12">
        <v>1000192</v>
      </c>
      <c r="B24" s="12" t="s">
        <v>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CG24" s="13"/>
      <c r="CH24" s="13"/>
      <c r="CI24" s="13"/>
      <c r="CJ24" s="13"/>
      <c r="CK24" s="13"/>
      <c r="CL24" s="13"/>
    </row>
    <row r="25" spans="1:106" s="12" customFormat="1" x14ac:dyDescent="0.25">
      <c r="A25" s="12">
        <v>1506</v>
      </c>
      <c r="B25" s="12" t="s">
        <v>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CG25" s="13"/>
      <c r="CH25" s="13"/>
      <c r="CI25" s="13"/>
      <c r="CJ25" s="13"/>
      <c r="CK25" s="13"/>
      <c r="CL25" s="13"/>
    </row>
    <row r="26" spans="1:106" s="12" customFormat="1" x14ac:dyDescent="0.25">
      <c r="A26" s="12">
        <v>99000894</v>
      </c>
      <c r="B26" s="12" t="s">
        <v>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CG26" s="13"/>
      <c r="CH26" s="13"/>
      <c r="CI26" s="13"/>
      <c r="CJ26" s="13"/>
      <c r="CK26" s="13"/>
      <c r="CL26" s="13"/>
    </row>
    <row r="27" spans="1:106" s="12" customFormat="1" x14ac:dyDescent="0.25">
      <c r="A27" s="12">
        <v>99000897</v>
      </c>
      <c r="B27" s="12" t="s">
        <v>6</v>
      </c>
    </row>
    <row r="28" spans="1:106" s="12" customFormat="1" x14ac:dyDescent="0.25">
      <c r="A28" s="12">
        <v>99001245</v>
      </c>
      <c r="B28" s="12" t="s">
        <v>6</v>
      </c>
    </row>
    <row r="29" spans="1:106" s="12" customFormat="1" x14ac:dyDescent="0.25">
      <c r="A29" s="12">
        <v>99001902</v>
      </c>
      <c r="B29" s="12" t="s">
        <v>6</v>
      </c>
    </row>
    <row r="30" spans="1:106" s="12" customFormat="1" x14ac:dyDescent="0.25">
      <c r="A30" s="12">
        <v>99001912</v>
      </c>
      <c r="B30" s="12" t="s">
        <v>6</v>
      </c>
    </row>
    <row r="31" spans="1:106" s="12" customFormat="1" x14ac:dyDescent="0.25">
      <c r="A31" s="12">
        <v>99001913</v>
      </c>
      <c r="B31" s="12" t="s">
        <v>6</v>
      </c>
    </row>
    <row r="32" spans="1:106" s="12" customFormat="1" x14ac:dyDescent="0.25">
      <c r="A32" s="12">
        <v>99001937</v>
      </c>
      <c r="B32" s="12" t="s">
        <v>6</v>
      </c>
    </row>
    <row r="33" spans="1:106" s="12" customFormat="1" x14ac:dyDescent="0.25">
      <c r="A33" s="12">
        <v>99001943</v>
      </c>
      <c r="B33" s="12" t="s">
        <v>6</v>
      </c>
    </row>
    <row r="34" spans="1:106" s="12" customFormat="1" x14ac:dyDescent="0.25">
      <c r="A34" s="12">
        <v>99001927</v>
      </c>
      <c r="B34" s="12" t="s">
        <v>6</v>
      </c>
    </row>
    <row r="35" spans="1:106" s="12" customFormat="1" x14ac:dyDescent="0.25">
      <c r="A35" s="12">
        <v>1505</v>
      </c>
      <c r="B35" s="12" t="s">
        <v>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CG35" s="13"/>
      <c r="CH35" s="13"/>
      <c r="CI35" s="13"/>
      <c r="CJ35" s="13"/>
      <c r="CK35" s="13"/>
      <c r="CL35" s="13"/>
    </row>
    <row r="36" spans="1:106" s="12" customFormat="1" x14ac:dyDescent="0.25">
      <c r="A36" s="12">
        <v>1000197</v>
      </c>
      <c r="B36" s="12" t="s">
        <v>6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CG36" s="13"/>
      <c r="CH36" s="13"/>
      <c r="CI36" s="13"/>
      <c r="CJ36" s="13"/>
      <c r="CK36" s="13"/>
      <c r="CL36" s="13"/>
    </row>
    <row r="37" spans="1:106" s="12" customFormat="1" x14ac:dyDescent="0.25">
      <c r="A37" s="12">
        <v>96018835</v>
      </c>
      <c r="B37" s="12" t="s">
        <v>6</v>
      </c>
      <c r="I37" s="13"/>
      <c r="J37" s="13"/>
      <c r="K37" s="13"/>
      <c r="L37" s="13"/>
      <c r="CG37" s="13"/>
      <c r="CH37" s="13"/>
      <c r="CI37" s="13"/>
      <c r="CJ37" s="13"/>
      <c r="CK37" s="13"/>
      <c r="CL37" s="13"/>
    </row>
    <row r="38" spans="1:106" s="12" customFormat="1" x14ac:dyDescent="0.25">
      <c r="A38" s="12">
        <v>98008326</v>
      </c>
      <c r="B38" s="12" t="s">
        <v>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CG38" s="13"/>
      <c r="CH38" s="13"/>
      <c r="CI38" s="13"/>
      <c r="CJ38" s="13"/>
      <c r="CK38" s="13"/>
      <c r="CL38" s="13"/>
    </row>
    <row r="39" spans="1:106" s="12" customFormat="1" x14ac:dyDescent="0.25">
      <c r="A39" s="12">
        <v>99000717</v>
      </c>
      <c r="B39" s="12" t="s">
        <v>6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CG39" s="13"/>
      <c r="CH39" s="13"/>
      <c r="CI39" s="13"/>
      <c r="CJ39" s="13"/>
      <c r="CK39" s="13"/>
      <c r="CL39" s="13"/>
    </row>
    <row r="40" spans="1:106" x14ac:dyDescent="0.25">
      <c r="C40">
        <f>COUNTA(C19:C39)</f>
        <v>0</v>
      </c>
      <c r="D40">
        <f t="shared" ref="D40:BO40" si="4">COUNTA(D19:D39)</f>
        <v>0</v>
      </c>
      <c r="E40">
        <f t="shared" si="4"/>
        <v>0</v>
      </c>
      <c r="F40">
        <f t="shared" si="4"/>
        <v>0</v>
      </c>
      <c r="G40">
        <f t="shared" si="4"/>
        <v>0</v>
      </c>
      <c r="H40">
        <f t="shared" si="4"/>
        <v>0</v>
      </c>
      <c r="I40">
        <f t="shared" si="4"/>
        <v>0</v>
      </c>
      <c r="J40">
        <f t="shared" si="4"/>
        <v>0</v>
      </c>
      <c r="K40">
        <f t="shared" si="4"/>
        <v>0</v>
      </c>
      <c r="L40">
        <f t="shared" si="4"/>
        <v>0</v>
      </c>
      <c r="M40">
        <f t="shared" si="4"/>
        <v>0</v>
      </c>
      <c r="N40">
        <f t="shared" si="4"/>
        <v>0</v>
      </c>
      <c r="O40">
        <f t="shared" si="4"/>
        <v>0</v>
      </c>
      <c r="P40">
        <f t="shared" si="4"/>
        <v>0</v>
      </c>
      <c r="Q40">
        <f t="shared" si="4"/>
        <v>0</v>
      </c>
      <c r="R40">
        <f t="shared" si="4"/>
        <v>0</v>
      </c>
      <c r="S40">
        <f t="shared" si="4"/>
        <v>0</v>
      </c>
      <c r="T40">
        <f t="shared" si="4"/>
        <v>0</v>
      </c>
      <c r="U40">
        <f t="shared" si="4"/>
        <v>0</v>
      </c>
      <c r="V40">
        <f t="shared" si="4"/>
        <v>0</v>
      </c>
      <c r="W40">
        <f t="shared" si="4"/>
        <v>0</v>
      </c>
      <c r="X40">
        <f t="shared" si="4"/>
        <v>0</v>
      </c>
      <c r="Y40">
        <f t="shared" si="4"/>
        <v>0</v>
      </c>
      <c r="Z40">
        <f t="shared" si="4"/>
        <v>0</v>
      </c>
      <c r="AA40">
        <f t="shared" si="4"/>
        <v>0</v>
      </c>
      <c r="AB40">
        <f t="shared" si="4"/>
        <v>0</v>
      </c>
      <c r="AC40">
        <f t="shared" si="4"/>
        <v>0</v>
      </c>
      <c r="AD40">
        <f t="shared" si="4"/>
        <v>0</v>
      </c>
      <c r="AE40">
        <f t="shared" si="4"/>
        <v>0</v>
      </c>
      <c r="AF40">
        <f t="shared" si="4"/>
        <v>0</v>
      </c>
      <c r="AG40">
        <f t="shared" si="4"/>
        <v>0</v>
      </c>
      <c r="AH40">
        <f t="shared" si="4"/>
        <v>0</v>
      </c>
      <c r="AI40">
        <f t="shared" si="4"/>
        <v>0</v>
      </c>
      <c r="AJ40">
        <f t="shared" si="4"/>
        <v>0</v>
      </c>
      <c r="AK40">
        <f t="shared" si="4"/>
        <v>0</v>
      </c>
      <c r="AL40">
        <f t="shared" si="4"/>
        <v>0</v>
      </c>
      <c r="AM40">
        <f t="shared" si="4"/>
        <v>0</v>
      </c>
      <c r="AN40">
        <f t="shared" si="4"/>
        <v>0</v>
      </c>
      <c r="AO40">
        <f t="shared" si="4"/>
        <v>0</v>
      </c>
      <c r="AP40">
        <f t="shared" si="4"/>
        <v>0</v>
      </c>
      <c r="AQ40">
        <f t="shared" si="4"/>
        <v>0</v>
      </c>
      <c r="AR40">
        <f t="shared" si="4"/>
        <v>0</v>
      </c>
      <c r="AS40">
        <f t="shared" si="4"/>
        <v>0</v>
      </c>
      <c r="AT40">
        <f t="shared" si="4"/>
        <v>0</v>
      </c>
      <c r="AU40">
        <f t="shared" si="4"/>
        <v>0</v>
      </c>
      <c r="AV40">
        <f t="shared" si="4"/>
        <v>0</v>
      </c>
      <c r="AW40">
        <f t="shared" si="4"/>
        <v>0</v>
      </c>
      <c r="AX40">
        <f t="shared" si="4"/>
        <v>0</v>
      </c>
      <c r="AY40">
        <f t="shared" si="4"/>
        <v>0</v>
      </c>
      <c r="AZ40">
        <f t="shared" si="4"/>
        <v>0</v>
      </c>
      <c r="BA40">
        <f t="shared" si="4"/>
        <v>0</v>
      </c>
      <c r="BB40">
        <f t="shared" si="4"/>
        <v>0</v>
      </c>
      <c r="BC40">
        <f t="shared" si="4"/>
        <v>0</v>
      </c>
      <c r="BD40">
        <f t="shared" si="4"/>
        <v>0</v>
      </c>
      <c r="BE40">
        <f t="shared" si="4"/>
        <v>0</v>
      </c>
      <c r="BF40">
        <f t="shared" si="4"/>
        <v>0</v>
      </c>
      <c r="BG40">
        <f t="shared" si="4"/>
        <v>0</v>
      </c>
      <c r="BH40">
        <f t="shared" si="4"/>
        <v>0</v>
      </c>
      <c r="BI40">
        <f t="shared" si="4"/>
        <v>0</v>
      </c>
      <c r="BJ40">
        <f t="shared" si="4"/>
        <v>0</v>
      </c>
      <c r="BK40">
        <f t="shared" si="4"/>
        <v>0</v>
      </c>
      <c r="BL40">
        <f t="shared" si="4"/>
        <v>0</v>
      </c>
      <c r="BM40">
        <f t="shared" si="4"/>
        <v>0</v>
      </c>
      <c r="BN40">
        <f t="shared" si="4"/>
        <v>0</v>
      </c>
      <c r="BO40">
        <f t="shared" si="4"/>
        <v>0</v>
      </c>
      <c r="BP40">
        <f t="shared" ref="BP40:DB40" si="5">COUNTA(BP19:BP39)</f>
        <v>0</v>
      </c>
      <c r="BQ40">
        <f t="shared" si="5"/>
        <v>0</v>
      </c>
      <c r="BR40">
        <f t="shared" si="5"/>
        <v>0</v>
      </c>
      <c r="BS40">
        <f t="shared" si="5"/>
        <v>0</v>
      </c>
      <c r="BT40">
        <f t="shared" si="5"/>
        <v>0</v>
      </c>
      <c r="BU40">
        <f t="shared" si="5"/>
        <v>0</v>
      </c>
      <c r="BV40">
        <f t="shared" si="5"/>
        <v>0</v>
      </c>
      <c r="BW40">
        <f t="shared" si="5"/>
        <v>0</v>
      </c>
      <c r="BX40">
        <f t="shared" si="5"/>
        <v>0</v>
      </c>
      <c r="BY40">
        <f t="shared" si="5"/>
        <v>0</v>
      </c>
      <c r="BZ40">
        <f t="shared" si="5"/>
        <v>0</v>
      </c>
      <c r="CA40">
        <f t="shared" si="5"/>
        <v>0</v>
      </c>
      <c r="CB40">
        <f t="shared" si="5"/>
        <v>0</v>
      </c>
      <c r="CC40">
        <f t="shared" si="5"/>
        <v>0</v>
      </c>
      <c r="CD40">
        <f t="shared" si="5"/>
        <v>0</v>
      </c>
      <c r="CE40">
        <f t="shared" si="5"/>
        <v>0</v>
      </c>
      <c r="CF40">
        <f t="shared" si="5"/>
        <v>0</v>
      </c>
      <c r="CG40">
        <f t="shared" si="5"/>
        <v>0</v>
      </c>
      <c r="CH40">
        <f t="shared" si="5"/>
        <v>0</v>
      </c>
      <c r="CI40">
        <f t="shared" si="5"/>
        <v>0</v>
      </c>
      <c r="CJ40">
        <f t="shared" si="5"/>
        <v>0</v>
      </c>
      <c r="CK40">
        <f t="shared" si="5"/>
        <v>0</v>
      </c>
      <c r="CL40">
        <f t="shared" si="5"/>
        <v>0</v>
      </c>
      <c r="CM40">
        <f t="shared" si="5"/>
        <v>0</v>
      </c>
      <c r="CN40">
        <f t="shared" si="5"/>
        <v>0</v>
      </c>
      <c r="CO40">
        <f t="shared" si="5"/>
        <v>0</v>
      </c>
      <c r="CP40">
        <f t="shared" si="5"/>
        <v>0</v>
      </c>
      <c r="CQ40">
        <f t="shared" si="5"/>
        <v>0</v>
      </c>
      <c r="CR40">
        <f t="shared" si="5"/>
        <v>0</v>
      </c>
      <c r="CS40">
        <f t="shared" si="5"/>
        <v>0</v>
      </c>
      <c r="CT40">
        <f t="shared" si="5"/>
        <v>0</v>
      </c>
      <c r="CU40">
        <f t="shared" si="5"/>
        <v>0</v>
      </c>
      <c r="CV40">
        <f t="shared" si="5"/>
        <v>0</v>
      </c>
      <c r="CW40">
        <f t="shared" si="5"/>
        <v>0</v>
      </c>
      <c r="CX40">
        <f t="shared" si="5"/>
        <v>0</v>
      </c>
      <c r="CY40">
        <f t="shared" si="5"/>
        <v>0</v>
      </c>
      <c r="CZ40">
        <f t="shared" si="5"/>
        <v>0</v>
      </c>
      <c r="DA40">
        <f t="shared" si="5"/>
        <v>0</v>
      </c>
      <c r="DB40">
        <f t="shared" si="5"/>
        <v>0</v>
      </c>
    </row>
    <row r="41" spans="1:106" s="12" customFormat="1" x14ac:dyDescent="0.25">
      <c r="A41" s="12">
        <v>6016435</v>
      </c>
      <c r="B41" s="12" t="s">
        <v>7</v>
      </c>
    </row>
    <row r="42" spans="1:106" s="12" customFormat="1" x14ac:dyDescent="0.25">
      <c r="A42" s="12">
        <v>8045149</v>
      </c>
      <c r="B42" s="12" t="s">
        <v>7</v>
      </c>
    </row>
    <row r="43" spans="1:106" s="12" customFormat="1" x14ac:dyDescent="0.25">
      <c r="A43" s="12">
        <v>10023001</v>
      </c>
      <c r="B43" s="12" t="s">
        <v>7</v>
      </c>
    </row>
    <row r="44" spans="1:106" s="12" customFormat="1" x14ac:dyDescent="0.25">
      <c r="A44" s="12">
        <v>10027526</v>
      </c>
      <c r="B44" s="12" t="s">
        <v>7</v>
      </c>
    </row>
    <row r="45" spans="1:106" s="12" customFormat="1" x14ac:dyDescent="0.25">
      <c r="A45" s="12">
        <v>14222171</v>
      </c>
      <c r="B45" s="12" t="s">
        <v>7</v>
      </c>
    </row>
    <row r="46" spans="1:106" s="12" customFormat="1" x14ac:dyDescent="0.25">
      <c r="A46" s="12">
        <v>1006143</v>
      </c>
      <c r="B46" s="12" t="s">
        <v>7</v>
      </c>
    </row>
    <row r="47" spans="1:106" s="12" customFormat="1" x14ac:dyDescent="0.25">
      <c r="A47" s="12">
        <v>6006917</v>
      </c>
      <c r="B47" s="12" t="s">
        <v>7</v>
      </c>
    </row>
    <row r="48" spans="1:106" x14ac:dyDescent="0.25">
      <c r="C48">
        <f>COUNTA(C41:C47)</f>
        <v>0</v>
      </c>
      <c r="D48">
        <f t="shared" ref="D48:BO48" si="6">COUNTA(D41:D47)</f>
        <v>0</v>
      </c>
      <c r="E48">
        <f t="shared" si="6"/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0</v>
      </c>
      <c r="J48">
        <f t="shared" si="6"/>
        <v>0</v>
      </c>
      <c r="K48">
        <f t="shared" si="6"/>
        <v>0</v>
      </c>
      <c r="L48">
        <f t="shared" si="6"/>
        <v>0</v>
      </c>
      <c r="M48">
        <f t="shared" si="6"/>
        <v>0</v>
      </c>
      <c r="N48">
        <f t="shared" si="6"/>
        <v>0</v>
      </c>
      <c r="O48">
        <f t="shared" si="6"/>
        <v>0</v>
      </c>
      <c r="P48">
        <f t="shared" si="6"/>
        <v>0</v>
      </c>
      <c r="Q48">
        <f t="shared" si="6"/>
        <v>0</v>
      </c>
      <c r="R48">
        <f t="shared" si="6"/>
        <v>0</v>
      </c>
      <c r="S48">
        <f t="shared" si="6"/>
        <v>0</v>
      </c>
      <c r="T48">
        <f t="shared" si="6"/>
        <v>0</v>
      </c>
      <c r="U48">
        <f t="shared" si="6"/>
        <v>0</v>
      </c>
      <c r="V48">
        <f t="shared" si="6"/>
        <v>0</v>
      </c>
      <c r="W48">
        <f t="shared" si="6"/>
        <v>0</v>
      </c>
      <c r="X48">
        <f t="shared" si="6"/>
        <v>0</v>
      </c>
      <c r="Y48">
        <f t="shared" si="6"/>
        <v>0</v>
      </c>
      <c r="Z48">
        <f t="shared" si="6"/>
        <v>0</v>
      </c>
      <c r="AA48">
        <f t="shared" si="6"/>
        <v>0</v>
      </c>
      <c r="AB48">
        <f t="shared" si="6"/>
        <v>0</v>
      </c>
      <c r="AC48">
        <f t="shared" si="6"/>
        <v>0</v>
      </c>
      <c r="AD48">
        <f t="shared" si="6"/>
        <v>0</v>
      </c>
      <c r="AE48">
        <f t="shared" si="6"/>
        <v>0</v>
      </c>
      <c r="AF48">
        <f t="shared" si="6"/>
        <v>0</v>
      </c>
      <c r="AG48">
        <f t="shared" si="6"/>
        <v>0</v>
      </c>
      <c r="AH48">
        <f t="shared" si="6"/>
        <v>0</v>
      </c>
      <c r="AI48">
        <f t="shared" si="6"/>
        <v>0</v>
      </c>
      <c r="AJ48">
        <f t="shared" si="6"/>
        <v>0</v>
      </c>
      <c r="AK48">
        <f t="shared" si="6"/>
        <v>0</v>
      </c>
      <c r="AL48">
        <f t="shared" si="6"/>
        <v>0</v>
      </c>
      <c r="AM48">
        <f t="shared" si="6"/>
        <v>0</v>
      </c>
      <c r="AN48">
        <f t="shared" si="6"/>
        <v>0</v>
      </c>
      <c r="AO48">
        <f t="shared" si="6"/>
        <v>0</v>
      </c>
      <c r="AP48">
        <f t="shared" si="6"/>
        <v>0</v>
      </c>
      <c r="AQ48">
        <f t="shared" si="6"/>
        <v>0</v>
      </c>
      <c r="AR48">
        <f t="shared" si="6"/>
        <v>0</v>
      </c>
      <c r="AS48">
        <f t="shared" si="6"/>
        <v>0</v>
      </c>
      <c r="AT48">
        <f t="shared" si="6"/>
        <v>0</v>
      </c>
      <c r="AU48">
        <f t="shared" si="6"/>
        <v>0</v>
      </c>
      <c r="AV48">
        <f t="shared" si="6"/>
        <v>0</v>
      </c>
      <c r="AW48">
        <f t="shared" si="6"/>
        <v>0</v>
      </c>
      <c r="AX48">
        <f t="shared" si="6"/>
        <v>0</v>
      </c>
      <c r="AY48">
        <f t="shared" si="6"/>
        <v>0</v>
      </c>
      <c r="AZ48">
        <f t="shared" si="6"/>
        <v>0</v>
      </c>
      <c r="BA48">
        <f t="shared" si="6"/>
        <v>0</v>
      </c>
      <c r="BB48">
        <f t="shared" si="6"/>
        <v>0</v>
      </c>
      <c r="BC48">
        <f t="shared" si="6"/>
        <v>0</v>
      </c>
      <c r="BD48">
        <f t="shared" si="6"/>
        <v>0</v>
      </c>
      <c r="BE48">
        <f t="shared" si="6"/>
        <v>0</v>
      </c>
      <c r="BF48">
        <f t="shared" si="6"/>
        <v>0</v>
      </c>
      <c r="BG48">
        <f t="shared" si="6"/>
        <v>0</v>
      </c>
      <c r="BH48">
        <f t="shared" si="6"/>
        <v>0</v>
      </c>
      <c r="BI48">
        <f t="shared" si="6"/>
        <v>0</v>
      </c>
      <c r="BJ48">
        <f t="shared" si="6"/>
        <v>0</v>
      </c>
      <c r="BK48">
        <f t="shared" si="6"/>
        <v>0</v>
      </c>
      <c r="BL48">
        <f t="shared" si="6"/>
        <v>0</v>
      </c>
      <c r="BM48">
        <f t="shared" si="6"/>
        <v>0</v>
      </c>
      <c r="BN48">
        <f t="shared" si="6"/>
        <v>0</v>
      </c>
      <c r="BO48">
        <f t="shared" si="6"/>
        <v>0</v>
      </c>
      <c r="BP48">
        <f t="shared" ref="BP48:DB48" si="7">COUNTA(BP41:BP47)</f>
        <v>0</v>
      </c>
      <c r="BQ48">
        <f t="shared" si="7"/>
        <v>0</v>
      </c>
      <c r="BR48">
        <f t="shared" si="7"/>
        <v>0</v>
      </c>
      <c r="BS48">
        <f t="shared" si="7"/>
        <v>0</v>
      </c>
      <c r="BT48">
        <f t="shared" si="7"/>
        <v>0</v>
      </c>
      <c r="BU48">
        <f t="shared" si="7"/>
        <v>0</v>
      </c>
      <c r="BV48">
        <f t="shared" si="7"/>
        <v>0</v>
      </c>
      <c r="BW48">
        <f t="shared" si="7"/>
        <v>0</v>
      </c>
      <c r="BX48">
        <f t="shared" si="7"/>
        <v>0</v>
      </c>
      <c r="BY48">
        <f t="shared" si="7"/>
        <v>0</v>
      </c>
      <c r="BZ48">
        <f t="shared" si="7"/>
        <v>0</v>
      </c>
      <c r="CA48">
        <f t="shared" si="7"/>
        <v>0</v>
      </c>
      <c r="CB48">
        <f t="shared" si="7"/>
        <v>0</v>
      </c>
      <c r="CC48">
        <f t="shared" si="7"/>
        <v>0</v>
      </c>
      <c r="CD48">
        <f t="shared" si="7"/>
        <v>0</v>
      </c>
      <c r="CE48">
        <f t="shared" si="7"/>
        <v>0</v>
      </c>
      <c r="CF48">
        <f t="shared" si="7"/>
        <v>0</v>
      </c>
      <c r="CG48">
        <f t="shared" si="7"/>
        <v>0</v>
      </c>
      <c r="CH48">
        <f t="shared" si="7"/>
        <v>0</v>
      </c>
      <c r="CI48">
        <f t="shared" si="7"/>
        <v>0</v>
      </c>
      <c r="CJ48">
        <f t="shared" si="7"/>
        <v>0</v>
      </c>
      <c r="CK48">
        <f t="shared" si="7"/>
        <v>0</v>
      </c>
      <c r="CL48">
        <f t="shared" si="7"/>
        <v>0</v>
      </c>
      <c r="CM48">
        <f t="shared" si="7"/>
        <v>0</v>
      </c>
      <c r="CN48">
        <f t="shared" si="7"/>
        <v>0</v>
      </c>
      <c r="CO48">
        <f t="shared" si="7"/>
        <v>0</v>
      </c>
      <c r="CP48">
        <f t="shared" si="7"/>
        <v>0</v>
      </c>
      <c r="CQ48">
        <f t="shared" si="7"/>
        <v>0</v>
      </c>
      <c r="CR48">
        <f t="shared" si="7"/>
        <v>0</v>
      </c>
      <c r="CS48">
        <f t="shared" si="7"/>
        <v>0</v>
      </c>
      <c r="CT48">
        <f t="shared" si="7"/>
        <v>0</v>
      </c>
      <c r="CU48">
        <f t="shared" si="7"/>
        <v>0</v>
      </c>
      <c r="CV48">
        <f t="shared" si="7"/>
        <v>0</v>
      </c>
      <c r="CW48">
        <f t="shared" si="7"/>
        <v>0</v>
      </c>
      <c r="CX48">
        <f t="shared" si="7"/>
        <v>0</v>
      </c>
      <c r="CY48">
        <f t="shared" si="7"/>
        <v>0</v>
      </c>
      <c r="CZ48">
        <f t="shared" si="7"/>
        <v>0</v>
      </c>
      <c r="DA48">
        <f t="shared" si="7"/>
        <v>0</v>
      </c>
      <c r="DB48">
        <f t="shared" si="7"/>
        <v>0</v>
      </c>
    </row>
    <row r="49" spans="1:106" s="12" customFormat="1" x14ac:dyDescent="0.25">
      <c r="A49" s="12">
        <v>8057159</v>
      </c>
      <c r="B49" s="12" t="s">
        <v>8</v>
      </c>
    </row>
    <row r="50" spans="1:106" s="12" customFormat="1" x14ac:dyDescent="0.25">
      <c r="A50" s="12">
        <v>9140312</v>
      </c>
      <c r="B50" s="12" t="s">
        <v>8</v>
      </c>
    </row>
    <row r="51" spans="1:106" s="12" customFormat="1" x14ac:dyDescent="0.25">
      <c r="A51" s="12">
        <v>12008230</v>
      </c>
      <c r="B51" s="12" t="s">
        <v>8</v>
      </c>
    </row>
    <row r="52" spans="1:106" s="12" customFormat="1" x14ac:dyDescent="0.25">
      <c r="A52" s="12" t="s">
        <v>9</v>
      </c>
      <c r="B52" s="12" t="s">
        <v>8</v>
      </c>
    </row>
    <row r="53" spans="1:106" s="12" customFormat="1" x14ac:dyDescent="0.25">
      <c r="A53" s="12">
        <v>13118872</v>
      </c>
      <c r="B53" s="12" t="s">
        <v>8</v>
      </c>
    </row>
    <row r="54" spans="1:106" s="12" customFormat="1" x14ac:dyDescent="0.25">
      <c r="A54" s="12">
        <v>12012030</v>
      </c>
      <c r="B54" s="12" t="s">
        <v>8</v>
      </c>
    </row>
    <row r="55" spans="1:106" x14ac:dyDescent="0.25">
      <c r="C55">
        <f>COUNTA(C49:C54)</f>
        <v>0</v>
      </c>
      <c r="D55">
        <f t="shared" ref="D55:BO55" si="8">COUNTA(D49:D54)</f>
        <v>0</v>
      </c>
      <c r="E55">
        <f t="shared" si="8"/>
        <v>0</v>
      </c>
      <c r="F55">
        <f t="shared" si="8"/>
        <v>0</v>
      </c>
      <c r="G55">
        <f t="shared" si="8"/>
        <v>0</v>
      </c>
      <c r="H55">
        <f t="shared" si="8"/>
        <v>0</v>
      </c>
      <c r="I55">
        <f t="shared" si="8"/>
        <v>0</v>
      </c>
      <c r="J55">
        <f t="shared" si="8"/>
        <v>0</v>
      </c>
      <c r="K55">
        <f t="shared" si="8"/>
        <v>0</v>
      </c>
      <c r="L55">
        <f t="shared" si="8"/>
        <v>0</v>
      </c>
      <c r="M55">
        <f t="shared" si="8"/>
        <v>0</v>
      </c>
      <c r="N55">
        <f t="shared" si="8"/>
        <v>0</v>
      </c>
      <c r="O55">
        <f t="shared" si="8"/>
        <v>0</v>
      </c>
      <c r="P55">
        <f t="shared" si="8"/>
        <v>0</v>
      </c>
      <c r="Q55">
        <f t="shared" si="8"/>
        <v>0</v>
      </c>
      <c r="R55">
        <f t="shared" si="8"/>
        <v>0</v>
      </c>
      <c r="S55">
        <f t="shared" si="8"/>
        <v>0</v>
      </c>
      <c r="T55">
        <f t="shared" si="8"/>
        <v>0</v>
      </c>
      <c r="U55">
        <f t="shared" si="8"/>
        <v>0</v>
      </c>
      <c r="V55">
        <f t="shared" si="8"/>
        <v>0</v>
      </c>
      <c r="W55">
        <f t="shared" si="8"/>
        <v>0</v>
      </c>
      <c r="X55">
        <f t="shared" si="8"/>
        <v>0</v>
      </c>
      <c r="Y55">
        <f t="shared" si="8"/>
        <v>0</v>
      </c>
      <c r="Z55">
        <f t="shared" si="8"/>
        <v>0</v>
      </c>
      <c r="AA55">
        <f t="shared" si="8"/>
        <v>0</v>
      </c>
      <c r="AB55">
        <f t="shared" si="8"/>
        <v>0</v>
      </c>
      <c r="AC55">
        <f t="shared" si="8"/>
        <v>0</v>
      </c>
      <c r="AD55">
        <f t="shared" si="8"/>
        <v>0</v>
      </c>
      <c r="AE55">
        <f t="shared" si="8"/>
        <v>0</v>
      </c>
      <c r="AF55">
        <f t="shared" si="8"/>
        <v>0</v>
      </c>
      <c r="AG55">
        <f t="shared" si="8"/>
        <v>0</v>
      </c>
      <c r="AH55">
        <f t="shared" si="8"/>
        <v>0</v>
      </c>
      <c r="AI55">
        <f t="shared" si="8"/>
        <v>0</v>
      </c>
      <c r="AJ55">
        <f t="shared" si="8"/>
        <v>0</v>
      </c>
      <c r="AK55">
        <f t="shared" si="8"/>
        <v>0</v>
      </c>
      <c r="AL55">
        <f t="shared" si="8"/>
        <v>0</v>
      </c>
      <c r="AM55">
        <f t="shared" si="8"/>
        <v>0</v>
      </c>
      <c r="AN55">
        <f t="shared" si="8"/>
        <v>0</v>
      </c>
      <c r="AO55">
        <f t="shared" si="8"/>
        <v>0</v>
      </c>
      <c r="AP55">
        <f t="shared" si="8"/>
        <v>0</v>
      </c>
      <c r="AQ55">
        <f t="shared" si="8"/>
        <v>0</v>
      </c>
      <c r="AR55">
        <f t="shared" si="8"/>
        <v>0</v>
      </c>
      <c r="AS55">
        <f t="shared" si="8"/>
        <v>0</v>
      </c>
      <c r="AT55">
        <f t="shared" si="8"/>
        <v>0</v>
      </c>
      <c r="AU55">
        <f t="shared" si="8"/>
        <v>0</v>
      </c>
      <c r="AV55">
        <f t="shared" si="8"/>
        <v>0</v>
      </c>
      <c r="AW55">
        <f t="shared" si="8"/>
        <v>0</v>
      </c>
      <c r="AX55">
        <f t="shared" si="8"/>
        <v>0</v>
      </c>
      <c r="AY55">
        <f t="shared" si="8"/>
        <v>0</v>
      </c>
      <c r="AZ55">
        <f t="shared" si="8"/>
        <v>0</v>
      </c>
      <c r="BA55">
        <f t="shared" si="8"/>
        <v>0</v>
      </c>
      <c r="BB55">
        <f t="shared" si="8"/>
        <v>0</v>
      </c>
      <c r="BC55">
        <f t="shared" si="8"/>
        <v>0</v>
      </c>
      <c r="BD55">
        <f t="shared" si="8"/>
        <v>0</v>
      </c>
      <c r="BE55">
        <f t="shared" si="8"/>
        <v>0</v>
      </c>
      <c r="BF55">
        <f t="shared" si="8"/>
        <v>0</v>
      </c>
      <c r="BG55">
        <f t="shared" si="8"/>
        <v>0</v>
      </c>
      <c r="BH55">
        <f t="shared" si="8"/>
        <v>0</v>
      </c>
      <c r="BI55">
        <f t="shared" si="8"/>
        <v>0</v>
      </c>
      <c r="BJ55">
        <f t="shared" si="8"/>
        <v>0</v>
      </c>
      <c r="BK55">
        <f t="shared" si="8"/>
        <v>0</v>
      </c>
      <c r="BL55">
        <f t="shared" si="8"/>
        <v>0</v>
      </c>
      <c r="BM55">
        <f t="shared" si="8"/>
        <v>0</v>
      </c>
      <c r="BN55">
        <f t="shared" si="8"/>
        <v>0</v>
      </c>
      <c r="BO55">
        <f t="shared" si="8"/>
        <v>0</v>
      </c>
      <c r="BP55">
        <f t="shared" ref="BP55:DB55" si="9">COUNTA(BP49:BP54)</f>
        <v>0</v>
      </c>
      <c r="BQ55">
        <f t="shared" si="9"/>
        <v>0</v>
      </c>
      <c r="BR55">
        <f t="shared" si="9"/>
        <v>0</v>
      </c>
      <c r="BS55">
        <f t="shared" si="9"/>
        <v>0</v>
      </c>
      <c r="BT55">
        <f t="shared" si="9"/>
        <v>0</v>
      </c>
      <c r="BU55">
        <f t="shared" si="9"/>
        <v>0</v>
      </c>
      <c r="BV55">
        <f t="shared" si="9"/>
        <v>0</v>
      </c>
      <c r="BW55">
        <f t="shared" si="9"/>
        <v>0</v>
      </c>
      <c r="BX55">
        <f t="shared" si="9"/>
        <v>0</v>
      </c>
      <c r="BY55">
        <f t="shared" si="9"/>
        <v>0</v>
      </c>
      <c r="BZ55">
        <f t="shared" si="9"/>
        <v>0</v>
      </c>
      <c r="CA55">
        <f t="shared" si="9"/>
        <v>0</v>
      </c>
      <c r="CB55">
        <f t="shared" si="9"/>
        <v>0</v>
      </c>
      <c r="CC55">
        <f t="shared" si="9"/>
        <v>0</v>
      </c>
      <c r="CD55">
        <f t="shared" si="9"/>
        <v>0</v>
      </c>
      <c r="CE55">
        <f t="shared" si="9"/>
        <v>0</v>
      </c>
      <c r="CF55">
        <f t="shared" si="9"/>
        <v>0</v>
      </c>
      <c r="CG55">
        <f t="shared" si="9"/>
        <v>0</v>
      </c>
      <c r="CH55">
        <f t="shared" si="9"/>
        <v>0</v>
      </c>
      <c r="CI55">
        <f t="shared" si="9"/>
        <v>0</v>
      </c>
      <c r="CJ55">
        <f t="shared" si="9"/>
        <v>0</v>
      </c>
      <c r="CK55">
        <f t="shared" si="9"/>
        <v>0</v>
      </c>
      <c r="CL55">
        <f t="shared" si="9"/>
        <v>0</v>
      </c>
      <c r="CM55">
        <f t="shared" si="9"/>
        <v>0</v>
      </c>
      <c r="CN55">
        <f t="shared" si="9"/>
        <v>0</v>
      </c>
      <c r="CO55">
        <f t="shared" si="9"/>
        <v>0</v>
      </c>
      <c r="CP55">
        <f t="shared" si="9"/>
        <v>0</v>
      </c>
      <c r="CQ55">
        <f t="shared" si="9"/>
        <v>0</v>
      </c>
      <c r="CR55">
        <f t="shared" si="9"/>
        <v>0</v>
      </c>
      <c r="CS55">
        <f t="shared" si="9"/>
        <v>0</v>
      </c>
      <c r="CT55">
        <f t="shared" si="9"/>
        <v>0</v>
      </c>
      <c r="CU55">
        <f t="shared" si="9"/>
        <v>0</v>
      </c>
      <c r="CV55">
        <f t="shared" si="9"/>
        <v>0</v>
      </c>
      <c r="CW55">
        <f t="shared" si="9"/>
        <v>0</v>
      </c>
      <c r="CX55">
        <f t="shared" si="9"/>
        <v>0</v>
      </c>
      <c r="CY55">
        <f t="shared" si="9"/>
        <v>0</v>
      </c>
      <c r="CZ55">
        <f t="shared" si="9"/>
        <v>0</v>
      </c>
      <c r="DA55">
        <f t="shared" si="9"/>
        <v>0</v>
      </c>
      <c r="DB55">
        <f t="shared" si="9"/>
        <v>0</v>
      </c>
    </row>
    <row r="56" spans="1:106" s="12" customFormat="1" x14ac:dyDescent="0.25">
      <c r="A56" s="12">
        <v>9074418</v>
      </c>
      <c r="B56" s="12" t="s">
        <v>10</v>
      </c>
    </row>
    <row r="57" spans="1:106" s="12" customFormat="1" x14ac:dyDescent="0.25">
      <c r="A57" s="12">
        <v>1263</v>
      </c>
      <c r="B57" s="12" t="s">
        <v>10</v>
      </c>
    </row>
    <row r="58" spans="1:106" s="12" customFormat="1" x14ac:dyDescent="0.25">
      <c r="A58" s="12">
        <v>98004910</v>
      </c>
      <c r="B58" s="12" t="s">
        <v>10</v>
      </c>
    </row>
    <row r="59" spans="1:106" s="12" customFormat="1" x14ac:dyDescent="0.25">
      <c r="A59" s="12">
        <v>7103068</v>
      </c>
      <c r="B59" s="12" t="s">
        <v>10</v>
      </c>
    </row>
    <row r="60" spans="1:106" s="12" customFormat="1" x14ac:dyDescent="0.25">
      <c r="A60" s="12">
        <v>11240728</v>
      </c>
      <c r="B60" s="12" t="s">
        <v>10</v>
      </c>
    </row>
    <row r="61" spans="1:106" x14ac:dyDescent="0.25">
      <c r="C61">
        <f>COUNTA(C56:C60)</f>
        <v>0</v>
      </c>
      <c r="D61">
        <f t="shared" ref="D61:BO61" si="10">COUNTA(D56:D60)</f>
        <v>0</v>
      </c>
      <c r="E61">
        <f t="shared" si="10"/>
        <v>0</v>
      </c>
      <c r="F61">
        <f t="shared" si="10"/>
        <v>0</v>
      </c>
      <c r="G61">
        <f t="shared" si="10"/>
        <v>0</v>
      </c>
      <c r="H61">
        <f t="shared" si="10"/>
        <v>0</v>
      </c>
      <c r="I61">
        <f t="shared" si="10"/>
        <v>0</v>
      </c>
      <c r="J61">
        <f t="shared" si="10"/>
        <v>0</v>
      </c>
      <c r="K61">
        <f t="shared" si="10"/>
        <v>0</v>
      </c>
      <c r="L61">
        <f t="shared" si="10"/>
        <v>0</v>
      </c>
      <c r="M61">
        <f t="shared" si="10"/>
        <v>0</v>
      </c>
      <c r="N61">
        <f t="shared" si="10"/>
        <v>0</v>
      </c>
      <c r="O61">
        <f t="shared" si="10"/>
        <v>0</v>
      </c>
      <c r="P61">
        <f t="shared" si="10"/>
        <v>0</v>
      </c>
      <c r="Q61">
        <f t="shared" si="10"/>
        <v>0</v>
      </c>
      <c r="R61">
        <f t="shared" si="10"/>
        <v>0</v>
      </c>
      <c r="S61">
        <f t="shared" si="10"/>
        <v>0</v>
      </c>
      <c r="T61">
        <f t="shared" si="10"/>
        <v>0</v>
      </c>
      <c r="U61">
        <f t="shared" si="10"/>
        <v>0</v>
      </c>
      <c r="V61">
        <f t="shared" si="10"/>
        <v>0</v>
      </c>
      <c r="W61">
        <f t="shared" si="10"/>
        <v>0</v>
      </c>
      <c r="X61">
        <f t="shared" si="10"/>
        <v>0</v>
      </c>
      <c r="Y61">
        <f t="shared" si="10"/>
        <v>0</v>
      </c>
      <c r="Z61">
        <f t="shared" si="10"/>
        <v>0</v>
      </c>
      <c r="AA61">
        <f t="shared" si="10"/>
        <v>0</v>
      </c>
      <c r="AB61">
        <f t="shared" si="10"/>
        <v>0</v>
      </c>
      <c r="AC61">
        <f t="shared" si="10"/>
        <v>0</v>
      </c>
      <c r="AD61">
        <f t="shared" si="10"/>
        <v>0</v>
      </c>
      <c r="AE61">
        <f t="shared" si="10"/>
        <v>0</v>
      </c>
      <c r="AF61">
        <f t="shared" si="10"/>
        <v>0</v>
      </c>
      <c r="AG61">
        <f t="shared" si="10"/>
        <v>0</v>
      </c>
      <c r="AH61">
        <f t="shared" si="10"/>
        <v>0</v>
      </c>
      <c r="AI61">
        <f t="shared" si="10"/>
        <v>0</v>
      </c>
      <c r="AJ61">
        <f t="shared" si="10"/>
        <v>0</v>
      </c>
      <c r="AK61">
        <f t="shared" si="10"/>
        <v>0</v>
      </c>
      <c r="AL61">
        <f t="shared" si="10"/>
        <v>0</v>
      </c>
      <c r="AM61">
        <f t="shared" si="10"/>
        <v>0</v>
      </c>
      <c r="AN61">
        <f t="shared" si="10"/>
        <v>0</v>
      </c>
      <c r="AO61">
        <f t="shared" si="10"/>
        <v>0</v>
      </c>
      <c r="AP61">
        <f t="shared" si="10"/>
        <v>0</v>
      </c>
      <c r="AQ61">
        <f t="shared" si="10"/>
        <v>0</v>
      </c>
      <c r="AR61">
        <f t="shared" si="10"/>
        <v>0</v>
      </c>
      <c r="AS61">
        <f t="shared" si="10"/>
        <v>0</v>
      </c>
      <c r="AT61">
        <f t="shared" si="10"/>
        <v>0</v>
      </c>
      <c r="AU61">
        <f t="shared" si="10"/>
        <v>0</v>
      </c>
      <c r="AV61">
        <f t="shared" si="10"/>
        <v>0</v>
      </c>
      <c r="AW61">
        <f t="shared" si="10"/>
        <v>0</v>
      </c>
      <c r="AX61">
        <f t="shared" si="10"/>
        <v>0</v>
      </c>
      <c r="AY61">
        <f t="shared" si="10"/>
        <v>0</v>
      </c>
      <c r="AZ61">
        <f t="shared" si="10"/>
        <v>0</v>
      </c>
      <c r="BA61">
        <f t="shared" si="10"/>
        <v>0</v>
      </c>
      <c r="BB61">
        <f t="shared" si="10"/>
        <v>0</v>
      </c>
      <c r="BC61">
        <f t="shared" si="10"/>
        <v>0</v>
      </c>
      <c r="BD61">
        <f t="shared" si="10"/>
        <v>0</v>
      </c>
      <c r="BE61">
        <f t="shared" si="10"/>
        <v>0</v>
      </c>
      <c r="BF61">
        <f t="shared" si="10"/>
        <v>0</v>
      </c>
      <c r="BG61">
        <f t="shared" si="10"/>
        <v>0</v>
      </c>
      <c r="BH61">
        <f t="shared" si="10"/>
        <v>0</v>
      </c>
      <c r="BI61">
        <f t="shared" si="10"/>
        <v>0</v>
      </c>
      <c r="BJ61">
        <f t="shared" si="10"/>
        <v>0</v>
      </c>
      <c r="BK61">
        <f t="shared" si="10"/>
        <v>0</v>
      </c>
      <c r="BL61">
        <f t="shared" si="10"/>
        <v>0</v>
      </c>
      <c r="BM61">
        <f t="shared" si="10"/>
        <v>0</v>
      </c>
      <c r="BN61">
        <f t="shared" si="10"/>
        <v>0</v>
      </c>
      <c r="BO61">
        <f t="shared" si="10"/>
        <v>0</v>
      </c>
      <c r="BP61">
        <f t="shared" ref="BP61:DB61" si="11">COUNTA(BP56:BP60)</f>
        <v>0</v>
      </c>
      <c r="BQ61">
        <f t="shared" si="11"/>
        <v>0</v>
      </c>
      <c r="BR61">
        <f t="shared" si="11"/>
        <v>0</v>
      </c>
      <c r="BS61">
        <f t="shared" si="11"/>
        <v>0</v>
      </c>
      <c r="BT61">
        <f t="shared" si="11"/>
        <v>0</v>
      </c>
      <c r="BU61">
        <f t="shared" si="11"/>
        <v>0</v>
      </c>
      <c r="BV61">
        <f t="shared" si="11"/>
        <v>0</v>
      </c>
      <c r="BW61">
        <f t="shared" si="11"/>
        <v>0</v>
      </c>
      <c r="BX61">
        <f t="shared" si="11"/>
        <v>0</v>
      </c>
      <c r="BY61">
        <f t="shared" si="11"/>
        <v>0</v>
      </c>
      <c r="BZ61">
        <f t="shared" si="11"/>
        <v>0</v>
      </c>
      <c r="CA61">
        <f t="shared" si="11"/>
        <v>0</v>
      </c>
      <c r="CB61">
        <f t="shared" si="11"/>
        <v>0</v>
      </c>
      <c r="CC61">
        <f t="shared" si="11"/>
        <v>0</v>
      </c>
      <c r="CD61">
        <f t="shared" si="11"/>
        <v>0</v>
      </c>
      <c r="CE61">
        <f t="shared" si="11"/>
        <v>0</v>
      </c>
      <c r="CF61">
        <f t="shared" si="11"/>
        <v>0</v>
      </c>
      <c r="CG61">
        <f t="shared" si="11"/>
        <v>0</v>
      </c>
      <c r="CH61">
        <f t="shared" si="11"/>
        <v>0</v>
      </c>
      <c r="CI61">
        <f t="shared" si="11"/>
        <v>0</v>
      </c>
      <c r="CJ61">
        <f t="shared" si="11"/>
        <v>0</v>
      </c>
      <c r="CK61">
        <f t="shared" si="11"/>
        <v>0</v>
      </c>
      <c r="CL61">
        <f t="shared" si="11"/>
        <v>0</v>
      </c>
      <c r="CM61">
        <f t="shared" si="11"/>
        <v>0</v>
      </c>
      <c r="CN61">
        <f t="shared" si="11"/>
        <v>0</v>
      </c>
      <c r="CO61">
        <f t="shared" si="11"/>
        <v>0</v>
      </c>
      <c r="CP61">
        <f t="shared" si="11"/>
        <v>0</v>
      </c>
      <c r="CQ61">
        <f t="shared" si="11"/>
        <v>0</v>
      </c>
      <c r="CR61">
        <f t="shared" si="11"/>
        <v>0</v>
      </c>
      <c r="CS61">
        <f t="shared" si="11"/>
        <v>0</v>
      </c>
      <c r="CT61">
        <f t="shared" si="11"/>
        <v>0</v>
      </c>
      <c r="CU61">
        <f t="shared" si="11"/>
        <v>0</v>
      </c>
      <c r="CV61">
        <f t="shared" si="11"/>
        <v>0</v>
      </c>
      <c r="CW61">
        <f t="shared" si="11"/>
        <v>0</v>
      </c>
      <c r="CX61">
        <f t="shared" si="11"/>
        <v>0</v>
      </c>
      <c r="CY61">
        <f t="shared" si="11"/>
        <v>0</v>
      </c>
      <c r="CZ61">
        <f t="shared" si="11"/>
        <v>0</v>
      </c>
      <c r="DA61">
        <f t="shared" si="11"/>
        <v>0</v>
      </c>
      <c r="DB61">
        <f t="shared" si="11"/>
        <v>0</v>
      </c>
    </row>
    <row r="62" spans="1:106" s="12" customFormat="1" x14ac:dyDescent="0.25">
      <c r="A62" s="12">
        <v>5015869</v>
      </c>
      <c r="B62" s="12" t="s">
        <v>11</v>
      </c>
    </row>
    <row r="63" spans="1:106" s="12" customFormat="1" x14ac:dyDescent="0.25">
      <c r="A63" s="12">
        <v>5016969</v>
      </c>
      <c r="B63" s="12" t="s">
        <v>11</v>
      </c>
    </row>
    <row r="64" spans="1:106" s="12" customFormat="1" x14ac:dyDescent="0.25">
      <c r="A64" s="12">
        <v>6023231</v>
      </c>
      <c r="B64" s="12" t="s">
        <v>11</v>
      </c>
    </row>
    <row r="65" spans="1:8" s="12" customFormat="1" x14ac:dyDescent="0.25">
      <c r="A65" s="12">
        <v>6011198</v>
      </c>
      <c r="B65" s="12" t="s">
        <v>11</v>
      </c>
    </row>
    <row r="66" spans="1:8" s="12" customFormat="1" x14ac:dyDescent="0.25">
      <c r="A66" s="12">
        <v>6012681</v>
      </c>
      <c r="B66" s="12" t="s">
        <v>11</v>
      </c>
      <c r="D66" s="15"/>
      <c r="E66" s="15"/>
      <c r="F66" s="15"/>
      <c r="G66" s="15"/>
      <c r="H66" s="15"/>
    </row>
    <row r="67" spans="1:8" s="12" customFormat="1" x14ac:dyDescent="0.25">
      <c r="A67" s="12">
        <v>6014511</v>
      </c>
      <c r="B67" s="12" t="s">
        <v>11</v>
      </c>
    </row>
    <row r="68" spans="1:8" s="12" customFormat="1" x14ac:dyDescent="0.25">
      <c r="A68" s="12">
        <v>6045127</v>
      </c>
      <c r="B68" s="12" t="s">
        <v>11</v>
      </c>
    </row>
    <row r="69" spans="1:8" s="12" customFormat="1" x14ac:dyDescent="0.25">
      <c r="A69" s="12">
        <v>7000458</v>
      </c>
      <c r="B69" s="12" t="s">
        <v>11</v>
      </c>
    </row>
    <row r="70" spans="1:8" s="12" customFormat="1" x14ac:dyDescent="0.25">
      <c r="A70" s="12">
        <v>7015502</v>
      </c>
      <c r="B70" s="12" t="s">
        <v>11</v>
      </c>
    </row>
    <row r="71" spans="1:8" s="12" customFormat="1" x14ac:dyDescent="0.25">
      <c r="A71" s="12">
        <v>7025847</v>
      </c>
      <c r="B71" s="12" t="s">
        <v>11</v>
      </c>
    </row>
    <row r="72" spans="1:8" s="12" customFormat="1" x14ac:dyDescent="0.25">
      <c r="A72" s="12">
        <v>7082707</v>
      </c>
      <c r="B72" s="12" t="s">
        <v>11</v>
      </c>
    </row>
    <row r="73" spans="1:8" s="12" customFormat="1" x14ac:dyDescent="0.25">
      <c r="A73" s="12">
        <v>7083159</v>
      </c>
      <c r="B73" s="12" t="s">
        <v>11</v>
      </c>
    </row>
    <row r="74" spans="1:8" s="12" customFormat="1" x14ac:dyDescent="0.25">
      <c r="A74" s="12">
        <v>7084659</v>
      </c>
      <c r="B74" s="12" t="s">
        <v>11</v>
      </c>
    </row>
    <row r="75" spans="1:8" s="12" customFormat="1" x14ac:dyDescent="0.25">
      <c r="A75" s="12">
        <v>7076814</v>
      </c>
      <c r="B75" s="12" t="s">
        <v>11</v>
      </c>
    </row>
    <row r="76" spans="1:8" s="12" customFormat="1" x14ac:dyDescent="0.25">
      <c r="A76" s="12">
        <v>7076815</v>
      </c>
      <c r="B76" s="12" t="s">
        <v>11</v>
      </c>
    </row>
    <row r="77" spans="1:8" s="12" customFormat="1" x14ac:dyDescent="0.25">
      <c r="A77" s="12">
        <v>7089231</v>
      </c>
      <c r="B77" s="12" t="s">
        <v>11</v>
      </c>
    </row>
    <row r="78" spans="1:8" s="12" customFormat="1" x14ac:dyDescent="0.25">
      <c r="A78" s="12">
        <v>7116004</v>
      </c>
      <c r="B78" s="12" t="s">
        <v>11</v>
      </c>
    </row>
    <row r="79" spans="1:8" s="12" customFormat="1" x14ac:dyDescent="0.25">
      <c r="A79" s="12">
        <v>8003819</v>
      </c>
      <c r="B79" s="12" t="s">
        <v>11</v>
      </c>
    </row>
    <row r="80" spans="1:8" s="12" customFormat="1" x14ac:dyDescent="0.25">
      <c r="A80" s="12">
        <v>8091779</v>
      </c>
      <c r="B80" s="12" t="s">
        <v>11</v>
      </c>
    </row>
    <row r="81" spans="1:2" s="12" customFormat="1" x14ac:dyDescent="0.25">
      <c r="A81" s="12">
        <v>8112522</v>
      </c>
      <c r="B81" s="12" t="s">
        <v>11</v>
      </c>
    </row>
    <row r="82" spans="1:2" s="12" customFormat="1" x14ac:dyDescent="0.25">
      <c r="A82" s="12" t="s">
        <v>12</v>
      </c>
      <c r="B82" s="12" t="s">
        <v>11</v>
      </c>
    </row>
    <row r="83" spans="1:2" s="12" customFormat="1" x14ac:dyDescent="0.25">
      <c r="A83" s="12">
        <v>8130998</v>
      </c>
      <c r="B83" s="12" t="s">
        <v>11</v>
      </c>
    </row>
    <row r="84" spans="1:2" s="12" customFormat="1" x14ac:dyDescent="0.25">
      <c r="A84" s="12">
        <v>9002836</v>
      </c>
      <c r="B84" s="12" t="s">
        <v>11</v>
      </c>
    </row>
    <row r="85" spans="1:2" s="12" customFormat="1" x14ac:dyDescent="0.25">
      <c r="A85" s="12">
        <v>9003331</v>
      </c>
      <c r="B85" s="12" t="s">
        <v>11</v>
      </c>
    </row>
    <row r="86" spans="1:2" s="12" customFormat="1" x14ac:dyDescent="0.25">
      <c r="A86" s="12">
        <v>9003370</v>
      </c>
      <c r="B86" s="12" t="s">
        <v>11</v>
      </c>
    </row>
    <row r="87" spans="1:2" s="12" customFormat="1" x14ac:dyDescent="0.25">
      <c r="A87" s="12">
        <v>9016278</v>
      </c>
      <c r="B87" s="12" t="s">
        <v>11</v>
      </c>
    </row>
    <row r="88" spans="1:2" s="12" customFormat="1" x14ac:dyDescent="0.25">
      <c r="A88" s="12">
        <v>9030684</v>
      </c>
      <c r="B88" s="12" t="s">
        <v>11</v>
      </c>
    </row>
    <row r="89" spans="1:2" s="12" customFormat="1" x14ac:dyDescent="0.25">
      <c r="A89" s="12">
        <v>9031387</v>
      </c>
      <c r="B89" s="12" t="s">
        <v>11</v>
      </c>
    </row>
    <row r="90" spans="1:2" s="12" customFormat="1" x14ac:dyDescent="0.25">
      <c r="A90" s="12">
        <v>9038676</v>
      </c>
      <c r="B90" s="12" t="s">
        <v>11</v>
      </c>
    </row>
    <row r="91" spans="1:2" s="12" customFormat="1" x14ac:dyDescent="0.25">
      <c r="A91" s="12">
        <v>9039416</v>
      </c>
      <c r="B91" s="12" t="s">
        <v>11</v>
      </c>
    </row>
    <row r="92" spans="1:2" s="12" customFormat="1" x14ac:dyDescent="0.25">
      <c r="A92" s="12">
        <v>9042861</v>
      </c>
      <c r="B92" s="12" t="s">
        <v>11</v>
      </c>
    </row>
    <row r="93" spans="1:2" s="12" customFormat="1" x14ac:dyDescent="0.25">
      <c r="A93" s="12">
        <v>9044899</v>
      </c>
      <c r="B93" s="12" t="s">
        <v>11</v>
      </c>
    </row>
    <row r="94" spans="1:2" s="12" customFormat="1" x14ac:dyDescent="0.25">
      <c r="A94" s="12">
        <v>9052398</v>
      </c>
      <c r="B94" s="12" t="s">
        <v>11</v>
      </c>
    </row>
    <row r="95" spans="1:2" s="12" customFormat="1" x14ac:dyDescent="0.25">
      <c r="A95" s="12">
        <v>9085204</v>
      </c>
      <c r="B95" s="12" t="s">
        <v>11</v>
      </c>
    </row>
    <row r="96" spans="1:2" s="12" customFormat="1" x14ac:dyDescent="0.25">
      <c r="A96" s="12">
        <v>9105492</v>
      </c>
      <c r="B96" s="12" t="s">
        <v>11</v>
      </c>
    </row>
    <row r="97" spans="1:8" s="12" customFormat="1" x14ac:dyDescent="0.25">
      <c r="A97" s="12">
        <v>9138470</v>
      </c>
      <c r="B97" s="12" t="s">
        <v>11</v>
      </c>
    </row>
    <row r="98" spans="1:8" s="12" customFormat="1" x14ac:dyDescent="0.25">
      <c r="A98" s="12">
        <v>9150676</v>
      </c>
      <c r="B98" s="12" t="s">
        <v>11</v>
      </c>
    </row>
    <row r="99" spans="1:8" s="12" customFormat="1" x14ac:dyDescent="0.25">
      <c r="A99" s="12">
        <v>10010926</v>
      </c>
      <c r="B99" s="12" t="s">
        <v>11</v>
      </c>
      <c r="D99" s="15"/>
      <c r="E99" s="15"/>
      <c r="F99" s="15"/>
      <c r="G99" s="15"/>
      <c r="H99" s="15"/>
    </row>
    <row r="100" spans="1:8" s="12" customFormat="1" x14ac:dyDescent="0.25">
      <c r="A100" s="12" t="s">
        <v>13</v>
      </c>
      <c r="B100" s="12" t="s">
        <v>11</v>
      </c>
    </row>
    <row r="101" spans="1:8" s="12" customFormat="1" x14ac:dyDescent="0.25">
      <c r="A101" s="12">
        <v>10091530</v>
      </c>
      <c r="B101" s="12" t="s">
        <v>11</v>
      </c>
    </row>
    <row r="102" spans="1:8" s="12" customFormat="1" x14ac:dyDescent="0.25">
      <c r="A102" s="12">
        <v>10102052</v>
      </c>
      <c r="B102" s="12" t="s">
        <v>11</v>
      </c>
    </row>
    <row r="103" spans="1:8" s="12" customFormat="1" x14ac:dyDescent="0.25">
      <c r="A103" s="12">
        <v>10104735</v>
      </c>
      <c r="B103" s="12" t="s">
        <v>11</v>
      </c>
    </row>
    <row r="104" spans="1:8" s="12" customFormat="1" x14ac:dyDescent="0.25">
      <c r="A104" s="12">
        <v>10131550</v>
      </c>
      <c r="B104" s="12" t="s">
        <v>11</v>
      </c>
    </row>
    <row r="105" spans="1:8" s="12" customFormat="1" x14ac:dyDescent="0.25">
      <c r="A105" s="12">
        <v>10131607</v>
      </c>
      <c r="B105" s="12" t="s">
        <v>11</v>
      </c>
    </row>
    <row r="106" spans="1:8" s="12" customFormat="1" x14ac:dyDescent="0.25">
      <c r="A106" s="12">
        <v>10145202</v>
      </c>
      <c r="B106" s="12" t="s">
        <v>11</v>
      </c>
    </row>
    <row r="107" spans="1:8" s="12" customFormat="1" x14ac:dyDescent="0.25">
      <c r="A107" s="12">
        <v>10158770</v>
      </c>
      <c r="B107" s="12" t="s">
        <v>11</v>
      </c>
    </row>
    <row r="108" spans="1:8" s="12" customFormat="1" x14ac:dyDescent="0.25">
      <c r="A108" s="12">
        <v>10162949</v>
      </c>
      <c r="B108" s="12" t="s">
        <v>11</v>
      </c>
    </row>
    <row r="109" spans="1:8" s="12" customFormat="1" x14ac:dyDescent="0.25">
      <c r="A109" s="12">
        <v>10171633</v>
      </c>
      <c r="B109" s="12" t="s">
        <v>11</v>
      </c>
    </row>
    <row r="110" spans="1:8" s="12" customFormat="1" x14ac:dyDescent="0.25">
      <c r="A110" s="12">
        <v>11005762</v>
      </c>
      <c r="B110" s="12" t="s">
        <v>11</v>
      </c>
    </row>
    <row r="111" spans="1:8" s="12" customFormat="1" x14ac:dyDescent="0.25">
      <c r="A111" s="12" t="s">
        <v>14</v>
      </c>
      <c r="B111" s="12" t="s">
        <v>11</v>
      </c>
    </row>
    <row r="112" spans="1:8" s="12" customFormat="1" x14ac:dyDescent="0.25">
      <c r="A112" s="12">
        <v>11018341</v>
      </c>
      <c r="B112" s="12" t="s">
        <v>11</v>
      </c>
    </row>
    <row r="113" spans="1:56" s="12" customFormat="1" x14ac:dyDescent="0.25">
      <c r="A113" s="12">
        <v>11021445</v>
      </c>
      <c r="B113" s="12" t="s">
        <v>11</v>
      </c>
    </row>
    <row r="114" spans="1:56" s="12" customFormat="1" x14ac:dyDescent="0.25">
      <c r="A114" s="12">
        <v>11025151</v>
      </c>
      <c r="B114" s="12" t="s">
        <v>11</v>
      </c>
    </row>
    <row r="115" spans="1:56" s="12" customFormat="1" x14ac:dyDescent="0.25">
      <c r="A115" s="12">
        <v>11039110</v>
      </c>
      <c r="B115" s="12" t="s">
        <v>11</v>
      </c>
    </row>
    <row r="116" spans="1:56" s="12" customFormat="1" x14ac:dyDescent="0.25">
      <c r="A116" s="12">
        <v>11108410</v>
      </c>
      <c r="B116" s="12" t="s">
        <v>11</v>
      </c>
    </row>
    <row r="117" spans="1:56" s="12" customFormat="1" x14ac:dyDescent="0.25">
      <c r="A117" s="12">
        <v>11139605</v>
      </c>
      <c r="B117" s="12" t="s">
        <v>11</v>
      </c>
    </row>
    <row r="118" spans="1:56" s="12" customFormat="1" x14ac:dyDescent="0.25">
      <c r="A118" s="12">
        <v>11201694</v>
      </c>
      <c r="B118" s="12" t="s">
        <v>11</v>
      </c>
    </row>
    <row r="119" spans="1:56" s="12" customFormat="1" x14ac:dyDescent="0.25">
      <c r="A119" s="12">
        <v>11242543</v>
      </c>
      <c r="B119" s="12" t="s">
        <v>11</v>
      </c>
    </row>
    <row r="120" spans="1:56" s="12" customFormat="1" x14ac:dyDescent="0.25">
      <c r="A120" s="12">
        <v>11247293</v>
      </c>
      <c r="B120" s="12" t="s">
        <v>11</v>
      </c>
    </row>
    <row r="121" spans="1:56" s="12" customFormat="1" x14ac:dyDescent="0.25">
      <c r="A121" s="12">
        <v>12006449</v>
      </c>
      <c r="B121" s="12" t="s">
        <v>11</v>
      </c>
    </row>
    <row r="122" spans="1:56" s="12" customFormat="1" x14ac:dyDescent="0.25">
      <c r="A122" s="12">
        <v>12049136</v>
      </c>
      <c r="B122" s="12" t="s">
        <v>11</v>
      </c>
    </row>
    <row r="123" spans="1:56" s="12" customFormat="1" x14ac:dyDescent="0.25">
      <c r="A123" s="12">
        <v>12087508</v>
      </c>
      <c r="B123" s="12" t="s">
        <v>11</v>
      </c>
      <c r="X123" s="12" t="s">
        <v>142</v>
      </c>
      <c r="BD123" s="12" t="s">
        <v>142</v>
      </c>
    </row>
    <row r="124" spans="1:56" s="12" customFormat="1" x14ac:dyDescent="0.25">
      <c r="A124" s="12">
        <v>12229481</v>
      </c>
      <c r="B124" s="12" t="s">
        <v>11</v>
      </c>
    </row>
    <row r="125" spans="1:56" s="12" customFormat="1" x14ac:dyDescent="0.25">
      <c r="A125" s="12">
        <v>12258821</v>
      </c>
      <c r="B125" s="12" t="s">
        <v>11</v>
      </c>
      <c r="X125" s="14" t="s">
        <v>139</v>
      </c>
      <c r="BD125" s="14" t="s">
        <v>143</v>
      </c>
    </row>
    <row r="126" spans="1:56" s="12" customFormat="1" x14ac:dyDescent="0.25">
      <c r="A126" s="12">
        <v>12309729</v>
      </c>
      <c r="B126" s="12" t="s">
        <v>11</v>
      </c>
    </row>
    <row r="127" spans="1:56" s="12" customFormat="1" x14ac:dyDescent="0.25">
      <c r="A127" s="12" t="s">
        <v>15</v>
      </c>
      <c r="B127" s="12" t="s">
        <v>11</v>
      </c>
    </row>
    <row r="128" spans="1:56" s="12" customFormat="1" x14ac:dyDescent="0.25">
      <c r="A128" s="12">
        <v>13005942</v>
      </c>
      <c r="B128" s="12" t="s">
        <v>11</v>
      </c>
    </row>
    <row r="129" spans="1:24" s="12" customFormat="1" x14ac:dyDescent="0.25">
      <c r="A129" s="12">
        <v>324</v>
      </c>
      <c r="B129" s="12" t="s">
        <v>11</v>
      </c>
    </row>
    <row r="130" spans="1:24" s="12" customFormat="1" x14ac:dyDescent="0.25">
      <c r="A130" s="12">
        <v>3909</v>
      </c>
      <c r="B130" s="12" t="s">
        <v>11</v>
      </c>
      <c r="X130" s="14" t="s">
        <v>144</v>
      </c>
    </row>
    <row r="131" spans="1:24" s="12" customFormat="1" x14ac:dyDescent="0.25">
      <c r="A131" s="12">
        <v>4663</v>
      </c>
      <c r="B131" s="12" t="s">
        <v>11</v>
      </c>
    </row>
    <row r="132" spans="1:24" s="12" customFormat="1" x14ac:dyDescent="0.25">
      <c r="A132" s="12">
        <v>1005522</v>
      </c>
      <c r="B132" s="12" t="s">
        <v>11</v>
      </c>
    </row>
    <row r="133" spans="1:24" s="12" customFormat="1" x14ac:dyDescent="0.25">
      <c r="A133" s="12">
        <v>1007631</v>
      </c>
      <c r="B133" s="12" t="s">
        <v>11</v>
      </c>
      <c r="J133" s="12">
        <v>0</v>
      </c>
      <c r="X133" s="12" t="s">
        <v>165</v>
      </c>
    </row>
    <row r="134" spans="1:24" s="12" customFormat="1" x14ac:dyDescent="0.25">
      <c r="A134" s="12">
        <v>1009760</v>
      </c>
      <c r="B134" s="12" t="s">
        <v>11</v>
      </c>
    </row>
    <row r="135" spans="1:24" s="12" customFormat="1" x14ac:dyDescent="0.25">
      <c r="A135" s="12">
        <v>2000646</v>
      </c>
      <c r="B135" s="12" t="s">
        <v>11</v>
      </c>
    </row>
    <row r="136" spans="1:24" s="12" customFormat="1" x14ac:dyDescent="0.25">
      <c r="A136" s="12">
        <v>2003761</v>
      </c>
      <c r="B136" s="12" t="s">
        <v>11</v>
      </c>
    </row>
    <row r="137" spans="1:24" s="12" customFormat="1" x14ac:dyDescent="0.25">
      <c r="A137" s="12">
        <v>2004061</v>
      </c>
      <c r="B137" s="12" t="s">
        <v>11</v>
      </c>
    </row>
    <row r="138" spans="1:24" s="12" customFormat="1" x14ac:dyDescent="0.25">
      <c r="A138" s="12">
        <v>2006469</v>
      </c>
      <c r="B138" s="12" t="s">
        <v>11</v>
      </c>
    </row>
    <row r="139" spans="1:24" s="12" customFormat="1" x14ac:dyDescent="0.25">
      <c r="A139" s="12">
        <v>3005132</v>
      </c>
      <c r="B139" s="12" t="s">
        <v>11</v>
      </c>
    </row>
    <row r="140" spans="1:24" s="12" customFormat="1" x14ac:dyDescent="0.25">
      <c r="A140" s="12">
        <v>3009119</v>
      </c>
      <c r="B140" s="12" t="s">
        <v>11</v>
      </c>
    </row>
    <row r="141" spans="1:24" s="12" customFormat="1" x14ac:dyDescent="0.25">
      <c r="A141" s="12">
        <v>3009936</v>
      </c>
      <c r="B141" s="12" t="s">
        <v>11</v>
      </c>
    </row>
    <row r="142" spans="1:24" s="12" customFormat="1" x14ac:dyDescent="0.25">
      <c r="A142" s="12">
        <v>3011094</v>
      </c>
      <c r="B142" s="12" t="s">
        <v>11</v>
      </c>
    </row>
    <row r="143" spans="1:24" s="12" customFormat="1" x14ac:dyDescent="0.25">
      <c r="A143" s="12">
        <v>3014643</v>
      </c>
      <c r="B143" s="12" t="s">
        <v>11</v>
      </c>
    </row>
    <row r="144" spans="1:24" s="12" customFormat="1" x14ac:dyDescent="0.25">
      <c r="A144" s="12">
        <v>3016056</v>
      </c>
      <c r="B144" s="12" t="s">
        <v>11</v>
      </c>
    </row>
    <row r="145" spans="1:24" s="12" customFormat="1" x14ac:dyDescent="0.25">
      <c r="A145" s="12">
        <v>3900219</v>
      </c>
      <c r="B145" s="12" t="s">
        <v>11</v>
      </c>
    </row>
    <row r="146" spans="1:24" s="12" customFormat="1" x14ac:dyDescent="0.25">
      <c r="A146" s="12">
        <v>4000158</v>
      </c>
      <c r="B146" s="12" t="s">
        <v>11</v>
      </c>
    </row>
    <row r="147" spans="1:24" s="12" customFormat="1" x14ac:dyDescent="0.25">
      <c r="A147" s="12">
        <v>4000304</v>
      </c>
      <c r="B147" s="12" t="s">
        <v>11</v>
      </c>
    </row>
    <row r="148" spans="1:24" s="12" customFormat="1" x14ac:dyDescent="0.25">
      <c r="A148" s="12">
        <v>4001905</v>
      </c>
      <c r="B148" s="12" t="s">
        <v>11</v>
      </c>
    </row>
    <row r="149" spans="1:24" s="12" customFormat="1" x14ac:dyDescent="0.25">
      <c r="A149" s="12">
        <v>4002206</v>
      </c>
      <c r="B149" s="12" t="s">
        <v>11</v>
      </c>
    </row>
    <row r="150" spans="1:24" s="12" customFormat="1" x14ac:dyDescent="0.25">
      <c r="A150" s="12">
        <v>4002715</v>
      </c>
      <c r="B150" s="12" t="s">
        <v>11</v>
      </c>
    </row>
    <row r="151" spans="1:24" s="12" customFormat="1" x14ac:dyDescent="0.25">
      <c r="A151" s="12">
        <v>4003924</v>
      </c>
      <c r="B151" s="12" t="s">
        <v>11</v>
      </c>
    </row>
    <row r="152" spans="1:24" s="12" customFormat="1" x14ac:dyDescent="0.25">
      <c r="A152" s="12">
        <v>4006051</v>
      </c>
      <c r="B152" s="12" t="s">
        <v>11</v>
      </c>
    </row>
    <row r="153" spans="1:24" s="12" customFormat="1" x14ac:dyDescent="0.25">
      <c r="A153" s="12">
        <v>4008140</v>
      </c>
      <c r="B153" s="12" t="s">
        <v>11</v>
      </c>
    </row>
    <row r="154" spans="1:24" s="12" customFormat="1" x14ac:dyDescent="0.25">
      <c r="A154" s="12">
        <v>4009906</v>
      </c>
      <c r="B154" s="12" t="s">
        <v>11</v>
      </c>
    </row>
    <row r="155" spans="1:24" s="12" customFormat="1" x14ac:dyDescent="0.25">
      <c r="A155" s="12">
        <v>4011027</v>
      </c>
      <c r="B155" s="12" t="s">
        <v>11</v>
      </c>
    </row>
    <row r="156" spans="1:24" s="12" customFormat="1" x14ac:dyDescent="0.25">
      <c r="A156" s="12">
        <v>4011920</v>
      </c>
      <c r="B156" s="12" t="s">
        <v>11</v>
      </c>
    </row>
    <row r="157" spans="1:24" s="12" customFormat="1" x14ac:dyDescent="0.25">
      <c r="A157" s="12">
        <v>4012248</v>
      </c>
      <c r="B157" s="12" t="s">
        <v>11</v>
      </c>
    </row>
    <row r="158" spans="1:24" s="12" customFormat="1" x14ac:dyDescent="0.25">
      <c r="A158" s="12">
        <v>4013603</v>
      </c>
      <c r="B158" s="12" t="s">
        <v>11</v>
      </c>
    </row>
    <row r="159" spans="1:24" s="12" customFormat="1" x14ac:dyDescent="0.25">
      <c r="A159" s="12">
        <v>5004654</v>
      </c>
      <c r="B159" s="12" t="s">
        <v>11</v>
      </c>
    </row>
    <row r="160" spans="1:24" s="12" customFormat="1" x14ac:dyDescent="0.25">
      <c r="A160" s="12">
        <v>5008807</v>
      </c>
      <c r="B160" s="12" t="s">
        <v>11</v>
      </c>
      <c r="X160" s="14" t="s">
        <v>145</v>
      </c>
    </row>
    <row r="161" spans="1:93" s="12" customFormat="1" x14ac:dyDescent="0.25">
      <c r="A161" s="12">
        <v>5009400</v>
      </c>
      <c r="B161" s="12" t="s">
        <v>11</v>
      </c>
    </row>
    <row r="162" spans="1:93" s="12" customFormat="1" x14ac:dyDescent="0.25">
      <c r="A162" s="12">
        <v>5016255</v>
      </c>
      <c r="B162" s="12" t="s">
        <v>11</v>
      </c>
    </row>
    <row r="163" spans="1:93" s="12" customFormat="1" x14ac:dyDescent="0.25">
      <c r="A163" s="12">
        <v>6012448</v>
      </c>
      <c r="B163" s="12" t="s">
        <v>11</v>
      </c>
    </row>
    <row r="164" spans="1:93" s="12" customFormat="1" x14ac:dyDescent="0.25">
      <c r="A164" s="12">
        <v>7000457</v>
      </c>
      <c r="B164" s="12" t="s">
        <v>11</v>
      </c>
    </row>
    <row r="165" spans="1:93" s="12" customFormat="1" x14ac:dyDescent="0.25">
      <c r="A165" s="12">
        <v>7072644</v>
      </c>
      <c r="B165" s="12" t="s">
        <v>11</v>
      </c>
      <c r="E165" s="14" t="s">
        <v>146</v>
      </c>
    </row>
    <row r="166" spans="1:93" s="12" customFormat="1" x14ac:dyDescent="0.25">
      <c r="A166" s="12">
        <v>7126387</v>
      </c>
      <c r="B166" s="12" t="s">
        <v>11</v>
      </c>
    </row>
    <row r="167" spans="1:93" s="12" customFormat="1" x14ac:dyDescent="0.25">
      <c r="A167" s="12">
        <v>10185935</v>
      </c>
      <c r="B167" s="12" t="s">
        <v>11</v>
      </c>
    </row>
    <row r="168" spans="1:93" s="12" customFormat="1" x14ac:dyDescent="0.25">
      <c r="A168" s="12">
        <v>11061215</v>
      </c>
      <c r="B168" s="12" t="s">
        <v>11</v>
      </c>
      <c r="X168" s="12" t="s">
        <v>147</v>
      </c>
      <c r="AO168" s="12" t="s">
        <v>147</v>
      </c>
      <c r="BD168" s="12" t="s">
        <v>147</v>
      </c>
    </row>
    <row r="169" spans="1:93" s="12" customFormat="1" x14ac:dyDescent="0.25">
      <c r="A169" s="12">
        <v>93008468</v>
      </c>
      <c r="B169" s="12" t="s">
        <v>11</v>
      </c>
    </row>
    <row r="170" spans="1:93" s="12" customFormat="1" x14ac:dyDescent="0.25">
      <c r="A170" s="12">
        <v>93016155</v>
      </c>
      <c r="B170" s="12" t="s">
        <v>11</v>
      </c>
      <c r="N170" s="14" t="s">
        <v>150</v>
      </c>
    </row>
    <row r="171" spans="1:93" s="12" customFormat="1" x14ac:dyDescent="0.25">
      <c r="A171" s="12">
        <v>93018845</v>
      </c>
      <c r="B171" s="12" t="s">
        <v>11</v>
      </c>
    </row>
    <row r="172" spans="1:93" s="12" customFormat="1" x14ac:dyDescent="0.25">
      <c r="A172" s="12" t="s">
        <v>16</v>
      </c>
      <c r="B172" s="12" t="s">
        <v>11</v>
      </c>
    </row>
    <row r="173" spans="1:93" s="12" customFormat="1" x14ac:dyDescent="0.25">
      <c r="A173" s="12">
        <v>94006009</v>
      </c>
      <c r="B173" s="12" t="s">
        <v>11</v>
      </c>
    </row>
    <row r="174" spans="1:93" s="12" customFormat="1" x14ac:dyDescent="0.25">
      <c r="A174" s="12">
        <v>94014126</v>
      </c>
      <c r="B174" s="12" t="s">
        <v>11</v>
      </c>
    </row>
    <row r="175" spans="1:93" s="12" customFormat="1" x14ac:dyDescent="0.25">
      <c r="A175" s="12">
        <v>94900361</v>
      </c>
      <c r="B175" s="12" t="s">
        <v>11</v>
      </c>
    </row>
    <row r="176" spans="1:93" s="12" customFormat="1" x14ac:dyDescent="0.25">
      <c r="A176" s="12">
        <v>94901890</v>
      </c>
      <c r="B176" s="12" t="s">
        <v>11</v>
      </c>
      <c r="CM176" s="14"/>
      <c r="CO176" s="14"/>
    </row>
    <row r="177" spans="1:106" s="12" customFormat="1" x14ac:dyDescent="0.25">
      <c r="A177" s="12">
        <v>95001046</v>
      </c>
      <c r="B177" s="12" t="s">
        <v>11</v>
      </c>
    </row>
    <row r="178" spans="1:106" s="12" customFormat="1" x14ac:dyDescent="0.25">
      <c r="A178" s="12">
        <v>96004031</v>
      </c>
      <c r="B178" s="12" t="s">
        <v>11</v>
      </c>
    </row>
    <row r="179" spans="1:106" s="12" customFormat="1" x14ac:dyDescent="0.25">
      <c r="A179" s="12">
        <v>97004458</v>
      </c>
      <c r="B179" s="12" t="s">
        <v>11</v>
      </c>
    </row>
    <row r="180" spans="1:106" s="12" customFormat="1" x14ac:dyDescent="0.25">
      <c r="A180" s="12">
        <v>97009212</v>
      </c>
      <c r="B180" s="12" t="s">
        <v>11</v>
      </c>
    </row>
    <row r="181" spans="1:106" s="12" customFormat="1" x14ac:dyDescent="0.25">
      <c r="A181" s="12">
        <v>98006038</v>
      </c>
      <c r="B181" s="12" t="s">
        <v>11</v>
      </c>
    </row>
    <row r="182" spans="1:106" s="12" customFormat="1" x14ac:dyDescent="0.25">
      <c r="A182" s="12">
        <v>98009041</v>
      </c>
      <c r="B182" s="12" t="s">
        <v>11</v>
      </c>
    </row>
    <row r="183" spans="1:106" s="12" customFormat="1" x14ac:dyDescent="0.25">
      <c r="A183" s="12">
        <v>99000714</v>
      </c>
      <c r="B183" s="12" t="s">
        <v>11</v>
      </c>
    </row>
    <row r="184" spans="1:106" s="12" customFormat="1" x14ac:dyDescent="0.25">
      <c r="A184" s="12">
        <v>99007116</v>
      </c>
      <c r="B184" s="12" t="s">
        <v>11</v>
      </c>
    </row>
    <row r="185" spans="1:106" s="12" customFormat="1" x14ac:dyDescent="0.25">
      <c r="A185" s="12">
        <v>99901293</v>
      </c>
      <c r="B185" s="12" t="s">
        <v>11</v>
      </c>
    </row>
    <row r="186" spans="1:106" s="12" customFormat="1" x14ac:dyDescent="0.25">
      <c r="A186" s="12">
        <v>99901604</v>
      </c>
      <c r="B186" s="12" t="s">
        <v>11</v>
      </c>
    </row>
    <row r="187" spans="1:106" s="12" customFormat="1" x14ac:dyDescent="0.25">
      <c r="A187" s="12">
        <v>3017227</v>
      </c>
      <c r="B187" s="12" t="s">
        <v>11</v>
      </c>
    </row>
    <row r="188" spans="1:106" s="12" customFormat="1" x14ac:dyDescent="0.25">
      <c r="A188" s="12">
        <v>2007648</v>
      </c>
      <c r="B188" s="12" t="s">
        <v>11</v>
      </c>
    </row>
    <row r="189" spans="1:106" s="12" customFormat="1" x14ac:dyDescent="0.25">
      <c r="A189" s="12">
        <v>3008510</v>
      </c>
      <c r="B189" s="12" t="s">
        <v>11</v>
      </c>
      <c r="X189" s="14" t="s">
        <v>145</v>
      </c>
      <c r="Z189" s="14" t="s">
        <v>146</v>
      </c>
      <c r="AA189" s="14" t="s">
        <v>146</v>
      </c>
      <c r="AJ189" s="14" t="s">
        <v>145</v>
      </c>
    </row>
    <row r="190" spans="1:106" s="12" customFormat="1" x14ac:dyDescent="0.25">
      <c r="C190" s="12">
        <f>COUNTA(C62:C189)</f>
        <v>0</v>
      </c>
      <c r="D190" s="12">
        <f t="shared" ref="D190:BO190" si="12">COUNTA(D62:D189)</f>
        <v>0</v>
      </c>
      <c r="E190" s="12">
        <f t="shared" si="12"/>
        <v>1</v>
      </c>
      <c r="F190" s="12">
        <f t="shared" si="12"/>
        <v>0</v>
      </c>
      <c r="G190" s="12">
        <f t="shared" si="12"/>
        <v>0</v>
      </c>
      <c r="H190" s="12">
        <f t="shared" si="12"/>
        <v>0</v>
      </c>
      <c r="I190" s="12">
        <f t="shared" si="12"/>
        <v>0</v>
      </c>
      <c r="J190" s="12">
        <f t="shared" si="12"/>
        <v>1</v>
      </c>
      <c r="K190" s="12">
        <f t="shared" si="12"/>
        <v>0</v>
      </c>
      <c r="L190" s="12">
        <f t="shared" si="12"/>
        <v>0</v>
      </c>
      <c r="M190" s="12">
        <f t="shared" si="12"/>
        <v>0</v>
      </c>
      <c r="N190" s="12">
        <f t="shared" si="12"/>
        <v>1</v>
      </c>
      <c r="O190" s="12">
        <f t="shared" si="12"/>
        <v>0</v>
      </c>
      <c r="P190" s="12">
        <f t="shared" si="12"/>
        <v>0</v>
      </c>
      <c r="Q190" s="12">
        <f t="shared" si="12"/>
        <v>0</v>
      </c>
      <c r="R190" s="12">
        <f t="shared" si="12"/>
        <v>0</v>
      </c>
      <c r="S190" s="12">
        <f t="shared" si="12"/>
        <v>0</v>
      </c>
      <c r="T190" s="12">
        <f t="shared" si="12"/>
        <v>0</v>
      </c>
      <c r="U190" s="12">
        <f t="shared" si="12"/>
        <v>0</v>
      </c>
      <c r="V190" s="12">
        <f t="shared" si="12"/>
        <v>0</v>
      </c>
      <c r="W190" s="12">
        <f t="shared" si="12"/>
        <v>0</v>
      </c>
      <c r="X190" s="12">
        <f t="shared" si="12"/>
        <v>7</v>
      </c>
      <c r="Y190" s="12">
        <f t="shared" si="12"/>
        <v>0</v>
      </c>
      <c r="Z190" s="12">
        <f t="shared" si="12"/>
        <v>1</v>
      </c>
      <c r="AA190" s="12">
        <f t="shared" si="12"/>
        <v>1</v>
      </c>
      <c r="AB190" s="12">
        <f t="shared" si="12"/>
        <v>0</v>
      </c>
      <c r="AC190" s="12">
        <f t="shared" si="12"/>
        <v>0</v>
      </c>
      <c r="AD190" s="12">
        <f t="shared" si="12"/>
        <v>0</v>
      </c>
      <c r="AE190" s="12">
        <f t="shared" si="12"/>
        <v>0</v>
      </c>
      <c r="AF190" s="12">
        <f t="shared" si="12"/>
        <v>0</v>
      </c>
      <c r="AG190" s="12">
        <f t="shared" si="12"/>
        <v>0</v>
      </c>
      <c r="AH190" s="12">
        <f t="shared" si="12"/>
        <v>0</v>
      </c>
      <c r="AI190" s="12">
        <f t="shared" si="12"/>
        <v>0</v>
      </c>
      <c r="AJ190" s="12">
        <f t="shared" si="12"/>
        <v>1</v>
      </c>
      <c r="AK190" s="12">
        <f t="shared" si="12"/>
        <v>0</v>
      </c>
      <c r="AL190" s="12">
        <f t="shared" si="12"/>
        <v>0</v>
      </c>
      <c r="AM190" s="12">
        <f t="shared" si="12"/>
        <v>0</v>
      </c>
      <c r="AN190" s="12">
        <f t="shared" si="12"/>
        <v>0</v>
      </c>
      <c r="AO190" s="12">
        <f t="shared" si="12"/>
        <v>1</v>
      </c>
      <c r="AP190" s="12">
        <f t="shared" si="12"/>
        <v>0</v>
      </c>
      <c r="AQ190" s="12">
        <f t="shared" si="12"/>
        <v>0</v>
      </c>
      <c r="AR190" s="12">
        <f t="shared" si="12"/>
        <v>0</v>
      </c>
      <c r="AS190" s="12">
        <f t="shared" si="12"/>
        <v>0</v>
      </c>
      <c r="AT190" s="12">
        <f t="shared" si="12"/>
        <v>0</v>
      </c>
      <c r="AU190" s="12">
        <f t="shared" si="12"/>
        <v>0</v>
      </c>
      <c r="AV190" s="12">
        <f t="shared" si="12"/>
        <v>0</v>
      </c>
      <c r="AW190" s="12">
        <f t="shared" si="12"/>
        <v>0</v>
      </c>
      <c r="AX190" s="12">
        <f t="shared" si="12"/>
        <v>0</v>
      </c>
      <c r="AY190" s="12">
        <f t="shared" si="12"/>
        <v>0</v>
      </c>
      <c r="AZ190" s="12">
        <f t="shared" si="12"/>
        <v>0</v>
      </c>
      <c r="BA190" s="12">
        <f t="shared" si="12"/>
        <v>0</v>
      </c>
      <c r="BB190" s="12">
        <f t="shared" si="12"/>
        <v>0</v>
      </c>
      <c r="BC190" s="12">
        <f t="shared" si="12"/>
        <v>0</v>
      </c>
      <c r="BD190" s="12">
        <f t="shared" si="12"/>
        <v>3</v>
      </c>
      <c r="BE190" s="12">
        <f t="shared" si="12"/>
        <v>0</v>
      </c>
      <c r="BF190" s="12">
        <f t="shared" si="12"/>
        <v>0</v>
      </c>
      <c r="BG190" s="12">
        <f t="shared" si="12"/>
        <v>0</v>
      </c>
      <c r="BH190" s="12">
        <f t="shared" si="12"/>
        <v>0</v>
      </c>
      <c r="BI190" s="12">
        <f t="shared" si="12"/>
        <v>0</v>
      </c>
      <c r="BJ190" s="12">
        <f t="shared" si="12"/>
        <v>0</v>
      </c>
      <c r="BK190" s="12">
        <f t="shared" si="12"/>
        <v>0</v>
      </c>
      <c r="BL190" s="12">
        <f t="shared" si="12"/>
        <v>0</v>
      </c>
      <c r="BM190" s="12">
        <f t="shared" si="12"/>
        <v>0</v>
      </c>
      <c r="BN190" s="12">
        <f t="shared" si="12"/>
        <v>0</v>
      </c>
      <c r="BO190" s="12">
        <f t="shared" si="12"/>
        <v>0</v>
      </c>
      <c r="BP190" s="12">
        <f t="shared" ref="BP190:DB190" si="13">COUNTA(BP62:BP189)</f>
        <v>0</v>
      </c>
      <c r="BQ190" s="12">
        <f t="shared" si="13"/>
        <v>0</v>
      </c>
      <c r="BR190" s="12">
        <f t="shared" si="13"/>
        <v>0</v>
      </c>
      <c r="BS190" s="12">
        <f t="shared" si="13"/>
        <v>0</v>
      </c>
      <c r="BT190" s="12">
        <f t="shared" si="13"/>
        <v>0</v>
      </c>
      <c r="BU190" s="12">
        <f t="shared" si="13"/>
        <v>0</v>
      </c>
      <c r="BV190" s="12">
        <f t="shared" si="13"/>
        <v>0</v>
      </c>
      <c r="BW190" s="12">
        <f t="shared" si="13"/>
        <v>0</v>
      </c>
      <c r="BX190" s="12">
        <f t="shared" si="13"/>
        <v>0</v>
      </c>
      <c r="BY190" s="12">
        <f t="shared" si="13"/>
        <v>0</v>
      </c>
      <c r="BZ190" s="12">
        <f t="shared" si="13"/>
        <v>0</v>
      </c>
      <c r="CA190" s="12">
        <f t="shared" si="13"/>
        <v>0</v>
      </c>
      <c r="CB190" s="12">
        <f t="shared" si="13"/>
        <v>0</v>
      </c>
      <c r="CC190" s="12">
        <f t="shared" si="13"/>
        <v>0</v>
      </c>
      <c r="CD190" s="12">
        <f t="shared" si="13"/>
        <v>0</v>
      </c>
      <c r="CE190" s="12">
        <f t="shared" si="13"/>
        <v>0</v>
      </c>
      <c r="CF190" s="12">
        <f t="shared" si="13"/>
        <v>0</v>
      </c>
      <c r="CG190" s="12">
        <f t="shared" si="13"/>
        <v>0</v>
      </c>
      <c r="CH190" s="12">
        <f t="shared" si="13"/>
        <v>0</v>
      </c>
      <c r="CI190" s="12">
        <f t="shared" si="13"/>
        <v>0</v>
      </c>
      <c r="CJ190" s="12">
        <f t="shared" si="13"/>
        <v>0</v>
      </c>
      <c r="CK190" s="12">
        <f t="shared" si="13"/>
        <v>0</v>
      </c>
      <c r="CL190" s="12">
        <f t="shared" si="13"/>
        <v>0</v>
      </c>
      <c r="CM190" s="12">
        <f t="shared" si="13"/>
        <v>0</v>
      </c>
      <c r="CN190" s="12">
        <f t="shared" si="13"/>
        <v>0</v>
      </c>
      <c r="CO190" s="12">
        <f t="shared" si="13"/>
        <v>0</v>
      </c>
      <c r="CP190" s="12">
        <f t="shared" si="13"/>
        <v>0</v>
      </c>
      <c r="CQ190" s="12">
        <f t="shared" si="13"/>
        <v>0</v>
      </c>
      <c r="CR190" s="12">
        <f t="shared" si="13"/>
        <v>0</v>
      </c>
      <c r="CS190" s="12">
        <f t="shared" si="13"/>
        <v>0</v>
      </c>
      <c r="CT190" s="12">
        <f t="shared" si="13"/>
        <v>0</v>
      </c>
      <c r="CU190" s="12">
        <f t="shared" si="13"/>
        <v>0</v>
      </c>
      <c r="CV190" s="12">
        <f t="shared" si="13"/>
        <v>0</v>
      </c>
      <c r="CW190" s="12">
        <f t="shared" si="13"/>
        <v>0</v>
      </c>
      <c r="CX190" s="12">
        <f t="shared" si="13"/>
        <v>0</v>
      </c>
      <c r="CY190" s="12">
        <f t="shared" si="13"/>
        <v>0</v>
      </c>
      <c r="CZ190" s="12">
        <f t="shared" si="13"/>
        <v>0</v>
      </c>
      <c r="DA190" s="12">
        <f t="shared" si="13"/>
        <v>0</v>
      </c>
      <c r="DB190" s="12">
        <f t="shared" si="13"/>
        <v>0</v>
      </c>
    </row>
    <row r="191" spans="1:106" s="12" customFormat="1" x14ac:dyDescent="0.25">
      <c r="A191" s="12">
        <v>4289</v>
      </c>
      <c r="B191" s="12" t="s">
        <v>17</v>
      </c>
    </row>
    <row r="192" spans="1:106" s="12" customFormat="1" x14ac:dyDescent="0.25">
      <c r="A192" s="12">
        <v>500245</v>
      </c>
      <c r="B192" s="12" t="s">
        <v>17</v>
      </c>
    </row>
    <row r="193" spans="1:2" s="12" customFormat="1" x14ac:dyDescent="0.25">
      <c r="A193" s="12">
        <v>2002573</v>
      </c>
      <c r="B193" s="12" t="s">
        <v>17</v>
      </c>
    </row>
    <row r="194" spans="1:2" s="12" customFormat="1" x14ac:dyDescent="0.25">
      <c r="A194" s="12">
        <v>2003539</v>
      </c>
      <c r="B194" s="12" t="s">
        <v>17</v>
      </c>
    </row>
    <row r="195" spans="1:2" s="12" customFormat="1" x14ac:dyDescent="0.25">
      <c r="A195" s="12">
        <v>2003649</v>
      </c>
      <c r="B195" s="12" t="s">
        <v>17</v>
      </c>
    </row>
    <row r="196" spans="1:2" s="12" customFormat="1" x14ac:dyDescent="0.25">
      <c r="A196" s="12">
        <v>2005572</v>
      </c>
      <c r="B196" s="12" t="s">
        <v>17</v>
      </c>
    </row>
    <row r="197" spans="1:2" s="12" customFormat="1" x14ac:dyDescent="0.25">
      <c r="A197" s="12">
        <v>2013117</v>
      </c>
      <c r="B197" s="12" t="s">
        <v>17</v>
      </c>
    </row>
    <row r="198" spans="1:2" s="12" customFormat="1" x14ac:dyDescent="0.25">
      <c r="A198" s="12">
        <v>3009633</v>
      </c>
      <c r="B198" s="12" t="s">
        <v>17</v>
      </c>
    </row>
    <row r="199" spans="1:2" s="12" customFormat="1" x14ac:dyDescent="0.25">
      <c r="A199" s="12">
        <v>3010583</v>
      </c>
      <c r="B199" s="12" t="s">
        <v>17</v>
      </c>
    </row>
    <row r="200" spans="1:2" s="12" customFormat="1" x14ac:dyDescent="0.25">
      <c r="A200" s="16">
        <v>3011892</v>
      </c>
      <c r="B200" s="12" t="s">
        <v>17</v>
      </c>
    </row>
    <row r="201" spans="1:2" s="12" customFormat="1" x14ac:dyDescent="0.25">
      <c r="A201" s="12">
        <v>4001382</v>
      </c>
      <c r="B201" s="12" t="s">
        <v>17</v>
      </c>
    </row>
    <row r="202" spans="1:2" s="12" customFormat="1" x14ac:dyDescent="0.25">
      <c r="A202" s="12">
        <v>5018675</v>
      </c>
      <c r="B202" s="12" t="s">
        <v>17</v>
      </c>
    </row>
    <row r="203" spans="1:2" s="12" customFormat="1" x14ac:dyDescent="0.25">
      <c r="A203" s="12">
        <v>6050168</v>
      </c>
      <c r="B203" s="12" t="s">
        <v>17</v>
      </c>
    </row>
    <row r="204" spans="1:2" s="12" customFormat="1" x14ac:dyDescent="0.25">
      <c r="A204" s="12">
        <v>7003242</v>
      </c>
      <c r="B204" s="12" t="s">
        <v>17</v>
      </c>
    </row>
    <row r="205" spans="1:2" s="12" customFormat="1" x14ac:dyDescent="0.25">
      <c r="A205" s="12">
        <v>12022536</v>
      </c>
      <c r="B205" s="12" t="s">
        <v>17</v>
      </c>
    </row>
    <row r="206" spans="1:2" s="12" customFormat="1" x14ac:dyDescent="0.25">
      <c r="A206" s="12">
        <v>13020792</v>
      </c>
      <c r="B206" s="12" t="s">
        <v>17</v>
      </c>
    </row>
    <row r="207" spans="1:2" s="12" customFormat="1" x14ac:dyDescent="0.25">
      <c r="A207" s="12">
        <v>97005797</v>
      </c>
      <c r="B207" s="12" t="s">
        <v>17</v>
      </c>
    </row>
    <row r="208" spans="1:2" s="12" customFormat="1" x14ac:dyDescent="0.25">
      <c r="A208" s="12">
        <v>99000345</v>
      </c>
      <c r="B208" s="12" t="s">
        <v>17</v>
      </c>
    </row>
    <row r="209" spans="1:2" s="12" customFormat="1" x14ac:dyDescent="0.25">
      <c r="A209" s="12">
        <v>5006592</v>
      </c>
      <c r="B209" s="12" t="s">
        <v>17</v>
      </c>
    </row>
    <row r="210" spans="1:2" s="12" customFormat="1" x14ac:dyDescent="0.25">
      <c r="A210" s="12">
        <v>5007274</v>
      </c>
      <c r="B210" s="12" t="s">
        <v>17</v>
      </c>
    </row>
    <row r="211" spans="1:2" s="12" customFormat="1" x14ac:dyDescent="0.25">
      <c r="A211" s="12">
        <v>5015851</v>
      </c>
      <c r="B211" s="12" t="s">
        <v>17</v>
      </c>
    </row>
    <row r="212" spans="1:2" s="12" customFormat="1" x14ac:dyDescent="0.25">
      <c r="A212" s="12">
        <v>6015647</v>
      </c>
      <c r="B212" s="12" t="s">
        <v>17</v>
      </c>
    </row>
    <row r="213" spans="1:2" s="12" customFormat="1" x14ac:dyDescent="0.25">
      <c r="A213" s="12">
        <v>6056633</v>
      </c>
      <c r="B213" s="12" t="s">
        <v>17</v>
      </c>
    </row>
    <row r="214" spans="1:2" s="12" customFormat="1" x14ac:dyDescent="0.25">
      <c r="A214" s="12">
        <v>7086224</v>
      </c>
      <c r="B214" s="12" t="s">
        <v>17</v>
      </c>
    </row>
    <row r="215" spans="1:2" s="12" customFormat="1" x14ac:dyDescent="0.25">
      <c r="A215" s="12">
        <v>8040959</v>
      </c>
      <c r="B215" s="12" t="s">
        <v>17</v>
      </c>
    </row>
    <row r="216" spans="1:2" s="12" customFormat="1" x14ac:dyDescent="0.25">
      <c r="A216" s="12">
        <v>8107048</v>
      </c>
      <c r="B216" s="12" t="s">
        <v>17</v>
      </c>
    </row>
    <row r="217" spans="1:2" s="12" customFormat="1" x14ac:dyDescent="0.25">
      <c r="A217" s="12">
        <v>8124044</v>
      </c>
      <c r="B217" s="12" t="s">
        <v>17</v>
      </c>
    </row>
    <row r="218" spans="1:2" s="12" customFormat="1" x14ac:dyDescent="0.25">
      <c r="A218" s="12">
        <v>8142949</v>
      </c>
      <c r="B218" s="12" t="s">
        <v>17</v>
      </c>
    </row>
    <row r="219" spans="1:2" s="12" customFormat="1" x14ac:dyDescent="0.25">
      <c r="A219" s="12">
        <v>9023306</v>
      </c>
      <c r="B219" s="12" t="s">
        <v>17</v>
      </c>
    </row>
    <row r="220" spans="1:2" s="12" customFormat="1" x14ac:dyDescent="0.25">
      <c r="A220" s="12">
        <v>9034464</v>
      </c>
      <c r="B220" s="12" t="s">
        <v>17</v>
      </c>
    </row>
    <row r="221" spans="1:2" s="12" customFormat="1" x14ac:dyDescent="0.25">
      <c r="A221" s="12">
        <v>9040167</v>
      </c>
      <c r="B221" s="12" t="s">
        <v>17</v>
      </c>
    </row>
    <row r="222" spans="1:2" s="12" customFormat="1" x14ac:dyDescent="0.25">
      <c r="A222" s="12">
        <v>9054567</v>
      </c>
      <c r="B222" s="12" t="s">
        <v>17</v>
      </c>
    </row>
    <row r="223" spans="1:2" s="12" customFormat="1" x14ac:dyDescent="0.25">
      <c r="A223" s="12">
        <v>9083682</v>
      </c>
      <c r="B223" s="12" t="s">
        <v>17</v>
      </c>
    </row>
    <row r="224" spans="1:2" s="12" customFormat="1" x14ac:dyDescent="0.25">
      <c r="A224" s="12">
        <v>9102044</v>
      </c>
      <c r="B224" s="12" t="s">
        <v>17</v>
      </c>
    </row>
    <row r="225" spans="1:56" s="12" customFormat="1" x14ac:dyDescent="0.25">
      <c r="A225" s="12">
        <v>9119854</v>
      </c>
      <c r="B225" s="12" t="s">
        <v>17</v>
      </c>
    </row>
    <row r="226" spans="1:56" s="12" customFormat="1" x14ac:dyDescent="0.25">
      <c r="A226" s="12">
        <v>9125126</v>
      </c>
      <c r="B226" s="12" t="s">
        <v>17</v>
      </c>
    </row>
    <row r="227" spans="1:56" s="12" customFormat="1" x14ac:dyDescent="0.25">
      <c r="A227" s="12">
        <v>9174811</v>
      </c>
      <c r="B227" s="12" t="s">
        <v>17</v>
      </c>
    </row>
    <row r="228" spans="1:56" s="12" customFormat="1" x14ac:dyDescent="0.25">
      <c r="A228" s="12">
        <v>10002875</v>
      </c>
      <c r="B228" s="12" t="s">
        <v>17</v>
      </c>
      <c r="X228" s="14" t="s">
        <v>153</v>
      </c>
      <c r="BD228" s="14" t="s">
        <v>153</v>
      </c>
    </row>
    <row r="229" spans="1:56" s="12" customFormat="1" x14ac:dyDescent="0.25">
      <c r="A229" s="12">
        <v>10023080</v>
      </c>
      <c r="B229" s="12" t="s">
        <v>17</v>
      </c>
    </row>
    <row r="230" spans="1:56" s="12" customFormat="1" x14ac:dyDescent="0.25">
      <c r="A230" s="12">
        <v>10025212</v>
      </c>
      <c r="B230" s="12" t="s">
        <v>17</v>
      </c>
    </row>
    <row r="231" spans="1:56" s="12" customFormat="1" x14ac:dyDescent="0.25">
      <c r="A231" s="12">
        <v>10069407</v>
      </c>
      <c r="B231" s="12" t="s">
        <v>17</v>
      </c>
    </row>
    <row r="232" spans="1:56" s="12" customFormat="1" x14ac:dyDescent="0.25">
      <c r="A232" s="12">
        <v>10071135</v>
      </c>
      <c r="B232" s="12" t="s">
        <v>17</v>
      </c>
    </row>
    <row r="233" spans="1:56" s="12" customFormat="1" x14ac:dyDescent="0.25">
      <c r="A233" s="12">
        <v>10083649</v>
      </c>
      <c r="B233" s="12" t="s">
        <v>17</v>
      </c>
    </row>
    <row r="234" spans="1:56" s="12" customFormat="1" x14ac:dyDescent="0.25">
      <c r="A234" s="12">
        <v>10102021</v>
      </c>
      <c r="B234" s="12" t="s">
        <v>17</v>
      </c>
    </row>
    <row r="235" spans="1:56" s="12" customFormat="1" x14ac:dyDescent="0.25">
      <c r="A235" s="12">
        <v>10123729</v>
      </c>
      <c r="B235" s="12" t="s">
        <v>17</v>
      </c>
    </row>
    <row r="236" spans="1:56" s="12" customFormat="1" x14ac:dyDescent="0.25">
      <c r="A236" s="12">
        <v>10144736</v>
      </c>
      <c r="B236" s="12" t="s">
        <v>17</v>
      </c>
    </row>
    <row r="237" spans="1:56" s="12" customFormat="1" x14ac:dyDescent="0.25">
      <c r="A237" s="12">
        <v>10157275</v>
      </c>
      <c r="B237" s="12" t="s">
        <v>17</v>
      </c>
    </row>
    <row r="238" spans="1:56" s="12" customFormat="1" x14ac:dyDescent="0.25">
      <c r="A238" s="12">
        <v>10190869</v>
      </c>
      <c r="B238" s="12" t="s">
        <v>17</v>
      </c>
    </row>
    <row r="239" spans="1:56" s="12" customFormat="1" x14ac:dyDescent="0.25">
      <c r="A239" s="12">
        <v>11008417</v>
      </c>
      <c r="B239" s="12" t="s">
        <v>17</v>
      </c>
    </row>
    <row r="240" spans="1:56" s="12" customFormat="1" x14ac:dyDescent="0.25">
      <c r="A240" s="12">
        <v>11043926</v>
      </c>
      <c r="B240" s="12" t="s">
        <v>17</v>
      </c>
    </row>
    <row r="241" spans="1:80" s="12" customFormat="1" x14ac:dyDescent="0.25">
      <c r="A241" s="12">
        <v>11049060</v>
      </c>
      <c r="B241" s="12" t="s">
        <v>17</v>
      </c>
      <c r="X241" s="14" t="s">
        <v>154</v>
      </c>
    </row>
    <row r="242" spans="1:80" s="12" customFormat="1" x14ac:dyDescent="0.25">
      <c r="A242" s="12">
        <v>11058012</v>
      </c>
      <c r="B242" s="12" t="s">
        <v>17</v>
      </c>
      <c r="CB242" s="12" t="s">
        <v>155</v>
      </c>
    </row>
    <row r="243" spans="1:80" s="12" customFormat="1" x14ac:dyDescent="0.25">
      <c r="A243" s="12">
        <v>11082290</v>
      </c>
      <c r="B243" s="12" t="s">
        <v>17</v>
      </c>
    </row>
    <row r="244" spans="1:80" s="12" customFormat="1" x14ac:dyDescent="0.25">
      <c r="A244" s="12">
        <v>11096431</v>
      </c>
      <c r="B244" s="12" t="s">
        <v>17</v>
      </c>
    </row>
    <row r="245" spans="1:80" s="12" customFormat="1" x14ac:dyDescent="0.25">
      <c r="A245" s="12">
        <v>11105672</v>
      </c>
      <c r="B245" s="12" t="s">
        <v>17</v>
      </c>
    </row>
    <row r="246" spans="1:80" s="12" customFormat="1" x14ac:dyDescent="0.25">
      <c r="A246" s="12" t="s">
        <v>18</v>
      </c>
      <c r="B246" s="12" t="s">
        <v>17</v>
      </c>
    </row>
    <row r="247" spans="1:80" s="12" customFormat="1" x14ac:dyDescent="0.25">
      <c r="A247" s="12">
        <v>11136262</v>
      </c>
      <c r="B247" s="12" t="s">
        <v>17</v>
      </c>
    </row>
    <row r="248" spans="1:80" s="12" customFormat="1" x14ac:dyDescent="0.25">
      <c r="A248" s="12">
        <v>11178455</v>
      </c>
      <c r="B248" s="12" t="s">
        <v>17</v>
      </c>
    </row>
    <row r="249" spans="1:80" s="12" customFormat="1" x14ac:dyDescent="0.25">
      <c r="A249" s="12">
        <v>11179526</v>
      </c>
      <c r="B249" s="12" t="s">
        <v>17</v>
      </c>
    </row>
    <row r="250" spans="1:80" s="12" customFormat="1" x14ac:dyDescent="0.25">
      <c r="A250" s="12">
        <v>11187511</v>
      </c>
      <c r="B250" s="12" t="s">
        <v>17</v>
      </c>
    </row>
    <row r="251" spans="1:80" s="12" customFormat="1" x14ac:dyDescent="0.25">
      <c r="A251" s="12">
        <v>11223290</v>
      </c>
      <c r="B251" s="12" t="s">
        <v>17</v>
      </c>
    </row>
    <row r="252" spans="1:80" s="12" customFormat="1" x14ac:dyDescent="0.25">
      <c r="A252" s="12">
        <v>11228365</v>
      </c>
      <c r="B252" s="12" t="s">
        <v>17</v>
      </c>
    </row>
    <row r="253" spans="1:80" s="12" customFormat="1" x14ac:dyDescent="0.25">
      <c r="A253" s="12">
        <v>12020246</v>
      </c>
      <c r="B253" s="12" t="s">
        <v>17</v>
      </c>
    </row>
    <row r="254" spans="1:80" s="12" customFormat="1" x14ac:dyDescent="0.25">
      <c r="A254" s="12">
        <v>12035138</v>
      </c>
      <c r="B254" s="12" t="s">
        <v>17</v>
      </c>
    </row>
    <row r="255" spans="1:80" s="12" customFormat="1" x14ac:dyDescent="0.25">
      <c r="A255" s="12">
        <v>12111578</v>
      </c>
      <c r="B255" s="12" t="s">
        <v>17</v>
      </c>
    </row>
    <row r="256" spans="1:80" s="12" customFormat="1" x14ac:dyDescent="0.25">
      <c r="A256" s="12">
        <v>12133434</v>
      </c>
      <c r="B256" s="12" t="s">
        <v>17</v>
      </c>
    </row>
    <row r="257" spans="1:106" s="12" customFormat="1" x14ac:dyDescent="0.25">
      <c r="A257" s="12">
        <v>12164268</v>
      </c>
      <c r="B257" s="12" t="s">
        <v>17</v>
      </c>
    </row>
    <row r="258" spans="1:106" s="12" customFormat="1" x14ac:dyDescent="0.25">
      <c r="A258" s="12">
        <v>12164269</v>
      </c>
      <c r="B258" s="12" t="s">
        <v>17</v>
      </c>
    </row>
    <row r="259" spans="1:106" s="12" customFormat="1" x14ac:dyDescent="0.25">
      <c r="A259" s="12">
        <v>12168562</v>
      </c>
      <c r="B259" s="12" t="s">
        <v>17</v>
      </c>
    </row>
    <row r="260" spans="1:106" s="12" customFormat="1" x14ac:dyDescent="0.25">
      <c r="A260" s="12">
        <v>12190939</v>
      </c>
      <c r="B260" s="12" t="s">
        <v>17</v>
      </c>
    </row>
    <row r="261" spans="1:106" s="12" customFormat="1" x14ac:dyDescent="0.25">
      <c r="A261" s="12">
        <v>12311081</v>
      </c>
      <c r="B261" s="12" t="s">
        <v>17</v>
      </c>
    </row>
    <row r="262" spans="1:106" s="12" customFormat="1" x14ac:dyDescent="0.25">
      <c r="A262" s="12">
        <v>6000832</v>
      </c>
      <c r="B262" s="12" t="s">
        <v>17</v>
      </c>
    </row>
    <row r="263" spans="1:106" s="12" customFormat="1" x14ac:dyDescent="0.25">
      <c r="A263" s="12">
        <v>9030615</v>
      </c>
      <c r="B263" s="12" t="s">
        <v>17</v>
      </c>
    </row>
    <row r="264" spans="1:106" s="12" customFormat="1" x14ac:dyDescent="0.25">
      <c r="A264" s="12" t="s">
        <v>19</v>
      </c>
      <c r="B264" s="12" t="s">
        <v>17</v>
      </c>
    </row>
    <row r="265" spans="1:106" s="12" customFormat="1" x14ac:dyDescent="0.25">
      <c r="A265" s="12" t="s">
        <v>20</v>
      </c>
      <c r="B265" s="12" t="s">
        <v>17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CG265" s="13"/>
      <c r="CH265" s="13"/>
      <c r="CI265" s="13"/>
      <c r="CJ265" s="13"/>
      <c r="CK265" s="13"/>
      <c r="CL265" s="13"/>
    </row>
    <row r="266" spans="1:106" s="12" customFormat="1" x14ac:dyDescent="0.25">
      <c r="C266" s="12">
        <f>COUNTA(C191:C265)</f>
        <v>0</v>
      </c>
      <c r="D266" s="12">
        <f t="shared" ref="D266:BO266" si="14">COUNTA(D191:D265)</f>
        <v>0</v>
      </c>
      <c r="E266" s="12">
        <f t="shared" si="14"/>
        <v>0</v>
      </c>
      <c r="F266" s="12">
        <f t="shared" si="14"/>
        <v>0</v>
      </c>
      <c r="G266" s="12">
        <f t="shared" si="14"/>
        <v>0</v>
      </c>
      <c r="H266" s="12">
        <f t="shared" si="14"/>
        <v>0</v>
      </c>
      <c r="I266" s="12">
        <f t="shared" si="14"/>
        <v>0</v>
      </c>
      <c r="J266" s="12">
        <f t="shared" si="14"/>
        <v>0</v>
      </c>
      <c r="K266" s="12">
        <f t="shared" si="14"/>
        <v>0</v>
      </c>
      <c r="L266" s="12">
        <f t="shared" si="14"/>
        <v>0</v>
      </c>
      <c r="M266" s="12">
        <f t="shared" si="14"/>
        <v>0</v>
      </c>
      <c r="N266" s="12">
        <f t="shared" si="14"/>
        <v>0</v>
      </c>
      <c r="O266" s="12">
        <f t="shared" si="14"/>
        <v>0</v>
      </c>
      <c r="P266" s="12">
        <f t="shared" si="14"/>
        <v>0</v>
      </c>
      <c r="Q266" s="12">
        <f t="shared" si="14"/>
        <v>0</v>
      </c>
      <c r="R266" s="12">
        <f t="shared" si="14"/>
        <v>0</v>
      </c>
      <c r="S266" s="12">
        <f t="shared" si="14"/>
        <v>0</v>
      </c>
      <c r="T266" s="12">
        <f t="shared" si="14"/>
        <v>0</v>
      </c>
      <c r="U266" s="12">
        <f t="shared" si="14"/>
        <v>0</v>
      </c>
      <c r="V266" s="12">
        <f t="shared" si="14"/>
        <v>0</v>
      </c>
      <c r="W266" s="12">
        <f t="shared" si="14"/>
        <v>0</v>
      </c>
      <c r="X266" s="12">
        <f t="shared" si="14"/>
        <v>2</v>
      </c>
      <c r="Y266" s="12">
        <f t="shared" si="14"/>
        <v>0</v>
      </c>
      <c r="Z266" s="12">
        <f t="shared" si="14"/>
        <v>0</v>
      </c>
      <c r="AA266" s="12">
        <f t="shared" si="14"/>
        <v>0</v>
      </c>
      <c r="AB266" s="12">
        <f t="shared" si="14"/>
        <v>0</v>
      </c>
      <c r="AC266" s="12">
        <f t="shared" si="14"/>
        <v>0</v>
      </c>
      <c r="AD266" s="12">
        <f t="shared" si="14"/>
        <v>0</v>
      </c>
      <c r="AE266" s="12">
        <f t="shared" si="14"/>
        <v>0</v>
      </c>
      <c r="AF266" s="12">
        <f t="shared" si="14"/>
        <v>0</v>
      </c>
      <c r="AG266" s="12">
        <f t="shared" si="14"/>
        <v>0</v>
      </c>
      <c r="AH266" s="12">
        <f t="shared" si="14"/>
        <v>0</v>
      </c>
      <c r="AI266" s="12">
        <f t="shared" si="14"/>
        <v>0</v>
      </c>
      <c r="AJ266" s="12">
        <f t="shared" si="14"/>
        <v>0</v>
      </c>
      <c r="AK266" s="12">
        <f t="shared" si="14"/>
        <v>0</v>
      </c>
      <c r="AL266" s="12">
        <f t="shared" si="14"/>
        <v>0</v>
      </c>
      <c r="AM266" s="12">
        <f t="shared" si="14"/>
        <v>0</v>
      </c>
      <c r="AN266" s="12">
        <f t="shared" si="14"/>
        <v>0</v>
      </c>
      <c r="AO266" s="12">
        <f t="shared" si="14"/>
        <v>0</v>
      </c>
      <c r="AP266" s="12">
        <f t="shared" si="14"/>
        <v>0</v>
      </c>
      <c r="AQ266" s="12">
        <f t="shared" si="14"/>
        <v>0</v>
      </c>
      <c r="AR266" s="12">
        <f t="shared" si="14"/>
        <v>0</v>
      </c>
      <c r="AS266" s="12">
        <f t="shared" si="14"/>
        <v>0</v>
      </c>
      <c r="AT266" s="12">
        <f t="shared" si="14"/>
        <v>0</v>
      </c>
      <c r="AU266" s="12">
        <f t="shared" si="14"/>
        <v>0</v>
      </c>
      <c r="AV266" s="12">
        <f t="shared" si="14"/>
        <v>0</v>
      </c>
      <c r="AW266" s="12">
        <f t="shared" si="14"/>
        <v>0</v>
      </c>
      <c r="AX266" s="12">
        <f t="shared" si="14"/>
        <v>0</v>
      </c>
      <c r="AY266" s="12">
        <f t="shared" si="14"/>
        <v>0</v>
      </c>
      <c r="AZ266" s="12">
        <f t="shared" si="14"/>
        <v>0</v>
      </c>
      <c r="BA266" s="12">
        <f t="shared" si="14"/>
        <v>0</v>
      </c>
      <c r="BB266" s="12">
        <f t="shared" si="14"/>
        <v>0</v>
      </c>
      <c r="BC266" s="12">
        <f t="shared" si="14"/>
        <v>0</v>
      </c>
      <c r="BD266" s="12">
        <f t="shared" si="14"/>
        <v>1</v>
      </c>
      <c r="BE266" s="12">
        <f t="shared" si="14"/>
        <v>0</v>
      </c>
      <c r="BF266" s="12">
        <f t="shared" si="14"/>
        <v>0</v>
      </c>
      <c r="BG266" s="12">
        <f t="shared" si="14"/>
        <v>0</v>
      </c>
      <c r="BH266" s="12">
        <f t="shared" si="14"/>
        <v>0</v>
      </c>
      <c r="BI266" s="12">
        <f t="shared" si="14"/>
        <v>0</v>
      </c>
      <c r="BJ266" s="12">
        <f t="shared" si="14"/>
        <v>0</v>
      </c>
      <c r="BK266" s="12">
        <f t="shared" si="14"/>
        <v>0</v>
      </c>
      <c r="BL266" s="12">
        <f t="shared" si="14"/>
        <v>0</v>
      </c>
      <c r="BM266" s="12">
        <f t="shared" si="14"/>
        <v>0</v>
      </c>
      <c r="BN266" s="12">
        <f t="shared" si="14"/>
        <v>0</v>
      </c>
      <c r="BO266" s="12">
        <f t="shared" si="14"/>
        <v>0</v>
      </c>
      <c r="BP266" s="12">
        <f t="shared" ref="BP266:DB266" si="15">COUNTA(BP191:BP265)</f>
        <v>0</v>
      </c>
      <c r="BQ266" s="12">
        <f t="shared" si="15"/>
        <v>0</v>
      </c>
      <c r="BR266" s="12">
        <f t="shared" si="15"/>
        <v>0</v>
      </c>
      <c r="BS266" s="12">
        <f t="shared" si="15"/>
        <v>0</v>
      </c>
      <c r="BT266" s="12">
        <f t="shared" si="15"/>
        <v>0</v>
      </c>
      <c r="BU266" s="12">
        <f t="shared" si="15"/>
        <v>0</v>
      </c>
      <c r="BV266" s="12">
        <f t="shared" si="15"/>
        <v>0</v>
      </c>
      <c r="BW266" s="12">
        <f t="shared" si="15"/>
        <v>0</v>
      </c>
      <c r="BX266" s="12">
        <f t="shared" si="15"/>
        <v>0</v>
      </c>
      <c r="BY266" s="12">
        <f t="shared" si="15"/>
        <v>0</v>
      </c>
      <c r="BZ266" s="12">
        <f t="shared" si="15"/>
        <v>0</v>
      </c>
      <c r="CA266" s="12">
        <f t="shared" si="15"/>
        <v>0</v>
      </c>
      <c r="CB266" s="12">
        <f>COUNTA(CB191:CB265)</f>
        <v>1</v>
      </c>
      <c r="CC266" s="12">
        <f t="shared" si="15"/>
        <v>0</v>
      </c>
      <c r="CD266" s="12">
        <f t="shared" si="15"/>
        <v>0</v>
      </c>
      <c r="CE266" s="12">
        <f t="shared" si="15"/>
        <v>0</v>
      </c>
      <c r="CF266" s="12">
        <f t="shared" si="15"/>
        <v>0</v>
      </c>
      <c r="CG266" s="12">
        <f t="shared" si="15"/>
        <v>0</v>
      </c>
      <c r="CH266" s="12">
        <f t="shared" si="15"/>
        <v>0</v>
      </c>
      <c r="CI266" s="12">
        <f t="shared" si="15"/>
        <v>0</v>
      </c>
      <c r="CJ266" s="12">
        <f t="shared" si="15"/>
        <v>0</v>
      </c>
      <c r="CK266" s="12">
        <f t="shared" si="15"/>
        <v>0</v>
      </c>
      <c r="CL266" s="12">
        <f t="shared" si="15"/>
        <v>0</v>
      </c>
      <c r="CM266" s="12">
        <f t="shared" si="15"/>
        <v>0</v>
      </c>
      <c r="CN266" s="12">
        <f t="shared" si="15"/>
        <v>0</v>
      </c>
      <c r="CO266" s="12">
        <f t="shared" si="15"/>
        <v>0</v>
      </c>
      <c r="CP266" s="12">
        <f t="shared" si="15"/>
        <v>0</v>
      </c>
      <c r="CQ266" s="12">
        <f t="shared" si="15"/>
        <v>0</v>
      </c>
      <c r="CR266" s="12">
        <f t="shared" si="15"/>
        <v>0</v>
      </c>
      <c r="CS266" s="12">
        <f t="shared" si="15"/>
        <v>0</v>
      </c>
      <c r="CT266" s="12">
        <f t="shared" si="15"/>
        <v>0</v>
      </c>
      <c r="CU266" s="12">
        <f t="shared" si="15"/>
        <v>0</v>
      </c>
      <c r="CV266" s="12">
        <f t="shared" si="15"/>
        <v>0</v>
      </c>
      <c r="CW266" s="12">
        <f t="shared" si="15"/>
        <v>0</v>
      </c>
      <c r="CX266" s="12">
        <f t="shared" si="15"/>
        <v>0</v>
      </c>
      <c r="CY266" s="12">
        <f t="shared" si="15"/>
        <v>0</v>
      </c>
      <c r="CZ266" s="12">
        <f t="shared" si="15"/>
        <v>0</v>
      </c>
      <c r="DA266" s="12">
        <f t="shared" si="15"/>
        <v>0</v>
      </c>
      <c r="DB266" s="12">
        <f t="shared" si="15"/>
        <v>0</v>
      </c>
    </row>
    <row r="267" spans="1:106" s="12" customFormat="1" x14ac:dyDescent="0.25">
      <c r="A267" s="12">
        <v>5281</v>
      </c>
      <c r="B267" s="12" t="s">
        <v>21</v>
      </c>
    </row>
    <row r="268" spans="1:106" s="12" customFormat="1" x14ac:dyDescent="0.25">
      <c r="A268" s="12">
        <v>200085</v>
      </c>
      <c r="B268" s="12" t="s">
        <v>21</v>
      </c>
    </row>
    <row r="269" spans="1:106" s="12" customFormat="1" x14ac:dyDescent="0.25">
      <c r="A269" s="12">
        <v>500129</v>
      </c>
      <c r="B269" s="12" t="s">
        <v>21</v>
      </c>
    </row>
    <row r="270" spans="1:106" s="12" customFormat="1" x14ac:dyDescent="0.25">
      <c r="A270" s="16">
        <v>1002033</v>
      </c>
      <c r="B270" s="12" t="s">
        <v>21</v>
      </c>
    </row>
    <row r="271" spans="1:106" s="12" customFormat="1" x14ac:dyDescent="0.25">
      <c r="A271" s="12">
        <v>1003457</v>
      </c>
      <c r="B271" s="12" t="s">
        <v>21</v>
      </c>
    </row>
    <row r="272" spans="1:106" s="12" customFormat="1" x14ac:dyDescent="0.25">
      <c r="A272" s="12">
        <v>2005223</v>
      </c>
      <c r="B272" s="12" t="s">
        <v>21</v>
      </c>
    </row>
    <row r="273" spans="1:24" s="12" customFormat="1" x14ac:dyDescent="0.25">
      <c r="A273" s="12">
        <v>2006107</v>
      </c>
      <c r="B273" s="12" t="s">
        <v>21</v>
      </c>
    </row>
    <row r="274" spans="1:24" s="12" customFormat="1" x14ac:dyDescent="0.25">
      <c r="A274" s="12">
        <v>2012014</v>
      </c>
      <c r="B274" s="12" t="s">
        <v>21</v>
      </c>
    </row>
    <row r="275" spans="1:24" s="12" customFormat="1" x14ac:dyDescent="0.25">
      <c r="A275" s="12">
        <v>3000152</v>
      </c>
      <c r="B275" s="12" t="s">
        <v>21</v>
      </c>
      <c r="X275" s="14" t="s">
        <v>145</v>
      </c>
    </row>
    <row r="276" spans="1:24" s="12" customFormat="1" x14ac:dyDescent="0.25">
      <c r="A276" s="12">
        <v>3014566</v>
      </c>
      <c r="B276" s="12" t="s">
        <v>21</v>
      </c>
    </row>
    <row r="277" spans="1:24" s="12" customFormat="1" x14ac:dyDescent="0.25">
      <c r="A277" s="12">
        <v>3015058</v>
      </c>
      <c r="B277" s="12" t="s">
        <v>21</v>
      </c>
    </row>
    <row r="278" spans="1:24" s="12" customFormat="1" x14ac:dyDescent="0.25">
      <c r="A278" s="16">
        <v>4000996</v>
      </c>
      <c r="B278" s="12" t="s">
        <v>21</v>
      </c>
    </row>
    <row r="279" spans="1:24" s="12" customFormat="1" x14ac:dyDescent="0.25">
      <c r="A279" s="12">
        <v>4003768</v>
      </c>
      <c r="B279" s="12" t="s">
        <v>21</v>
      </c>
    </row>
    <row r="280" spans="1:24" s="12" customFormat="1" x14ac:dyDescent="0.25">
      <c r="A280" s="12">
        <v>4006540</v>
      </c>
      <c r="B280" s="12" t="s">
        <v>21</v>
      </c>
    </row>
    <row r="281" spans="1:24" s="12" customFormat="1" x14ac:dyDescent="0.25">
      <c r="A281" s="12">
        <v>4007054</v>
      </c>
      <c r="B281" s="12" t="s">
        <v>21</v>
      </c>
    </row>
    <row r="282" spans="1:24" s="12" customFormat="1" x14ac:dyDescent="0.25">
      <c r="A282" s="12">
        <v>4011002</v>
      </c>
      <c r="B282" s="12" t="s">
        <v>21</v>
      </c>
    </row>
    <row r="283" spans="1:24" s="12" customFormat="1" x14ac:dyDescent="0.25">
      <c r="A283" s="12">
        <v>4900268</v>
      </c>
      <c r="B283" s="12" t="s">
        <v>21</v>
      </c>
    </row>
    <row r="284" spans="1:24" s="12" customFormat="1" x14ac:dyDescent="0.25">
      <c r="A284" s="12">
        <v>5001097</v>
      </c>
      <c r="B284" s="12" t="s">
        <v>21</v>
      </c>
    </row>
    <row r="285" spans="1:24" s="12" customFormat="1" x14ac:dyDescent="0.25">
      <c r="A285" s="12">
        <v>5001098</v>
      </c>
      <c r="B285" s="12" t="s">
        <v>21</v>
      </c>
    </row>
    <row r="286" spans="1:24" s="12" customFormat="1" x14ac:dyDescent="0.25">
      <c r="A286" s="12">
        <v>5006152</v>
      </c>
      <c r="B286" s="12" t="s">
        <v>21</v>
      </c>
    </row>
    <row r="287" spans="1:24" s="12" customFormat="1" x14ac:dyDescent="0.25">
      <c r="A287" s="12">
        <v>5011824</v>
      </c>
      <c r="B287" s="12" t="s">
        <v>21</v>
      </c>
    </row>
    <row r="288" spans="1:24" s="12" customFormat="1" x14ac:dyDescent="0.25">
      <c r="A288" s="12">
        <v>5016179</v>
      </c>
      <c r="B288" s="12" t="s">
        <v>21</v>
      </c>
    </row>
    <row r="289" spans="1:71" s="12" customFormat="1" x14ac:dyDescent="0.25">
      <c r="A289" s="12">
        <v>7079011</v>
      </c>
      <c r="B289" s="12" t="s">
        <v>21</v>
      </c>
    </row>
    <row r="290" spans="1:71" s="12" customFormat="1" x14ac:dyDescent="0.25">
      <c r="A290" s="12">
        <v>8135416</v>
      </c>
      <c r="B290" s="12" t="s">
        <v>21</v>
      </c>
    </row>
    <row r="291" spans="1:71" s="12" customFormat="1" x14ac:dyDescent="0.25">
      <c r="A291" s="12">
        <v>93018945</v>
      </c>
      <c r="B291" s="12" t="s">
        <v>21</v>
      </c>
    </row>
    <row r="292" spans="1:71" s="12" customFormat="1" x14ac:dyDescent="0.25">
      <c r="A292" s="12">
        <v>94009028</v>
      </c>
      <c r="B292" s="12" t="s">
        <v>21</v>
      </c>
    </row>
    <row r="293" spans="1:71" s="12" customFormat="1" x14ac:dyDescent="0.25">
      <c r="A293" s="12">
        <v>95005907</v>
      </c>
      <c r="B293" s="12" t="s">
        <v>21</v>
      </c>
    </row>
    <row r="294" spans="1:71" s="12" customFormat="1" x14ac:dyDescent="0.25">
      <c r="A294" s="12">
        <v>95900164</v>
      </c>
      <c r="B294" s="12" t="s">
        <v>21</v>
      </c>
    </row>
    <row r="295" spans="1:71" s="12" customFormat="1" x14ac:dyDescent="0.25">
      <c r="A295" s="12">
        <v>96015811</v>
      </c>
      <c r="B295" s="12" t="s">
        <v>21</v>
      </c>
    </row>
    <row r="296" spans="1:71" s="12" customFormat="1" x14ac:dyDescent="0.25">
      <c r="A296" s="12">
        <v>97001240</v>
      </c>
      <c r="B296" s="12" t="s">
        <v>21</v>
      </c>
      <c r="BS296" s="14" t="s">
        <v>153</v>
      </c>
    </row>
    <row r="297" spans="1:71" s="12" customFormat="1" x14ac:dyDescent="0.25">
      <c r="A297" s="12">
        <v>97005366</v>
      </c>
      <c r="B297" s="12" t="s">
        <v>21</v>
      </c>
    </row>
    <row r="298" spans="1:71" s="12" customFormat="1" x14ac:dyDescent="0.25">
      <c r="A298" s="12">
        <v>98000595</v>
      </c>
      <c r="B298" s="12" t="s">
        <v>21</v>
      </c>
    </row>
    <row r="299" spans="1:71" s="12" customFormat="1" x14ac:dyDescent="0.25">
      <c r="A299" s="12">
        <v>98002692</v>
      </c>
      <c r="B299" s="12" t="s">
        <v>21</v>
      </c>
    </row>
    <row r="300" spans="1:71" s="12" customFormat="1" x14ac:dyDescent="0.25">
      <c r="A300" s="12">
        <v>98005277</v>
      </c>
      <c r="B300" s="12" t="s">
        <v>21</v>
      </c>
    </row>
    <row r="301" spans="1:71" s="12" customFormat="1" x14ac:dyDescent="0.25">
      <c r="A301" s="12">
        <v>99001815</v>
      </c>
      <c r="B301" s="12" t="s">
        <v>21</v>
      </c>
    </row>
    <row r="302" spans="1:71" s="12" customFormat="1" x14ac:dyDescent="0.25">
      <c r="A302" s="12">
        <v>6012361</v>
      </c>
      <c r="B302" s="12" t="s">
        <v>21</v>
      </c>
    </row>
    <row r="303" spans="1:71" s="12" customFormat="1" x14ac:dyDescent="0.25">
      <c r="A303" s="12">
        <v>6015793</v>
      </c>
      <c r="B303" s="12" t="s">
        <v>21</v>
      </c>
    </row>
    <row r="304" spans="1:71" s="12" customFormat="1" x14ac:dyDescent="0.25">
      <c r="A304" s="12">
        <v>6043619</v>
      </c>
      <c r="B304" s="12" t="s">
        <v>21</v>
      </c>
    </row>
    <row r="305" spans="1:2" s="12" customFormat="1" x14ac:dyDescent="0.25">
      <c r="A305" s="12">
        <v>7001097</v>
      </c>
      <c r="B305" s="12" t="s">
        <v>21</v>
      </c>
    </row>
    <row r="306" spans="1:2" s="12" customFormat="1" x14ac:dyDescent="0.25">
      <c r="A306" s="12">
        <v>7011435</v>
      </c>
      <c r="B306" s="12" t="s">
        <v>21</v>
      </c>
    </row>
    <row r="307" spans="1:2" s="12" customFormat="1" x14ac:dyDescent="0.25">
      <c r="A307" s="12">
        <v>7045811</v>
      </c>
      <c r="B307" s="12" t="s">
        <v>21</v>
      </c>
    </row>
    <row r="308" spans="1:2" s="12" customFormat="1" x14ac:dyDescent="0.25">
      <c r="A308" s="12">
        <v>7071198</v>
      </c>
      <c r="B308" s="12" t="s">
        <v>21</v>
      </c>
    </row>
    <row r="309" spans="1:2" s="12" customFormat="1" x14ac:dyDescent="0.25">
      <c r="A309" s="12">
        <v>7101143</v>
      </c>
      <c r="B309" s="12" t="s">
        <v>21</v>
      </c>
    </row>
    <row r="310" spans="1:2" s="12" customFormat="1" x14ac:dyDescent="0.25">
      <c r="A310" s="12">
        <v>8073350</v>
      </c>
      <c r="B310" s="12" t="s">
        <v>21</v>
      </c>
    </row>
    <row r="311" spans="1:2" s="12" customFormat="1" x14ac:dyDescent="0.25">
      <c r="A311" s="12">
        <v>8073645</v>
      </c>
      <c r="B311" s="12" t="s">
        <v>21</v>
      </c>
    </row>
    <row r="312" spans="1:2" s="12" customFormat="1" x14ac:dyDescent="0.25">
      <c r="A312" s="16">
        <v>8089666</v>
      </c>
      <c r="B312" s="12" t="s">
        <v>21</v>
      </c>
    </row>
    <row r="313" spans="1:2" s="12" customFormat="1" x14ac:dyDescent="0.25">
      <c r="A313" s="12">
        <v>8103536</v>
      </c>
      <c r="B313" s="12" t="s">
        <v>21</v>
      </c>
    </row>
    <row r="314" spans="1:2" s="12" customFormat="1" x14ac:dyDescent="0.25">
      <c r="A314" s="12" t="s">
        <v>22</v>
      </c>
      <c r="B314" s="12" t="s">
        <v>21</v>
      </c>
    </row>
    <row r="315" spans="1:2" s="12" customFormat="1" x14ac:dyDescent="0.25">
      <c r="A315" s="12">
        <v>9003267</v>
      </c>
      <c r="B315" s="12" t="s">
        <v>21</v>
      </c>
    </row>
    <row r="316" spans="1:2" s="12" customFormat="1" x14ac:dyDescent="0.25">
      <c r="A316" s="12">
        <v>9036964</v>
      </c>
      <c r="B316" s="12" t="s">
        <v>21</v>
      </c>
    </row>
    <row r="317" spans="1:2" s="12" customFormat="1" x14ac:dyDescent="0.25">
      <c r="A317" s="12">
        <v>9090287</v>
      </c>
      <c r="B317" s="12" t="s">
        <v>21</v>
      </c>
    </row>
    <row r="318" spans="1:2" s="12" customFormat="1" x14ac:dyDescent="0.25">
      <c r="A318" s="12">
        <v>9095148</v>
      </c>
      <c r="B318" s="12" t="s">
        <v>21</v>
      </c>
    </row>
    <row r="319" spans="1:2" s="12" customFormat="1" x14ac:dyDescent="0.25">
      <c r="A319" s="12">
        <v>9104979</v>
      </c>
      <c r="B319" s="12" t="s">
        <v>21</v>
      </c>
    </row>
    <row r="320" spans="1:2" s="12" customFormat="1" x14ac:dyDescent="0.25">
      <c r="A320" s="12">
        <v>9139514</v>
      </c>
      <c r="B320" s="12" t="s">
        <v>21</v>
      </c>
    </row>
    <row r="321" spans="1:24" s="12" customFormat="1" x14ac:dyDescent="0.25">
      <c r="A321" s="12">
        <v>10020659</v>
      </c>
      <c r="B321" s="12" t="s">
        <v>21</v>
      </c>
    </row>
    <row r="322" spans="1:24" s="12" customFormat="1" x14ac:dyDescent="0.25">
      <c r="A322" s="12">
        <v>10025902</v>
      </c>
      <c r="B322" s="12" t="s">
        <v>21</v>
      </c>
    </row>
    <row r="323" spans="1:24" s="12" customFormat="1" x14ac:dyDescent="0.25">
      <c r="A323" s="12">
        <v>10027654</v>
      </c>
      <c r="B323" s="12" t="s">
        <v>21</v>
      </c>
    </row>
    <row r="324" spans="1:24" s="12" customFormat="1" x14ac:dyDescent="0.25">
      <c r="A324" s="12">
        <v>10084485</v>
      </c>
      <c r="B324" s="12" t="s">
        <v>21</v>
      </c>
    </row>
    <row r="325" spans="1:24" s="12" customFormat="1" x14ac:dyDescent="0.25">
      <c r="A325" s="12">
        <v>10098420</v>
      </c>
      <c r="B325" s="12" t="s">
        <v>21</v>
      </c>
    </row>
    <row r="326" spans="1:24" s="12" customFormat="1" x14ac:dyDescent="0.25">
      <c r="A326" s="12">
        <v>10129565</v>
      </c>
      <c r="B326" s="12" t="s">
        <v>21</v>
      </c>
    </row>
    <row r="327" spans="1:24" s="12" customFormat="1" x14ac:dyDescent="0.25">
      <c r="A327" s="12">
        <v>10146828</v>
      </c>
      <c r="B327" s="12" t="s">
        <v>21</v>
      </c>
    </row>
    <row r="328" spans="1:24" s="12" customFormat="1" x14ac:dyDescent="0.25">
      <c r="A328" s="12">
        <v>10163776</v>
      </c>
      <c r="B328" s="12" t="s">
        <v>21</v>
      </c>
    </row>
    <row r="329" spans="1:24" s="12" customFormat="1" x14ac:dyDescent="0.25">
      <c r="A329" s="12">
        <v>10173664</v>
      </c>
      <c r="B329" s="12" t="s">
        <v>21</v>
      </c>
    </row>
    <row r="330" spans="1:24" s="12" customFormat="1" x14ac:dyDescent="0.25">
      <c r="A330" s="12">
        <v>11000454</v>
      </c>
      <c r="B330" s="12" t="s">
        <v>21</v>
      </c>
    </row>
    <row r="331" spans="1:24" s="12" customFormat="1" x14ac:dyDescent="0.25">
      <c r="A331" s="12">
        <v>11083498</v>
      </c>
      <c r="B331" s="12" t="s">
        <v>21</v>
      </c>
    </row>
    <row r="332" spans="1:24" s="12" customFormat="1" x14ac:dyDescent="0.25">
      <c r="A332" s="12">
        <v>11138447</v>
      </c>
      <c r="B332" s="12" t="s">
        <v>21</v>
      </c>
    </row>
    <row r="333" spans="1:24" s="12" customFormat="1" x14ac:dyDescent="0.25">
      <c r="A333" s="12">
        <v>11144001</v>
      </c>
      <c r="B333" s="12" t="s">
        <v>21</v>
      </c>
      <c r="X333" s="12" t="s">
        <v>159</v>
      </c>
    </row>
    <row r="334" spans="1:24" s="12" customFormat="1" x14ac:dyDescent="0.25">
      <c r="A334" s="12" t="s">
        <v>23</v>
      </c>
      <c r="B334" s="12" t="s">
        <v>21</v>
      </c>
    </row>
    <row r="335" spans="1:24" s="12" customFormat="1" x14ac:dyDescent="0.25">
      <c r="A335" s="12" t="s">
        <v>24</v>
      </c>
      <c r="B335" s="12" t="s">
        <v>21</v>
      </c>
    </row>
    <row r="336" spans="1:24" s="12" customFormat="1" x14ac:dyDescent="0.25">
      <c r="A336" s="12">
        <v>12021531</v>
      </c>
      <c r="B336" s="12" t="s">
        <v>21</v>
      </c>
    </row>
    <row r="337" spans="1:106" s="12" customFormat="1" x14ac:dyDescent="0.25">
      <c r="A337" s="12">
        <v>12185514</v>
      </c>
      <c r="B337" s="12" t="s">
        <v>21</v>
      </c>
      <c r="X337" s="14" t="s">
        <v>154</v>
      </c>
      <c r="Z337" s="12" t="s">
        <v>160</v>
      </c>
      <c r="AA337" s="12" t="s">
        <v>160</v>
      </c>
      <c r="BD337" s="14" t="s">
        <v>159</v>
      </c>
    </row>
    <row r="338" spans="1:106" s="12" customFormat="1" x14ac:dyDescent="0.25">
      <c r="A338" s="12">
        <v>12202633</v>
      </c>
      <c r="B338" s="12" t="s">
        <v>21</v>
      </c>
    </row>
    <row r="339" spans="1:106" s="12" customFormat="1" x14ac:dyDescent="0.25">
      <c r="A339" s="12">
        <v>12325258</v>
      </c>
      <c r="B339" s="12" t="s">
        <v>21</v>
      </c>
    </row>
    <row r="340" spans="1:106" s="12" customFormat="1" x14ac:dyDescent="0.25">
      <c r="A340" s="12">
        <v>5018677</v>
      </c>
      <c r="B340" s="12" t="s">
        <v>21</v>
      </c>
    </row>
    <row r="341" spans="1:106" s="12" customFormat="1" x14ac:dyDescent="0.25">
      <c r="A341" s="12">
        <v>11243521</v>
      </c>
      <c r="B341" s="12" t="s">
        <v>21</v>
      </c>
    </row>
    <row r="342" spans="1:106" s="12" customFormat="1" x14ac:dyDescent="0.25">
      <c r="A342" s="12">
        <v>2008127</v>
      </c>
      <c r="B342" s="12" t="s">
        <v>21</v>
      </c>
    </row>
    <row r="343" spans="1:106" s="12" customFormat="1" x14ac:dyDescent="0.25">
      <c r="A343" s="12">
        <v>6081681</v>
      </c>
      <c r="B343" s="12" t="s">
        <v>21</v>
      </c>
    </row>
    <row r="344" spans="1:106" x14ac:dyDescent="0.25">
      <c r="A344" s="6"/>
      <c r="C344">
        <f>COUNTA(C267:C343)</f>
        <v>0</v>
      </c>
      <c r="D344">
        <f t="shared" ref="D344:BO344" si="16">COUNTA(D267:D343)</f>
        <v>0</v>
      </c>
      <c r="E344">
        <f t="shared" si="16"/>
        <v>0</v>
      </c>
      <c r="F344">
        <f t="shared" si="16"/>
        <v>0</v>
      </c>
      <c r="G344">
        <f t="shared" si="16"/>
        <v>0</v>
      </c>
      <c r="H344">
        <f t="shared" si="16"/>
        <v>0</v>
      </c>
      <c r="I344">
        <f t="shared" si="16"/>
        <v>0</v>
      </c>
      <c r="J344">
        <f t="shared" si="16"/>
        <v>0</v>
      </c>
      <c r="K344">
        <f t="shared" si="16"/>
        <v>0</v>
      </c>
      <c r="L344">
        <f t="shared" si="16"/>
        <v>0</v>
      </c>
      <c r="M344">
        <f t="shared" si="16"/>
        <v>0</v>
      </c>
      <c r="N344">
        <f t="shared" si="16"/>
        <v>0</v>
      </c>
      <c r="O344">
        <f t="shared" si="16"/>
        <v>0</v>
      </c>
      <c r="P344">
        <f t="shared" si="16"/>
        <v>0</v>
      </c>
      <c r="Q344">
        <f t="shared" si="16"/>
        <v>0</v>
      </c>
      <c r="R344">
        <f t="shared" si="16"/>
        <v>0</v>
      </c>
      <c r="S344">
        <f t="shared" si="16"/>
        <v>0</v>
      </c>
      <c r="T344">
        <f t="shared" si="16"/>
        <v>0</v>
      </c>
      <c r="U344">
        <f t="shared" si="16"/>
        <v>0</v>
      </c>
      <c r="V344">
        <f t="shared" si="16"/>
        <v>0</v>
      </c>
      <c r="W344">
        <f t="shared" si="16"/>
        <v>0</v>
      </c>
      <c r="X344">
        <f t="shared" si="16"/>
        <v>3</v>
      </c>
      <c r="Y344">
        <f t="shared" si="16"/>
        <v>0</v>
      </c>
      <c r="Z344">
        <f t="shared" si="16"/>
        <v>1</v>
      </c>
      <c r="AA344">
        <f t="shared" si="16"/>
        <v>1</v>
      </c>
      <c r="AB344">
        <f t="shared" si="16"/>
        <v>0</v>
      </c>
      <c r="AC344">
        <f t="shared" si="16"/>
        <v>0</v>
      </c>
      <c r="AD344">
        <f t="shared" si="16"/>
        <v>0</v>
      </c>
      <c r="AE344">
        <f t="shared" si="16"/>
        <v>0</v>
      </c>
      <c r="AF344">
        <f t="shared" si="16"/>
        <v>0</v>
      </c>
      <c r="AG344">
        <f t="shared" si="16"/>
        <v>0</v>
      </c>
      <c r="AH344">
        <f t="shared" si="16"/>
        <v>0</v>
      </c>
      <c r="AI344">
        <f t="shared" si="16"/>
        <v>0</v>
      </c>
      <c r="AJ344">
        <f t="shared" si="16"/>
        <v>0</v>
      </c>
      <c r="AK344">
        <f t="shared" si="16"/>
        <v>0</v>
      </c>
      <c r="AL344">
        <f t="shared" si="16"/>
        <v>0</v>
      </c>
      <c r="AM344">
        <f t="shared" si="16"/>
        <v>0</v>
      </c>
      <c r="AN344">
        <f t="shared" si="16"/>
        <v>0</v>
      </c>
      <c r="AO344">
        <f t="shared" si="16"/>
        <v>0</v>
      </c>
      <c r="AP344">
        <f t="shared" si="16"/>
        <v>0</v>
      </c>
      <c r="AQ344">
        <f t="shared" si="16"/>
        <v>0</v>
      </c>
      <c r="AR344">
        <f t="shared" si="16"/>
        <v>0</v>
      </c>
      <c r="AS344">
        <f t="shared" si="16"/>
        <v>0</v>
      </c>
      <c r="AT344">
        <f t="shared" si="16"/>
        <v>0</v>
      </c>
      <c r="AU344">
        <f t="shared" si="16"/>
        <v>0</v>
      </c>
      <c r="AV344">
        <f t="shared" si="16"/>
        <v>0</v>
      </c>
      <c r="AW344">
        <f t="shared" si="16"/>
        <v>0</v>
      </c>
      <c r="AX344">
        <f t="shared" si="16"/>
        <v>0</v>
      </c>
      <c r="AY344">
        <f t="shared" si="16"/>
        <v>0</v>
      </c>
      <c r="AZ344">
        <f t="shared" si="16"/>
        <v>0</v>
      </c>
      <c r="BA344">
        <f t="shared" si="16"/>
        <v>0</v>
      </c>
      <c r="BB344">
        <f t="shared" si="16"/>
        <v>0</v>
      </c>
      <c r="BC344">
        <f t="shared" si="16"/>
        <v>0</v>
      </c>
      <c r="BD344">
        <f t="shared" si="16"/>
        <v>1</v>
      </c>
      <c r="BE344">
        <f t="shared" si="16"/>
        <v>0</v>
      </c>
      <c r="BF344">
        <f t="shared" si="16"/>
        <v>0</v>
      </c>
      <c r="BG344">
        <f t="shared" si="16"/>
        <v>0</v>
      </c>
      <c r="BH344">
        <f t="shared" si="16"/>
        <v>0</v>
      </c>
      <c r="BI344">
        <f t="shared" si="16"/>
        <v>0</v>
      </c>
      <c r="BJ344">
        <f t="shared" si="16"/>
        <v>0</v>
      </c>
      <c r="BK344">
        <f t="shared" si="16"/>
        <v>0</v>
      </c>
      <c r="BL344">
        <f t="shared" si="16"/>
        <v>0</v>
      </c>
      <c r="BM344">
        <f t="shared" si="16"/>
        <v>0</v>
      </c>
      <c r="BN344">
        <f t="shared" si="16"/>
        <v>0</v>
      </c>
      <c r="BO344">
        <f t="shared" si="16"/>
        <v>0</v>
      </c>
      <c r="BP344">
        <f t="shared" ref="BP344:DB344" si="17">COUNTA(BP267:BP343)</f>
        <v>0</v>
      </c>
      <c r="BQ344">
        <f t="shared" si="17"/>
        <v>0</v>
      </c>
      <c r="BR344">
        <f t="shared" si="17"/>
        <v>0</v>
      </c>
      <c r="BS344">
        <f t="shared" si="17"/>
        <v>1</v>
      </c>
      <c r="BT344">
        <f t="shared" si="17"/>
        <v>0</v>
      </c>
      <c r="BU344">
        <f t="shared" si="17"/>
        <v>0</v>
      </c>
      <c r="BV344">
        <f t="shared" si="17"/>
        <v>0</v>
      </c>
      <c r="BW344">
        <f t="shared" si="17"/>
        <v>0</v>
      </c>
      <c r="BX344">
        <f t="shared" si="17"/>
        <v>0</v>
      </c>
      <c r="BY344">
        <f t="shared" si="17"/>
        <v>0</v>
      </c>
      <c r="BZ344">
        <f t="shared" si="17"/>
        <v>0</v>
      </c>
      <c r="CA344">
        <f t="shared" si="17"/>
        <v>0</v>
      </c>
      <c r="CB344">
        <f t="shared" si="17"/>
        <v>0</v>
      </c>
      <c r="CC344">
        <f t="shared" si="17"/>
        <v>0</v>
      </c>
      <c r="CD344">
        <f t="shared" si="17"/>
        <v>0</v>
      </c>
      <c r="CE344">
        <f t="shared" si="17"/>
        <v>0</v>
      </c>
      <c r="CF344">
        <f t="shared" si="17"/>
        <v>0</v>
      </c>
      <c r="CG344">
        <f t="shared" si="17"/>
        <v>0</v>
      </c>
      <c r="CH344">
        <f t="shared" si="17"/>
        <v>0</v>
      </c>
      <c r="CI344">
        <f t="shared" si="17"/>
        <v>0</v>
      </c>
      <c r="CJ344">
        <f t="shared" si="17"/>
        <v>0</v>
      </c>
      <c r="CK344">
        <f t="shared" si="17"/>
        <v>0</v>
      </c>
      <c r="CL344">
        <f t="shared" si="17"/>
        <v>0</v>
      </c>
      <c r="CM344">
        <f t="shared" si="17"/>
        <v>0</v>
      </c>
      <c r="CN344">
        <f t="shared" si="17"/>
        <v>0</v>
      </c>
      <c r="CO344">
        <f t="shared" si="17"/>
        <v>0</v>
      </c>
      <c r="CP344">
        <f t="shared" si="17"/>
        <v>0</v>
      </c>
      <c r="CQ344">
        <f t="shared" si="17"/>
        <v>0</v>
      </c>
      <c r="CR344">
        <f t="shared" si="17"/>
        <v>0</v>
      </c>
      <c r="CS344">
        <f t="shared" si="17"/>
        <v>0</v>
      </c>
      <c r="CT344">
        <f t="shared" si="17"/>
        <v>0</v>
      </c>
      <c r="CU344">
        <f t="shared" si="17"/>
        <v>0</v>
      </c>
      <c r="CV344">
        <f t="shared" si="17"/>
        <v>0</v>
      </c>
      <c r="CW344">
        <f t="shared" si="17"/>
        <v>0</v>
      </c>
      <c r="CX344">
        <f t="shared" si="17"/>
        <v>0</v>
      </c>
      <c r="CY344">
        <f t="shared" si="17"/>
        <v>0</v>
      </c>
      <c r="CZ344">
        <f t="shared" si="17"/>
        <v>0</v>
      </c>
      <c r="DA344">
        <f t="shared" si="17"/>
        <v>0</v>
      </c>
      <c r="DB344">
        <f t="shared" si="17"/>
        <v>0</v>
      </c>
    </row>
    <row r="345" spans="1:106" s="12" customFormat="1" x14ac:dyDescent="0.25">
      <c r="A345" s="11"/>
    </row>
    <row r="346" spans="1:106" s="12" customFormat="1" x14ac:dyDescent="0.25">
      <c r="A346" s="11"/>
    </row>
    <row r="347" spans="1:106" s="12" customFormat="1" x14ac:dyDescent="0.25">
      <c r="A347" s="11"/>
    </row>
    <row r="348" spans="1:106" s="12" customFormat="1" x14ac:dyDescent="0.25">
      <c r="A348" s="11"/>
    </row>
    <row r="349" spans="1:106" s="12" customFormat="1" x14ac:dyDescent="0.25">
      <c r="A349" s="11"/>
    </row>
    <row r="350" spans="1:106" s="12" customFormat="1" x14ac:dyDescent="0.25"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CG350" s="13"/>
      <c r="CH350" s="13"/>
      <c r="CI350" s="13"/>
      <c r="CJ350" s="13"/>
      <c r="CK350" s="13"/>
      <c r="CL350" s="13"/>
    </row>
    <row r="351" spans="1:106" s="12" customFormat="1" x14ac:dyDescent="0.25"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CG351" s="13"/>
      <c r="CH351" s="13"/>
      <c r="CI351" s="13"/>
      <c r="CJ351" s="13"/>
      <c r="CK351" s="13"/>
      <c r="CL351" s="13"/>
    </row>
    <row r="352" spans="1:106" s="12" customFormat="1" x14ac:dyDescent="0.25"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CG352" s="13"/>
      <c r="CH352" s="13"/>
      <c r="CI352" s="13"/>
      <c r="CJ352" s="13"/>
      <c r="CK352" s="13"/>
      <c r="CL352" s="13"/>
    </row>
    <row r="353" spans="1:90" s="12" customFormat="1" x14ac:dyDescent="0.25"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CG353" s="13"/>
      <c r="CH353" s="13"/>
      <c r="CI353" s="13"/>
      <c r="CJ353" s="13"/>
      <c r="CK353" s="13"/>
      <c r="CL353" s="13"/>
    </row>
    <row r="354" spans="1:90" s="12" customFormat="1" x14ac:dyDescent="0.25"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CG354" s="13"/>
      <c r="CH354" s="13"/>
      <c r="CI354" s="13"/>
      <c r="CJ354" s="13"/>
      <c r="CK354" s="13"/>
      <c r="CL354" s="13"/>
    </row>
    <row r="355" spans="1:90" s="12" customFormat="1" x14ac:dyDescent="0.25"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CG355" s="13"/>
      <c r="CH355" s="13"/>
      <c r="CI355" s="13"/>
      <c r="CJ355" s="13"/>
      <c r="CK355" s="13"/>
      <c r="CL355" s="13"/>
    </row>
    <row r="356" spans="1:90" s="12" customFormat="1" x14ac:dyDescent="0.25"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CG356" s="13"/>
      <c r="CH356" s="13"/>
      <c r="CI356" s="13"/>
      <c r="CJ356" s="13"/>
      <c r="CK356" s="13"/>
      <c r="CL356" s="13"/>
    </row>
    <row r="357" spans="1:90" s="12" customForma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CG357" s="13"/>
      <c r="CH357" s="13"/>
      <c r="CI357" s="13"/>
      <c r="CJ357" s="13"/>
      <c r="CK357" s="13"/>
      <c r="CL357" s="13"/>
    </row>
    <row r="358" spans="1:90" s="12" customFormat="1" x14ac:dyDescent="0.25"/>
    <row r="359" spans="1:90" s="12" customFormat="1" x14ac:dyDescent="0.25"/>
    <row r="360" spans="1:90" s="12" customFormat="1" x14ac:dyDescent="0.25">
      <c r="A360" s="11"/>
    </row>
    <row r="361" spans="1:90" s="12" customFormat="1" x14ac:dyDescent="0.25"/>
    <row r="362" spans="1:90" s="12" customFormat="1" x14ac:dyDescent="0.25"/>
    <row r="363" spans="1:90" s="12" customFormat="1" x14ac:dyDescent="0.25"/>
    <row r="364" spans="1:90" s="12" customFormat="1" x14ac:dyDescent="0.25"/>
    <row r="365" spans="1:90" s="12" customFormat="1" x14ac:dyDescent="0.25"/>
    <row r="366" spans="1:90" s="12" customFormat="1" x14ac:dyDescent="0.25">
      <c r="A366" s="14"/>
    </row>
    <row r="367" spans="1:90" s="12" customFormat="1" x14ac:dyDescent="0.25"/>
    <row r="368" spans="1:90" s="12" customFormat="1" x14ac:dyDescent="0.25"/>
    <row r="369" s="12" customFormat="1" x14ac:dyDescent="0.25"/>
    <row r="370" s="12" customFormat="1" x14ac:dyDescent="0.25"/>
    <row r="371" s="12" customFormat="1" x14ac:dyDescent="0.25"/>
    <row r="372" s="12" customFormat="1" x14ac:dyDescent="0.25"/>
    <row r="373" s="12" customFormat="1" x14ac:dyDescent="0.25"/>
    <row r="374" s="12" customFormat="1" x14ac:dyDescent="0.25"/>
    <row r="375" s="12" customFormat="1" x14ac:dyDescent="0.25"/>
    <row r="376" s="12" customFormat="1" x14ac:dyDescent="0.25"/>
    <row r="377" s="12" customFormat="1" x14ac:dyDescent="0.25"/>
    <row r="378" s="12" customFormat="1" x14ac:dyDescent="0.25"/>
    <row r="379" s="12" customFormat="1" x14ac:dyDescent="0.25"/>
    <row r="380" s="12" customFormat="1" x14ac:dyDescent="0.25"/>
    <row r="381" s="12" customFormat="1" x14ac:dyDescent="0.25"/>
    <row r="382" s="12" customFormat="1" x14ac:dyDescent="0.25"/>
    <row r="383" s="12" customFormat="1" x14ac:dyDescent="0.25"/>
    <row r="384" s="12" customFormat="1" x14ac:dyDescent="0.25"/>
    <row r="385" s="12" customFormat="1" x14ac:dyDescent="0.25"/>
    <row r="386" s="12" customFormat="1" x14ac:dyDescent="0.25"/>
    <row r="387" s="12" customFormat="1" x14ac:dyDescent="0.25"/>
    <row r="388" s="12" customFormat="1" x14ac:dyDescent="0.25"/>
    <row r="389" s="12" customFormat="1" x14ac:dyDescent="0.25"/>
    <row r="390" s="12" customFormat="1" x14ac:dyDescent="0.25"/>
    <row r="391" s="12" customFormat="1" x14ac:dyDescent="0.25"/>
    <row r="392" s="12" customFormat="1" x14ac:dyDescent="0.25"/>
    <row r="393" s="12" customFormat="1" x14ac:dyDescent="0.25"/>
    <row r="394" s="12" customFormat="1" x14ac:dyDescent="0.25"/>
    <row r="395" s="12" customFormat="1" x14ac:dyDescent="0.25"/>
    <row r="396" s="12" customFormat="1" x14ac:dyDescent="0.25"/>
    <row r="397" s="12" customFormat="1" x14ac:dyDescent="0.25"/>
    <row r="398" s="12" customFormat="1" x14ac:dyDescent="0.25"/>
    <row r="399" s="12" customFormat="1" x14ac:dyDescent="0.25"/>
    <row r="400" s="12" customFormat="1" x14ac:dyDescent="0.25"/>
    <row r="401" spans="1:1" s="12" customFormat="1" x14ac:dyDescent="0.25"/>
    <row r="402" spans="1:1" s="12" customFormat="1" x14ac:dyDescent="0.25"/>
    <row r="403" spans="1:1" s="12" customFormat="1" x14ac:dyDescent="0.25"/>
    <row r="404" spans="1:1" s="12" customFormat="1" x14ac:dyDescent="0.25">
      <c r="A404" s="11"/>
    </row>
    <row r="405" spans="1:1" s="12" customFormat="1" x14ac:dyDescent="0.25">
      <c r="A405" s="11"/>
    </row>
    <row r="406" spans="1:1" s="12" customFormat="1" x14ac:dyDescent="0.25">
      <c r="A406" s="11"/>
    </row>
    <row r="407" spans="1:1" s="12" customFormat="1" x14ac:dyDescent="0.25">
      <c r="A407" s="11"/>
    </row>
    <row r="408" spans="1:1" s="12" customFormat="1" x14ac:dyDescent="0.25">
      <c r="A408" s="11"/>
    </row>
    <row r="409" spans="1:1" s="12" customFormat="1" x14ac:dyDescent="0.25">
      <c r="A409" s="11"/>
    </row>
    <row r="410" spans="1:1" s="12" customFormat="1" x14ac:dyDescent="0.25">
      <c r="A410" s="11"/>
    </row>
    <row r="411" spans="1:1" s="12" customFormat="1" x14ac:dyDescent="0.25">
      <c r="A411" s="11"/>
    </row>
    <row r="412" spans="1:1" s="12" customFormat="1" x14ac:dyDescent="0.25">
      <c r="A412" s="11"/>
    </row>
    <row r="413" spans="1:1" s="12" customFormat="1" x14ac:dyDescent="0.25">
      <c r="A413" s="11"/>
    </row>
    <row r="414" spans="1:1" s="12" customFormat="1" x14ac:dyDescent="0.25">
      <c r="A414" s="11"/>
    </row>
    <row r="415" spans="1:1" s="12" customFormat="1" x14ac:dyDescent="0.25">
      <c r="A415" s="11"/>
    </row>
    <row r="416" spans="1:1" s="12" customFormat="1" x14ac:dyDescent="0.25">
      <c r="A416" s="11"/>
    </row>
    <row r="417" spans="1:1" s="12" customFormat="1" x14ac:dyDescent="0.25">
      <c r="A417" s="11"/>
    </row>
    <row r="418" spans="1:1" s="12" customFormat="1" x14ac:dyDescent="0.25">
      <c r="A418" s="11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</sheetData>
  <conditionalFormatting sqref="A17">
    <cfRule type="duplicateValues" dxfId="5" priority="1"/>
  </conditionalFormatting>
  <conditionalFormatting sqref="A2:B2">
    <cfRule type="duplicateValues" dxfId="4" priority="3"/>
  </conditionalFormatting>
  <conditionalFormatting sqref="B353:B356">
    <cfRule type="duplicateValues" dxfId="3" priority="2"/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484D-4B3A-4612-A8CA-68938427E031}">
  <dimension ref="A1:DA435"/>
  <sheetViews>
    <sheetView zoomScale="70" zoomScaleNormal="70" workbookViewId="0">
      <pane xSplit="2" ySplit="2" topLeftCell="AH3" activePane="bottomRight" state="frozen"/>
      <selection pane="topRight" activeCell="C1" sqref="C1"/>
      <selection pane="bottomLeft" activeCell="A3" sqref="A3"/>
      <selection pane="bottomRight" activeCell="CN176" sqref="CN176"/>
    </sheetView>
  </sheetViews>
  <sheetFormatPr baseColWidth="10" defaultRowHeight="15" x14ac:dyDescent="0.25"/>
  <cols>
    <col min="2" max="2" width="11.85546875" customWidth="1"/>
  </cols>
  <sheetData>
    <row r="1" spans="1:105" ht="120" x14ac:dyDescent="0.25">
      <c r="A1" s="1" t="s">
        <v>0</v>
      </c>
      <c r="B1" s="1" t="s">
        <v>181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7" t="s">
        <v>48</v>
      </c>
      <c r="Z1" s="7" t="s">
        <v>49</v>
      </c>
      <c r="AA1" s="7" t="s">
        <v>50</v>
      </c>
      <c r="AB1" s="7" t="s">
        <v>51</v>
      </c>
      <c r="AC1" s="7" t="s">
        <v>52</v>
      </c>
      <c r="AD1" s="7" t="s">
        <v>53</v>
      </c>
      <c r="AE1" s="7" t="s">
        <v>54</v>
      </c>
      <c r="AF1" s="7" t="s">
        <v>55</v>
      </c>
      <c r="AG1" s="7" t="s">
        <v>56</v>
      </c>
      <c r="AH1" s="7" t="s">
        <v>57</v>
      </c>
      <c r="AI1" s="7" t="s">
        <v>58</v>
      </c>
      <c r="AJ1" s="7" t="s">
        <v>59</v>
      </c>
      <c r="AK1" s="7" t="s">
        <v>60</v>
      </c>
      <c r="AL1" s="7" t="s">
        <v>61</v>
      </c>
      <c r="AM1" s="7" t="s">
        <v>62</v>
      </c>
      <c r="AN1" s="7" t="s">
        <v>63</v>
      </c>
      <c r="AO1" s="7" t="s">
        <v>64</v>
      </c>
      <c r="AP1" s="7" t="s">
        <v>65</v>
      </c>
      <c r="AQ1" s="7" t="s">
        <v>66</v>
      </c>
      <c r="AR1" s="7" t="s">
        <v>67</v>
      </c>
      <c r="AS1" s="7" t="s">
        <v>68</v>
      </c>
      <c r="AT1" s="7" t="s">
        <v>69</v>
      </c>
      <c r="AU1" s="7" t="s">
        <v>70</v>
      </c>
      <c r="AV1" s="7" t="s">
        <v>71</v>
      </c>
      <c r="AW1" s="7" t="s">
        <v>72</v>
      </c>
      <c r="AX1" s="7" t="s">
        <v>73</v>
      </c>
      <c r="AY1" s="7" t="s">
        <v>74</v>
      </c>
      <c r="AZ1" s="7" t="s">
        <v>75</v>
      </c>
      <c r="BA1" s="7" t="s">
        <v>76</v>
      </c>
      <c r="BB1" s="7" t="s">
        <v>77</v>
      </c>
      <c r="BC1" s="7" t="s">
        <v>78</v>
      </c>
      <c r="BD1" s="7" t="s">
        <v>79</v>
      </c>
      <c r="BE1" s="7" t="s">
        <v>80</v>
      </c>
      <c r="BF1" s="7" t="s">
        <v>81</v>
      </c>
      <c r="BG1" s="7" t="s">
        <v>82</v>
      </c>
      <c r="BH1" s="7" t="s">
        <v>83</v>
      </c>
      <c r="BI1" s="7" t="s">
        <v>84</v>
      </c>
      <c r="BJ1" s="7" t="s">
        <v>85</v>
      </c>
      <c r="BK1" s="7" t="s">
        <v>86</v>
      </c>
      <c r="BL1" s="7" t="s">
        <v>87</v>
      </c>
      <c r="BM1" s="7" t="s">
        <v>88</v>
      </c>
      <c r="BN1" s="7" t="s">
        <v>89</v>
      </c>
      <c r="BO1" s="7" t="s">
        <v>90</v>
      </c>
      <c r="BP1" s="7" t="s">
        <v>91</v>
      </c>
      <c r="BQ1" s="7" t="s">
        <v>92</v>
      </c>
      <c r="BR1" s="7" t="s">
        <v>93</v>
      </c>
      <c r="BS1" s="7" t="s">
        <v>94</v>
      </c>
      <c r="BT1" s="7" t="s">
        <v>95</v>
      </c>
      <c r="BU1" s="7" t="s">
        <v>96</v>
      </c>
      <c r="BV1" s="7" t="s">
        <v>97</v>
      </c>
      <c r="BW1" s="7" t="s">
        <v>98</v>
      </c>
      <c r="BX1" s="7" t="s">
        <v>99</v>
      </c>
      <c r="BY1" s="7" t="s">
        <v>100</v>
      </c>
      <c r="BZ1" s="7" t="s">
        <v>101</v>
      </c>
      <c r="CA1" s="7" t="s">
        <v>102</v>
      </c>
      <c r="CB1" s="7" t="s">
        <v>103</v>
      </c>
      <c r="CC1" s="7" t="s">
        <v>104</v>
      </c>
      <c r="CD1" s="7" t="s">
        <v>105</v>
      </c>
      <c r="CE1" s="7" t="s">
        <v>106</v>
      </c>
      <c r="CF1" s="7" t="s">
        <v>107</v>
      </c>
      <c r="CG1" s="7" t="s">
        <v>108</v>
      </c>
      <c r="CH1" s="7" t="s">
        <v>109</v>
      </c>
      <c r="CI1" s="7" t="s">
        <v>110</v>
      </c>
      <c r="CJ1" s="7" t="s">
        <v>111</v>
      </c>
      <c r="CK1" s="7" t="s">
        <v>112</v>
      </c>
      <c r="CL1" s="7" t="s">
        <v>113</v>
      </c>
      <c r="CM1" s="7" t="s">
        <v>114</v>
      </c>
      <c r="CN1" s="7" t="s">
        <v>115</v>
      </c>
      <c r="CO1" s="7" t="s">
        <v>116</v>
      </c>
      <c r="CP1" s="7" t="s">
        <v>117</v>
      </c>
      <c r="CQ1" s="7" t="s">
        <v>118</v>
      </c>
      <c r="CR1" s="7" t="s">
        <v>119</v>
      </c>
      <c r="CS1" s="7" t="s">
        <v>120</v>
      </c>
      <c r="CT1" s="7" t="s">
        <v>121</v>
      </c>
      <c r="CU1" s="7" t="s">
        <v>122</v>
      </c>
      <c r="CV1" s="7" t="s">
        <v>123</v>
      </c>
      <c r="CW1" s="7" t="s">
        <v>124</v>
      </c>
      <c r="CX1" s="7" t="s">
        <v>125</v>
      </c>
      <c r="CY1" s="7" t="s">
        <v>126</v>
      </c>
      <c r="CZ1" s="7" t="s">
        <v>127</v>
      </c>
      <c r="DA1" s="7" t="s">
        <v>128</v>
      </c>
    </row>
    <row r="2" spans="1:105" x14ac:dyDescent="0.25">
      <c r="A2" s="2" t="s">
        <v>2</v>
      </c>
      <c r="B2" s="3" t="s">
        <v>3</v>
      </c>
      <c r="G2" t="s">
        <v>129</v>
      </c>
      <c r="H2" t="s">
        <v>129</v>
      </c>
      <c r="I2" t="s">
        <v>130</v>
      </c>
      <c r="X2" t="s">
        <v>131</v>
      </c>
      <c r="Y2" t="s">
        <v>133</v>
      </c>
      <c r="Z2" t="s">
        <v>133</v>
      </c>
      <c r="AA2" t="s">
        <v>134</v>
      </c>
      <c r="CH2" t="s">
        <v>135</v>
      </c>
      <c r="CI2" t="s">
        <v>136</v>
      </c>
      <c r="CJ2" t="s">
        <v>137</v>
      </c>
      <c r="CK2" t="s">
        <v>138</v>
      </c>
    </row>
    <row r="3" spans="1:105" s="12" customFormat="1" x14ac:dyDescent="0.25">
      <c r="A3" s="12">
        <v>7072184</v>
      </c>
      <c r="B3" s="12" t="s">
        <v>4</v>
      </c>
      <c r="C3" s="13"/>
      <c r="D3" s="13"/>
      <c r="E3" s="13"/>
      <c r="F3" s="13"/>
      <c r="G3" s="13"/>
      <c r="H3" s="13"/>
      <c r="I3" s="13"/>
      <c r="J3" s="13"/>
      <c r="K3" s="13"/>
      <c r="L3" s="13"/>
      <c r="CF3" s="13"/>
      <c r="CG3" s="13"/>
      <c r="CH3" s="13"/>
      <c r="CI3" s="13"/>
      <c r="CJ3" s="13"/>
      <c r="CK3" s="13"/>
    </row>
    <row r="4" spans="1:105" s="12" customFormat="1" x14ac:dyDescent="0.25">
      <c r="A4" s="12">
        <v>9108231</v>
      </c>
      <c r="B4" s="12" t="s">
        <v>4</v>
      </c>
      <c r="C4" s="13"/>
      <c r="D4" s="13"/>
      <c r="E4" s="13"/>
      <c r="F4" s="13"/>
      <c r="G4" s="13"/>
      <c r="H4" s="13"/>
      <c r="I4" s="13"/>
      <c r="J4" s="13"/>
      <c r="K4" s="13"/>
      <c r="L4" s="13"/>
      <c r="CF4" s="13"/>
      <c r="CG4" s="13"/>
      <c r="CH4" s="13"/>
      <c r="CI4" s="13"/>
      <c r="CJ4" s="13"/>
      <c r="CK4" s="13"/>
    </row>
    <row r="5" spans="1:105" s="12" customFormat="1" x14ac:dyDescent="0.25">
      <c r="A5" s="12">
        <v>12061933</v>
      </c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X5" s="14"/>
      <c r="AB5" s="12">
        <v>1412</v>
      </c>
      <c r="AE5" s="14"/>
      <c r="AF5" s="14"/>
      <c r="AK5" s="14"/>
      <c r="CF5" s="13"/>
      <c r="CG5" s="13"/>
      <c r="CH5" s="13"/>
      <c r="CI5" s="13"/>
      <c r="CJ5" s="13"/>
      <c r="CK5" s="13"/>
    </row>
    <row r="6" spans="1:105" s="12" customFormat="1" x14ac:dyDescent="0.25">
      <c r="A6" s="12">
        <v>95005911</v>
      </c>
      <c r="B6" s="12" t="s">
        <v>4</v>
      </c>
    </row>
    <row r="7" spans="1:105" s="12" customFormat="1" x14ac:dyDescent="0.25">
      <c r="A7" s="12">
        <v>99001908</v>
      </c>
      <c r="B7" s="12" t="s">
        <v>4</v>
      </c>
    </row>
    <row r="8" spans="1:105" s="12" customFormat="1" x14ac:dyDescent="0.25">
      <c r="A8" s="12">
        <v>99004067</v>
      </c>
      <c r="B8" s="12" t="s">
        <v>4</v>
      </c>
    </row>
    <row r="9" spans="1:105" s="12" customFormat="1" x14ac:dyDescent="0.25">
      <c r="A9" s="12">
        <v>97002136</v>
      </c>
      <c r="B9" s="12" t="s">
        <v>4</v>
      </c>
    </row>
    <row r="10" spans="1:105" s="12" customFormat="1" x14ac:dyDescent="0.25">
      <c r="A10" s="12">
        <v>1502</v>
      </c>
      <c r="B10" s="12" t="s">
        <v>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CF10" s="13"/>
      <c r="CG10" s="13"/>
      <c r="CH10" s="13"/>
      <c r="CI10" s="13"/>
      <c r="CJ10" s="13"/>
      <c r="CK10" s="13"/>
    </row>
    <row r="11" spans="1:105" s="12" customFormat="1" x14ac:dyDescent="0.25">
      <c r="A11" s="12">
        <v>4003543</v>
      </c>
      <c r="B11" s="12" t="s">
        <v>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CF11" s="13"/>
      <c r="CG11" s="13"/>
      <c r="CH11" s="13"/>
      <c r="CI11" s="13"/>
      <c r="CJ11" s="13"/>
      <c r="CK11" s="13"/>
    </row>
    <row r="12" spans="1:105" s="12" customFormat="1" x14ac:dyDescent="0.25">
      <c r="A12" s="12">
        <v>4900261</v>
      </c>
      <c r="B12" s="12" t="s">
        <v>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CF12" s="13"/>
      <c r="CG12" s="13"/>
      <c r="CH12" s="13"/>
      <c r="CI12" s="13"/>
      <c r="CJ12" s="13"/>
      <c r="CK12" s="13"/>
    </row>
    <row r="13" spans="1:105" x14ac:dyDescent="0.25">
      <c r="C13" s="4">
        <f>COUNTA(C3:C12)</f>
        <v>0</v>
      </c>
      <c r="D13" s="4">
        <f t="shared" ref="D13:BN13" si="0">COUNTA(D3:D12)</f>
        <v>0</v>
      </c>
      <c r="E13" s="4">
        <f t="shared" si="0"/>
        <v>0</v>
      </c>
      <c r="F13" s="4">
        <f t="shared" si="0"/>
        <v>0</v>
      </c>
      <c r="G13" s="4">
        <f t="shared" si="0"/>
        <v>0</v>
      </c>
      <c r="H13" s="4">
        <f t="shared" si="0"/>
        <v>0</v>
      </c>
      <c r="I13" s="4">
        <f t="shared" si="0"/>
        <v>0</v>
      </c>
      <c r="J13" s="4">
        <f t="shared" si="0"/>
        <v>0</v>
      </c>
      <c r="K13" s="4">
        <f t="shared" si="0"/>
        <v>0</v>
      </c>
      <c r="L13" s="4">
        <f t="shared" si="0"/>
        <v>0</v>
      </c>
      <c r="M13" s="4">
        <f t="shared" si="0"/>
        <v>0</v>
      </c>
      <c r="N13" s="4">
        <f t="shared" si="0"/>
        <v>0</v>
      </c>
      <c r="O13" s="4">
        <f t="shared" si="0"/>
        <v>0</v>
      </c>
      <c r="P13" s="4">
        <f t="shared" si="0"/>
        <v>0</v>
      </c>
      <c r="Q13" s="4">
        <f t="shared" si="0"/>
        <v>0</v>
      </c>
      <c r="R13" s="4">
        <f t="shared" si="0"/>
        <v>0</v>
      </c>
      <c r="S13" s="4">
        <f t="shared" si="0"/>
        <v>0</v>
      </c>
      <c r="T13" s="4">
        <f t="shared" si="0"/>
        <v>0</v>
      </c>
      <c r="U13" s="4">
        <f t="shared" si="0"/>
        <v>0</v>
      </c>
      <c r="V13" s="4">
        <f t="shared" si="0"/>
        <v>0</v>
      </c>
      <c r="W13" s="4">
        <f t="shared" si="0"/>
        <v>0</v>
      </c>
      <c r="X13" s="4">
        <f t="shared" si="0"/>
        <v>0</v>
      </c>
      <c r="Y13" s="4">
        <f t="shared" si="0"/>
        <v>0</v>
      </c>
      <c r="Z13" s="4">
        <f t="shared" si="0"/>
        <v>0</v>
      </c>
      <c r="AA13" s="4">
        <f t="shared" si="0"/>
        <v>0</v>
      </c>
      <c r="AB13" s="4">
        <f t="shared" si="0"/>
        <v>1</v>
      </c>
      <c r="AC13" s="4">
        <f t="shared" si="0"/>
        <v>0</v>
      </c>
      <c r="AD13" s="4">
        <f t="shared" si="0"/>
        <v>0</v>
      </c>
      <c r="AE13" s="4">
        <f t="shared" si="0"/>
        <v>0</v>
      </c>
      <c r="AF13" s="4">
        <f t="shared" si="0"/>
        <v>0</v>
      </c>
      <c r="AG13" s="4">
        <f t="shared" si="0"/>
        <v>0</v>
      </c>
      <c r="AH13" s="4">
        <f t="shared" si="0"/>
        <v>0</v>
      </c>
      <c r="AI13" s="4">
        <f t="shared" si="0"/>
        <v>0</v>
      </c>
      <c r="AJ13" s="4">
        <f t="shared" si="0"/>
        <v>0</v>
      </c>
      <c r="AK13" s="4">
        <f t="shared" si="0"/>
        <v>0</v>
      </c>
      <c r="AL13" s="4">
        <f t="shared" si="0"/>
        <v>0</v>
      </c>
      <c r="AM13" s="4">
        <f t="shared" si="0"/>
        <v>0</v>
      </c>
      <c r="AN13" s="4">
        <f t="shared" si="0"/>
        <v>0</v>
      </c>
      <c r="AO13" s="4">
        <f t="shared" si="0"/>
        <v>0</v>
      </c>
      <c r="AP13" s="4">
        <f t="shared" si="0"/>
        <v>0</v>
      </c>
      <c r="AQ13" s="4">
        <f t="shared" si="0"/>
        <v>0</v>
      </c>
      <c r="AR13" s="4">
        <f t="shared" si="0"/>
        <v>0</v>
      </c>
      <c r="AS13" s="4">
        <f t="shared" si="0"/>
        <v>0</v>
      </c>
      <c r="AT13" s="4">
        <f t="shared" si="0"/>
        <v>0</v>
      </c>
      <c r="AU13" s="4">
        <f t="shared" si="0"/>
        <v>0</v>
      </c>
      <c r="AV13" s="4">
        <f t="shared" si="0"/>
        <v>0</v>
      </c>
      <c r="AW13" s="4">
        <f t="shared" si="0"/>
        <v>0</v>
      </c>
      <c r="AX13" s="4">
        <f t="shared" si="0"/>
        <v>0</v>
      </c>
      <c r="AY13" s="4">
        <f t="shared" si="0"/>
        <v>0</v>
      </c>
      <c r="AZ13" s="4">
        <f t="shared" si="0"/>
        <v>0</v>
      </c>
      <c r="BA13" s="4">
        <f t="shared" si="0"/>
        <v>0</v>
      </c>
      <c r="BB13" s="4">
        <f t="shared" si="0"/>
        <v>0</v>
      </c>
      <c r="BC13" s="4">
        <f t="shared" si="0"/>
        <v>0</v>
      </c>
      <c r="BD13" s="4">
        <f t="shared" si="0"/>
        <v>0</v>
      </c>
      <c r="BE13" s="4">
        <f t="shared" si="0"/>
        <v>0</v>
      </c>
      <c r="BF13" s="4">
        <f t="shared" si="0"/>
        <v>0</v>
      </c>
      <c r="BG13" s="4">
        <f t="shared" si="0"/>
        <v>0</v>
      </c>
      <c r="BH13" s="4">
        <f t="shared" si="0"/>
        <v>0</v>
      </c>
      <c r="BI13" s="4">
        <f t="shared" si="0"/>
        <v>0</v>
      </c>
      <c r="BJ13" s="4">
        <f t="shared" si="0"/>
        <v>0</v>
      </c>
      <c r="BK13" s="4">
        <f t="shared" si="0"/>
        <v>0</v>
      </c>
      <c r="BL13" s="4">
        <f t="shared" si="0"/>
        <v>0</v>
      </c>
      <c r="BM13" s="4">
        <f t="shared" si="0"/>
        <v>0</v>
      </c>
      <c r="BN13" s="4">
        <f t="shared" si="0"/>
        <v>0</v>
      </c>
      <c r="BO13" s="4">
        <f t="shared" ref="BO13:DA13" si="1">COUNTA(BO3:BO12)</f>
        <v>0</v>
      </c>
      <c r="BP13" s="4">
        <f t="shared" si="1"/>
        <v>0</v>
      </c>
      <c r="BQ13" s="4">
        <f t="shared" si="1"/>
        <v>0</v>
      </c>
      <c r="BR13" s="4">
        <f t="shared" si="1"/>
        <v>0</v>
      </c>
      <c r="BS13" s="4">
        <f t="shared" si="1"/>
        <v>0</v>
      </c>
      <c r="BT13" s="4">
        <f t="shared" si="1"/>
        <v>0</v>
      </c>
      <c r="BU13" s="4">
        <f t="shared" si="1"/>
        <v>0</v>
      </c>
      <c r="BV13" s="4">
        <f t="shared" si="1"/>
        <v>0</v>
      </c>
      <c r="BW13" s="4">
        <f t="shared" si="1"/>
        <v>0</v>
      </c>
      <c r="BX13" s="4">
        <f t="shared" si="1"/>
        <v>0</v>
      </c>
      <c r="BY13" s="4">
        <f t="shared" si="1"/>
        <v>0</v>
      </c>
      <c r="BZ13" s="4">
        <f t="shared" si="1"/>
        <v>0</v>
      </c>
      <c r="CA13" s="4">
        <f t="shared" si="1"/>
        <v>0</v>
      </c>
      <c r="CB13" s="4">
        <f t="shared" si="1"/>
        <v>0</v>
      </c>
      <c r="CC13" s="4">
        <f t="shared" si="1"/>
        <v>0</v>
      </c>
      <c r="CD13" s="4">
        <f t="shared" si="1"/>
        <v>0</v>
      </c>
      <c r="CE13" s="4">
        <f t="shared" si="1"/>
        <v>0</v>
      </c>
      <c r="CF13" s="4">
        <f t="shared" si="1"/>
        <v>0</v>
      </c>
      <c r="CG13" s="4">
        <f t="shared" si="1"/>
        <v>0</v>
      </c>
      <c r="CH13" s="4">
        <f t="shared" si="1"/>
        <v>0</v>
      </c>
      <c r="CI13" s="4">
        <f t="shared" si="1"/>
        <v>0</v>
      </c>
      <c r="CJ13" s="4">
        <f t="shared" si="1"/>
        <v>0</v>
      </c>
      <c r="CK13" s="4">
        <f t="shared" si="1"/>
        <v>0</v>
      </c>
      <c r="CL13" s="4">
        <f t="shared" si="1"/>
        <v>0</v>
      </c>
      <c r="CM13" s="4">
        <f t="shared" si="1"/>
        <v>0</v>
      </c>
      <c r="CN13" s="4">
        <f t="shared" si="1"/>
        <v>0</v>
      </c>
      <c r="CO13" s="4">
        <f t="shared" si="1"/>
        <v>0</v>
      </c>
      <c r="CP13" s="4">
        <f t="shared" si="1"/>
        <v>0</v>
      </c>
      <c r="CQ13" s="4">
        <f t="shared" si="1"/>
        <v>0</v>
      </c>
      <c r="CR13" s="4">
        <f t="shared" si="1"/>
        <v>0</v>
      </c>
      <c r="CS13" s="4">
        <f t="shared" si="1"/>
        <v>0</v>
      </c>
      <c r="CT13" s="4">
        <f t="shared" si="1"/>
        <v>0</v>
      </c>
      <c r="CU13" s="4">
        <f t="shared" si="1"/>
        <v>0</v>
      </c>
      <c r="CV13" s="4">
        <f t="shared" si="1"/>
        <v>0</v>
      </c>
      <c r="CW13" s="4">
        <f t="shared" si="1"/>
        <v>0</v>
      </c>
      <c r="CX13" s="4">
        <f t="shared" si="1"/>
        <v>0</v>
      </c>
      <c r="CY13" s="4">
        <f t="shared" si="1"/>
        <v>0</v>
      </c>
      <c r="CZ13" s="4">
        <f t="shared" si="1"/>
        <v>0</v>
      </c>
      <c r="DA13" s="4">
        <f t="shared" si="1"/>
        <v>0</v>
      </c>
    </row>
    <row r="14" spans="1:105" s="12" customFormat="1" x14ac:dyDescent="0.25">
      <c r="A14" s="12">
        <v>14242856</v>
      </c>
      <c r="B14" s="12" t="s">
        <v>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CF14" s="13"/>
      <c r="CG14" s="13"/>
      <c r="CH14" s="13"/>
      <c r="CI14" s="13"/>
      <c r="CJ14" s="13"/>
      <c r="CK14" s="13"/>
    </row>
    <row r="15" spans="1:105" s="12" customFormat="1" x14ac:dyDescent="0.25">
      <c r="A15" s="12">
        <v>99001183</v>
      </c>
      <c r="B15" s="12" t="s">
        <v>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CF15" s="13"/>
      <c r="CG15" s="13"/>
      <c r="CH15" s="13"/>
      <c r="CI15" s="13"/>
      <c r="CJ15" s="13"/>
      <c r="CK15" s="13"/>
    </row>
    <row r="16" spans="1:105" s="12" customFormat="1" x14ac:dyDescent="0.25">
      <c r="A16" s="12">
        <v>3000983</v>
      </c>
      <c r="B16" s="12" t="s">
        <v>5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CF16" s="13"/>
      <c r="CG16" s="13"/>
      <c r="CH16" s="13"/>
      <c r="CI16" s="13"/>
      <c r="CJ16" s="13"/>
      <c r="CK16" s="13"/>
    </row>
    <row r="17" spans="1:105" s="12" customFormat="1" x14ac:dyDescent="0.25">
      <c r="A17" s="12">
        <v>10064335</v>
      </c>
      <c r="B17" s="12" t="s">
        <v>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CF17" s="13"/>
      <c r="CG17" s="13"/>
      <c r="CH17" s="13"/>
      <c r="CI17" s="13"/>
      <c r="CJ17" s="13"/>
      <c r="CK17" s="13"/>
    </row>
    <row r="18" spans="1:105" x14ac:dyDescent="0.25">
      <c r="A18" s="4"/>
      <c r="B18" s="4"/>
      <c r="C18" s="4">
        <f>COUNTA(C14:C17)</f>
        <v>0</v>
      </c>
      <c r="D18" s="4">
        <f t="shared" ref="D18:BN18" si="2">COUNTA(D14:D17)</f>
        <v>0</v>
      </c>
      <c r="E18" s="4">
        <f t="shared" si="2"/>
        <v>0</v>
      </c>
      <c r="F18" s="4">
        <f t="shared" si="2"/>
        <v>0</v>
      </c>
      <c r="G18" s="4">
        <f t="shared" si="2"/>
        <v>0</v>
      </c>
      <c r="H18" s="4">
        <f t="shared" si="2"/>
        <v>0</v>
      </c>
      <c r="I18" s="4">
        <f t="shared" si="2"/>
        <v>0</v>
      </c>
      <c r="J18" s="4">
        <f t="shared" si="2"/>
        <v>0</v>
      </c>
      <c r="K18" s="4">
        <f t="shared" si="2"/>
        <v>0</v>
      </c>
      <c r="L18" s="4">
        <f t="shared" si="2"/>
        <v>0</v>
      </c>
      <c r="M18" s="4">
        <f t="shared" si="2"/>
        <v>0</v>
      </c>
      <c r="N18" s="4">
        <f t="shared" si="2"/>
        <v>0</v>
      </c>
      <c r="O18" s="4">
        <f t="shared" si="2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2"/>
        <v>0</v>
      </c>
      <c r="T18" s="4">
        <f t="shared" si="2"/>
        <v>0</v>
      </c>
      <c r="U18" s="4">
        <f t="shared" si="2"/>
        <v>0</v>
      </c>
      <c r="V18" s="4">
        <f t="shared" si="2"/>
        <v>0</v>
      </c>
      <c r="W18" s="4">
        <f t="shared" si="2"/>
        <v>0</v>
      </c>
      <c r="X18" s="4">
        <f t="shared" si="2"/>
        <v>0</v>
      </c>
      <c r="Y18" s="4">
        <f t="shared" si="2"/>
        <v>0</v>
      </c>
      <c r="Z18" s="4">
        <f t="shared" si="2"/>
        <v>0</v>
      </c>
      <c r="AA18" s="4">
        <f t="shared" si="2"/>
        <v>0</v>
      </c>
      <c r="AB18" s="4">
        <f t="shared" si="2"/>
        <v>0</v>
      </c>
      <c r="AC18" s="4">
        <f t="shared" si="2"/>
        <v>0</v>
      </c>
      <c r="AD18" s="4">
        <f t="shared" si="2"/>
        <v>0</v>
      </c>
      <c r="AE18" s="4">
        <f t="shared" si="2"/>
        <v>0</v>
      </c>
      <c r="AF18" s="4">
        <f t="shared" si="2"/>
        <v>0</v>
      </c>
      <c r="AG18" s="4">
        <f t="shared" si="2"/>
        <v>0</v>
      </c>
      <c r="AH18" s="4">
        <f t="shared" si="2"/>
        <v>0</v>
      </c>
      <c r="AI18" s="4">
        <f t="shared" si="2"/>
        <v>0</v>
      </c>
      <c r="AJ18" s="4">
        <f t="shared" si="2"/>
        <v>0</v>
      </c>
      <c r="AK18" s="4">
        <f t="shared" si="2"/>
        <v>0</v>
      </c>
      <c r="AL18" s="4">
        <f t="shared" si="2"/>
        <v>0</v>
      </c>
      <c r="AM18" s="4">
        <f t="shared" si="2"/>
        <v>0</v>
      </c>
      <c r="AN18" s="4">
        <f t="shared" si="2"/>
        <v>0</v>
      </c>
      <c r="AO18" s="4">
        <f t="shared" si="2"/>
        <v>0</v>
      </c>
      <c r="AP18" s="4">
        <f t="shared" si="2"/>
        <v>0</v>
      </c>
      <c r="AQ18" s="4">
        <f t="shared" si="2"/>
        <v>0</v>
      </c>
      <c r="AR18" s="4">
        <f t="shared" si="2"/>
        <v>0</v>
      </c>
      <c r="AS18" s="4">
        <f t="shared" si="2"/>
        <v>0</v>
      </c>
      <c r="AT18" s="4">
        <f t="shared" si="2"/>
        <v>0</v>
      </c>
      <c r="AU18" s="4">
        <f t="shared" si="2"/>
        <v>0</v>
      </c>
      <c r="AV18" s="4">
        <f t="shared" si="2"/>
        <v>0</v>
      </c>
      <c r="AW18" s="4">
        <f t="shared" si="2"/>
        <v>0</v>
      </c>
      <c r="AX18" s="4">
        <f t="shared" si="2"/>
        <v>0</v>
      </c>
      <c r="AY18" s="4">
        <f t="shared" si="2"/>
        <v>0</v>
      </c>
      <c r="AZ18" s="4">
        <f t="shared" si="2"/>
        <v>0</v>
      </c>
      <c r="BA18" s="4">
        <f t="shared" si="2"/>
        <v>0</v>
      </c>
      <c r="BB18" s="4">
        <f t="shared" si="2"/>
        <v>0</v>
      </c>
      <c r="BC18" s="4">
        <f t="shared" si="2"/>
        <v>0</v>
      </c>
      <c r="BD18" s="4">
        <f t="shared" si="2"/>
        <v>0</v>
      </c>
      <c r="BE18" s="4">
        <f t="shared" si="2"/>
        <v>0</v>
      </c>
      <c r="BF18" s="4">
        <f t="shared" si="2"/>
        <v>0</v>
      </c>
      <c r="BG18" s="4">
        <f t="shared" si="2"/>
        <v>0</v>
      </c>
      <c r="BH18" s="4">
        <f t="shared" si="2"/>
        <v>0</v>
      </c>
      <c r="BI18" s="4">
        <f t="shared" si="2"/>
        <v>0</v>
      </c>
      <c r="BJ18" s="4">
        <f t="shared" si="2"/>
        <v>0</v>
      </c>
      <c r="BK18" s="4">
        <f t="shared" si="2"/>
        <v>0</v>
      </c>
      <c r="BL18" s="4">
        <f t="shared" si="2"/>
        <v>0</v>
      </c>
      <c r="BM18" s="4">
        <f t="shared" si="2"/>
        <v>0</v>
      </c>
      <c r="BN18" s="4">
        <f t="shared" si="2"/>
        <v>0</v>
      </c>
      <c r="BO18" s="4">
        <f t="shared" ref="BO18:DA18" si="3">COUNTA(BO14:BO17)</f>
        <v>0</v>
      </c>
      <c r="BP18" s="4">
        <f t="shared" si="3"/>
        <v>0</v>
      </c>
      <c r="BQ18" s="4">
        <f t="shared" si="3"/>
        <v>0</v>
      </c>
      <c r="BR18" s="4">
        <f t="shared" si="3"/>
        <v>0</v>
      </c>
      <c r="BS18" s="4">
        <f t="shared" si="3"/>
        <v>0</v>
      </c>
      <c r="BT18" s="4">
        <f t="shared" si="3"/>
        <v>0</v>
      </c>
      <c r="BU18" s="4">
        <f t="shared" si="3"/>
        <v>0</v>
      </c>
      <c r="BV18" s="4">
        <f t="shared" si="3"/>
        <v>0</v>
      </c>
      <c r="BW18" s="4">
        <f t="shared" si="3"/>
        <v>0</v>
      </c>
      <c r="BX18" s="4">
        <f t="shared" si="3"/>
        <v>0</v>
      </c>
      <c r="BY18" s="4">
        <f t="shared" si="3"/>
        <v>0</v>
      </c>
      <c r="BZ18" s="4">
        <f t="shared" si="3"/>
        <v>0</v>
      </c>
      <c r="CA18" s="4">
        <f t="shared" si="3"/>
        <v>0</v>
      </c>
      <c r="CB18" s="4">
        <f t="shared" si="3"/>
        <v>0</v>
      </c>
      <c r="CC18" s="4">
        <f t="shared" si="3"/>
        <v>0</v>
      </c>
      <c r="CD18" s="4">
        <f t="shared" si="3"/>
        <v>0</v>
      </c>
      <c r="CE18" s="4">
        <f t="shared" si="3"/>
        <v>0</v>
      </c>
      <c r="CF18" s="4">
        <f t="shared" si="3"/>
        <v>0</v>
      </c>
      <c r="CG18" s="4">
        <f t="shared" si="3"/>
        <v>0</v>
      </c>
      <c r="CH18" s="4">
        <f t="shared" si="3"/>
        <v>0</v>
      </c>
      <c r="CI18" s="4">
        <f t="shared" si="3"/>
        <v>0</v>
      </c>
      <c r="CJ18" s="4">
        <f t="shared" si="3"/>
        <v>0</v>
      </c>
      <c r="CK18" s="4">
        <f t="shared" si="3"/>
        <v>0</v>
      </c>
      <c r="CL18" s="4">
        <f t="shared" si="3"/>
        <v>0</v>
      </c>
      <c r="CM18" s="4">
        <f t="shared" si="3"/>
        <v>0</v>
      </c>
      <c r="CN18" s="4">
        <f t="shared" si="3"/>
        <v>0</v>
      </c>
      <c r="CO18" s="4">
        <f t="shared" si="3"/>
        <v>0</v>
      </c>
      <c r="CP18" s="4">
        <f t="shared" si="3"/>
        <v>0</v>
      </c>
      <c r="CQ18" s="4">
        <f t="shared" si="3"/>
        <v>0</v>
      </c>
      <c r="CR18" s="4">
        <f t="shared" si="3"/>
        <v>0</v>
      </c>
      <c r="CS18" s="4">
        <f t="shared" si="3"/>
        <v>0</v>
      </c>
      <c r="CT18" s="4">
        <f t="shared" si="3"/>
        <v>0</v>
      </c>
      <c r="CU18" s="4">
        <f t="shared" si="3"/>
        <v>0</v>
      </c>
      <c r="CV18" s="4">
        <f t="shared" si="3"/>
        <v>0</v>
      </c>
      <c r="CW18" s="4">
        <f t="shared" si="3"/>
        <v>0</v>
      </c>
      <c r="CX18" s="4">
        <f t="shared" si="3"/>
        <v>0</v>
      </c>
      <c r="CY18" s="4">
        <f t="shared" si="3"/>
        <v>0</v>
      </c>
      <c r="CZ18" s="4">
        <f t="shared" si="3"/>
        <v>0</v>
      </c>
      <c r="DA18" s="4">
        <f t="shared" si="3"/>
        <v>0</v>
      </c>
    </row>
    <row r="19" spans="1:105" s="12" customFormat="1" x14ac:dyDescent="0.25">
      <c r="A19" s="12">
        <v>1480</v>
      </c>
      <c r="B19" s="12" t="s">
        <v>6</v>
      </c>
    </row>
    <row r="20" spans="1:105" s="12" customFormat="1" x14ac:dyDescent="0.25">
      <c r="A20" s="12">
        <v>7063959</v>
      </c>
      <c r="B20" s="12" t="s">
        <v>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CF20" s="13"/>
      <c r="CG20" s="13"/>
      <c r="CH20" s="13"/>
      <c r="CI20" s="13"/>
      <c r="CJ20" s="13"/>
      <c r="CK20" s="13"/>
    </row>
    <row r="21" spans="1:105" s="12" customFormat="1" x14ac:dyDescent="0.25">
      <c r="A21" s="12">
        <v>1003215</v>
      </c>
      <c r="B21" s="12" t="s">
        <v>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BR21" s="12">
        <v>13000</v>
      </c>
      <c r="CF21" s="13"/>
      <c r="CG21" s="13"/>
      <c r="CH21" s="13"/>
      <c r="CI21" s="13"/>
      <c r="CJ21" s="13"/>
      <c r="CK21" s="13"/>
    </row>
    <row r="22" spans="1:105" s="12" customFormat="1" x14ac:dyDescent="0.25">
      <c r="A22" s="12">
        <v>99000802</v>
      </c>
      <c r="B22" s="12" t="s">
        <v>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CF22" s="13"/>
      <c r="CG22" s="13"/>
      <c r="CH22" s="13"/>
      <c r="CI22" s="13"/>
      <c r="CJ22" s="13"/>
      <c r="CK22" s="13"/>
    </row>
    <row r="23" spans="1:105" s="12" customFormat="1" x14ac:dyDescent="0.25">
      <c r="A23" s="12">
        <v>99000892</v>
      </c>
      <c r="B23" s="12" t="s">
        <v>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CF23" s="13"/>
      <c r="CG23" s="13"/>
      <c r="CH23" s="13"/>
      <c r="CI23" s="13"/>
      <c r="CJ23" s="13"/>
      <c r="CK23" s="13"/>
    </row>
    <row r="24" spans="1:105" s="12" customFormat="1" x14ac:dyDescent="0.25">
      <c r="A24" s="12">
        <v>1000192</v>
      </c>
      <c r="B24" s="12" t="s">
        <v>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CF24" s="13"/>
      <c r="CG24" s="13"/>
      <c r="CH24" s="13"/>
      <c r="CI24" s="13"/>
      <c r="CJ24" s="13"/>
      <c r="CK24" s="13"/>
    </row>
    <row r="25" spans="1:105" s="12" customFormat="1" x14ac:dyDescent="0.25">
      <c r="A25" s="12">
        <v>1506</v>
      </c>
      <c r="B25" s="12" t="s">
        <v>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CF25" s="13"/>
      <c r="CG25" s="13"/>
      <c r="CH25" s="13"/>
      <c r="CI25" s="13"/>
      <c r="CJ25" s="13"/>
      <c r="CK25" s="13"/>
    </row>
    <row r="26" spans="1:105" s="12" customFormat="1" x14ac:dyDescent="0.25">
      <c r="A26" s="12">
        <v>99000894</v>
      </c>
      <c r="B26" s="12" t="s">
        <v>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CF26" s="13"/>
      <c r="CG26" s="13"/>
      <c r="CH26" s="13"/>
      <c r="CI26" s="13"/>
      <c r="CJ26" s="13"/>
      <c r="CK26" s="13"/>
    </row>
    <row r="27" spans="1:105" s="12" customFormat="1" x14ac:dyDescent="0.25">
      <c r="A27" s="12">
        <v>99000897</v>
      </c>
      <c r="B27" s="12" t="s">
        <v>6</v>
      </c>
    </row>
    <row r="28" spans="1:105" s="12" customFormat="1" x14ac:dyDescent="0.25">
      <c r="A28" s="12">
        <v>99001245</v>
      </c>
      <c r="B28" s="12" t="s">
        <v>6</v>
      </c>
    </row>
    <row r="29" spans="1:105" s="12" customFormat="1" x14ac:dyDescent="0.25">
      <c r="A29" s="12">
        <v>99001902</v>
      </c>
      <c r="B29" s="12" t="s">
        <v>6</v>
      </c>
    </row>
    <row r="30" spans="1:105" s="12" customFormat="1" x14ac:dyDescent="0.25">
      <c r="A30" s="12">
        <v>99001912</v>
      </c>
      <c r="B30" s="12" t="s">
        <v>6</v>
      </c>
    </row>
    <row r="31" spans="1:105" s="12" customFormat="1" x14ac:dyDescent="0.25">
      <c r="A31" s="12">
        <v>99001913</v>
      </c>
      <c r="B31" s="12" t="s">
        <v>6</v>
      </c>
    </row>
    <row r="32" spans="1:105" s="12" customFormat="1" x14ac:dyDescent="0.25">
      <c r="A32" s="12">
        <v>99001937</v>
      </c>
      <c r="B32" s="12" t="s">
        <v>6</v>
      </c>
    </row>
    <row r="33" spans="1:105" s="12" customFormat="1" x14ac:dyDescent="0.25">
      <c r="A33" s="12">
        <v>99001943</v>
      </c>
      <c r="B33" s="12" t="s">
        <v>6</v>
      </c>
    </row>
    <row r="34" spans="1:105" s="12" customFormat="1" x14ac:dyDescent="0.25">
      <c r="A34" s="12">
        <v>99001927</v>
      </c>
      <c r="B34" s="12" t="s">
        <v>6</v>
      </c>
    </row>
    <row r="35" spans="1:105" s="12" customFormat="1" x14ac:dyDescent="0.25">
      <c r="A35" s="12">
        <v>1505</v>
      </c>
      <c r="B35" s="12" t="s">
        <v>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CF35" s="13"/>
      <c r="CG35" s="13"/>
      <c r="CH35" s="13"/>
      <c r="CI35" s="13"/>
      <c r="CJ35" s="13"/>
      <c r="CK35" s="13"/>
    </row>
    <row r="36" spans="1:105" s="12" customFormat="1" x14ac:dyDescent="0.25">
      <c r="A36" s="12">
        <v>1000197</v>
      </c>
      <c r="B36" s="12" t="s">
        <v>6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CF36" s="13"/>
      <c r="CG36" s="13"/>
      <c r="CH36" s="13"/>
      <c r="CI36" s="13"/>
      <c r="CJ36" s="13"/>
      <c r="CK36" s="13"/>
    </row>
    <row r="37" spans="1:105" s="12" customFormat="1" x14ac:dyDescent="0.25">
      <c r="A37" s="12">
        <v>96018835</v>
      </c>
      <c r="B37" s="12" t="s">
        <v>6</v>
      </c>
      <c r="I37" s="13"/>
      <c r="J37" s="13"/>
      <c r="K37" s="13"/>
      <c r="L37" s="13"/>
      <c r="CF37" s="13"/>
      <c r="CG37" s="13"/>
      <c r="CH37" s="13"/>
      <c r="CI37" s="13"/>
      <c r="CJ37" s="13"/>
      <c r="CK37" s="13"/>
    </row>
    <row r="38" spans="1:105" s="12" customFormat="1" x14ac:dyDescent="0.25">
      <c r="A38" s="12">
        <v>98008326</v>
      </c>
      <c r="B38" s="12" t="s">
        <v>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CF38" s="13"/>
      <c r="CG38" s="13"/>
      <c r="CH38" s="13"/>
      <c r="CI38" s="13"/>
      <c r="CJ38" s="13"/>
      <c r="CK38" s="13"/>
    </row>
    <row r="39" spans="1:105" s="12" customFormat="1" x14ac:dyDescent="0.25">
      <c r="A39" s="12">
        <v>99000717</v>
      </c>
      <c r="B39" s="12" t="s">
        <v>6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CF39" s="13"/>
      <c r="CG39" s="13"/>
      <c r="CH39" s="13"/>
      <c r="CI39" s="13"/>
      <c r="CJ39" s="13"/>
      <c r="CK39" s="13"/>
    </row>
    <row r="40" spans="1:105" x14ac:dyDescent="0.25">
      <c r="C40">
        <f>COUNTA(C19:C39)</f>
        <v>0</v>
      </c>
      <c r="D40">
        <f t="shared" ref="D40:BN40" si="4">COUNTA(D19:D39)</f>
        <v>0</v>
      </c>
      <c r="E40">
        <f>COUNTA(E19:E39)</f>
        <v>0</v>
      </c>
      <c r="F40">
        <f t="shared" si="4"/>
        <v>0</v>
      </c>
      <c r="G40">
        <f t="shared" si="4"/>
        <v>0</v>
      </c>
      <c r="H40">
        <f t="shared" si="4"/>
        <v>0</v>
      </c>
      <c r="I40">
        <f t="shared" si="4"/>
        <v>0</v>
      </c>
      <c r="J40">
        <f t="shared" si="4"/>
        <v>0</v>
      </c>
      <c r="K40">
        <f t="shared" si="4"/>
        <v>0</v>
      </c>
      <c r="L40">
        <f t="shared" si="4"/>
        <v>0</v>
      </c>
      <c r="M40">
        <f t="shared" si="4"/>
        <v>0</v>
      </c>
      <c r="N40">
        <f t="shared" si="4"/>
        <v>0</v>
      </c>
      <c r="O40">
        <f t="shared" si="4"/>
        <v>0</v>
      </c>
      <c r="P40">
        <f t="shared" si="4"/>
        <v>0</v>
      </c>
      <c r="Q40">
        <f t="shared" si="4"/>
        <v>0</v>
      </c>
      <c r="R40">
        <f t="shared" si="4"/>
        <v>0</v>
      </c>
      <c r="S40">
        <f t="shared" si="4"/>
        <v>0</v>
      </c>
      <c r="T40">
        <f t="shared" si="4"/>
        <v>0</v>
      </c>
      <c r="U40">
        <f t="shared" si="4"/>
        <v>0</v>
      </c>
      <c r="V40">
        <f t="shared" si="4"/>
        <v>0</v>
      </c>
      <c r="W40">
        <f t="shared" si="4"/>
        <v>0</v>
      </c>
      <c r="X40">
        <f t="shared" si="4"/>
        <v>0</v>
      </c>
      <c r="Y40">
        <f t="shared" si="4"/>
        <v>0</v>
      </c>
      <c r="Z40">
        <f t="shared" si="4"/>
        <v>0</v>
      </c>
      <c r="AA40">
        <f t="shared" si="4"/>
        <v>0</v>
      </c>
      <c r="AB40">
        <f t="shared" si="4"/>
        <v>0</v>
      </c>
      <c r="AC40">
        <f t="shared" si="4"/>
        <v>0</v>
      </c>
      <c r="AD40">
        <f t="shared" si="4"/>
        <v>0</v>
      </c>
      <c r="AE40">
        <f t="shared" si="4"/>
        <v>0</v>
      </c>
      <c r="AF40">
        <f t="shared" si="4"/>
        <v>0</v>
      </c>
      <c r="AG40">
        <f t="shared" si="4"/>
        <v>0</v>
      </c>
      <c r="AH40">
        <f t="shared" si="4"/>
        <v>0</v>
      </c>
      <c r="AI40">
        <f t="shared" si="4"/>
        <v>0</v>
      </c>
      <c r="AJ40">
        <f t="shared" si="4"/>
        <v>0</v>
      </c>
      <c r="AK40">
        <f t="shared" si="4"/>
        <v>0</v>
      </c>
      <c r="AL40">
        <f t="shared" si="4"/>
        <v>0</v>
      </c>
      <c r="AM40">
        <f t="shared" si="4"/>
        <v>0</v>
      </c>
      <c r="AN40">
        <f t="shared" si="4"/>
        <v>0</v>
      </c>
      <c r="AO40">
        <f t="shared" si="4"/>
        <v>0</v>
      </c>
      <c r="AP40">
        <f t="shared" si="4"/>
        <v>0</v>
      </c>
      <c r="AQ40">
        <f t="shared" si="4"/>
        <v>0</v>
      </c>
      <c r="AR40">
        <f t="shared" si="4"/>
        <v>0</v>
      </c>
      <c r="AS40">
        <f t="shared" si="4"/>
        <v>0</v>
      </c>
      <c r="AT40">
        <f t="shared" si="4"/>
        <v>0</v>
      </c>
      <c r="AU40">
        <f t="shared" si="4"/>
        <v>0</v>
      </c>
      <c r="AV40">
        <f t="shared" si="4"/>
        <v>0</v>
      </c>
      <c r="AW40">
        <f t="shared" si="4"/>
        <v>0</v>
      </c>
      <c r="AX40">
        <f t="shared" si="4"/>
        <v>0</v>
      </c>
      <c r="AY40">
        <f t="shared" si="4"/>
        <v>0</v>
      </c>
      <c r="AZ40">
        <f t="shared" si="4"/>
        <v>0</v>
      </c>
      <c r="BA40">
        <f t="shared" si="4"/>
        <v>0</v>
      </c>
      <c r="BB40">
        <f t="shared" si="4"/>
        <v>0</v>
      </c>
      <c r="BC40">
        <f t="shared" si="4"/>
        <v>0</v>
      </c>
      <c r="BD40">
        <f t="shared" si="4"/>
        <v>0</v>
      </c>
      <c r="BE40">
        <f t="shared" si="4"/>
        <v>0</v>
      </c>
      <c r="BF40">
        <f t="shared" si="4"/>
        <v>0</v>
      </c>
      <c r="BG40">
        <f t="shared" si="4"/>
        <v>0</v>
      </c>
      <c r="BH40">
        <f t="shared" si="4"/>
        <v>0</v>
      </c>
      <c r="BI40">
        <f t="shared" si="4"/>
        <v>0</v>
      </c>
      <c r="BJ40">
        <f t="shared" si="4"/>
        <v>0</v>
      </c>
      <c r="BK40">
        <f t="shared" si="4"/>
        <v>0</v>
      </c>
      <c r="BL40">
        <f t="shared" si="4"/>
        <v>0</v>
      </c>
      <c r="BM40">
        <f t="shared" si="4"/>
        <v>0</v>
      </c>
      <c r="BN40">
        <f t="shared" si="4"/>
        <v>0</v>
      </c>
      <c r="BO40">
        <f t="shared" ref="BO40:DA40" si="5">COUNTA(BO19:BO39)</f>
        <v>0</v>
      </c>
      <c r="BP40">
        <f t="shared" si="5"/>
        <v>0</v>
      </c>
      <c r="BQ40">
        <f t="shared" si="5"/>
        <v>0</v>
      </c>
      <c r="BR40">
        <f t="shared" si="5"/>
        <v>1</v>
      </c>
      <c r="BS40">
        <f t="shared" si="5"/>
        <v>0</v>
      </c>
      <c r="BT40">
        <f t="shared" si="5"/>
        <v>0</v>
      </c>
      <c r="BU40">
        <f t="shared" si="5"/>
        <v>0</v>
      </c>
      <c r="BV40">
        <f t="shared" si="5"/>
        <v>0</v>
      </c>
      <c r="BW40">
        <f t="shared" si="5"/>
        <v>0</v>
      </c>
      <c r="BX40">
        <f t="shared" si="5"/>
        <v>0</v>
      </c>
      <c r="BY40">
        <f t="shared" si="5"/>
        <v>0</v>
      </c>
      <c r="BZ40">
        <f t="shared" si="5"/>
        <v>0</v>
      </c>
      <c r="CA40">
        <f>COUNTA(CA19:CA39)</f>
        <v>0</v>
      </c>
      <c r="CB40">
        <f t="shared" si="5"/>
        <v>0</v>
      </c>
      <c r="CC40">
        <f t="shared" si="5"/>
        <v>0</v>
      </c>
      <c r="CD40">
        <f t="shared" si="5"/>
        <v>0</v>
      </c>
      <c r="CE40">
        <f t="shared" si="5"/>
        <v>0</v>
      </c>
      <c r="CF40">
        <f t="shared" si="5"/>
        <v>0</v>
      </c>
      <c r="CG40">
        <f t="shared" si="5"/>
        <v>0</v>
      </c>
      <c r="CH40">
        <f t="shared" si="5"/>
        <v>0</v>
      </c>
      <c r="CI40">
        <f t="shared" si="5"/>
        <v>0</v>
      </c>
      <c r="CJ40">
        <f t="shared" si="5"/>
        <v>0</v>
      </c>
      <c r="CK40">
        <f t="shared" si="5"/>
        <v>0</v>
      </c>
      <c r="CL40">
        <f t="shared" si="5"/>
        <v>0</v>
      </c>
      <c r="CM40">
        <f t="shared" si="5"/>
        <v>0</v>
      </c>
      <c r="CN40">
        <f t="shared" si="5"/>
        <v>0</v>
      </c>
      <c r="CO40">
        <f t="shared" si="5"/>
        <v>0</v>
      </c>
      <c r="CP40">
        <f t="shared" si="5"/>
        <v>0</v>
      </c>
      <c r="CQ40">
        <f t="shared" si="5"/>
        <v>0</v>
      </c>
      <c r="CR40">
        <f t="shared" si="5"/>
        <v>0</v>
      </c>
      <c r="CS40">
        <f t="shared" si="5"/>
        <v>0</v>
      </c>
      <c r="CT40">
        <f t="shared" si="5"/>
        <v>0</v>
      </c>
      <c r="CU40">
        <f t="shared" si="5"/>
        <v>0</v>
      </c>
      <c r="CV40">
        <f t="shared" si="5"/>
        <v>0</v>
      </c>
      <c r="CW40">
        <f t="shared" si="5"/>
        <v>0</v>
      </c>
      <c r="CX40">
        <f t="shared" si="5"/>
        <v>0</v>
      </c>
      <c r="CY40">
        <f t="shared" si="5"/>
        <v>0</v>
      </c>
      <c r="CZ40">
        <f t="shared" si="5"/>
        <v>0</v>
      </c>
      <c r="DA40">
        <f t="shared" si="5"/>
        <v>0</v>
      </c>
    </row>
    <row r="41" spans="1:105" s="12" customFormat="1" x14ac:dyDescent="0.25">
      <c r="A41" s="12">
        <v>6016435</v>
      </c>
      <c r="B41" s="12" t="s">
        <v>7</v>
      </c>
    </row>
    <row r="42" spans="1:105" s="12" customFormat="1" x14ac:dyDescent="0.25">
      <c r="A42" s="12">
        <v>8045149</v>
      </c>
      <c r="B42" s="12" t="s">
        <v>7</v>
      </c>
    </row>
    <row r="43" spans="1:105" s="12" customFormat="1" x14ac:dyDescent="0.25">
      <c r="A43" s="12">
        <v>10023001</v>
      </c>
      <c r="B43" s="12" t="s">
        <v>7</v>
      </c>
    </row>
    <row r="44" spans="1:105" s="12" customFormat="1" x14ac:dyDescent="0.25">
      <c r="A44" s="12">
        <v>10027526</v>
      </c>
      <c r="B44" s="12" t="s">
        <v>7</v>
      </c>
    </row>
    <row r="45" spans="1:105" s="12" customFormat="1" x14ac:dyDescent="0.25">
      <c r="A45" s="12">
        <v>14222171</v>
      </c>
      <c r="B45" s="12" t="s">
        <v>7</v>
      </c>
    </row>
    <row r="46" spans="1:105" s="12" customFormat="1" x14ac:dyDescent="0.25">
      <c r="A46" s="12">
        <v>1006143</v>
      </c>
      <c r="B46" s="12" t="s">
        <v>7</v>
      </c>
    </row>
    <row r="47" spans="1:105" s="12" customFormat="1" x14ac:dyDescent="0.25">
      <c r="A47" s="12">
        <v>6006917</v>
      </c>
      <c r="B47" s="12" t="s">
        <v>7</v>
      </c>
    </row>
    <row r="48" spans="1:105" x14ac:dyDescent="0.25">
      <c r="C48">
        <f>COUNTA(C41:C47)</f>
        <v>0</v>
      </c>
      <c r="D48">
        <f t="shared" ref="D48:BN48" si="6">COUNTA(D41:D47)</f>
        <v>0</v>
      </c>
      <c r="E48">
        <f>COUNTA(E41:E47)</f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0</v>
      </c>
      <c r="J48">
        <f t="shared" si="6"/>
        <v>0</v>
      </c>
      <c r="K48">
        <f t="shared" si="6"/>
        <v>0</v>
      </c>
      <c r="L48">
        <f t="shared" si="6"/>
        <v>0</v>
      </c>
      <c r="M48">
        <f t="shared" si="6"/>
        <v>0</v>
      </c>
      <c r="N48">
        <f t="shared" si="6"/>
        <v>0</v>
      </c>
      <c r="O48">
        <f t="shared" si="6"/>
        <v>0</v>
      </c>
      <c r="P48">
        <f t="shared" si="6"/>
        <v>0</v>
      </c>
      <c r="Q48">
        <f t="shared" si="6"/>
        <v>0</v>
      </c>
      <c r="R48">
        <f t="shared" si="6"/>
        <v>0</v>
      </c>
      <c r="S48">
        <f t="shared" si="6"/>
        <v>0</v>
      </c>
      <c r="T48">
        <f t="shared" si="6"/>
        <v>0</v>
      </c>
      <c r="U48">
        <f t="shared" si="6"/>
        <v>0</v>
      </c>
      <c r="V48">
        <f t="shared" si="6"/>
        <v>0</v>
      </c>
      <c r="W48">
        <f t="shared" si="6"/>
        <v>0</v>
      </c>
      <c r="X48">
        <f t="shared" si="6"/>
        <v>0</v>
      </c>
      <c r="Y48">
        <f t="shared" si="6"/>
        <v>0</v>
      </c>
      <c r="Z48">
        <f t="shared" si="6"/>
        <v>0</v>
      </c>
      <c r="AA48">
        <f t="shared" si="6"/>
        <v>0</v>
      </c>
      <c r="AB48">
        <f t="shared" si="6"/>
        <v>0</v>
      </c>
      <c r="AC48">
        <f t="shared" si="6"/>
        <v>0</v>
      </c>
      <c r="AD48">
        <f t="shared" si="6"/>
        <v>0</v>
      </c>
      <c r="AE48">
        <f t="shared" si="6"/>
        <v>0</v>
      </c>
      <c r="AF48">
        <f t="shared" si="6"/>
        <v>0</v>
      </c>
      <c r="AG48">
        <f t="shared" si="6"/>
        <v>0</v>
      </c>
      <c r="AH48">
        <f t="shared" si="6"/>
        <v>0</v>
      </c>
      <c r="AI48">
        <f t="shared" si="6"/>
        <v>0</v>
      </c>
      <c r="AJ48">
        <f t="shared" si="6"/>
        <v>0</v>
      </c>
      <c r="AK48">
        <f t="shared" si="6"/>
        <v>0</v>
      </c>
      <c r="AL48">
        <f t="shared" si="6"/>
        <v>0</v>
      </c>
      <c r="AM48">
        <f t="shared" si="6"/>
        <v>0</v>
      </c>
      <c r="AN48">
        <f t="shared" si="6"/>
        <v>0</v>
      </c>
      <c r="AO48">
        <f t="shared" si="6"/>
        <v>0</v>
      </c>
      <c r="AP48">
        <f t="shared" si="6"/>
        <v>0</v>
      </c>
      <c r="AQ48">
        <f t="shared" si="6"/>
        <v>0</v>
      </c>
      <c r="AR48">
        <f t="shared" si="6"/>
        <v>0</v>
      </c>
      <c r="AS48">
        <f t="shared" si="6"/>
        <v>0</v>
      </c>
      <c r="AT48">
        <f t="shared" si="6"/>
        <v>0</v>
      </c>
      <c r="AU48">
        <f t="shared" si="6"/>
        <v>0</v>
      </c>
      <c r="AV48">
        <f t="shared" si="6"/>
        <v>0</v>
      </c>
      <c r="AW48">
        <f t="shared" si="6"/>
        <v>0</v>
      </c>
      <c r="AX48">
        <f t="shared" si="6"/>
        <v>0</v>
      </c>
      <c r="AY48">
        <f t="shared" si="6"/>
        <v>0</v>
      </c>
      <c r="AZ48">
        <f t="shared" si="6"/>
        <v>0</v>
      </c>
      <c r="BA48">
        <f t="shared" si="6"/>
        <v>0</v>
      </c>
      <c r="BB48">
        <f t="shared" si="6"/>
        <v>0</v>
      </c>
      <c r="BC48">
        <f t="shared" si="6"/>
        <v>0</v>
      </c>
      <c r="BD48">
        <f t="shared" si="6"/>
        <v>0</v>
      </c>
      <c r="BE48">
        <f t="shared" si="6"/>
        <v>0</v>
      </c>
      <c r="BF48">
        <f t="shared" si="6"/>
        <v>0</v>
      </c>
      <c r="BG48">
        <f t="shared" si="6"/>
        <v>0</v>
      </c>
      <c r="BH48">
        <f t="shared" si="6"/>
        <v>0</v>
      </c>
      <c r="BI48">
        <f t="shared" si="6"/>
        <v>0</v>
      </c>
      <c r="BJ48">
        <f t="shared" si="6"/>
        <v>0</v>
      </c>
      <c r="BK48">
        <f t="shared" si="6"/>
        <v>0</v>
      </c>
      <c r="BL48">
        <f t="shared" si="6"/>
        <v>0</v>
      </c>
      <c r="BM48">
        <f t="shared" si="6"/>
        <v>0</v>
      </c>
      <c r="BN48">
        <f t="shared" si="6"/>
        <v>0</v>
      </c>
      <c r="BO48">
        <f t="shared" ref="BO48:DA48" si="7">COUNTA(BO41:BO47)</f>
        <v>0</v>
      </c>
      <c r="BP48">
        <f t="shared" si="7"/>
        <v>0</v>
      </c>
      <c r="BQ48">
        <f t="shared" si="7"/>
        <v>0</v>
      </c>
      <c r="BR48">
        <f t="shared" si="7"/>
        <v>0</v>
      </c>
      <c r="BS48">
        <f t="shared" si="7"/>
        <v>0</v>
      </c>
      <c r="BT48">
        <f t="shared" si="7"/>
        <v>0</v>
      </c>
      <c r="BU48">
        <f t="shared" si="7"/>
        <v>0</v>
      </c>
      <c r="BV48">
        <f t="shared" si="7"/>
        <v>0</v>
      </c>
      <c r="BW48">
        <f t="shared" si="7"/>
        <v>0</v>
      </c>
      <c r="BX48">
        <f t="shared" si="7"/>
        <v>0</v>
      </c>
      <c r="BY48">
        <f t="shared" si="7"/>
        <v>0</v>
      </c>
      <c r="BZ48">
        <f t="shared" si="7"/>
        <v>0</v>
      </c>
      <c r="CA48">
        <f t="shared" si="7"/>
        <v>0</v>
      </c>
      <c r="CB48">
        <f t="shared" si="7"/>
        <v>0</v>
      </c>
      <c r="CC48">
        <f t="shared" si="7"/>
        <v>0</v>
      </c>
      <c r="CD48">
        <f t="shared" si="7"/>
        <v>0</v>
      </c>
      <c r="CE48">
        <f t="shared" si="7"/>
        <v>0</v>
      </c>
      <c r="CF48">
        <f t="shared" si="7"/>
        <v>0</v>
      </c>
      <c r="CG48">
        <f t="shared" si="7"/>
        <v>0</v>
      </c>
      <c r="CH48">
        <f t="shared" si="7"/>
        <v>0</v>
      </c>
      <c r="CI48">
        <f t="shared" si="7"/>
        <v>0</v>
      </c>
      <c r="CJ48">
        <f t="shared" si="7"/>
        <v>0</v>
      </c>
      <c r="CK48">
        <f t="shared" si="7"/>
        <v>0</v>
      </c>
      <c r="CL48">
        <f t="shared" si="7"/>
        <v>0</v>
      </c>
      <c r="CM48">
        <f t="shared" si="7"/>
        <v>0</v>
      </c>
      <c r="CN48">
        <f t="shared" si="7"/>
        <v>0</v>
      </c>
      <c r="CO48">
        <f t="shared" si="7"/>
        <v>0</v>
      </c>
      <c r="CP48">
        <f t="shared" si="7"/>
        <v>0</v>
      </c>
      <c r="CQ48">
        <f t="shared" si="7"/>
        <v>0</v>
      </c>
      <c r="CR48">
        <f t="shared" si="7"/>
        <v>0</v>
      </c>
      <c r="CS48">
        <f t="shared" si="7"/>
        <v>0</v>
      </c>
      <c r="CT48">
        <f t="shared" si="7"/>
        <v>0</v>
      </c>
      <c r="CU48">
        <f t="shared" si="7"/>
        <v>0</v>
      </c>
      <c r="CV48">
        <f t="shared" si="7"/>
        <v>0</v>
      </c>
      <c r="CW48">
        <f t="shared" si="7"/>
        <v>0</v>
      </c>
      <c r="CX48">
        <f t="shared" si="7"/>
        <v>0</v>
      </c>
      <c r="CY48">
        <f t="shared" si="7"/>
        <v>0</v>
      </c>
      <c r="CZ48">
        <f t="shared" si="7"/>
        <v>0</v>
      </c>
      <c r="DA48">
        <f t="shared" si="7"/>
        <v>0</v>
      </c>
    </row>
    <row r="49" spans="1:105" s="12" customFormat="1" x14ac:dyDescent="0.25">
      <c r="A49" s="12">
        <v>8057159</v>
      </c>
      <c r="B49" s="12" t="s">
        <v>8</v>
      </c>
    </row>
    <row r="50" spans="1:105" s="12" customFormat="1" x14ac:dyDescent="0.25">
      <c r="A50" s="12">
        <v>9140312</v>
      </c>
      <c r="B50" s="12" t="s">
        <v>8</v>
      </c>
    </row>
    <row r="51" spans="1:105" s="12" customFormat="1" x14ac:dyDescent="0.25">
      <c r="A51" s="12">
        <v>12008230</v>
      </c>
      <c r="B51" s="12" t="s">
        <v>8</v>
      </c>
    </row>
    <row r="52" spans="1:105" s="12" customFormat="1" x14ac:dyDescent="0.25">
      <c r="A52" s="12" t="s">
        <v>9</v>
      </c>
      <c r="B52" s="12" t="s">
        <v>8</v>
      </c>
    </row>
    <row r="53" spans="1:105" s="12" customFormat="1" x14ac:dyDescent="0.25">
      <c r="A53" s="12">
        <v>13118872</v>
      </c>
      <c r="B53" s="12" t="s">
        <v>8</v>
      </c>
    </row>
    <row r="54" spans="1:105" s="12" customFormat="1" x14ac:dyDescent="0.25">
      <c r="A54" s="12">
        <v>12012030</v>
      </c>
      <c r="B54" s="12" t="s">
        <v>8</v>
      </c>
    </row>
    <row r="55" spans="1:105" x14ac:dyDescent="0.25">
      <c r="C55">
        <f>COUNTA(C49:C54)</f>
        <v>0</v>
      </c>
      <c r="D55">
        <f t="shared" ref="D55:BN55" si="8">COUNTA(D49:D54)</f>
        <v>0</v>
      </c>
      <c r="E55">
        <f t="shared" si="8"/>
        <v>0</v>
      </c>
      <c r="F55">
        <f t="shared" si="8"/>
        <v>0</v>
      </c>
      <c r="G55">
        <f t="shared" si="8"/>
        <v>0</v>
      </c>
      <c r="H55">
        <f t="shared" si="8"/>
        <v>0</v>
      </c>
      <c r="I55">
        <f t="shared" si="8"/>
        <v>0</v>
      </c>
      <c r="J55">
        <f t="shared" si="8"/>
        <v>0</v>
      </c>
      <c r="K55">
        <f t="shared" si="8"/>
        <v>0</v>
      </c>
      <c r="L55">
        <f t="shared" si="8"/>
        <v>0</v>
      </c>
      <c r="M55">
        <f t="shared" si="8"/>
        <v>0</v>
      </c>
      <c r="N55">
        <f t="shared" si="8"/>
        <v>0</v>
      </c>
      <c r="O55">
        <f t="shared" si="8"/>
        <v>0</v>
      </c>
      <c r="P55">
        <f t="shared" si="8"/>
        <v>0</v>
      </c>
      <c r="Q55">
        <f t="shared" si="8"/>
        <v>0</v>
      </c>
      <c r="R55">
        <f t="shared" si="8"/>
        <v>0</v>
      </c>
      <c r="S55">
        <f t="shared" si="8"/>
        <v>0</v>
      </c>
      <c r="T55">
        <f t="shared" si="8"/>
        <v>0</v>
      </c>
      <c r="U55">
        <f t="shared" si="8"/>
        <v>0</v>
      </c>
      <c r="V55">
        <f t="shared" si="8"/>
        <v>0</v>
      </c>
      <c r="W55">
        <f t="shared" si="8"/>
        <v>0</v>
      </c>
      <c r="X55">
        <f t="shared" si="8"/>
        <v>0</v>
      </c>
      <c r="Y55">
        <f t="shared" si="8"/>
        <v>0</v>
      </c>
      <c r="Z55">
        <f t="shared" si="8"/>
        <v>0</v>
      </c>
      <c r="AA55">
        <f t="shared" si="8"/>
        <v>0</v>
      </c>
      <c r="AB55">
        <f t="shared" si="8"/>
        <v>0</v>
      </c>
      <c r="AC55">
        <f t="shared" si="8"/>
        <v>0</v>
      </c>
      <c r="AD55">
        <f t="shared" si="8"/>
        <v>0</v>
      </c>
      <c r="AE55">
        <f t="shared" si="8"/>
        <v>0</v>
      </c>
      <c r="AF55">
        <f t="shared" si="8"/>
        <v>0</v>
      </c>
      <c r="AG55">
        <f t="shared" si="8"/>
        <v>0</v>
      </c>
      <c r="AH55">
        <f t="shared" si="8"/>
        <v>0</v>
      </c>
      <c r="AI55">
        <f t="shared" si="8"/>
        <v>0</v>
      </c>
      <c r="AJ55">
        <f t="shared" si="8"/>
        <v>0</v>
      </c>
      <c r="AK55">
        <f t="shared" si="8"/>
        <v>0</v>
      </c>
      <c r="AL55">
        <f t="shared" si="8"/>
        <v>0</v>
      </c>
      <c r="AM55">
        <f t="shared" si="8"/>
        <v>0</v>
      </c>
      <c r="AN55">
        <f t="shared" si="8"/>
        <v>0</v>
      </c>
      <c r="AO55">
        <f t="shared" si="8"/>
        <v>0</v>
      </c>
      <c r="AP55">
        <f t="shared" si="8"/>
        <v>0</v>
      </c>
      <c r="AQ55">
        <f t="shared" si="8"/>
        <v>0</v>
      </c>
      <c r="AR55">
        <f t="shared" si="8"/>
        <v>0</v>
      </c>
      <c r="AS55">
        <f t="shared" si="8"/>
        <v>0</v>
      </c>
      <c r="AT55">
        <f t="shared" si="8"/>
        <v>0</v>
      </c>
      <c r="AU55">
        <f t="shared" si="8"/>
        <v>0</v>
      </c>
      <c r="AV55">
        <f t="shared" si="8"/>
        <v>0</v>
      </c>
      <c r="AW55">
        <f t="shared" si="8"/>
        <v>0</v>
      </c>
      <c r="AX55">
        <f t="shared" si="8"/>
        <v>0</v>
      </c>
      <c r="AY55">
        <f t="shared" si="8"/>
        <v>0</v>
      </c>
      <c r="AZ55">
        <f t="shared" si="8"/>
        <v>0</v>
      </c>
      <c r="BA55">
        <f t="shared" si="8"/>
        <v>0</v>
      </c>
      <c r="BB55">
        <f t="shared" si="8"/>
        <v>0</v>
      </c>
      <c r="BC55">
        <f t="shared" si="8"/>
        <v>0</v>
      </c>
      <c r="BD55">
        <f t="shared" si="8"/>
        <v>0</v>
      </c>
      <c r="BE55">
        <f t="shared" si="8"/>
        <v>0</v>
      </c>
      <c r="BF55">
        <f t="shared" si="8"/>
        <v>0</v>
      </c>
      <c r="BG55">
        <f t="shared" si="8"/>
        <v>0</v>
      </c>
      <c r="BH55">
        <f t="shared" si="8"/>
        <v>0</v>
      </c>
      <c r="BI55">
        <f t="shared" si="8"/>
        <v>0</v>
      </c>
      <c r="BJ55">
        <f t="shared" si="8"/>
        <v>0</v>
      </c>
      <c r="BK55">
        <f t="shared" si="8"/>
        <v>0</v>
      </c>
      <c r="BL55">
        <f t="shared" si="8"/>
        <v>0</v>
      </c>
      <c r="BM55">
        <f t="shared" si="8"/>
        <v>0</v>
      </c>
      <c r="BN55">
        <f t="shared" si="8"/>
        <v>0</v>
      </c>
      <c r="BO55">
        <f t="shared" ref="BO55:DA55" si="9">COUNTA(BO49:BO54)</f>
        <v>0</v>
      </c>
      <c r="BP55">
        <f t="shared" si="9"/>
        <v>0</v>
      </c>
      <c r="BQ55">
        <f t="shared" si="9"/>
        <v>0</v>
      </c>
      <c r="BR55">
        <f t="shared" si="9"/>
        <v>0</v>
      </c>
      <c r="BS55">
        <f t="shared" si="9"/>
        <v>0</v>
      </c>
      <c r="BT55">
        <f t="shared" si="9"/>
        <v>0</v>
      </c>
      <c r="BU55">
        <f t="shared" si="9"/>
        <v>0</v>
      </c>
      <c r="BV55">
        <f t="shared" si="9"/>
        <v>0</v>
      </c>
      <c r="BW55">
        <f t="shared" si="9"/>
        <v>0</v>
      </c>
      <c r="BX55">
        <f t="shared" si="9"/>
        <v>0</v>
      </c>
      <c r="BY55">
        <f t="shared" si="9"/>
        <v>0</v>
      </c>
      <c r="BZ55">
        <f t="shared" si="9"/>
        <v>0</v>
      </c>
      <c r="CA55">
        <f t="shared" si="9"/>
        <v>0</v>
      </c>
      <c r="CB55">
        <f t="shared" si="9"/>
        <v>0</v>
      </c>
      <c r="CC55">
        <f t="shared" si="9"/>
        <v>0</v>
      </c>
      <c r="CD55">
        <f t="shared" si="9"/>
        <v>0</v>
      </c>
      <c r="CE55">
        <f t="shared" si="9"/>
        <v>0</v>
      </c>
      <c r="CF55">
        <f t="shared" si="9"/>
        <v>0</v>
      </c>
      <c r="CG55">
        <f t="shared" si="9"/>
        <v>0</v>
      </c>
      <c r="CH55">
        <f t="shared" si="9"/>
        <v>0</v>
      </c>
      <c r="CI55">
        <f t="shared" si="9"/>
        <v>0</v>
      </c>
      <c r="CJ55">
        <f t="shared" si="9"/>
        <v>0</v>
      </c>
      <c r="CK55">
        <f t="shared" si="9"/>
        <v>0</v>
      </c>
      <c r="CL55">
        <f t="shared" si="9"/>
        <v>0</v>
      </c>
      <c r="CM55">
        <f t="shared" si="9"/>
        <v>0</v>
      </c>
      <c r="CN55">
        <f t="shared" si="9"/>
        <v>0</v>
      </c>
      <c r="CO55">
        <f t="shared" si="9"/>
        <v>0</v>
      </c>
      <c r="CP55">
        <f t="shared" si="9"/>
        <v>0</v>
      </c>
      <c r="CQ55">
        <f t="shared" si="9"/>
        <v>0</v>
      </c>
      <c r="CR55">
        <f t="shared" si="9"/>
        <v>0</v>
      </c>
      <c r="CS55">
        <f t="shared" si="9"/>
        <v>0</v>
      </c>
      <c r="CT55">
        <f t="shared" si="9"/>
        <v>0</v>
      </c>
      <c r="CU55">
        <f t="shared" si="9"/>
        <v>0</v>
      </c>
      <c r="CV55">
        <f t="shared" si="9"/>
        <v>0</v>
      </c>
      <c r="CW55">
        <f t="shared" si="9"/>
        <v>0</v>
      </c>
      <c r="CX55">
        <f t="shared" si="9"/>
        <v>0</v>
      </c>
      <c r="CY55">
        <f t="shared" si="9"/>
        <v>0</v>
      </c>
      <c r="CZ55">
        <f t="shared" si="9"/>
        <v>0</v>
      </c>
      <c r="DA55">
        <f t="shared" si="9"/>
        <v>0</v>
      </c>
    </row>
    <row r="56" spans="1:105" s="12" customFormat="1" x14ac:dyDescent="0.25">
      <c r="A56" s="12">
        <v>9074418</v>
      </c>
      <c r="B56" s="12" t="s">
        <v>10</v>
      </c>
    </row>
    <row r="57" spans="1:105" s="12" customFormat="1" x14ac:dyDescent="0.25">
      <c r="A57" s="12">
        <v>1263</v>
      </c>
      <c r="B57" s="12" t="s">
        <v>10</v>
      </c>
    </row>
    <row r="58" spans="1:105" s="12" customFormat="1" x14ac:dyDescent="0.25">
      <c r="A58" s="12">
        <v>98004910</v>
      </c>
      <c r="B58" s="12" t="s">
        <v>10</v>
      </c>
    </row>
    <row r="59" spans="1:105" s="12" customFormat="1" x14ac:dyDescent="0.25">
      <c r="A59" s="12">
        <v>7103068</v>
      </c>
      <c r="B59" s="12" t="s">
        <v>10</v>
      </c>
    </row>
    <row r="60" spans="1:105" s="12" customFormat="1" x14ac:dyDescent="0.25">
      <c r="A60" s="12">
        <v>11240728</v>
      </c>
      <c r="B60" s="12" t="s">
        <v>10</v>
      </c>
    </row>
    <row r="61" spans="1:105" x14ac:dyDescent="0.25">
      <c r="C61">
        <f>COUNTA(C56:C60)</f>
        <v>0</v>
      </c>
      <c r="D61">
        <f t="shared" ref="D61:BN61" si="10">COUNTA(D56:D60)</f>
        <v>0</v>
      </c>
      <c r="E61">
        <f t="shared" si="10"/>
        <v>0</v>
      </c>
      <c r="F61">
        <f t="shared" si="10"/>
        <v>0</v>
      </c>
      <c r="G61">
        <f t="shared" si="10"/>
        <v>0</v>
      </c>
      <c r="H61">
        <f t="shared" si="10"/>
        <v>0</v>
      </c>
      <c r="I61">
        <f t="shared" si="10"/>
        <v>0</v>
      </c>
      <c r="J61">
        <f t="shared" si="10"/>
        <v>0</v>
      </c>
      <c r="K61">
        <f t="shared" si="10"/>
        <v>0</v>
      </c>
      <c r="L61">
        <f t="shared" si="10"/>
        <v>0</v>
      </c>
      <c r="M61">
        <f t="shared" si="10"/>
        <v>0</v>
      </c>
      <c r="N61">
        <f t="shared" si="10"/>
        <v>0</v>
      </c>
      <c r="O61">
        <f t="shared" si="10"/>
        <v>0</v>
      </c>
      <c r="P61">
        <f t="shared" si="10"/>
        <v>0</v>
      </c>
      <c r="Q61">
        <f t="shared" si="10"/>
        <v>0</v>
      </c>
      <c r="R61">
        <f t="shared" si="10"/>
        <v>0</v>
      </c>
      <c r="S61">
        <f t="shared" si="10"/>
        <v>0</v>
      </c>
      <c r="T61">
        <f t="shared" si="10"/>
        <v>0</v>
      </c>
      <c r="U61">
        <f t="shared" si="10"/>
        <v>0</v>
      </c>
      <c r="V61">
        <f t="shared" si="10"/>
        <v>0</v>
      </c>
      <c r="W61">
        <f t="shared" si="10"/>
        <v>0</v>
      </c>
      <c r="X61">
        <f t="shared" si="10"/>
        <v>0</v>
      </c>
      <c r="Y61">
        <f t="shared" si="10"/>
        <v>0</v>
      </c>
      <c r="Z61">
        <f t="shared" si="10"/>
        <v>0</v>
      </c>
      <c r="AA61">
        <f t="shared" si="10"/>
        <v>0</v>
      </c>
      <c r="AB61">
        <f t="shared" si="10"/>
        <v>0</v>
      </c>
      <c r="AC61">
        <f t="shared" si="10"/>
        <v>0</v>
      </c>
      <c r="AD61">
        <f t="shared" si="10"/>
        <v>0</v>
      </c>
      <c r="AE61">
        <f t="shared" si="10"/>
        <v>0</v>
      </c>
      <c r="AF61">
        <f t="shared" si="10"/>
        <v>0</v>
      </c>
      <c r="AG61">
        <f t="shared" si="10"/>
        <v>0</v>
      </c>
      <c r="AH61">
        <f t="shared" si="10"/>
        <v>0</v>
      </c>
      <c r="AI61">
        <f t="shared" si="10"/>
        <v>0</v>
      </c>
      <c r="AJ61">
        <f t="shared" si="10"/>
        <v>0</v>
      </c>
      <c r="AK61">
        <f t="shared" si="10"/>
        <v>0</v>
      </c>
      <c r="AL61">
        <f t="shared" si="10"/>
        <v>0</v>
      </c>
      <c r="AM61">
        <f t="shared" si="10"/>
        <v>0</v>
      </c>
      <c r="AN61">
        <f t="shared" si="10"/>
        <v>0</v>
      </c>
      <c r="AO61">
        <f t="shared" si="10"/>
        <v>0</v>
      </c>
      <c r="AP61">
        <f t="shared" si="10"/>
        <v>0</v>
      </c>
      <c r="AQ61">
        <f t="shared" si="10"/>
        <v>0</v>
      </c>
      <c r="AR61">
        <f t="shared" si="10"/>
        <v>0</v>
      </c>
      <c r="AS61">
        <f t="shared" si="10"/>
        <v>0</v>
      </c>
      <c r="AT61">
        <f t="shared" si="10"/>
        <v>0</v>
      </c>
      <c r="AU61">
        <f t="shared" si="10"/>
        <v>0</v>
      </c>
      <c r="AV61">
        <f t="shared" si="10"/>
        <v>0</v>
      </c>
      <c r="AW61">
        <f t="shared" si="10"/>
        <v>0</v>
      </c>
      <c r="AX61">
        <f t="shared" si="10"/>
        <v>0</v>
      </c>
      <c r="AY61">
        <f t="shared" si="10"/>
        <v>0</v>
      </c>
      <c r="AZ61">
        <f t="shared" si="10"/>
        <v>0</v>
      </c>
      <c r="BA61">
        <f t="shared" si="10"/>
        <v>0</v>
      </c>
      <c r="BB61">
        <f t="shared" si="10"/>
        <v>0</v>
      </c>
      <c r="BC61">
        <f t="shared" si="10"/>
        <v>0</v>
      </c>
      <c r="BD61">
        <f t="shared" si="10"/>
        <v>0</v>
      </c>
      <c r="BE61">
        <f t="shared" si="10"/>
        <v>0</v>
      </c>
      <c r="BF61">
        <f t="shared" si="10"/>
        <v>0</v>
      </c>
      <c r="BG61">
        <f t="shared" si="10"/>
        <v>0</v>
      </c>
      <c r="BH61">
        <f t="shared" si="10"/>
        <v>0</v>
      </c>
      <c r="BI61">
        <f t="shared" si="10"/>
        <v>0</v>
      </c>
      <c r="BJ61">
        <f t="shared" si="10"/>
        <v>0</v>
      </c>
      <c r="BK61">
        <f t="shared" si="10"/>
        <v>0</v>
      </c>
      <c r="BL61">
        <f t="shared" si="10"/>
        <v>0</v>
      </c>
      <c r="BM61">
        <f t="shared" si="10"/>
        <v>0</v>
      </c>
      <c r="BN61">
        <f t="shared" si="10"/>
        <v>0</v>
      </c>
      <c r="BO61">
        <f t="shared" ref="BO61:DA61" si="11">COUNTA(BO56:BO60)</f>
        <v>0</v>
      </c>
      <c r="BP61">
        <f t="shared" si="11"/>
        <v>0</v>
      </c>
      <c r="BQ61">
        <f t="shared" si="11"/>
        <v>0</v>
      </c>
      <c r="BR61">
        <f t="shared" si="11"/>
        <v>0</v>
      </c>
      <c r="BS61">
        <f t="shared" si="11"/>
        <v>0</v>
      </c>
      <c r="BT61">
        <f t="shared" si="11"/>
        <v>0</v>
      </c>
      <c r="BU61">
        <f t="shared" si="11"/>
        <v>0</v>
      </c>
      <c r="BV61">
        <f t="shared" si="11"/>
        <v>0</v>
      </c>
      <c r="BW61">
        <f t="shared" si="11"/>
        <v>0</v>
      </c>
      <c r="BX61">
        <f t="shared" si="11"/>
        <v>0</v>
      </c>
      <c r="BY61">
        <f t="shared" si="11"/>
        <v>0</v>
      </c>
      <c r="BZ61">
        <f t="shared" si="11"/>
        <v>0</v>
      </c>
      <c r="CA61">
        <f t="shared" si="11"/>
        <v>0</v>
      </c>
      <c r="CB61">
        <f t="shared" si="11"/>
        <v>0</v>
      </c>
      <c r="CC61">
        <f t="shared" si="11"/>
        <v>0</v>
      </c>
      <c r="CD61">
        <f t="shared" si="11"/>
        <v>0</v>
      </c>
      <c r="CE61">
        <f t="shared" si="11"/>
        <v>0</v>
      </c>
      <c r="CF61">
        <f t="shared" si="11"/>
        <v>0</v>
      </c>
      <c r="CG61">
        <f t="shared" si="11"/>
        <v>0</v>
      </c>
      <c r="CH61">
        <f t="shared" si="11"/>
        <v>0</v>
      </c>
      <c r="CI61">
        <f t="shared" si="11"/>
        <v>0</v>
      </c>
      <c r="CJ61">
        <f t="shared" si="11"/>
        <v>0</v>
      </c>
      <c r="CK61">
        <f t="shared" si="11"/>
        <v>0</v>
      </c>
      <c r="CL61">
        <f t="shared" si="11"/>
        <v>0</v>
      </c>
      <c r="CM61">
        <f t="shared" si="11"/>
        <v>0</v>
      </c>
      <c r="CN61">
        <f t="shared" si="11"/>
        <v>0</v>
      </c>
      <c r="CO61">
        <f t="shared" si="11"/>
        <v>0</v>
      </c>
      <c r="CP61">
        <f t="shared" si="11"/>
        <v>0</v>
      </c>
      <c r="CQ61">
        <f t="shared" si="11"/>
        <v>0</v>
      </c>
      <c r="CR61">
        <f t="shared" si="11"/>
        <v>0</v>
      </c>
      <c r="CS61">
        <f t="shared" si="11"/>
        <v>0</v>
      </c>
      <c r="CT61">
        <f t="shared" si="11"/>
        <v>0</v>
      </c>
      <c r="CU61">
        <f t="shared" si="11"/>
        <v>0</v>
      </c>
      <c r="CV61">
        <f t="shared" si="11"/>
        <v>0</v>
      </c>
      <c r="CW61">
        <f t="shared" si="11"/>
        <v>0</v>
      </c>
      <c r="CX61">
        <f t="shared" si="11"/>
        <v>0</v>
      </c>
      <c r="CY61">
        <f t="shared" si="11"/>
        <v>0</v>
      </c>
      <c r="CZ61">
        <f t="shared" si="11"/>
        <v>0</v>
      </c>
      <c r="DA61">
        <f t="shared" si="11"/>
        <v>0</v>
      </c>
    </row>
    <row r="62" spans="1:105" s="12" customFormat="1" x14ac:dyDescent="0.25">
      <c r="A62" s="12">
        <v>5015869</v>
      </c>
      <c r="B62" s="12" t="s">
        <v>11</v>
      </c>
    </row>
    <row r="63" spans="1:105" s="12" customFormat="1" x14ac:dyDescent="0.25">
      <c r="A63" s="12">
        <v>5016969</v>
      </c>
      <c r="B63" s="12" t="s">
        <v>11</v>
      </c>
    </row>
    <row r="64" spans="1:105" s="12" customFormat="1" x14ac:dyDescent="0.25">
      <c r="A64" s="12">
        <v>6023231</v>
      </c>
      <c r="B64" s="12" t="s">
        <v>11</v>
      </c>
    </row>
    <row r="65" spans="1:8" s="12" customFormat="1" x14ac:dyDescent="0.25">
      <c r="A65" s="12">
        <v>6011198</v>
      </c>
      <c r="B65" s="12" t="s">
        <v>11</v>
      </c>
    </row>
    <row r="66" spans="1:8" s="12" customFormat="1" x14ac:dyDescent="0.25">
      <c r="A66" s="12">
        <v>6012681</v>
      </c>
      <c r="B66" s="12" t="s">
        <v>11</v>
      </c>
      <c r="D66" s="15"/>
      <c r="E66" s="15"/>
      <c r="F66" s="15"/>
      <c r="G66" s="15"/>
      <c r="H66" s="15"/>
    </row>
    <row r="67" spans="1:8" s="12" customFormat="1" x14ac:dyDescent="0.25">
      <c r="A67" s="12">
        <v>6014511</v>
      </c>
      <c r="B67" s="12" t="s">
        <v>11</v>
      </c>
    </row>
    <row r="68" spans="1:8" s="12" customFormat="1" x14ac:dyDescent="0.25">
      <c r="A68" s="12">
        <v>6045127</v>
      </c>
      <c r="B68" s="12" t="s">
        <v>11</v>
      </c>
    </row>
    <row r="69" spans="1:8" s="12" customFormat="1" x14ac:dyDescent="0.25">
      <c r="A69" s="12">
        <v>7000458</v>
      </c>
      <c r="B69" s="12" t="s">
        <v>11</v>
      </c>
    </row>
    <row r="70" spans="1:8" s="12" customFormat="1" x14ac:dyDescent="0.25">
      <c r="A70" s="12">
        <v>7015502</v>
      </c>
      <c r="B70" s="12" t="s">
        <v>11</v>
      </c>
    </row>
    <row r="71" spans="1:8" s="12" customFormat="1" x14ac:dyDescent="0.25">
      <c r="A71" s="12">
        <v>7025847</v>
      </c>
      <c r="B71" s="12" t="s">
        <v>11</v>
      </c>
    </row>
    <row r="72" spans="1:8" s="12" customFormat="1" x14ac:dyDescent="0.25">
      <c r="A72" s="12">
        <v>7082707</v>
      </c>
      <c r="B72" s="12" t="s">
        <v>11</v>
      </c>
    </row>
    <row r="73" spans="1:8" s="12" customFormat="1" x14ac:dyDescent="0.25">
      <c r="A73" s="12">
        <v>7083159</v>
      </c>
      <c r="B73" s="12" t="s">
        <v>11</v>
      </c>
    </row>
    <row r="74" spans="1:8" s="12" customFormat="1" x14ac:dyDescent="0.25">
      <c r="A74" s="12">
        <v>7084659</v>
      </c>
      <c r="B74" s="12" t="s">
        <v>11</v>
      </c>
    </row>
    <row r="75" spans="1:8" s="12" customFormat="1" x14ac:dyDescent="0.25">
      <c r="A75" s="12">
        <v>7076814</v>
      </c>
      <c r="B75" s="12" t="s">
        <v>11</v>
      </c>
    </row>
    <row r="76" spans="1:8" s="12" customFormat="1" x14ac:dyDescent="0.25">
      <c r="A76" s="12">
        <v>7076815</v>
      </c>
      <c r="B76" s="12" t="s">
        <v>11</v>
      </c>
    </row>
    <row r="77" spans="1:8" s="12" customFormat="1" x14ac:dyDescent="0.25">
      <c r="A77" s="12">
        <v>7089231</v>
      </c>
      <c r="B77" s="12" t="s">
        <v>11</v>
      </c>
    </row>
    <row r="78" spans="1:8" s="12" customFormat="1" x14ac:dyDescent="0.25">
      <c r="A78" s="12">
        <v>7116004</v>
      </c>
      <c r="B78" s="12" t="s">
        <v>11</v>
      </c>
    </row>
    <row r="79" spans="1:8" s="12" customFormat="1" x14ac:dyDescent="0.25">
      <c r="A79" s="12">
        <v>8003819</v>
      </c>
      <c r="B79" s="12" t="s">
        <v>11</v>
      </c>
    </row>
    <row r="80" spans="1:8" s="12" customFormat="1" x14ac:dyDescent="0.25">
      <c r="A80" s="12">
        <v>8091779</v>
      </c>
      <c r="B80" s="12" t="s">
        <v>11</v>
      </c>
    </row>
    <row r="81" spans="1:2" s="12" customFormat="1" x14ac:dyDescent="0.25">
      <c r="A81" s="12">
        <v>8112522</v>
      </c>
      <c r="B81" s="12" t="s">
        <v>11</v>
      </c>
    </row>
    <row r="82" spans="1:2" s="12" customFormat="1" x14ac:dyDescent="0.25">
      <c r="A82" s="12" t="s">
        <v>12</v>
      </c>
      <c r="B82" s="12" t="s">
        <v>11</v>
      </c>
    </row>
    <row r="83" spans="1:2" s="12" customFormat="1" x14ac:dyDescent="0.25">
      <c r="A83" s="12">
        <v>8130998</v>
      </c>
      <c r="B83" s="12" t="s">
        <v>11</v>
      </c>
    </row>
    <row r="84" spans="1:2" s="12" customFormat="1" x14ac:dyDescent="0.25">
      <c r="A84" s="12">
        <v>9002836</v>
      </c>
      <c r="B84" s="12" t="s">
        <v>11</v>
      </c>
    </row>
    <row r="85" spans="1:2" s="12" customFormat="1" x14ac:dyDescent="0.25">
      <c r="A85" s="12">
        <v>9003331</v>
      </c>
      <c r="B85" s="12" t="s">
        <v>11</v>
      </c>
    </row>
    <row r="86" spans="1:2" s="12" customFormat="1" x14ac:dyDescent="0.25">
      <c r="A86" s="12">
        <v>9003370</v>
      </c>
      <c r="B86" s="12" t="s">
        <v>11</v>
      </c>
    </row>
    <row r="87" spans="1:2" s="12" customFormat="1" x14ac:dyDescent="0.25">
      <c r="A87" s="12">
        <v>9016278</v>
      </c>
      <c r="B87" s="12" t="s">
        <v>11</v>
      </c>
    </row>
    <row r="88" spans="1:2" s="12" customFormat="1" x14ac:dyDescent="0.25">
      <c r="A88" s="12">
        <v>9030684</v>
      </c>
      <c r="B88" s="12" t="s">
        <v>11</v>
      </c>
    </row>
    <row r="89" spans="1:2" s="12" customFormat="1" x14ac:dyDescent="0.25">
      <c r="A89" s="12">
        <v>9031387</v>
      </c>
      <c r="B89" s="12" t="s">
        <v>11</v>
      </c>
    </row>
    <row r="90" spans="1:2" s="12" customFormat="1" x14ac:dyDescent="0.25">
      <c r="A90" s="12">
        <v>9038676</v>
      </c>
      <c r="B90" s="12" t="s">
        <v>11</v>
      </c>
    </row>
    <row r="91" spans="1:2" s="12" customFormat="1" x14ac:dyDescent="0.25">
      <c r="A91" s="12">
        <v>9039416</v>
      </c>
      <c r="B91" s="12" t="s">
        <v>11</v>
      </c>
    </row>
    <row r="92" spans="1:2" s="12" customFormat="1" x14ac:dyDescent="0.25">
      <c r="A92" s="12">
        <v>9042861</v>
      </c>
      <c r="B92" s="12" t="s">
        <v>11</v>
      </c>
    </row>
    <row r="93" spans="1:2" s="12" customFormat="1" x14ac:dyDescent="0.25">
      <c r="A93" s="12">
        <v>9044899</v>
      </c>
      <c r="B93" s="12" t="s">
        <v>11</v>
      </c>
    </row>
    <row r="94" spans="1:2" s="12" customFormat="1" x14ac:dyDescent="0.25">
      <c r="A94" s="12">
        <v>9052398</v>
      </c>
      <c r="B94" s="12" t="s">
        <v>11</v>
      </c>
    </row>
    <row r="95" spans="1:2" s="12" customFormat="1" x14ac:dyDescent="0.25">
      <c r="A95" s="12">
        <v>9085204</v>
      </c>
      <c r="B95" s="12" t="s">
        <v>11</v>
      </c>
    </row>
    <row r="96" spans="1:2" s="12" customFormat="1" x14ac:dyDescent="0.25">
      <c r="A96" s="12">
        <v>9105492</v>
      </c>
      <c r="B96" s="12" t="s">
        <v>11</v>
      </c>
    </row>
    <row r="97" spans="1:8" s="12" customFormat="1" x14ac:dyDescent="0.25">
      <c r="A97" s="12">
        <v>9138470</v>
      </c>
      <c r="B97" s="12" t="s">
        <v>11</v>
      </c>
    </row>
    <row r="98" spans="1:8" s="12" customFormat="1" x14ac:dyDescent="0.25">
      <c r="A98" s="12">
        <v>9150676</v>
      </c>
      <c r="B98" s="12" t="s">
        <v>11</v>
      </c>
    </row>
    <row r="99" spans="1:8" s="12" customFormat="1" x14ac:dyDescent="0.25">
      <c r="A99" s="12">
        <v>10010926</v>
      </c>
      <c r="B99" s="12" t="s">
        <v>11</v>
      </c>
      <c r="D99" s="15"/>
      <c r="E99" s="15"/>
      <c r="F99" s="15"/>
      <c r="G99" s="15"/>
      <c r="H99" s="15"/>
    </row>
    <row r="100" spans="1:8" s="12" customFormat="1" x14ac:dyDescent="0.25">
      <c r="A100" s="12" t="s">
        <v>13</v>
      </c>
      <c r="B100" s="12" t="s">
        <v>11</v>
      </c>
    </row>
    <row r="101" spans="1:8" s="12" customFormat="1" x14ac:dyDescent="0.25">
      <c r="A101" s="12">
        <v>10091530</v>
      </c>
      <c r="B101" s="12" t="s">
        <v>11</v>
      </c>
    </row>
    <row r="102" spans="1:8" s="12" customFormat="1" x14ac:dyDescent="0.25">
      <c r="A102" s="12">
        <v>10102052</v>
      </c>
      <c r="B102" s="12" t="s">
        <v>11</v>
      </c>
    </row>
    <row r="103" spans="1:8" s="12" customFormat="1" x14ac:dyDescent="0.25">
      <c r="A103" s="12">
        <v>10104735</v>
      </c>
      <c r="B103" s="12" t="s">
        <v>11</v>
      </c>
    </row>
    <row r="104" spans="1:8" s="12" customFormat="1" x14ac:dyDescent="0.25">
      <c r="A104" s="12">
        <v>10131550</v>
      </c>
      <c r="B104" s="12" t="s">
        <v>11</v>
      </c>
    </row>
    <row r="105" spans="1:8" s="12" customFormat="1" x14ac:dyDescent="0.25">
      <c r="A105" s="12">
        <v>10131607</v>
      </c>
      <c r="B105" s="12" t="s">
        <v>11</v>
      </c>
    </row>
    <row r="106" spans="1:8" s="12" customFormat="1" x14ac:dyDescent="0.25">
      <c r="A106" s="12">
        <v>10145202</v>
      </c>
      <c r="B106" s="12" t="s">
        <v>11</v>
      </c>
    </row>
    <row r="107" spans="1:8" s="12" customFormat="1" x14ac:dyDescent="0.25">
      <c r="A107" s="12">
        <v>10158770</v>
      </c>
      <c r="B107" s="12" t="s">
        <v>11</v>
      </c>
    </row>
    <row r="108" spans="1:8" s="12" customFormat="1" x14ac:dyDescent="0.25">
      <c r="A108" s="12">
        <v>10162949</v>
      </c>
      <c r="B108" s="12" t="s">
        <v>11</v>
      </c>
    </row>
    <row r="109" spans="1:8" s="12" customFormat="1" x14ac:dyDescent="0.25">
      <c r="A109" s="12">
        <v>10171633</v>
      </c>
      <c r="B109" s="12" t="s">
        <v>11</v>
      </c>
    </row>
    <row r="110" spans="1:8" s="12" customFormat="1" x14ac:dyDescent="0.25">
      <c r="A110" s="12">
        <v>11005762</v>
      </c>
      <c r="B110" s="12" t="s">
        <v>11</v>
      </c>
    </row>
    <row r="111" spans="1:8" s="12" customFormat="1" x14ac:dyDescent="0.25">
      <c r="A111" s="12" t="s">
        <v>14</v>
      </c>
      <c r="B111" s="12" t="s">
        <v>11</v>
      </c>
    </row>
    <row r="112" spans="1:8" s="12" customFormat="1" x14ac:dyDescent="0.25">
      <c r="A112" s="12">
        <v>11018341</v>
      </c>
      <c r="B112" s="12" t="s">
        <v>11</v>
      </c>
    </row>
    <row r="113" spans="1:63" s="12" customFormat="1" x14ac:dyDescent="0.25">
      <c r="A113" s="12">
        <v>11021445</v>
      </c>
      <c r="B113" s="12" t="s">
        <v>11</v>
      </c>
    </row>
    <row r="114" spans="1:63" s="12" customFormat="1" x14ac:dyDescent="0.25">
      <c r="A114" s="12">
        <v>11025151</v>
      </c>
      <c r="B114" s="12" t="s">
        <v>11</v>
      </c>
    </row>
    <row r="115" spans="1:63" s="12" customFormat="1" x14ac:dyDescent="0.25">
      <c r="A115" s="12">
        <v>11039110</v>
      </c>
      <c r="B115" s="12" t="s">
        <v>11</v>
      </c>
    </row>
    <row r="116" spans="1:63" s="12" customFormat="1" x14ac:dyDescent="0.25">
      <c r="A116" s="12">
        <v>11108410</v>
      </c>
      <c r="B116" s="12" t="s">
        <v>11</v>
      </c>
    </row>
    <row r="117" spans="1:63" s="12" customFormat="1" x14ac:dyDescent="0.25">
      <c r="A117" s="12">
        <v>11139605</v>
      </c>
      <c r="B117" s="12" t="s">
        <v>11</v>
      </c>
    </row>
    <row r="118" spans="1:63" s="12" customFormat="1" x14ac:dyDescent="0.25">
      <c r="A118" s="12">
        <v>11201694</v>
      </c>
      <c r="B118" s="12" t="s">
        <v>11</v>
      </c>
    </row>
    <row r="119" spans="1:63" s="12" customFormat="1" x14ac:dyDescent="0.25">
      <c r="A119" s="12">
        <v>11242543</v>
      </c>
      <c r="B119" s="12" t="s">
        <v>11</v>
      </c>
    </row>
    <row r="120" spans="1:63" s="12" customFormat="1" x14ac:dyDescent="0.25">
      <c r="A120" s="12">
        <v>11247293</v>
      </c>
      <c r="B120" s="12" t="s">
        <v>11</v>
      </c>
    </row>
    <row r="121" spans="1:63" s="12" customFormat="1" x14ac:dyDescent="0.25">
      <c r="A121" s="12">
        <v>12006449</v>
      </c>
      <c r="B121" s="12" t="s">
        <v>11</v>
      </c>
    </row>
    <row r="122" spans="1:63" s="12" customFormat="1" x14ac:dyDescent="0.25">
      <c r="A122" s="12">
        <v>12049136</v>
      </c>
      <c r="B122" s="12" t="s">
        <v>11</v>
      </c>
    </row>
    <row r="123" spans="1:63" s="12" customFormat="1" x14ac:dyDescent="0.25">
      <c r="A123" s="12">
        <v>12087508</v>
      </c>
      <c r="B123" s="12" t="s">
        <v>11</v>
      </c>
      <c r="I123" s="12">
        <v>519</v>
      </c>
      <c r="J123" s="12">
        <v>225</v>
      </c>
      <c r="K123" s="12" t="s">
        <v>149</v>
      </c>
      <c r="BJ123" s="12">
        <v>1.9</v>
      </c>
      <c r="BK123" s="12">
        <v>17.5</v>
      </c>
    </row>
    <row r="124" spans="1:63" s="12" customFormat="1" x14ac:dyDescent="0.25">
      <c r="A124" s="12">
        <v>12229481</v>
      </c>
      <c r="B124" s="12" t="s">
        <v>11</v>
      </c>
    </row>
    <row r="125" spans="1:63" s="12" customFormat="1" x14ac:dyDescent="0.25">
      <c r="A125" s="12">
        <v>12258821</v>
      </c>
      <c r="B125" s="12" t="s">
        <v>11</v>
      </c>
      <c r="X125" s="14"/>
      <c r="BC125" s="14"/>
    </row>
    <row r="126" spans="1:63" s="12" customFormat="1" x14ac:dyDescent="0.25">
      <c r="A126" s="12">
        <v>12309729</v>
      </c>
      <c r="B126" s="12" t="s">
        <v>11</v>
      </c>
    </row>
    <row r="127" spans="1:63" s="12" customFormat="1" x14ac:dyDescent="0.25">
      <c r="A127" s="12" t="s">
        <v>15</v>
      </c>
      <c r="B127" s="12" t="s">
        <v>11</v>
      </c>
    </row>
    <row r="128" spans="1:63" s="12" customFormat="1" x14ac:dyDescent="0.25">
      <c r="A128" s="12">
        <v>13005942</v>
      </c>
      <c r="B128" s="12" t="s">
        <v>11</v>
      </c>
    </row>
    <row r="129" spans="1:55" s="12" customFormat="1" x14ac:dyDescent="0.25">
      <c r="A129" s="12">
        <v>324</v>
      </c>
      <c r="B129" s="12" t="s">
        <v>11</v>
      </c>
    </row>
    <row r="130" spans="1:55" s="12" customFormat="1" x14ac:dyDescent="0.25">
      <c r="A130" s="12">
        <v>3909</v>
      </c>
      <c r="B130" s="12" t="s">
        <v>11</v>
      </c>
      <c r="X130" s="14"/>
    </row>
    <row r="131" spans="1:55" s="12" customFormat="1" x14ac:dyDescent="0.25">
      <c r="A131" s="12">
        <v>4663</v>
      </c>
      <c r="B131" s="12" t="s">
        <v>11</v>
      </c>
    </row>
    <row r="132" spans="1:55" s="12" customFormat="1" x14ac:dyDescent="0.25">
      <c r="A132" s="12">
        <v>1005522</v>
      </c>
      <c r="B132" s="12" t="s">
        <v>11</v>
      </c>
    </row>
    <row r="133" spans="1:55" s="12" customFormat="1" x14ac:dyDescent="0.25">
      <c r="A133" s="12">
        <v>1007631</v>
      </c>
      <c r="B133" s="12" t="s">
        <v>11</v>
      </c>
      <c r="P133" s="12" t="s">
        <v>182</v>
      </c>
      <c r="Q133" s="12" t="s">
        <v>183</v>
      </c>
      <c r="BC133" s="12">
        <v>20</v>
      </c>
    </row>
    <row r="134" spans="1:55" s="12" customFormat="1" x14ac:dyDescent="0.25">
      <c r="A134" s="12">
        <v>1009760</v>
      </c>
      <c r="B134" s="12" t="s">
        <v>11</v>
      </c>
    </row>
    <row r="135" spans="1:55" s="12" customFormat="1" x14ac:dyDescent="0.25">
      <c r="A135" s="12">
        <v>2000646</v>
      </c>
      <c r="B135" s="12" t="s">
        <v>11</v>
      </c>
    </row>
    <row r="136" spans="1:55" s="12" customFormat="1" x14ac:dyDescent="0.25">
      <c r="A136" s="12">
        <v>2003761</v>
      </c>
      <c r="B136" s="12" t="s">
        <v>11</v>
      </c>
    </row>
    <row r="137" spans="1:55" s="12" customFormat="1" x14ac:dyDescent="0.25">
      <c r="A137" s="12">
        <v>2004061</v>
      </c>
      <c r="B137" s="12" t="s">
        <v>11</v>
      </c>
    </row>
    <row r="138" spans="1:55" s="12" customFormat="1" x14ac:dyDescent="0.25">
      <c r="A138" s="12">
        <v>2006469</v>
      </c>
      <c r="B138" s="12" t="s">
        <v>11</v>
      </c>
    </row>
    <row r="139" spans="1:55" s="12" customFormat="1" x14ac:dyDescent="0.25">
      <c r="A139" s="12">
        <v>3005132</v>
      </c>
      <c r="B139" s="12" t="s">
        <v>11</v>
      </c>
    </row>
    <row r="140" spans="1:55" s="12" customFormat="1" x14ac:dyDescent="0.25">
      <c r="A140" s="12">
        <v>3009119</v>
      </c>
      <c r="B140" s="12" t="s">
        <v>11</v>
      </c>
    </row>
    <row r="141" spans="1:55" s="12" customFormat="1" x14ac:dyDescent="0.25">
      <c r="A141" s="12">
        <v>3009936</v>
      </c>
      <c r="B141" s="12" t="s">
        <v>11</v>
      </c>
    </row>
    <row r="142" spans="1:55" s="12" customFormat="1" x14ac:dyDescent="0.25">
      <c r="A142" s="12">
        <v>3011094</v>
      </c>
      <c r="B142" s="12" t="s">
        <v>11</v>
      </c>
    </row>
    <row r="143" spans="1:55" s="12" customFormat="1" x14ac:dyDescent="0.25">
      <c r="A143" s="12">
        <v>3014643</v>
      </c>
      <c r="B143" s="12" t="s">
        <v>11</v>
      </c>
    </row>
    <row r="144" spans="1:55" s="12" customFormat="1" x14ac:dyDescent="0.25">
      <c r="A144" s="12">
        <v>3016056</v>
      </c>
      <c r="B144" s="12" t="s">
        <v>11</v>
      </c>
    </row>
    <row r="145" spans="1:90" s="12" customFormat="1" x14ac:dyDescent="0.25">
      <c r="A145" s="12">
        <v>3900219</v>
      </c>
      <c r="B145" s="12" t="s">
        <v>11</v>
      </c>
      <c r="CL145" s="12">
        <v>716</v>
      </c>
    </row>
    <row r="146" spans="1:90" s="12" customFormat="1" x14ac:dyDescent="0.25">
      <c r="A146" s="12">
        <v>4000158</v>
      </c>
      <c r="B146" s="12" t="s">
        <v>11</v>
      </c>
    </row>
    <row r="147" spans="1:90" s="12" customFormat="1" x14ac:dyDescent="0.25">
      <c r="A147" s="12">
        <v>4000304</v>
      </c>
      <c r="B147" s="12" t="s">
        <v>11</v>
      </c>
      <c r="Y147" s="12">
        <v>0.4</v>
      </c>
      <c r="Z147" s="12">
        <v>0.4</v>
      </c>
    </row>
    <row r="148" spans="1:90" s="12" customFormat="1" x14ac:dyDescent="0.25">
      <c r="A148" s="12">
        <v>4001905</v>
      </c>
      <c r="B148" s="12" t="s">
        <v>11</v>
      </c>
    </row>
    <row r="149" spans="1:90" s="12" customFormat="1" x14ac:dyDescent="0.25">
      <c r="A149" s="12">
        <v>4002206</v>
      </c>
      <c r="B149" s="12" t="s">
        <v>11</v>
      </c>
    </row>
    <row r="150" spans="1:90" s="12" customFormat="1" x14ac:dyDescent="0.25">
      <c r="A150" s="12">
        <v>4002715</v>
      </c>
      <c r="B150" s="12" t="s">
        <v>11</v>
      </c>
    </row>
    <row r="151" spans="1:90" s="12" customFormat="1" x14ac:dyDescent="0.25">
      <c r="A151" s="12">
        <v>4003924</v>
      </c>
      <c r="B151" s="12" t="s">
        <v>11</v>
      </c>
    </row>
    <row r="152" spans="1:90" s="12" customFormat="1" x14ac:dyDescent="0.25">
      <c r="A152" s="12">
        <v>4006051</v>
      </c>
      <c r="B152" s="12" t="s">
        <v>11</v>
      </c>
    </row>
    <row r="153" spans="1:90" s="12" customFormat="1" x14ac:dyDescent="0.25">
      <c r="A153" s="12">
        <v>4008140</v>
      </c>
      <c r="B153" s="12" t="s">
        <v>11</v>
      </c>
    </row>
    <row r="154" spans="1:90" s="12" customFormat="1" x14ac:dyDescent="0.25">
      <c r="A154" s="12">
        <v>4009906</v>
      </c>
      <c r="B154" s="12" t="s">
        <v>11</v>
      </c>
    </row>
    <row r="155" spans="1:90" s="12" customFormat="1" x14ac:dyDescent="0.25">
      <c r="A155" s="12">
        <v>4011027</v>
      </c>
      <c r="B155" s="12" t="s">
        <v>11</v>
      </c>
    </row>
    <row r="156" spans="1:90" s="12" customFormat="1" x14ac:dyDescent="0.25">
      <c r="A156" s="12">
        <v>4011920</v>
      </c>
      <c r="B156" s="12" t="s">
        <v>11</v>
      </c>
    </row>
    <row r="157" spans="1:90" s="12" customFormat="1" x14ac:dyDescent="0.25">
      <c r="A157" s="12">
        <v>4012248</v>
      </c>
      <c r="B157" s="12" t="s">
        <v>11</v>
      </c>
    </row>
    <row r="158" spans="1:90" s="12" customFormat="1" x14ac:dyDescent="0.25">
      <c r="A158" s="12">
        <v>4013603</v>
      </c>
      <c r="B158" s="12" t="s">
        <v>11</v>
      </c>
    </row>
    <row r="159" spans="1:90" s="12" customFormat="1" x14ac:dyDescent="0.25">
      <c r="A159" s="12">
        <v>5004654</v>
      </c>
      <c r="B159" s="12" t="s">
        <v>11</v>
      </c>
    </row>
    <row r="160" spans="1:90" s="12" customFormat="1" x14ac:dyDescent="0.25">
      <c r="A160" s="12">
        <v>5008807</v>
      </c>
      <c r="B160" s="12" t="s">
        <v>11</v>
      </c>
      <c r="N160" s="12">
        <v>0.71</v>
      </c>
      <c r="S160" s="12">
        <v>2.8</v>
      </c>
      <c r="X160" s="14"/>
      <c r="AH160" s="12">
        <v>4.7</v>
      </c>
      <c r="AZ160" s="12">
        <v>1</v>
      </c>
      <c r="BD160" s="12">
        <v>1.6</v>
      </c>
    </row>
    <row r="161" spans="1:92" s="12" customFormat="1" x14ac:dyDescent="0.25">
      <c r="A161" s="12">
        <v>5009400</v>
      </c>
      <c r="B161" s="12" t="s">
        <v>11</v>
      </c>
    </row>
    <row r="162" spans="1:92" s="12" customFormat="1" x14ac:dyDescent="0.25">
      <c r="A162" s="12">
        <v>5016255</v>
      </c>
      <c r="B162" s="12" t="s">
        <v>11</v>
      </c>
    </row>
    <row r="163" spans="1:92" s="12" customFormat="1" x14ac:dyDescent="0.25">
      <c r="A163" s="12">
        <v>6012448</v>
      </c>
      <c r="B163" s="12" t="s">
        <v>11</v>
      </c>
    </row>
    <row r="164" spans="1:92" s="12" customFormat="1" x14ac:dyDescent="0.25">
      <c r="A164" s="12">
        <v>7000457</v>
      </c>
      <c r="B164" s="12" t="s">
        <v>11</v>
      </c>
    </row>
    <row r="165" spans="1:92" s="12" customFormat="1" x14ac:dyDescent="0.25">
      <c r="A165" s="12">
        <v>7072644</v>
      </c>
      <c r="B165" s="12" t="s">
        <v>11</v>
      </c>
      <c r="E165" s="14"/>
    </row>
    <row r="166" spans="1:92" s="12" customFormat="1" x14ac:dyDescent="0.25">
      <c r="A166" s="12">
        <v>7126387</v>
      </c>
      <c r="B166" s="12" t="s">
        <v>11</v>
      </c>
    </row>
    <row r="167" spans="1:92" s="12" customFormat="1" x14ac:dyDescent="0.25">
      <c r="A167" s="12">
        <v>10185935</v>
      </c>
      <c r="B167" s="12" t="s">
        <v>11</v>
      </c>
    </row>
    <row r="168" spans="1:92" s="12" customFormat="1" x14ac:dyDescent="0.25">
      <c r="A168" s="12">
        <v>11061215</v>
      </c>
      <c r="B168" s="12" t="s">
        <v>11</v>
      </c>
      <c r="AX168" s="12" t="s">
        <v>148</v>
      </c>
      <c r="CF168" s="12" t="s">
        <v>148</v>
      </c>
      <c r="CG168" s="12" t="s">
        <v>148</v>
      </c>
      <c r="CL168" s="12" t="s">
        <v>149</v>
      </c>
    </row>
    <row r="169" spans="1:92" s="12" customFormat="1" x14ac:dyDescent="0.25">
      <c r="A169" s="12">
        <v>93008468</v>
      </c>
      <c r="B169" s="12" t="s">
        <v>11</v>
      </c>
    </row>
    <row r="170" spans="1:92" s="12" customFormat="1" x14ac:dyDescent="0.25">
      <c r="A170" s="12">
        <v>93016155</v>
      </c>
      <c r="B170" s="12" t="s">
        <v>11</v>
      </c>
      <c r="N170" s="14"/>
    </row>
    <row r="171" spans="1:92" s="12" customFormat="1" x14ac:dyDescent="0.25">
      <c r="A171" s="12">
        <v>93018845</v>
      </c>
      <c r="B171" s="12" t="s">
        <v>11</v>
      </c>
    </row>
    <row r="172" spans="1:92" s="12" customFormat="1" x14ac:dyDescent="0.25">
      <c r="A172" s="12" t="s">
        <v>16</v>
      </c>
      <c r="B172" s="12" t="s">
        <v>11</v>
      </c>
    </row>
    <row r="173" spans="1:92" s="12" customFormat="1" x14ac:dyDescent="0.25">
      <c r="A173" s="12">
        <v>94006009</v>
      </c>
      <c r="B173" s="12" t="s">
        <v>11</v>
      </c>
    </row>
    <row r="174" spans="1:92" s="12" customFormat="1" x14ac:dyDescent="0.25">
      <c r="A174" s="12">
        <v>94014126</v>
      </c>
      <c r="B174" s="12" t="s">
        <v>11</v>
      </c>
    </row>
    <row r="175" spans="1:92" s="12" customFormat="1" x14ac:dyDescent="0.25">
      <c r="A175" s="12">
        <v>94900361</v>
      </c>
      <c r="B175" s="12" t="s">
        <v>11</v>
      </c>
    </row>
    <row r="176" spans="1:92" s="12" customFormat="1" x14ac:dyDescent="0.25">
      <c r="A176" s="12">
        <v>94901890</v>
      </c>
      <c r="B176" s="12" t="s">
        <v>11</v>
      </c>
      <c r="CL176" s="14" t="s">
        <v>178</v>
      </c>
      <c r="CN176" s="14" t="s">
        <v>186</v>
      </c>
    </row>
    <row r="177" spans="1:105" s="12" customFormat="1" x14ac:dyDescent="0.25">
      <c r="A177" s="12">
        <v>95001046</v>
      </c>
      <c r="B177" s="12" t="s">
        <v>11</v>
      </c>
    </row>
    <row r="178" spans="1:105" s="12" customFormat="1" x14ac:dyDescent="0.25">
      <c r="A178" s="12">
        <v>96004031</v>
      </c>
      <c r="B178" s="12" t="s">
        <v>11</v>
      </c>
    </row>
    <row r="179" spans="1:105" s="12" customFormat="1" x14ac:dyDescent="0.25">
      <c r="A179" s="12">
        <v>97004458</v>
      </c>
      <c r="B179" s="12" t="s">
        <v>11</v>
      </c>
    </row>
    <row r="180" spans="1:105" s="12" customFormat="1" x14ac:dyDescent="0.25">
      <c r="A180" s="12">
        <v>97009212</v>
      </c>
      <c r="B180" s="12" t="s">
        <v>11</v>
      </c>
    </row>
    <row r="181" spans="1:105" s="12" customFormat="1" x14ac:dyDescent="0.25">
      <c r="A181" s="12">
        <v>98006038</v>
      </c>
      <c r="B181" s="12" t="s">
        <v>11</v>
      </c>
    </row>
    <row r="182" spans="1:105" s="12" customFormat="1" x14ac:dyDescent="0.25">
      <c r="A182" s="12">
        <v>98009041</v>
      </c>
      <c r="B182" s="12" t="s">
        <v>11</v>
      </c>
    </row>
    <row r="183" spans="1:105" s="12" customFormat="1" x14ac:dyDescent="0.25">
      <c r="A183" s="12">
        <v>99000714</v>
      </c>
      <c r="B183" s="12" t="s">
        <v>11</v>
      </c>
    </row>
    <row r="184" spans="1:105" s="12" customFormat="1" x14ac:dyDescent="0.25">
      <c r="A184" s="12">
        <v>99007116</v>
      </c>
      <c r="B184" s="12" t="s">
        <v>11</v>
      </c>
    </row>
    <row r="185" spans="1:105" s="12" customFormat="1" x14ac:dyDescent="0.25">
      <c r="A185" s="12">
        <v>99901293</v>
      </c>
      <c r="B185" s="12" t="s">
        <v>11</v>
      </c>
    </row>
    <row r="186" spans="1:105" s="12" customFormat="1" x14ac:dyDescent="0.25">
      <c r="A186" s="12">
        <v>99901604</v>
      </c>
      <c r="B186" s="12" t="s">
        <v>11</v>
      </c>
    </row>
    <row r="187" spans="1:105" s="12" customFormat="1" x14ac:dyDescent="0.25">
      <c r="A187" s="12">
        <v>3017227</v>
      </c>
      <c r="B187" s="12" t="s">
        <v>11</v>
      </c>
    </row>
    <row r="188" spans="1:105" s="12" customFormat="1" x14ac:dyDescent="0.25">
      <c r="A188" s="12">
        <v>2007648</v>
      </c>
      <c r="B188" s="12" t="s">
        <v>11</v>
      </c>
    </row>
    <row r="189" spans="1:105" s="12" customFormat="1" x14ac:dyDescent="0.25">
      <c r="A189" s="12">
        <v>3008510</v>
      </c>
      <c r="B189" s="12" t="s">
        <v>11</v>
      </c>
      <c r="X189" s="14"/>
      <c r="Y189" s="14"/>
      <c r="Z189" s="14"/>
      <c r="AI189" s="14"/>
      <c r="AL189" s="12" t="s">
        <v>151</v>
      </c>
    </row>
    <row r="190" spans="1:105" x14ac:dyDescent="0.25">
      <c r="C190">
        <f>COUNTA(C62:C189)</f>
        <v>0</v>
      </c>
      <c r="D190">
        <f>COUNTA(D62:D189)</f>
        <v>0</v>
      </c>
      <c r="E190">
        <f>COUNTA(E62:E189)</f>
        <v>0</v>
      </c>
      <c r="F190">
        <f t="shared" ref="F190:BN190" si="12">COUNTA(F62:F189)</f>
        <v>0</v>
      </c>
      <c r="G190">
        <f t="shared" si="12"/>
        <v>0</v>
      </c>
      <c r="H190">
        <f t="shared" si="12"/>
        <v>0</v>
      </c>
      <c r="I190">
        <f t="shared" si="12"/>
        <v>1</v>
      </c>
      <c r="J190">
        <f t="shared" si="12"/>
        <v>1</v>
      </c>
      <c r="K190">
        <f t="shared" si="12"/>
        <v>1</v>
      </c>
      <c r="L190">
        <f t="shared" si="12"/>
        <v>0</v>
      </c>
      <c r="M190">
        <f t="shared" si="12"/>
        <v>0</v>
      </c>
      <c r="N190">
        <f t="shared" si="12"/>
        <v>1</v>
      </c>
      <c r="O190">
        <f t="shared" si="12"/>
        <v>0</v>
      </c>
      <c r="P190">
        <f t="shared" si="12"/>
        <v>1</v>
      </c>
      <c r="Q190">
        <f t="shared" si="12"/>
        <v>1</v>
      </c>
      <c r="R190">
        <f t="shared" si="12"/>
        <v>0</v>
      </c>
      <c r="S190">
        <f t="shared" si="12"/>
        <v>1</v>
      </c>
      <c r="T190">
        <f t="shared" si="12"/>
        <v>0</v>
      </c>
      <c r="U190">
        <f t="shared" si="12"/>
        <v>0</v>
      </c>
      <c r="V190">
        <f t="shared" si="12"/>
        <v>0</v>
      </c>
      <c r="W190">
        <f t="shared" si="12"/>
        <v>0</v>
      </c>
      <c r="X190">
        <f t="shared" si="12"/>
        <v>0</v>
      </c>
      <c r="Y190">
        <f t="shared" si="12"/>
        <v>1</v>
      </c>
      <c r="Z190">
        <f t="shared" si="12"/>
        <v>1</v>
      </c>
      <c r="AA190">
        <f t="shared" si="12"/>
        <v>0</v>
      </c>
      <c r="AB190">
        <f t="shared" si="12"/>
        <v>0</v>
      </c>
      <c r="AC190">
        <f t="shared" si="12"/>
        <v>0</v>
      </c>
      <c r="AD190">
        <f t="shared" si="12"/>
        <v>0</v>
      </c>
      <c r="AE190">
        <f t="shared" si="12"/>
        <v>0</v>
      </c>
      <c r="AF190">
        <f t="shared" si="12"/>
        <v>0</v>
      </c>
      <c r="AG190">
        <f t="shared" si="12"/>
        <v>0</v>
      </c>
      <c r="AH190">
        <f t="shared" si="12"/>
        <v>1</v>
      </c>
      <c r="AI190">
        <f t="shared" si="12"/>
        <v>0</v>
      </c>
      <c r="AJ190">
        <f t="shared" si="12"/>
        <v>0</v>
      </c>
      <c r="AK190">
        <f t="shared" si="12"/>
        <v>0</v>
      </c>
      <c r="AL190">
        <f t="shared" si="12"/>
        <v>1</v>
      </c>
      <c r="AM190">
        <f t="shared" si="12"/>
        <v>0</v>
      </c>
      <c r="AN190">
        <f t="shared" si="12"/>
        <v>0</v>
      </c>
      <c r="AO190">
        <f t="shared" si="12"/>
        <v>0</v>
      </c>
      <c r="AP190">
        <f t="shared" si="12"/>
        <v>0</v>
      </c>
      <c r="AQ190">
        <f t="shared" si="12"/>
        <v>0</v>
      </c>
      <c r="AR190">
        <f t="shared" si="12"/>
        <v>0</v>
      </c>
      <c r="AS190">
        <f t="shared" si="12"/>
        <v>0</v>
      </c>
      <c r="AT190">
        <f t="shared" si="12"/>
        <v>0</v>
      </c>
      <c r="AU190">
        <f t="shared" si="12"/>
        <v>0</v>
      </c>
      <c r="AV190">
        <f t="shared" si="12"/>
        <v>0</v>
      </c>
      <c r="AW190">
        <f t="shared" si="12"/>
        <v>0</v>
      </c>
      <c r="AX190">
        <f t="shared" si="12"/>
        <v>1</v>
      </c>
      <c r="AY190">
        <f t="shared" si="12"/>
        <v>0</v>
      </c>
      <c r="AZ190">
        <f t="shared" si="12"/>
        <v>1</v>
      </c>
      <c r="BA190">
        <f t="shared" si="12"/>
        <v>0</v>
      </c>
      <c r="BB190">
        <f t="shared" si="12"/>
        <v>0</v>
      </c>
      <c r="BC190">
        <f t="shared" si="12"/>
        <v>1</v>
      </c>
      <c r="BD190">
        <f t="shared" si="12"/>
        <v>1</v>
      </c>
      <c r="BE190">
        <f t="shared" si="12"/>
        <v>0</v>
      </c>
      <c r="BF190">
        <f t="shared" si="12"/>
        <v>0</v>
      </c>
      <c r="BG190">
        <f t="shared" si="12"/>
        <v>0</v>
      </c>
      <c r="BH190">
        <f t="shared" si="12"/>
        <v>0</v>
      </c>
      <c r="BI190">
        <f t="shared" si="12"/>
        <v>0</v>
      </c>
      <c r="BJ190">
        <f t="shared" si="12"/>
        <v>1</v>
      </c>
      <c r="BK190">
        <f t="shared" si="12"/>
        <v>1</v>
      </c>
      <c r="BL190">
        <f t="shared" si="12"/>
        <v>0</v>
      </c>
      <c r="BM190">
        <f t="shared" si="12"/>
        <v>0</v>
      </c>
      <c r="BN190">
        <f t="shared" si="12"/>
        <v>0</v>
      </c>
      <c r="BO190">
        <f t="shared" ref="BO190:DA190" si="13">COUNTA(BO62:BO189)</f>
        <v>0</v>
      </c>
      <c r="BP190">
        <f t="shared" si="13"/>
        <v>0</v>
      </c>
      <c r="BQ190">
        <f t="shared" si="13"/>
        <v>0</v>
      </c>
      <c r="BR190">
        <f t="shared" si="13"/>
        <v>0</v>
      </c>
      <c r="BS190">
        <f t="shared" si="13"/>
        <v>0</v>
      </c>
      <c r="BT190">
        <f t="shared" si="13"/>
        <v>0</v>
      </c>
      <c r="BU190">
        <f t="shared" si="13"/>
        <v>0</v>
      </c>
      <c r="BV190">
        <f t="shared" si="13"/>
        <v>0</v>
      </c>
      <c r="BW190">
        <f t="shared" si="13"/>
        <v>0</v>
      </c>
      <c r="BX190">
        <f t="shared" si="13"/>
        <v>0</v>
      </c>
      <c r="BY190">
        <f t="shared" si="13"/>
        <v>0</v>
      </c>
      <c r="BZ190">
        <f t="shared" si="13"/>
        <v>0</v>
      </c>
      <c r="CA190">
        <f t="shared" si="13"/>
        <v>0</v>
      </c>
      <c r="CB190">
        <f t="shared" si="13"/>
        <v>0</v>
      </c>
      <c r="CC190">
        <f t="shared" si="13"/>
        <v>0</v>
      </c>
      <c r="CD190">
        <f t="shared" si="13"/>
        <v>0</v>
      </c>
      <c r="CE190">
        <f t="shared" si="13"/>
        <v>0</v>
      </c>
      <c r="CF190">
        <f t="shared" si="13"/>
        <v>1</v>
      </c>
      <c r="CG190">
        <f t="shared" si="13"/>
        <v>1</v>
      </c>
      <c r="CH190">
        <f t="shared" si="13"/>
        <v>0</v>
      </c>
      <c r="CI190">
        <f t="shared" si="13"/>
        <v>0</v>
      </c>
      <c r="CJ190">
        <f t="shared" si="13"/>
        <v>0</v>
      </c>
      <c r="CK190">
        <f t="shared" si="13"/>
        <v>0</v>
      </c>
      <c r="CL190">
        <f t="shared" si="13"/>
        <v>3</v>
      </c>
      <c r="CM190">
        <f t="shared" si="13"/>
        <v>0</v>
      </c>
      <c r="CN190">
        <f t="shared" si="13"/>
        <v>1</v>
      </c>
      <c r="CO190">
        <f t="shared" si="13"/>
        <v>0</v>
      </c>
      <c r="CP190">
        <f t="shared" si="13"/>
        <v>0</v>
      </c>
      <c r="CQ190">
        <f t="shared" si="13"/>
        <v>0</v>
      </c>
      <c r="CR190">
        <f t="shared" si="13"/>
        <v>0</v>
      </c>
      <c r="CS190">
        <f t="shared" si="13"/>
        <v>0</v>
      </c>
      <c r="CT190">
        <f t="shared" si="13"/>
        <v>0</v>
      </c>
      <c r="CU190">
        <f t="shared" si="13"/>
        <v>0</v>
      </c>
      <c r="CV190">
        <f t="shared" si="13"/>
        <v>0</v>
      </c>
      <c r="CW190">
        <f t="shared" si="13"/>
        <v>0</v>
      </c>
      <c r="CX190">
        <f t="shared" si="13"/>
        <v>0</v>
      </c>
      <c r="CY190">
        <f t="shared" si="13"/>
        <v>0</v>
      </c>
      <c r="CZ190">
        <f t="shared" si="13"/>
        <v>0</v>
      </c>
      <c r="DA190">
        <f t="shared" si="13"/>
        <v>0</v>
      </c>
    </row>
    <row r="191" spans="1:105" s="12" customFormat="1" x14ac:dyDescent="0.25">
      <c r="A191" s="12">
        <v>4289</v>
      </c>
      <c r="B191" s="12" t="s">
        <v>17</v>
      </c>
    </row>
    <row r="192" spans="1:105" s="12" customFormat="1" x14ac:dyDescent="0.25">
      <c r="A192" s="12">
        <v>500245</v>
      </c>
      <c r="B192" s="12" t="s">
        <v>17</v>
      </c>
    </row>
    <row r="193" spans="1:15" s="12" customFormat="1" x14ac:dyDescent="0.25">
      <c r="A193" s="12">
        <v>2002573</v>
      </c>
      <c r="B193" s="12" t="s">
        <v>17</v>
      </c>
    </row>
    <row r="194" spans="1:15" s="12" customFormat="1" x14ac:dyDescent="0.25">
      <c r="A194" s="12">
        <v>2003539</v>
      </c>
      <c r="B194" s="12" t="s">
        <v>17</v>
      </c>
    </row>
    <row r="195" spans="1:15" s="12" customFormat="1" x14ac:dyDescent="0.25">
      <c r="A195" s="12">
        <v>2003649</v>
      </c>
      <c r="B195" s="12" t="s">
        <v>17</v>
      </c>
    </row>
    <row r="196" spans="1:15" s="12" customFormat="1" x14ac:dyDescent="0.25">
      <c r="A196" s="12">
        <v>2005572</v>
      </c>
      <c r="B196" s="12" t="s">
        <v>17</v>
      </c>
    </row>
    <row r="197" spans="1:15" s="12" customFormat="1" x14ac:dyDescent="0.25">
      <c r="A197" s="12">
        <v>2013117</v>
      </c>
      <c r="B197" s="12" t="s">
        <v>17</v>
      </c>
    </row>
    <row r="198" spans="1:15" s="12" customFormat="1" x14ac:dyDescent="0.25">
      <c r="A198" s="12">
        <v>3009633</v>
      </c>
      <c r="B198" s="12" t="s">
        <v>17</v>
      </c>
    </row>
    <row r="199" spans="1:15" s="12" customFormat="1" x14ac:dyDescent="0.25">
      <c r="A199" s="12">
        <v>3010583</v>
      </c>
      <c r="B199" s="12" t="s">
        <v>17</v>
      </c>
    </row>
    <row r="200" spans="1:15" s="12" customFormat="1" x14ac:dyDescent="0.25">
      <c r="A200" s="16">
        <v>3011892</v>
      </c>
      <c r="B200" s="12" t="s">
        <v>17</v>
      </c>
    </row>
    <row r="201" spans="1:15" s="12" customFormat="1" x14ac:dyDescent="0.25">
      <c r="A201" s="12">
        <v>4001382</v>
      </c>
      <c r="B201" s="12" t="s">
        <v>17</v>
      </c>
    </row>
    <row r="202" spans="1:15" s="12" customFormat="1" x14ac:dyDescent="0.25">
      <c r="A202" s="12">
        <v>5018675</v>
      </c>
      <c r="B202" s="12" t="s">
        <v>17</v>
      </c>
    </row>
    <row r="203" spans="1:15" s="12" customFormat="1" x14ac:dyDescent="0.25">
      <c r="A203" s="12">
        <v>6050168</v>
      </c>
      <c r="B203" s="12" t="s">
        <v>17</v>
      </c>
      <c r="J203" s="12">
        <v>26.1</v>
      </c>
      <c r="O203" s="12">
        <v>31</v>
      </c>
    </row>
    <row r="204" spans="1:15" s="12" customFormat="1" x14ac:dyDescent="0.25">
      <c r="A204" s="12">
        <v>7003242</v>
      </c>
      <c r="B204" s="12" t="s">
        <v>17</v>
      </c>
    </row>
    <row r="205" spans="1:15" s="12" customFormat="1" x14ac:dyDescent="0.25">
      <c r="A205" s="12">
        <v>12022536</v>
      </c>
      <c r="B205" s="12" t="s">
        <v>17</v>
      </c>
    </row>
    <row r="206" spans="1:15" s="12" customFormat="1" x14ac:dyDescent="0.25">
      <c r="A206" s="12">
        <v>13020792</v>
      </c>
      <c r="B206" s="12" t="s">
        <v>17</v>
      </c>
    </row>
    <row r="207" spans="1:15" s="12" customFormat="1" x14ac:dyDescent="0.25">
      <c r="A207" s="12">
        <v>97005797</v>
      </c>
      <c r="B207" s="12" t="s">
        <v>17</v>
      </c>
    </row>
    <row r="208" spans="1:15" s="12" customFormat="1" x14ac:dyDescent="0.25">
      <c r="A208" s="12">
        <v>99000345</v>
      </c>
      <c r="B208" s="12" t="s">
        <v>17</v>
      </c>
    </row>
    <row r="209" spans="1:90" s="12" customFormat="1" x14ac:dyDescent="0.25">
      <c r="A209" s="12">
        <v>5006592</v>
      </c>
      <c r="B209" s="12" t="s">
        <v>17</v>
      </c>
    </row>
    <row r="210" spans="1:90" s="12" customFormat="1" x14ac:dyDescent="0.25">
      <c r="A210" s="12">
        <v>5007274</v>
      </c>
      <c r="B210" s="12" t="s">
        <v>17</v>
      </c>
    </row>
    <row r="211" spans="1:90" s="12" customFormat="1" x14ac:dyDescent="0.25">
      <c r="A211" s="12">
        <v>5015851</v>
      </c>
      <c r="B211" s="12" t="s">
        <v>17</v>
      </c>
      <c r="CL211" s="12">
        <v>6.859</v>
      </c>
    </row>
    <row r="212" spans="1:90" s="12" customFormat="1" x14ac:dyDescent="0.25">
      <c r="A212" s="12">
        <v>6015647</v>
      </c>
      <c r="B212" s="12" t="s">
        <v>17</v>
      </c>
    </row>
    <row r="213" spans="1:90" s="12" customFormat="1" x14ac:dyDescent="0.25">
      <c r="A213" s="12">
        <v>6056633</v>
      </c>
      <c r="B213" s="12" t="s">
        <v>17</v>
      </c>
    </row>
    <row r="214" spans="1:90" s="12" customFormat="1" x14ac:dyDescent="0.25">
      <c r="A214" s="12">
        <v>7086224</v>
      </c>
      <c r="B214" s="12" t="s">
        <v>17</v>
      </c>
    </row>
    <row r="215" spans="1:90" s="12" customFormat="1" x14ac:dyDescent="0.25">
      <c r="A215" s="12">
        <v>8040959</v>
      </c>
      <c r="B215" s="12" t="s">
        <v>17</v>
      </c>
    </row>
    <row r="216" spans="1:90" s="12" customFormat="1" x14ac:dyDescent="0.25">
      <c r="A216" s="12">
        <v>8107048</v>
      </c>
      <c r="B216" s="12" t="s">
        <v>17</v>
      </c>
    </row>
    <row r="217" spans="1:90" s="12" customFormat="1" x14ac:dyDescent="0.25">
      <c r="A217" s="12">
        <v>8124044</v>
      </c>
      <c r="B217" s="12" t="s">
        <v>17</v>
      </c>
    </row>
    <row r="218" spans="1:90" s="12" customFormat="1" x14ac:dyDescent="0.25">
      <c r="A218" s="12">
        <v>8142949</v>
      </c>
      <c r="B218" s="12" t="s">
        <v>17</v>
      </c>
    </row>
    <row r="219" spans="1:90" s="12" customFormat="1" x14ac:dyDescent="0.25">
      <c r="A219" s="12">
        <v>9023306</v>
      </c>
      <c r="B219" s="12" t="s">
        <v>17</v>
      </c>
    </row>
    <row r="220" spans="1:90" s="12" customFormat="1" x14ac:dyDescent="0.25">
      <c r="A220" s="12">
        <v>9034464</v>
      </c>
      <c r="B220" s="12" t="s">
        <v>17</v>
      </c>
    </row>
    <row r="221" spans="1:90" s="12" customFormat="1" x14ac:dyDescent="0.25">
      <c r="A221" s="12">
        <v>9040167</v>
      </c>
      <c r="B221" s="12" t="s">
        <v>17</v>
      </c>
    </row>
    <row r="222" spans="1:90" s="12" customFormat="1" x14ac:dyDescent="0.25">
      <c r="A222" s="12">
        <v>9054567</v>
      </c>
      <c r="B222" s="12" t="s">
        <v>17</v>
      </c>
    </row>
    <row r="223" spans="1:90" s="12" customFormat="1" x14ac:dyDescent="0.25">
      <c r="A223" s="12">
        <v>9083682</v>
      </c>
      <c r="B223" s="12" t="s">
        <v>17</v>
      </c>
      <c r="CB223" s="12">
        <v>0.191</v>
      </c>
    </row>
    <row r="224" spans="1:90" s="12" customFormat="1" x14ac:dyDescent="0.25">
      <c r="A224" s="12">
        <v>9102044</v>
      </c>
      <c r="B224" s="12" t="s">
        <v>17</v>
      </c>
    </row>
    <row r="225" spans="1:55" s="12" customFormat="1" x14ac:dyDescent="0.25">
      <c r="A225" s="12">
        <v>9119854</v>
      </c>
      <c r="B225" s="12" t="s">
        <v>17</v>
      </c>
    </row>
    <row r="226" spans="1:55" s="12" customFormat="1" x14ac:dyDescent="0.25">
      <c r="A226" s="12">
        <v>9125126</v>
      </c>
      <c r="B226" s="12" t="s">
        <v>17</v>
      </c>
    </row>
    <row r="227" spans="1:55" s="12" customFormat="1" x14ac:dyDescent="0.25">
      <c r="A227" s="12">
        <v>9174811</v>
      </c>
      <c r="B227" s="12" t="s">
        <v>17</v>
      </c>
    </row>
    <row r="228" spans="1:55" s="12" customFormat="1" x14ac:dyDescent="0.25">
      <c r="A228" s="12">
        <v>10002875</v>
      </c>
      <c r="B228" s="12" t="s">
        <v>17</v>
      </c>
      <c r="X228" s="14"/>
      <c r="BC228" s="14"/>
    </row>
    <row r="229" spans="1:55" s="12" customFormat="1" x14ac:dyDescent="0.25">
      <c r="A229" s="12">
        <v>10023080</v>
      </c>
      <c r="B229" s="12" t="s">
        <v>17</v>
      </c>
    </row>
    <row r="230" spans="1:55" s="12" customFormat="1" x14ac:dyDescent="0.25">
      <c r="A230" s="12">
        <v>10025212</v>
      </c>
      <c r="B230" s="12" t="s">
        <v>17</v>
      </c>
    </row>
    <row r="231" spans="1:55" s="12" customFormat="1" x14ac:dyDescent="0.25">
      <c r="A231" s="12">
        <v>10069407</v>
      </c>
      <c r="B231" s="12" t="s">
        <v>17</v>
      </c>
    </row>
    <row r="232" spans="1:55" s="12" customFormat="1" x14ac:dyDescent="0.25">
      <c r="A232" s="12">
        <v>10071135</v>
      </c>
      <c r="B232" s="12" t="s">
        <v>17</v>
      </c>
    </row>
    <row r="233" spans="1:55" s="12" customFormat="1" x14ac:dyDescent="0.25">
      <c r="A233" s="12">
        <v>10083649</v>
      </c>
      <c r="B233" s="12" t="s">
        <v>17</v>
      </c>
    </row>
    <row r="234" spans="1:55" s="12" customFormat="1" x14ac:dyDescent="0.25">
      <c r="A234" s="12">
        <v>10102021</v>
      </c>
      <c r="B234" s="12" t="s">
        <v>17</v>
      </c>
    </row>
    <row r="235" spans="1:55" s="12" customFormat="1" x14ac:dyDescent="0.25">
      <c r="A235" s="12">
        <v>10123729</v>
      </c>
      <c r="B235" s="12" t="s">
        <v>17</v>
      </c>
    </row>
    <row r="236" spans="1:55" s="12" customFormat="1" x14ac:dyDescent="0.25">
      <c r="A236" s="12">
        <v>10144736</v>
      </c>
      <c r="B236" s="12" t="s">
        <v>17</v>
      </c>
    </row>
    <row r="237" spans="1:55" s="12" customFormat="1" x14ac:dyDescent="0.25">
      <c r="A237" s="12">
        <v>10157275</v>
      </c>
      <c r="B237" s="12" t="s">
        <v>17</v>
      </c>
    </row>
    <row r="238" spans="1:55" s="12" customFormat="1" x14ac:dyDescent="0.25">
      <c r="A238" s="12">
        <v>10190869</v>
      </c>
      <c r="B238" s="12" t="s">
        <v>17</v>
      </c>
    </row>
    <row r="239" spans="1:55" s="12" customFormat="1" x14ac:dyDescent="0.25">
      <c r="A239" s="12">
        <v>11008417</v>
      </c>
      <c r="B239" s="12" t="s">
        <v>17</v>
      </c>
    </row>
    <row r="240" spans="1:55" s="12" customFormat="1" x14ac:dyDescent="0.25">
      <c r="A240" s="12">
        <v>11043926</v>
      </c>
      <c r="B240" s="12" t="s">
        <v>17</v>
      </c>
    </row>
    <row r="241" spans="1:34" s="12" customFormat="1" x14ac:dyDescent="0.25">
      <c r="A241" s="12">
        <v>11049060</v>
      </c>
      <c r="B241" s="12" t="s">
        <v>17</v>
      </c>
      <c r="X241" s="14"/>
      <c r="AH241" s="12">
        <v>1.2</v>
      </c>
    </row>
    <row r="242" spans="1:34" s="12" customFormat="1" x14ac:dyDescent="0.25">
      <c r="A242" s="12">
        <v>11058012</v>
      </c>
      <c r="B242" s="12" t="s">
        <v>17</v>
      </c>
    </row>
    <row r="243" spans="1:34" s="12" customFormat="1" x14ac:dyDescent="0.25">
      <c r="A243" s="12">
        <v>11082290</v>
      </c>
      <c r="B243" s="12" t="s">
        <v>17</v>
      </c>
    </row>
    <row r="244" spans="1:34" s="12" customFormat="1" x14ac:dyDescent="0.25">
      <c r="A244" s="12">
        <v>11096431</v>
      </c>
      <c r="B244" s="12" t="s">
        <v>17</v>
      </c>
    </row>
    <row r="245" spans="1:34" s="12" customFormat="1" x14ac:dyDescent="0.25">
      <c r="A245" s="12">
        <v>11105672</v>
      </c>
      <c r="B245" s="12" t="s">
        <v>17</v>
      </c>
    </row>
    <row r="246" spans="1:34" s="12" customFormat="1" x14ac:dyDescent="0.25">
      <c r="A246" s="12" t="s">
        <v>18</v>
      </c>
      <c r="B246" s="12" t="s">
        <v>17</v>
      </c>
    </row>
    <row r="247" spans="1:34" s="12" customFormat="1" x14ac:dyDescent="0.25">
      <c r="A247" s="12">
        <v>11136262</v>
      </c>
      <c r="B247" s="12" t="s">
        <v>17</v>
      </c>
    </row>
    <row r="248" spans="1:34" s="12" customFormat="1" x14ac:dyDescent="0.25">
      <c r="A248" s="12">
        <v>11178455</v>
      </c>
      <c r="B248" s="12" t="s">
        <v>17</v>
      </c>
    </row>
    <row r="249" spans="1:34" s="12" customFormat="1" x14ac:dyDescent="0.25">
      <c r="A249" s="12">
        <v>11179526</v>
      </c>
      <c r="B249" s="12" t="s">
        <v>17</v>
      </c>
    </row>
    <row r="250" spans="1:34" s="12" customFormat="1" x14ac:dyDescent="0.25">
      <c r="A250" s="12">
        <v>11187511</v>
      </c>
      <c r="B250" s="12" t="s">
        <v>17</v>
      </c>
    </row>
    <row r="251" spans="1:34" s="12" customFormat="1" x14ac:dyDescent="0.25">
      <c r="A251" s="12">
        <v>11223290</v>
      </c>
      <c r="B251" s="12" t="s">
        <v>17</v>
      </c>
    </row>
    <row r="252" spans="1:34" s="12" customFormat="1" x14ac:dyDescent="0.25">
      <c r="A252" s="12">
        <v>11228365</v>
      </c>
      <c r="B252" s="12" t="s">
        <v>17</v>
      </c>
    </row>
    <row r="253" spans="1:34" s="12" customFormat="1" x14ac:dyDescent="0.25">
      <c r="A253" s="12">
        <v>12020246</v>
      </c>
      <c r="B253" s="12" t="s">
        <v>17</v>
      </c>
    </row>
    <row r="254" spans="1:34" s="12" customFormat="1" x14ac:dyDescent="0.25">
      <c r="A254" s="12">
        <v>12035138</v>
      </c>
      <c r="B254" s="12" t="s">
        <v>17</v>
      </c>
    </row>
    <row r="255" spans="1:34" s="12" customFormat="1" x14ac:dyDescent="0.25">
      <c r="A255" s="12">
        <v>12111578</v>
      </c>
      <c r="B255" s="12" t="s">
        <v>17</v>
      </c>
    </row>
    <row r="256" spans="1:34" s="12" customFormat="1" x14ac:dyDescent="0.25">
      <c r="A256" s="12">
        <v>12133434</v>
      </c>
      <c r="B256" s="12" t="s">
        <v>17</v>
      </c>
    </row>
    <row r="257" spans="1:105" s="12" customFormat="1" x14ac:dyDescent="0.25">
      <c r="A257" s="12">
        <v>12164268</v>
      </c>
      <c r="B257" s="12" t="s">
        <v>17</v>
      </c>
    </row>
    <row r="258" spans="1:105" s="12" customFormat="1" x14ac:dyDescent="0.25">
      <c r="A258" s="12">
        <v>12164269</v>
      </c>
      <c r="B258" s="12" t="s">
        <v>17</v>
      </c>
    </row>
    <row r="259" spans="1:105" s="12" customFormat="1" x14ac:dyDescent="0.25">
      <c r="A259" s="12">
        <v>12168562</v>
      </c>
      <c r="B259" s="12" t="s">
        <v>17</v>
      </c>
    </row>
    <row r="260" spans="1:105" s="12" customFormat="1" x14ac:dyDescent="0.25">
      <c r="A260" s="12">
        <v>12190939</v>
      </c>
      <c r="B260" s="12" t="s">
        <v>17</v>
      </c>
    </row>
    <row r="261" spans="1:105" s="12" customFormat="1" x14ac:dyDescent="0.25">
      <c r="A261" s="12">
        <v>12311081</v>
      </c>
      <c r="B261" s="12" t="s">
        <v>17</v>
      </c>
    </row>
    <row r="262" spans="1:105" s="12" customFormat="1" x14ac:dyDescent="0.25">
      <c r="A262" s="12">
        <v>6000832</v>
      </c>
      <c r="B262" s="12" t="s">
        <v>17</v>
      </c>
    </row>
    <row r="263" spans="1:105" s="12" customFormat="1" x14ac:dyDescent="0.25">
      <c r="A263" s="12">
        <v>9030615</v>
      </c>
      <c r="B263" s="12" t="s">
        <v>17</v>
      </c>
    </row>
    <row r="264" spans="1:105" s="12" customFormat="1" x14ac:dyDescent="0.25">
      <c r="A264" s="12" t="s">
        <v>19</v>
      </c>
      <c r="B264" s="12" t="s">
        <v>17</v>
      </c>
    </row>
    <row r="265" spans="1:105" s="12" customFormat="1" x14ac:dyDescent="0.25">
      <c r="A265" s="12" t="s">
        <v>20</v>
      </c>
      <c r="B265" s="12" t="s">
        <v>17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CF265" s="13"/>
      <c r="CG265" s="13"/>
      <c r="CH265" s="13"/>
      <c r="CI265" s="13"/>
      <c r="CJ265" s="13"/>
      <c r="CK265" s="13"/>
    </row>
    <row r="266" spans="1:105" x14ac:dyDescent="0.25">
      <c r="C266">
        <f>COUNTA(C191:C265)</f>
        <v>0</v>
      </c>
      <c r="D266">
        <f>COUNTA(D191:D265)</f>
        <v>0</v>
      </c>
      <c r="E266">
        <f t="shared" ref="E266:BN266" si="14">COUNTA(E191:E265)</f>
        <v>0</v>
      </c>
      <c r="F266">
        <f t="shared" si="14"/>
        <v>0</v>
      </c>
      <c r="G266">
        <f t="shared" si="14"/>
        <v>0</v>
      </c>
      <c r="H266">
        <f t="shared" si="14"/>
        <v>0</v>
      </c>
      <c r="I266">
        <f t="shared" si="14"/>
        <v>0</v>
      </c>
      <c r="J266">
        <f t="shared" si="14"/>
        <v>1</v>
      </c>
      <c r="K266">
        <f t="shared" si="14"/>
        <v>0</v>
      </c>
      <c r="L266">
        <f t="shared" si="14"/>
        <v>0</v>
      </c>
      <c r="M266">
        <f t="shared" si="14"/>
        <v>0</v>
      </c>
      <c r="N266">
        <f t="shared" si="14"/>
        <v>0</v>
      </c>
      <c r="O266">
        <f t="shared" si="14"/>
        <v>1</v>
      </c>
      <c r="P266">
        <f t="shared" si="14"/>
        <v>0</v>
      </c>
      <c r="Q266">
        <f t="shared" si="14"/>
        <v>0</v>
      </c>
      <c r="R266">
        <f t="shared" si="14"/>
        <v>0</v>
      </c>
      <c r="S266">
        <f t="shared" si="14"/>
        <v>0</v>
      </c>
      <c r="T266">
        <f t="shared" si="14"/>
        <v>0</v>
      </c>
      <c r="U266">
        <f t="shared" si="14"/>
        <v>0</v>
      </c>
      <c r="V266">
        <f t="shared" si="14"/>
        <v>0</v>
      </c>
      <c r="W266">
        <f t="shared" si="14"/>
        <v>0</v>
      </c>
      <c r="X266">
        <f t="shared" si="14"/>
        <v>0</v>
      </c>
      <c r="Y266">
        <f t="shared" si="14"/>
        <v>0</v>
      </c>
      <c r="Z266">
        <f t="shared" si="14"/>
        <v>0</v>
      </c>
      <c r="AA266">
        <f t="shared" si="14"/>
        <v>0</v>
      </c>
      <c r="AB266">
        <f t="shared" si="14"/>
        <v>0</v>
      </c>
      <c r="AC266">
        <f t="shared" si="14"/>
        <v>0</v>
      </c>
      <c r="AD266">
        <f t="shared" si="14"/>
        <v>0</v>
      </c>
      <c r="AE266">
        <f t="shared" si="14"/>
        <v>0</v>
      </c>
      <c r="AF266">
        <f t="shared" si="14"/>
        <v>0</v>
      </c>
      <c r="AG266">
        <f t="shared" si="14"/>
        <v>0</v>
      </c>
      <c r="AH266">
        <f t="shared" si="14"/>
        <v>1</v>
      </c>
      <c r="AI266">
        <f t="shared" si="14"/>
        <v>0</v>
      </c>
      <c r="AJ266">
        <f t="shared" si="14"/>
        <v>0</v>
      </c>
      <c r="AK266">
        <f t="shared" si="14"/>
        <v>0</v>
      </c>
      <c r="AL266">
        <f t="shared" si="14"/>
        <v>0</v>
      </c>
      <c r="AM266">
        <f t="shared" si="14"/>
        <v>0</v>
      </c>
      <c r="AN266">
        <f t="shared" si="14"/>
        <v>0</v>
      </c>
      <c r="AO266">
        <f t="shared" si="14"/>
        <v>0</v>
      </c>
      <c r="AP266">
        <f t="shared" si="14"/>
        <v>0</v>
      </c>
      <c r="AQ266">
        <f t="shared" si="14"/>
        <v>0</v>
      </c>
      <c r="AR266">
        <f t="shared" si="14"/>
        <v>0</v>
      </c>
      <c r="AS266">
        <f t="shared" si="14"/>
        <v>0</v>
      </c>
      <c r="AT266">
        <f t="shared" si="14"/>
        <v>0</v>
      </c>
      <c r="AU266">
        <f t="shared" si="14"/>
        <v>0</v>
      </c>
      <c r="AV266">
        <f t="shared" si="14"/>
        <v>0</v>
      </c>
      <c r="AW266">
        <f t="shared" si="14"/>
        <v>0</v>
      </c>
      <c r="AX266">
        <f t="shared" si="14"/>
        <v>0</v>
      </c>
      <c r="AY266">
        <f t="shared" si="14"/>
        <v>0</v>
      </c>
      <c r="AZ266">
        <f t="shared" si="14"/>
        <v>0</v>
      </c>
      <c r="BA266">
        <f t="shared" si="14"/>
        <v>0</v>
      </c>
      <c r="BB266">
        <f t="shared" si="14"/>
        <v>0</v>
      </c>
      <c r="BC266">
        <f t="shared" si="14"/>
        <v>0</v>
      </c>
      <c r="BD266">
        <f t="shared" si="14"/>
        <v>0</v>
      </c>
      <c r="BE266">
        <f t="shared" si="14"/>
        <v>0</v>
      </c>
      <c r="BF266">
        <f t="shared" si="14"/>
        <v>0</v>
      </c>
      <c r="BG266">
        <f t="shared" si="14"/>
        <v>0</v>
      </c>
      <c r="BH266">
        <f t="shared" si="14"/>
        <v>0</v>
      </c>
      <c r="BI266">
        <f t="shared" si="14"/>
        <v>0</v>
      </c>
      <c r="BJ266">
        <f t="shared" si="14"/>
        <v>0</v>
      </c>
      <c r="BK266">
        <f t="shared" si="14"/>
        <v>0</v>
      </c>
      <c r="BL266">
        <f t="shared" si="14"/>
        <v>0</v>
      </c>
      <c r="BM266">
        <f t="shared" si="14"/>
        <v>0</v>
      </c>
      <c r="BN266">
        <f t="shared" si="14"/>
        <v>0</v>
      </c>
      <c r="BO266">
        <f t="shared" ref="BO266:DA266" si="15">COUNTA(BO191:BO265)</f>
        <v>0</v>
      </c>
      <c r="BP266">
        <f t="shared" si="15"/>
        <v>0</v>
      </c>
      <c r="BQ266">
        <f t="shared" si="15"/>
        <v>0</v>
      </c>
      <c r="BR266">
        <f t="shared" si="15"/>
        <v>0</v>
      </c>
      <c r="BS266">
        <f t="shared" si="15"/>
        <v>0</v>
      </c>
      <c r="BT266">
        <f t="shared" si="15"/>
        <v>0</v>
      </c>
      <c r="BU266">
        <f t="shared" si="15"/>
        <v>0</v>
      </c>
      <c r="BV266">
        <f t="shared" si="15"/>
        <v>0</v>
      </c>
      <c r="BW266">
        <f t="shared" si="15"/>
        <v>0</v>
      </c>
      <c r="BX266">
        <f t="shared" si="15"/>
        <v>0</v>
      </c>
      <c r="BY266">
        <f t="shared" si="15"/>
        <v>0</v>
      </c>
      <c r="BZ266">
        <f t="shared" si="15"/>
        <v>0</v>
      </c>
      <c r="CA266">
        <f t="shared" si="15"/>
        <v>0</v>
      </c>
      <c r="CB266">
        <f t="shared" si="15"/>
        <v>1</v>
      </c>
      <c r="CC266">
        <f t="shared" si="15"/>
        <v>0</v>
      </c>
      <c r="CD266">
        <f t="shared" si="15"/>
        <v>0</v>
      </c>
      <c r="CE266">
        <f t="shared" si="15"/>
        <v>0</v>
      </c>
      <c r="CF266">
        <f t="shared" si="15"/>
        <v>0</v>
      </c>
      <c r="CG266">
        <f t="shared" si="15"/>
        <v>0</v>
      </c>
      <c r="CH266">
        <f t="shared" si="15"/>
        <v>0</v>
      </c>
      <c r="CI266">
        <f t="shared" si="15"/>
        <v>0</v>
      </c>
      <c r="CJ266">
        <f t="shared" si="15"/>
        <v>0</v>
      </c>
      <c r="CK266">
        <f t="shared" si="15"/>
        <v>0</v>
      </c>
      <c r="CL266">
        <f t="shared" si="15"/>
        <v>1</v>
      </c>
      <c r="CM266">
        <f t="shared" si="15"/>
        <v>0</v>
      </c>
      <c r="CN266">
        <f t="shared" si="15"/>
        <v>0</v>
      </c>
      <c r="CO266">
        <f t="shared" si="15"/>
        <v>0</v>
      </c>
      <c r="CP266">
        <f t="shared" si="15"/>
        <v>0</v>
      </c>
      <c r="CQ266">
        <f t="shared" si="15"/>
        <v>0</v>
      </c>
      <c r="CR266">
        <f t="shared" si="15"/>
        <v>0</v>
      </c>
      <c r="CS266">
        <f t="shared" si="15"/>
        <v>0</v>
      </c>
      <c r="CT266">
        <f t="shared" si="15"/>
        <v>0</v>
      </c>
      <c r="CU266">
        <f t="shared" si="15"/>
        <v>0</v>
      </c>
      <c r="CV266">
        <f t="shared" si="15"/>
        <v>0</v>
      </c>
      <c r="CW266">
        <f t="shared" si="15"/>
        <v>0</v>
      </c>
      <c r="CX266">
        <f t="shared" si="15"/>
        <v>0</v>
      </c>
      <c r="CY266">
        <f t="shared" si="15"/>
        <v>0</v>
      </c>
      <c r="CZ266">
        <f t="shared" si="15"/>
        <v>0</v>
      </c>
      <c r="DA266">
        <f t="shared" si="15"/>
        <v>0</v>
      </c>
    </row>
    <row r="267" spans="1:105" s="12" customFormat="1" x14ac:dyDescent="0.25">
      <c r="A267" s="12">
        <v>5281</v>
      </c>
      <c r="B267" s="12" t="s">
        <v>21</v>
      </c>
    </row>
    <row r="268" spans="1:105" s="12" customFormat="1" x14ac:dyDescent="0.25">
      <c r="A268" s="12">
        <v>200085</v>
      </c>
      <c r="B268" s="12" t="s">
        <v>21</v>
      </c>
    </row>
    <row r="269" spans="1:105" s="12" customFormat="1" x14ac:dyDescent="0.25">
      <c r="A269" s="12">
        <v>500129</v>
      </c>
      <c r="B269" s="12" t="s">
        <v>21</v>
      </c>
    </row>
    <row r="270" spans="1:105" s="12" customFormat="1" x14ac:dyDescent="0.25">
      <c r="A270" s="16">
        <v>1002033</v>
      </c>
      <c r="B270" s="12" t="s">
        <v>21</v>
      </c>
    </row>
    <row r="271" spans="1:105" s="12" customFormat="1" x14ac:dyDescent="0.25">
      <c r="A271" s="12">
        <v>1003457</v>
      </c>
      <c r="B271" s="12" t="s">
        <v>21</v>
      </c>
    </row>
    <row r="272" spans="1:105" s="12" customFormat="1" x14ac:dyDescent="0.25">
      <c r="A272" s="12">
        <v>2005223</v>
      </c>
      <c r="B272" s="12" t="s">
        <v>21</v>
      </c>
    </row>
    <row r="273" spans="1:90" s="12" customFormat="1" x14ac:dyDescent="0.25">
      <c r="A273" s="12">
        <v>2006107</v>
      </c>
      <c r="B273" s="12" t="s">
        <v>21</v>
      </c>
    </row>
    <row r="274" spans="1:90" s="12" customFormat="1" x14ac:dyDescent="0.25">
      <c r="A274" s="12">
        <v>2012014</v>
      </c>
      <c r="B274" s="12" t="s">
        <v>21</v>
      </c>
      <c r="CF274" s="12" t="s">
        <v>184</v>
      </c>
      <c r="CL274" s="12">
        <v>0.214</v>
      </c>
    </row>
    <row r="275" spans="1:90" s="12" customFormat="1" x14ac:dyDescent="0.25">
      <c r="A275" s="12">
        <v>3000152</v>
      </c>
      <c r="B275" s="12" t="s">
        <v>21</v>
      </c>
      <c r="X275" s="14"/>
    </row>
    <row r="276" spans="1:90" s="12" customFormat="1" x14ac:dyDescent="0.25">
      <c r="A276" s="12">
        <v>3014566</v>
      </c>
      <c r="B276" s="12" t="s">
        <v>21</v>
      </c>
    </row>
    <row r="277" spans="1:90" s="12" customFormat="1" x14ac:dyDescent="0.25">
      <c r="A277" s="12">
        <v>3015058</v>
      </c>
      <c r="B277" s="12" t="s">
        <v>21</v>
      </c>
      <c r="CL277" s="12">
        <v>0</v>
      </c>
    </row>
    <row r="278" spans="1:90" s="12" customFormat="1" x14ac:dyDescent="0.25">
      <c r="A278" s="16">
        <v>4000996</v>
      </c>
      <c r="B278" s="12" t="s">
        <v>21</v>
      </c>
    </row>
    <row r="279" spans="1:90" s="12" customFormat="1" x14ac:dyDescent="0.25">
      <c r="A279" s="12">
        <v>4003768</v>
      </c>
      <c r="B279" s="12" t="s">
        <v>21</v>
      </c>
    </row>
    <row r="280" spans="1:90" s="12" customFormat="1" x14ac:dyDescent="0.25">
      <c r="A280" s="12">
        <v>4006540</v>
      </c>
      <c r="B280" s="12" t="s">
        <v>21</v>
      </c>
    </row>
    <row r="281" spans="1:90" s="12" customFormat="1" x14ac:dyDescent="0.25">
      <c r="A281" s="12">
        <v>4007054</v>
      </c>
      <c r="B281" s="12" t="s">
        <v>21</v>
      </c>
    </row>
    <row r="282" spans="1:90" s="12" customFormat="1" x14ac:dyDescent="0.25">
      <c r="A282" s="12">
        <v>4011002</v>
      </c>
      <c r="B282" s="12" t="s">
        <v>21</v>
      </c>
    </row>
    <row r="283" spans="1:90" s="12" customFormat="1" x14ac:dyDescent="0.25">
      <c r="A283" s="12">
        <v>4900268</v>
      </c>
      <c r="B283" s="12" t="s">
        <v>21</v>
      </c>
    </row>
    <row r="284" spans="1:90" s="12" customFormat="1" x14ac:dyDescent="0.25">
      <c r="A284" s="12">
        <v>5001097</v>
      </c>
      <c r="B284" s="12" t="s">
        <v>21</v>
      </c>
    </row>
    <row r="285" spans="1:90" s="12" customFormat="1" x14ac:dyDescent="0.25">
      <c r="A285" s="12">
        <v>5001098</v>
      </c>
      <c r="B285" s="12" t="s">
        <v>21</v>
      </c>
    </row>
    <row r="286" spans="1:90" s="12" customFormat="1" x14ac:dyDescent="0.25">
      <c r="A286" s="12">
        <v>5006152</v>
      </c>
      <c r="B286" s="12" t="s">
        <v>21</v>
      </c>
    </row>
    <row r="287" spans="1:90" s="12" customFormat="1" x14ac:dyDescent="0.25">
      <c r="A287" s="12">
        <v>5011824</v>
      </c>
      <c r="B287" s="12" t="s">
        <v>21</v>
      </c>
    </row>
    <row r="288" spans="1:90" s="12" customFormat="1" x14ac:dyDescent="0.25">
      <c r="A288" s="12">
        <v>5016179</v>
      </c>
      <c r="B288" s="12" t="s">
        <v>21</v>
      </c>
    </row>
    <row r="289" spans="1:70" s="12" customFormat="1" x14ac:dyDescent="0.25">
      <c r="A289" s="12">
        <v>7079011</v>
      </c>
      <c r="B289" s="12" t="s">
        <v>21</v>
      </c>
    </row>
    <row r="290" spans="1:70" s="12" customFormat="1" x14ac:dyDescent="0.25">
      <c r="A290" s="12">
        <v>8135416</v>
      </c>
      <c r="B290" s="12" t="s">
        <v>21</v>
      </c>
    </row>
    <row r="291" spans="1:70" s="12" customFormat="1" x14ac:dyDescent="0.25">
      <c r="A291" s="12">
        <v>93018945</v>
      </c>
      <c r="B291" s="12" t="s">
        <v>21</v>
      </c>
    </row>
    <row r="292" spans="1:70" s="12" customFormat="1" x14ac:dyDescent="0.25">
      <c r="A292" s="12">
        <v>94009028</v>
      </c>
      <c r="B292" s="12" t="s">
        <v>21</v>
      </c>
    </row>
    <row r="293" spans="1:70" s="12" customFormat="1" x14ac:dyDescent="0.25">
      <c r="A293" s="12">
        <v>95005907</v>
      </c>
      <c r="B293" s="12" t="s">
        <v>21</v>
      </c>
    </row>
    <row r="294" spans="1:70" s="12" customFormat="1" x14ac:dyDescent="0.25">
      <c r="A294" s="12">
        <v>95900164</v>
      </c>
      <c r="B294" s="12" t="s">
        <v>21</v>
      </c>
    </row>
    <row r="295" spans="1:70" s="12" customFormat="1" x14ac:dyDescent="0.25">
      <c r="A295" s="12">
        <v>96015811</v>
      </c>
      <c r="B295" s="12" t="s">
        <v>21</v>
      </c>
    </row>
    <row r="296" spans="1:70" s="12" customFormat="1" x14ac:dyDescent="0.25">
      <c r="A296" s="12">
        <v>97001240</v>
      </c>
      <c r="B296" s="12" t="s">
        <v>21</v>
      </c>
      <c r="BR296" s="14"/>
    </row>
    <row r="297" spans="1:70" s="12" customFormat="1" x14ac:dyDescent="0.25">
      <c r="A297" s="12">
        <v>97005366</v>
      </c>
      <c r="B297" s="12" t="s">
        <v>21</v>
      </c>
    </row>
    <row r="298" spans="1:70" s="12" customFormat="1" x14ac:dyDescent="0.25">
      <c r="A298" s="12">
        <v>98000595</v>
      </c>
      <c r="B298" s="12" t="s">
        <v>21</v>
      </c>
    </row>
    <row r="299" spans="1:70" s="12" customFormat="1" x14ac:dyDescent="0.25">
      <c r="A299" s="12">
        <v>98002692</v>
      </c>
      <c r="B299" s="12" t="s">
        <v>21</v>
      </c>
    </row>
    <row r="300" spans="1:70" s="12" customFormat="1" x14ac:dyDescent="0.25">
      <c r="A300" s="12">
        <v>98005277</v>
      </c>
      <c r="B300" s="12" t="s">
        <v>21</v>
      </c>
    </row>
    <row r="301" spans="1:70" s="12" customFormat="1" x14ac:dyDescent="0.25">
      <c r="A301" s="12">
        <v>99001815</v>
      </c>
      <c r="B301" s="12" t="s">
        <v>21</v>
      </c>
    </row>
    <row r="302" spans="1:70" s="12" customFormat="1" x14ac:dyDescent="0.25">
      <c r="A302" s="12">
        <v>6012361</v>
      </c>
      <c r="B302" s="12" t="s">
        <v>21</v>
      </c>
    </row>
    <row r="303" spans="1:70" s="12" customFormat="1" x14ac:dyDescent="0.25">
      <c r="A303" s="12">
        <v>6015793</v>
      </c>
      <c r="B303" s="12" t="s">
        <v>21</v>
      </c>
    </row>
    <row r="304" spans="1:70" s="12" customFormat="1" x14ac:dyDescent="0.25">
      <c r="A304" s="12">
        <v>6043619</v>
      </c>
      <c r="B304" s="12" t="s">
        <v>21</v>
      </c>
    </row>
    <row r="305" spans="1:90" s="12" customFormat="1" x14ac:dyDescent="0.25">
      <c r="A305" s="12">
        <v>7001097</v>
      </c>
      <c r="B305" s="12" t="s">
        <v>21</v>
      </c>
    </row>
    <row r="306" spans="1:90" s="12" customFormat="1" x14ac:dyDescent="0.25">
      <c r="A306" s="12">
        <v>7011435</v>
      </c>
      <c r="B306" s="12" t="s">
        <v>21</v>
      </c>
    </row>
    <row r="307" spans="1:90" s="12" customFormat="1" x14ac:dyDescent="0.25">
      <c r="A307" s="12">
        <v>7045811</v>
      </c>
      <c r="B307" s="12" t="s">
        <v>21</v>
      </c>
    </row>
    <row r="308" spans="1:90" s="12" customFormat="1" x14ac:dyDescent="0.25">
      <c r="A308" s="12">
        <v>7071198</v>
      </c>
      <c r="B308" s="12" t="s">
        <v>21</v>
      </c>
    </row>
    <row r="309" spans="1:90" s="12" customFormat="1" x14ac:dyDescent="0.25">
      <c r="A309" s="12">
        <v>7101143</v>
      </c>
      <c r="B309" s="12" t="s">
        <v>21</v>
      </c>
    </row>
    <row r="310" spans="1:90" s="12" customFormat="1" x14ac:dyDescent="0.25">
      <c r="A310" s="12">
        <v>8073350</v>
      </c>
      <c r="B310" s="12" t="s">
        <v>21</v>
      </c>
    </row>
    <row r="311" spans="1:90" s="12" customFormat="1" x14ac:dyDescent="0.25">
      <c r="A311" s="12">
        <v>8073645</v>
      </c>
      <c r="B311" s="12" t="s">
        <v>21</v>
      </c>
    </row>
    <row r="312" spans="1:90" s="12" customFormat="1" x14ac:dyDescent="0.25">
      <c r="A312" s="16">
        <v>8089666</v>
      </c>
      <c r="B312" s="12" t="s">
        <v>21</v>
      </c>
    </row>
    <row r="313" spans="1:90" s="12" customFormat="1" x14ac:dyDescent="0.25">
      <c r="A313" s="12">
        <v>8103536</v>
      </c>
      <c r="B313" s="12" t="s">
        <v>21</v>
      </c>
    </row>
    <row r="314" spans="1:90" s="12" customFormat="1" x14ac:dyDescent="0.25">
      <c r="A314" s="12" t="s">
        <v>22</v>
      </c>
      <c r="B314" s="12" t="s">
        <v>21</v>
      </c>
    </row>
    <row r="315" spans="1:90" s="12" customFormat="1" x14ac:dyDescent="0.25">
      <c r="A315" s="12">
        <v>9003267</v>
      </c>
      <c r="B315" s="12" t="s">
        <v>21</v>
      </c>
    </row>
    <row r="316" spans="1:90" s="12" customFormat="1" x14ac:dyDescent="0.25">
      <c r="A316" s="12">
        <v>9036964</v>
      </c>
      <c r="B316" s="12" t="s">
        <v>21</v>
      </c>
      <c r="CL316" s="12" t="s">
        <v>185</v>
      </c>
    </row>
    <row r="317" spans="1:90" s="12" customFormat="1" x14ac:dyDescent="0.25">
      <c r="A317" s="12">
        <v>9090287</v>
      </c>
      <c r="B317" s="12" t="s">
        <v>21</v>
      </c>
    </row>
    <row r="318" spans="1:90" s="12" customFormat="1" x14ac:dyDescent="0.25">
      <c r="A318" s="12">
        <v>9095148</v>
      </c>
      <c r="B318" s="12" t="s">
        <v>21</v>
      </c>
    </row>
    <row r="319" spans="1:90" s="12" customFormat="1" x14ac:dyDescent="0.25">
      <c r="A319" s="12">
        <v>9104979</v>
      </c>
      <c r="B319" s="12" t="s">
        <v>21</v>
      </c>
    </row>
    <row r="320" spans="1:90" s="12" customFormat="1" x14ac:dyDescent="0.25">
      <c r="A320" s="12">
        <v>9139514</v>
      </c>
      <c r="B320" s="12" t="s">
        <v>21</v>
      </c>
    </row>
    <row r="321" spans="1:2" s="12" customFormat="1" x14ac:dyDescent="0.25">
      <c r="A321" s="12">
        <v>10020659</v>
      </c>
      <c r="B321" s="12" t="s">
        <v>21</v>
      </c>
    </row>
    <row r="322" spans="1:2" s="12" customFormat="1" x14ac:dyDescent="0.25">
      <c r="A322" s="12">
        <v>10025902</v>
      </c>
      <c r="B322" s="12" t="s">
        <v>21</v>
      </c>
    </row>
    <row r="323" spans="1:2" s="12" customFormat="1" x14ac:dyDescent="0.25">
      <c r="A323" s="12">
        <v>10027654</v>
      </c>
      <c r="B323" s="12" t="s">
        <v>21</v>
      </c>
    </row>
    <row r="324" spans="1:2" s="12" customFormat="1" x14ac:dyDescent="0.25">
      <c r="A324" s="12">
        <v>10084485</v>
      </c>
      <c r="B324" s="12" t="s">
        <v>21</v>
      </c>
    </row>
    <row r="325" spans="1:2" s="12" customFormat="1" x14ac:dyDescent="0.25">
      <c r="A325" s="12">
        <v>10098420</v>
      </c>
      <c r="B325" s="12" t="s">
        <v>21</v>
      </c>
    </row>
    <row r="326" spans="1:2" s="12" customFormat="1" x14ac:dyDescent="0.25">
      <c r="A326" s="12">
        <v>10129565</v>
      </c>
      <c r="B326" s="12" t="s">
        <v>21</v>
      </c>
    </row>
    <row r="327" spans="1:2" s="12" customFormat="1" x14ac:dyDescent="0.25">
      <c r="A327" s="12">
        <v>10146828</v>
      </c>
      <c r="B327" s="12" t="s">
        <v>21</v>
      </c>
    </row>
    <row r="328" spans="1:2" s="12" customFormat="1" x14ac:dyDescent="0.25">
      <c r="A328" s="12">
        <v>10163776</v>
      </c>
      <c r="B328" s="12" t="s">
        <v>21</v>
      </c>
    </row>
    <row r="329" spans="1:2" s="12" customFormat="1" x14ac:dyDescent="0.25">
      <c r="A329" s="12">
        <v>10173664</v>
      </c>
      <c r="B329" s="12" t="s">
        <v>21</v>
      </c>
    </row>
    <row r="330" spans="1:2" s="12" customFormat="1" x14ac:dyDescent="0.25">
      <c r="A330" s="12">
        <v>11000454</v>
      </c>
      <c r="B330" s="12" t="s">
        <v>21</v>
      </c>
    </row>
    <row r="331" spans="1:2" s="12" customFormat="1" x14ac:dyDescent="0.25">
      <c r="A331" s="12">
        <v>11083498</v>
      </c>
      <c r="B331" s="12" t="s">
        <v>21</v>
      </c>
    </row>
    <row r="332" spans="1:2" s="12" customFormat="1" x14ac:dyDescent="0.25">
      <c r="A332" s="12">
        <v>11138447</v>
      </c>
      <c r="B332" s="12" t="s">
        <v>21</v>
      </c>
    </row>
    <row r="333" spans="1:2" s="12" customFormat="1" x14ac:dyDescent="0.25">
      <c r="A333" s="12">
        <v>11144001</v>
      </c>
      <c r="B333" s="12" t="s">
        <v>21</v>
      </c>
    </row>
    <row r="334" spans="1:2" s="12" customFormat="1" x14ac:dyDescent="0.25">
      <c r="A334" s="12" t="s">
        <v>23</v>
      </c>
      <c r="B334" s="12" t="s">
        <v>21</v>
      </c>
    </row>
    <row r="335" spans="1:2" s="12" customFormat="1" x14ac:dyDescent="0.25">
      <c r="A335" s="12" t="s">
        <v>24</v>
      </c>
      <c r="B335" s="12" t="s">
        <v>21</v>
      </c>
    </row>
    <row r="336" spans="1:2" s="12" customFormat="1" x14ac:dyDescent="0.25">
      <c r="A336" s="12">
        <v>12021531</v>
      </c>
      <c r="B336" s="12" t="s">
        <v>21</v>
      </c>
    </row>
    <row r="337" spans="1:105" s="12" customFormat="1" x14ac:dyDescent="0.25">
      <c r="A337" s="12">
        <v>12185514</v>
      </c>
      <c r="B337" s="12" t="s">
        <v>21</v>
      </c>
      <c r="X337" s="14"/>
      <c r="AL337" s="12" t="s">
        <v>166</v>
      </c>
      <c r="AX337" s="12" t="s">
        <v>161</v>
      </c>
      <c r="BC337" s="14"/>
    </row>
    <row r="338" spans="1:105" s="12" customFormat="1" x14ac:dyDescent="0.25">
      <c r="A338" s="12">
        <v>12202633</v>
      </c>
      <c r="B338" s="12" t="s">
        <v>21</v>
      </c>
    </row>
    <row r="339" spans="1:105" s="12" customFormat="1" x14ac:dyDescent="0.25">
      <c r="A339" s="12">
        <v>12325258</v>
      </c>
      <c r="B339" s="12" t="s">
        <v>21</v>
      </c>
    </row>
    <row r="340" spans="1:105" s="12" customFormat="1" x14ac:dyDescent="0.25">
      <c r="A340" s="12">
        <v>5018677</v>
      </c>
      <c r="B340" s="12" t="s">
        <v>21</v>
      </c>
    </row>
    <row r="341" spans="1:105" s="12" customFormat="1" x14ac:dyDescent="0.25">
      <c r="A341" s="12">
        <v>11243521</v>
      </c>
      <c r="B341" s="12" t="s">
        <v>21</v>
      </c>
    </row>
    <row r="342" spans="1:105" s="12" customFormat="1" x14ac:dyDescent="0.25">
      <c r="A342" s="12">
        <v>2008127</v>
      </c>
      <c r="B342" s="12" t="s">
        <v>21</v>
      </c>
    </row>
    <row r="343" spans="1:105" s="12" customFormat="1" x14ac:dyDescent="0.25">
      <c r="A343" s="12">
        <v>6081681</v>
      </c>
      <c r="B343" s="12" t="s">
        <v>21</v>
      </c>
    </row>
    <row r="344" spans="1:105" x14ac:dyDescent="0.25">
      <c r="C344">
        <f>COUNTA(C267:C343)</f>
        <v>0</v>
      </c>
      <c r="D344">
        <f>COUNTA(D267:D343)</f>
        <v>0</v>
      </c>
      <c r="E344">
        <f t="shared" ref="E344:BN344" si="16">COUNTA(E267:E343)</f>
        <v>0</v>
      </c>
      <c r="F344">
        <f t="shared" si="16"/>
        <v>0</v>
      </c>
      <c r="G344">
        <f t="shared" si="16"/>
        <v>0</v>
      </c>
      <c r="H344">
        <f t="shared" si="16"/>
        <v>0</v>
      </c>
      <c r="I344">
        <f t="shared" si="16"/>
        <v>0</v>
      </c>
      <c r="J344">
        <f t="shared" si="16"/>
        <v>0</v>
      </c>
      <c r="K344">
        <f t="shared" si="16"/>
        <v>0</v>
      </c>
      <c r="L344">
        <f t="shared" si="16"/>
        <v>0</v>
      </c>
      <c r="M344">
        <f t="shared" si="16"/>
        <v>0</v>
      </c>
      <c r="N344">
        <f t="shared" si="16"/>
        <v>0</v>
      </c>
      <c r="O344">
        <f t="shared" si="16"/>
        <v>0</v>
      </c>
      <c r="P344">
        <f t="shared" si="16"/>
        <v>0</v>
      </c>
      <c r="Q344">
        <f t="shared" si="16"/>
        <v>0</v>
      </c>
      <c r="R344">
        <f t="shared" si="16"/>
        <v>0</v>
      </c>
      <c r="S344">
        <f t="shared" si="16"/>
        <v>0</v>
      </c>
      <c r="T344">
        <f t="shared" si="16"/>
        <v>0</v>
      </c>
      <c r="U344">
        <f t="shared" si="16"/>
        <v>0</v>
      </c>
      <c r="V344">
        <f t="shared" si="16"/>
        <v>0</v>
      </c>
      <c r="W344">
        <f t="shared" si="16"/>
        <v>0</v>
      </c>
      <c r="X344">
        <f t="shared" si="16"/>
        <v>0</v>
      </c>
      <c r="Y344">
        <f t="shared" si="16"/>
        <v>0</v>
      </c>
      <c r="Z344">
        <f t="shared" si="16"/>
        <v>0</v>
      </c>
      <c r="AA344">
        <f t="shared" si="16"/>
        <v>0</v>
      </c>
      <c r="AB344">
        <f t="shared" si="16"/>
        <v>0</v>
      </c>
      <c r="AC344">
        <f t="shared" si="16"/>
        <v>0</v>
      </c>
      <c r="AD344">
        <f t="shared" si="16"/>
        <v>0</v>
      </c>
      <c r="AE344">
        <f t="shared" si="16"/>
        <v>0</v>
      </c>
      <c r="AF344">
        <f t="shared" si="16"/>
        <v>0</v>
      </c>
      <c r="AG344">
        <f t="shared" si="16"/>
        <v>0</v>
      </c>
      <c r="AH344">
        <f t="shared" si="16"/>
        <v>0</v>
      </c>
      <c r="AI344">
        <f t="shared" si="16"/>
        <v>0</v>
      </c>
      <c r="AJ344">
        <f t="shared" si="16"/>
        <v>0</v>
      </c>
      <c r="AK344">
        <f t="shared" si="16"/>
        <v>0</v>
      </c>
      <c r="AL344">
        <f t="shared" si="16"/>
        <v>1</v>
      </c>
      <c r="AM344">
        <f t="shared" si="16"/>
        <v>0</v>
      </c>
      <c r="AN344">
        <f t="shared" si="16"/>
        <v>0</v>
      </c>
      <c r="AO344">
        <f t="shared" si="16"/>
        <v>0</v>
      </c>
      <c r="AP344">
        <f t="shared" si="16"/>
        <v>0</v>
      </c>
      <c r="AQ344">
        <f t="shared" si="16"/>
        <v>0</v>
      </c>
      <c r="AR344">
        <f t="shared" si="16"/>
        <v>0</v>
      </c>
      <c r="AS344">
        <f t="shared" si="16"/>
        <v>0</v>
      </c>
      <c r="AT344">
        <f t="shared" si="16"/>
        <v>0</v>
      </c>
      <c r="AU344">
        <f t="shared" si="16"/>
        <v>0</v>
      </c>
      <c r="AV344">
        <f t="shared" si="16"/>
        <v>0</v>
      </c>
      <c r="AW344">
        <f t="shared" si="16"/>
        <v>0</v>
      </c>
      <c r="AX344">
        <f t="shared" si="16"/>
        <v>1</v>
      </c>
      <c r="AY344">
        <f t="shared" si="16"/>
        <v>0</v>
      </c>
      <c r="AZ344">
        <f t="shared" si="16"/>
        <v>0</v>
      </c>
      <c r="BA344">
        <f t="shared" si="16"/>
        <v>0</v>
      </c>
      <c r="BB344">
        <f t="shared" si="16"/>
        <v>0</v>
      </c>
      <c r="BC344">
        <f t="shared" si="16"/>
        <v>0</v>
      </c>
      <c r="BD344">
        <f t="shared" si="16"/>
        <v>0</v>
      </c>
      <c r="BE344">
        <f t="shared" si="16"/>
        <v>0</v>
      </c>
      <c r="BF344">
        <f t="shared" si="16"/>
        <v>0</v>
      </c>
      <c r="BG344">
        <f t="shared" si="16"/>
        <v>0</v>
      </c>
      <c r="BH344">
        <f t="shared" si="16"/>
        <v>0</v>
      </c>
      <c r="BI344">
        <f t="shared" si="16"/>
        <v>0</v>
      </c>
      <c r="BJ344">
        <f t="shared" si="16"/>
        <v>0</v>
      </c>
      <c r="BK344">
        <f t="shared" si="16"/>
        <v>0</v>
      </c>
      <c r="BL344">
        <f t="shared" si="16"/>
        <v>0</v>
      </c>
      <c r="BM344">
        <f t="shared" si="16"/>
        <v>0</v>
      </c>
      <c r="BN344">
        <f t="shared" si="16"/>
        <v>0</v>
      </c>
      <c r="BO344">
        <f t="shared" ref="BO344:DA344" si="17">COUNTA(BO267:BO343)</f>
        <v>0</v>
      </c>
      <c r="BP344">
        <f t="shared" si="17"/>
        <v>0</v>
      </c>
      <c r="BQ344">
        <f t="shared" si="17"/>
        <v>0</v>
      </c>
      <c r="BR344">
        <f t="shared" si="17"/>
        <v>0</v>
      </c>
      <c r="BS344">
        <f t="shared" si="17"/>
        <v>0</v>
      </c>
      <c r="BT344">
        <f t="shared" si="17"/>
        <v>0</v>
      </c>
      <c r="BU344">
        <f t="shared" si="17"/>
        <v>0</v>
      </c>
      <c r="BV344">
        <f t="shared" si="17"/>
        <v>0</v>
      </c>
      <c r="BW344">
        <f t="shared" si="17"/>
        <v>0</v>
      </c>
      <c r="BX344">
        <f t="shared" si="17"/>
        <v>0</v>
      </c>
      <c r="BY344">
        <f t="shared" si="17"/>
        <v>0</v>
      </c>
      <c r="BZ344">
        <f t="shared" si="17"/>
        <v>0</v>
      </c>
      <c r="CA344">
        <f t="shared" si="17"/>
        <v>0</v>
      </c>
      <c r="CB344">
        <f t="shared" si="17"/>
        <v>0</v>
      </c>
      <c r="CC344">
        <f t="shared" si="17"/>
        <v>0</v>
      </c>
      <c r="CD344">
        <f t="shared" si="17"/>
        <v>0</v>
      </c>
      <c r="CE344">
        <f t="shared" si="17"/>
        <v>0</v>
      </c>
      <c r="CF344">
        <f t="shared" si="17"/>
        <v>1</v>
      </c>
      <c r="CG344">
        <f t="shared" si="17"/>
        <v>0</v>
      </c>
      <c r="CH344">
        <f t="shared" si="17"/>
        <v>0</v>
      </c>
      <c r="CI344">
        <f t="shared" si="17"/>
        <v>0</v>
      </c>
      <c r="CJ344">
        <f t="shared" si="17"/>
        <v>0</v>
      </c>
      <c r="CK344">
        <f t="shared" si="17"/>
        <v>0</v>
      </c>
      <c r="CL344">
        <f t="shared" si="17"/>
        <v>3</v>
      </c>
      <c r="CM344">
        <f t="shared" si="17"/>
        <v>0</v>
      </c>
      <c r="CN344">
        <f t="shared" si="17"/>
        <v>0</v>
      </c>
      <c r="CO344">
        <f t="shared" si="17"/>
        <v>0</v>
      </c>
      <c r="CP344">
        <f t="shared" si="17"/>
        <v>0</v>
      </c>
      <c r="CQ344">
        <f t="shared" si="17"/>
        <v>0</v>
      </c>
      <c r="CR344">
        <f t="shared" si="17"/>
        <v>0</v>
      </c>
      <c r="CS344">
        <f t="shared" si="17"/>
        <v>0</v>
      </c>
      <c r="CT344">
        <f t="shared" si="17"/>
        <v>0</v>
      </c>
      <c r="CU344">
        <f t="shared" si="17"/>
        <v>0</v>
      </c>
      <c r="CV344">
        <f t="shared" si="17"/>
        <v>0</v>
      </c>
      <c r="CW344">
        <f t="shared" si="17"/>
        <v>0</v>
      </c>
      <c r="CX344">
        <f t="shared" si="17"/>
        <v>0</v>
      </c>
      <c r="CY344">
        <f t="shared" si="17"/>
        <v>0</v>
      </c>
      <c r="CZ344">
        <f t="shared" si="17"/>
        <v>0</v>
      </c>
      <c r="DA344">
        <f t="shared" si="17"/>
        <v>0</v>
      </c>
    </row>
    <row r="345" spans="1:105" x14ac:dyDescent="0.25">
      <c r="A345" s="6"/>
    </row>
    <row r="346" spans="1:105" s="12" customFormat="1" x14ac:dyDescent="0.25">
      <c r="A346" s="11"/>
    </row>
    <row r="347" spans="1:105" s="12" customFormat="1" x14ac:dyDescent="0.25">
      <c r="A347" s="11"/>
    </row>
    <row r="348" spans="1:105" s="12" customFormat="1" x14ac:dyDescent="0.25">
      <c r="A348" s="11"/>
    </row>
    <row r="349" spans="1:105" s="12" customFormat="1" x14ac:dyDescent="0.25">
      <c r="A349" s="11"/>
    </row>
    <row r="350" spans="1:105" s="12" customFormat="1" x14ac:dyDescent="0.25"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CF350" s="13"/>
      <c r="CG350" s="13"/>
      <c r="CH350" s="13"/>
      <c r="CI350" s="13"/>
      <c r="CJ350" s="13"/>
      <c r="CK350" s="13"/>
    </row>
    <row r="351" spans="1:105" s="12" customFormat="1" x14ac:dyDescent="0.25"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CF351" s="13"/>
      <c r="CG351" s="13"/>
      <c r="CH351" s="13"/>
      <c r="CI351" s="13"/>
      <c r="CJ351" s="13"/>
      <c r="CK351" s="13"/>
    </row>
    <row r="352" spans="1:105" s="12" customFormat="1" x14ac:dyDescent="0.25"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CF352" s="13"/>
      <c r="CG352" s="13"/>
      <c r="CH352" s="13"/>
      <c r="CI352" s="13"/>
      <c r="CJ352" s="13"/>
      <c r="CK352" s="13"/>
    </row>
    <row r="353" spans="1:89" s="12" customFormat="1" x14ac:dyDescent="0.25"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CF353" s="13"/>
      <c r="CG353" s="13"/>
      <c r="CH353" s="13"/>
      <c r="CI353" s="13"/>
      <c r="CJ353" s="13"/>
      <c r="CK353" s="13"/>
    </row>
    <row r="354" spans="1:89" s="12" customFormat="1" x14ac:dyDescent="0.25"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CF354" s="13"/>
      <c r="CG354" s="13"/>
      <c r="CH354" s="13"/>
      <c r="CI354" s="13"/>
      <c r="CJ354" s="13"/>
      <c r="CK354" s="13"/>
    </row>
    <row r="355" spans="1:89" s="12" customFormat="1" x14ac:dyDescent="0.25"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CF355" s="13"/>
      <c r="CG355" s="13"/>
      <c r="CH355" s="13"/>
      <c r="CI355" s="13"/>
      <c r="CJ355" s="13"/>
      <c r="CK355" s="13"/>
    </row>
    <row r="356" spans="1:89" s="12" customFormat="1" x14ac:dyDescent="0.25"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CF356" s="13"/>
      <c r="CG356" s="13"/>
      <c r="CH356" s="13"/>
      <c r="CI356" s="13"/>
      <c r="CJ356" s="13"/>
      <c r="CK356" s="13"/>
    </row>
    <row r="357" spans="1:89" s="12" customForma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CF357" s="13"/>
      <c r="CG357" s="13"/>
      <c r="CH357" s="13"/>
      <c r="CI357" s="13"/>
      <c r="CJ357" s="13"/>
      <c r="CK357" s="13"/>
    </row>
    <row r="358" spans="1:89" s="12" customFormat="1" x14ac:dyDescent="0.25"/>
    <row r="359" spans="1:89" s="12" customFormat="1" x14ac:dyDescent="0.25"/>
    <row r="360" spans="1:89" s="12" customFormat="1" x14ac:dyDescent="0.25">
      <c r="A360" s="11"/>
    </row>
    <row r="361" spans="1:89" s="12" customFormat="1" x14ac:dyDescent="0.25"/>
    <row r="362" spans="1:89" s="12" customFormat="1" x14ac:dyDescent="0.25"/>
    <row r="363" spans="1:89" s="12" customFormat="1" x14ac:dyDescent="0.25"/>
    <row r="364" spans="1:89" s="12" customFormat="1" x14ac:dyDescent="0.25"/>
    <row r="365" spans="1:89" s="12" customFormat="1" x14ac:dyDescent="0.25"/>
    <row r="366" spans="1:89" s="12" customFormat="1" x14ac:dyDescent="0.25">
      <c r="A366" s="14"/>
    </row>
    <row r="367" spans="1:89" s="12" customFormat="1" x14ac:dyDescent="0.25"/>
    <row r="368" spans="1:89" s="12" customFormat="1" x14ac:dyDescent="0.25"/>
    <row r="369" s="12" customFormat="1" x14ac:dyDescent="0.25"/>
    <row r="370" s="12" customFormat="1" x14ac:dyDescent="0.25"/>
    <row r="371" s="12" customFormat="1" x14ac:dyDescent="0.25"/>
    <row r="372" s="12" customFormat="1" x14ac:dyDescent="0.25"/>
    <row r="373" s="12" customFormat="1" x14ac:dyDescent="0.25"/>
    <row r="374" s="12" customFormat="1" x14ac:dyDescent="0.25"/>
    <row r="375" s="12" customFormat="1" x14ac:dyDescent="0.25"/>
    <row r="376" s="12" customFormat="1" x14ac:dyDescent="0.25"/>
    <row r="377" s="12" customFormat="1" x14ac:dyDescent="0.25"/>
    <row r="378" s="12" customFormat="1" x14ac:dyDescent="0.25"/>
    <row r="379" s="12" customFormat="1" x14ac:dyDescent="0.25"/>
    <row r="380" s="12" customFormat="1" x14ac:dyDescent="0.25"/>
    <row r="381" s="12" customFormat="1" x14ac:dyDescent="0.25"/>
    <row r="382" s="12" customFormat="1" x14ac:dyDescent="0.25"/>
    <row r="383" s="12" customFormat="1" x14ac:dyDescent="0.25"/>
    <row r="384" s="12" customFormat="1" x14ac:dyDescent="0.25"/>
    <row r="385" s="12" customFormat="1" x14ac:dyDescent="0.25"/>
    <row r="386" s="12" customFormat="1" x14ac:dyDescent="0.25"/>
    <row r="387" s="12" customFormat="1" x14ac:dyDescent="0.25"/>
    <row r="388" s="12" customFormat="1" x14ac:dyDescent="0.25"/>
    <row r="389" s="12" customFormat="1" x14ac:dyDescent="0.25"/>
    <row r="390" s="12" customFormat="1" x14ac:dyDescent="0.25"/>
    <row r="391" s="12" customFormat="1" x14ac:dyDescent="0.25"/>
    <row r="392" s="12" customFormat="1" x14ac:dyDescent="0.25"/>
    <row r="393" s="12" customFormat="1" x14ac:dyDescent="0.25"/>
    <row r="394" s="12" customFormat="1" x14ac:dyDescent="0.25"/>
    <row r="395" s="12" customFormat="1" x14ac:dyDescent="0.25"/>
    <row r="396" s="12" customFormat="1" x14ac:dyDescent="0.25"/>
    <row r="397" s="12" customFormat="1" x14ac:dyDescent="0.25"/>
    <row r="398" s="12" customFormat="1" x14ac:dyDescent="0.25"/>
    <row r="399" s="12" customFormat="1" x14ac:dyDescent="0.25"/>
    <row r="400" s="12" customFormat="1" x14ac:dyDescent="0.25"/>
    <row r="401" spans="1:1" s="12" customFormat="1" x14ac:dyDescent="0.25"/>
    <row r="402" spans="1:1" s="12" customFormat="1" x14ac:dyDescent="0.25"/>
    <row r="403" spans="1:1" s="12" customFormat="1" x14ac:dyDescent="0.25"/>
    <row r="404" spans="1:1" s="12" customFormat="1" x14ac:dyDescent="0.25">
      <c r="A404" s="11"/>
    </row>
    <row r="405" spans="1:1" s="12" customFormat="1" x14ac:dyDescent="0.25">
      <c r="A405" s="11"/>
    </row>
    <row r="406" spans="1:1" s="12" customFormat="1" x14ac:dyDescent="0.25">
      <c r="A406" s="11"/>
    </row>
    <row r="407" spans="1:1" s="12" customFormat="1" x14ac:dyDescent="0.25">
      <c r="A407" s="11"/>
    </row>
    <row r="408" spans="1:1" s="12" customFormat="1" x14ac:dyDescent="0.25">
      <c r="A408" s="11"/>
    </row>
    <row r="409" spans="1:1" s="12" customFormat="1" x14ac:dyDescent="0.25">
      <c r="A409" s="11"/>
    </row>
    <row r="410" spans="1:1" s="12" customFormat="1" x14ac:dyDescent="0.25">
      <c r="A410" s="11"/>
    </row>
    <row r="411" spans="1:1" s="12" customFormat="1" x14ac:dyDescent="0.25">
      <c r="A411" s="11"/>
    </row>
    <row r="412" spans="1:1" s="12" customFormat="1" x14ac:dyDescent="0.25">
      <c r="A412" s="11"/>
    </row>
    <row r="413" spans="1:1" s="12" customFormat="1" x14ac:dyDescent="0.25">
      <c r="A413" s="11"/>
    </row>
    <row r="414" spans="1:1" s="12" customFormat="1" x14ac:dyDescent="0.25">
      <c r="A414" s="11"/>
    </row>
    <row r="415" spans="1:1" s="12" customFormat="1" x14ac:dyDescent="0.25">
      <c r="A415" s="11"/>
    </row>
    <row r="416" spans="1:1" s="12" customFormat="1" x14ac:dyDescent="0.25">
      <c r="A416" s="11"/>
    </row>
    <row r="417" spans="1:1" s="12" customFormat="1" x14ac:dyDescent="0.25">
      <c r="A417" s="11"/>
    </row>
    <row r="418" spans="1:1" s="12" customFormat="1" x14ac:dyDescent="0.25">
      <c r="A418" s="11"/>
    </row>
    <row r="419" spans="1:1" s="12" customFormat="1" x14ac:dyDescent="0.25">
      <c r="A419" s="11"/>
    </row>
    <row r="420" spans="1:1" s="12" customFormat="1" x14ac:dyDescent="0.25">
      <c r="A420" s="11"/>
    </row>
    <row r="421" spans="1:1" s="12" customFormat="1" x14ac:dyDescent="0.25">
      <c r="A421" s="11"/>
    </row>
    <row r="422" spans="1:1" s="12" customFormat="1" x14ac:dyDescent="0.25">
      <c r="A422" s="11"/>
    </row>
    <row r="423" spans="1:1" s="12" customFormat="1" x14ac:dyDescent="0.25">
      <c r="A423" s="11"/>
    </row>
    <row r="424" spans="1:1" s="12" customFormat="1" x14ac:dyDescent="0.25">
      <c r="A424" s="11"/>
    </row>
    <row r="425" spans="1:1" s="12" customFormat="1" x14ac:dyDescent="0.25">
      <c r="A425" s="11"/>
    </row>
    <row r="426" spans="1:1" s="12" customFormat="1" x14ac:dyDescent="0.25">
      <c r="A426" s="11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</sheetData>
  <conditionalFormatting sqref="A17">
    <cfRule type="duplicateValues" dxfId="2" priority="1"/>
  </conditionalFormatting>
  <conditionalFormatting sqref="A2:B2">
    <cfRule type="duplicateValues" dxfId="1" priority="3"/>
  </conditionalFormatting>
  <conditionalFormatting sqref="B353:B356">
    <cfRule type="duplicateValues" dxfId="0" priority="2"/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B7F5-B0EA-47F7-BCFA-C02298EE9869}">
  <dimension ref="A1:DB30"/>
  <sheetViews>
    <sheetView zoomScaleNormal="100" workbookViewId="0">
      <selection activeCell="C37" sqref="C37"/>
    </sheetView>
  </sheetViews>
  <sheetFormatPr baseColWidth="10" defaultRowHeight="15" x14ac:dyDescent="0.25"/>
  <sheetData>
    <row r="1" spans="1:106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7" t="s">
        <v>47</v>
      </c>
      <c r="Z1" s="7" t="s">
        <v>48</v>
      </c>
      <c r="AA1" s="7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7" t="s">
        <v>57</v>
      </c>
      <c r="AJ1" s="7" t="s">
        <v>58</v>
      </c>
      <c r="AK1" s="7" t="s">
        <v>162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7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7" t="s">
        <v>78</v>
      </c>
      <c r="BE1" s="7" t="s">
        <v>79</v>
      </c>
      <c r="BF1" s="7" t="s">
        <v>80</v>
      </c>
      <c r="BG1" s="7" t="s">
        <v>81</v>
      </c>
      <c r="BH1" s="7" t="s">
        <v>82</v>
      </c>
      <c r="BI1" s="7" t="s">
        <v>83</v>
      </c>
      <c r="BJ1" s="7" t="s">
        <v>84</v>
      </c>
      <c r="BK1" s="7" t="s">
        <v>85</v>
      </c>
      <c r="BL1" s="7" t="s">
        <v>86</v>
      </c>
      <c r="BM1" s="7" t="s">
        <v>87</v>
      </c>
      <c r="BN1" s="7" t="s">
        <v>88</v>
      </c>
      <c r="BO1" s="7" t="s">
        <v>89</v>
      </c>
      <c r="BP1" s="7" t="s">
        <v>90</v>
      </c>
      <c r="BQ1" s="7" t="s">
        <v>91</v>
      </c>
      <c r="BR1" s="7" t="s">
        <v>92</v>
      </c>
      <c r="BS1" s="7" t="s">
        <v>93</v>
      </c>
      <c r="BT1" s="7" t="s">
        <v>94</v>
      </c>
      <c r="BU1" s="7" t="s">
        <v>95</v>
      </c>
      <c r="BV1" s="7" t="s">
        <v>96</v>
      </c>
      <c r="BW1" s="7" t="s">
        <v>97</v>
      </c>
      <c r="BX1" s="7" t="s">
        <v>98</v>
      </c>
      <c r="BY1" s="7" t="s">
        <v>99</v>
      </c>
      <c r="BZ1" s="7" t="s">
        <v>100</v>
      </c>
      <c r="CA1" s="7" t="s">
        <v>101</v>
      </c>
      <c r="CB1" s="7" t="s">
        <v>102</v>
      </c>
      <c r="CC1" s="7" t="s">
        <v>103</v>
      </c>
      <c r="CD1" s="7" t="s">
        <v>104</v>
      </c>
      <c r="CE1" s="7" t="s">
        <v>105</v>
      </c>
      <c r="CF1" s="7" t="s">
        <v>106</v>
      </c>
      <c r="CG1" s="7" t="s">
        <v>107</v>
      </c>
      <c r="CH1" s="7" t="s">
        <v>108</v>
      </c>
      <c r="CI1" s="7" t="s">
        <v>109</v>
      </c>
      <c r="CJ1" s="7" t="s">
        <v>110</v>
      </c>
      <c r="CK1" s="7" t="s">
        <v>111</v>
      </c>
      <c r="CL1" s="7" t="s">
        <v>112</v>
      </c>
      <c r="CM1" s="7" t="s">
        <v>113</v>
      </c>
      <c r="CN1" s="7" t="s">
        <v>114</v>
      </c>
      <c r="CO1" s="7" t="s">
        <v>115</v>
      </c>
      <c r="CP1" s="7" t="s">
        <v>116</v>
      </c>
      <c r="CQ1" s="7" t="s">
        <v>117</v>
      </c>
      <c r="CR1" s="7" t="s">
        <v>118</v>
      </c>
      <c r="CS1" s="7" t="s">
        <v>119</v>
      </c>
      <c r="CT1" s="7" t="s">
        <v>120</v>
      </c>
      <c r="CU1" s="7" t="s">
        <v>121</v>
      </c>
      <c r="CV1" s="7" t="s">
        <v>122</v>
      </c>
      <c r="CW1" s="7" t="s">
        <v>123</v>
      </c>
      <c r="CX1" s="7" t="s">
        <v>124</v>
      </c>
      <c r="CY1" s="7" t="s">
        <v>125</v>
      </c>
      <c r="CZ1" s="7" t="s">
        <v>126</v>
      </c>
      <c r="DA1" s="7" t="s">
        <v>127</v>
      </c>
      <c r="DB1" s="7" t="s">
        <v>128</v>
      </c>
    </row>
    <row r="2" spans="1:106" x14ac:dyDescent="0.25">
      <c r="A2" t="s">
        <v>168</v>
      </c>
      <c r="B2" t="s">
        <v>4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1</v>
      </c>
      <c r="Y2" s="4">
        <v>0</v>
      </c>
      <c r="Z2" s="4">
        <v>0</v>
      </c>
      <c r="AA2" s="4">
        <v>0</v>
      </c>
      <c r="AB2" s="4">
        <v>0</v>
      </c>
      <c r="AC2" s="4">
        <v>1</v>
      </c>
      <c r="AD2" s="4">
        <v>0</v>
      </c>
      <c r="AE2" s="4">
        <v>0</v>
      </c>
      <c r="AF2" s="4">
        <v>1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1</v>
      </c>
      <c r="AM2" s="4">
        <v>1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1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1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</row>
    <row r="3" spans="1:106" x14ac:dyDescent="0.25">
      <c r="A3" t="s">
        <v>168</v>
      </c>
      <c r="B3" t="s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</row>
    <row r="4" spans="1:106" x14ac:dyDescent="0.25">
      <c r="A4" t="s">
        <v>168</v>
      </c>
      <c r="B4" t="s">
        <v>6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2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1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</row>
    <row r="5" spans="1:106" x14ac:dyDescent="0.25">
      <c r="A5" t="s">
        <v>168</v>
      </c>
      <c r="B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6" x14ac:dyDescent="0.25">
      <c r="A6" t="s">
        <v>168</v>
      </c>
      <c r="B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1</v>
      </c>
      <c r="DB6">
        <v>0</v>
      </c>
    </row>
    <row r="7" spans="1:106" x14ac:dyDescent="0.25">
      <c r="A7" t="s">
        <v>168</v>
      </c>
      <c r="B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2</v>
      </c>
      <c r="N7">
        <v>0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2</v>
      </c>
      <c r="CC7">
        <v>2</v>
      </c>
      <c r="CD7">
        <v>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</row>
    <row r="8" spans="1:106" x14ac:dyDescent="0.25">
      <c r="A8" t="s">
        <v>168</v>
      </c>
      <c r="B8" t="s">
        <v>11</v>
      </c>
      <c r="C8">
        <v>1</v>
      </c>
      <c r="D8">
        <v>3</v>
      </c>
      <c r="E8">
        <v>3</v>
      </c>
      <c r="F8">
        <v>2</v>
      </c>
      <c r="G8">
        <v>1</v>
      </c>
      <c r="H8">
        <v>2</v>
      </c>
      <c r="I8">
        <v>1</v>
      </c>
      <c r="J8">
        <v>4</v>
      </c>
      <c r="K8">
        <v>1</v>
      </c>
      <c r="L8">
        <v>2</v>
      </c>
      <c r="M8">
        <v>3</v>
      </c>
      <c r="N8">
        <v>2</v>
      </c>
      <c r="O8">
        <v>7</v>
      </c>
      <c r="P8">
        <v>2</v>
      </c>
      <c r="Q8">
        <v>2</v>
      </c>
      <c r="R8">
        <v>2</v>
      </c>
      <c r="S8">
        <v>1</v>
      </c>
      <c r="T8">
        <v>0</v>
      </c>
      <c r="U8">
        <v>1</v>
      </c>
      <c r="V8">
        <v>0</v>
      </c>
      <c r="W8">
        <v>3</v>
      </c>
      <c r="X8">
        <v>14</v>
      </c>
      <c r="Y8">
        <v>0</v>
      </c>
      <c r="Z8">
        <v>5</v>
      </c>
      <c r="AA8">
        <v>6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2</v>
      </c>
      <c r="AI8">
        <v>0</v>
      </c>
      <c r="AJ8">
        <v>2</v>
      </c>
      <c r="AK8">
        <v>2</v>
      </c>
      <c r="AL8">
        <v>0</v>
      </c>
      <c r="AM8">
        <v>3</v>
      </c>
      <c r="AN8">
        <v>1</v>
      </c>
      <c r="AO8">
        <v>2</v>
      </c>
      <c r="AP8">
        <v>1</v>
      </c>
      <c r="AQ8">
        <v>1</v>
      </c>
      <c r="AR8">
        <v>1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3</v>
      </c>
      <c r="AZ8">
        <v>0</v>
      </c>
      <c r="BA8">
        <v>3</v>
      </c>
      <c r="BB8">
        <v>1</v>
      </c>
      <c r="BC8">
        <v>1</v>
      </c>
      <c r="BD8">
        <v>8</v>
      </c>
      <c r="BE8">
        <v>1</v>
      </c>
      <c r="BF8">
        <v>2</v>
      </c>
      <c r="BG8">
        <v>0</v>
      </c>
      <c r="BH8">
        <v>1</v>
      </c>
      <c r="BI8">
        <v>0</v>
      </c>
      <c r="BJ8">
        <v>1</v>
      </c>
      <c r="BK8">
        <v>1</v>
      </c>
      <c r="BL8">
        <v>1</v>
      </c>
      <c r="BM8">
        <v>0</v>
      </c>
      <c r="BN8">
        <v>0</v>
      </c>
      <c r="BO8">
        <v>0</v>
      </c>
      <c r="BP8">
        <v>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1</v>
      </c>
      <c r="CB8">
        <v>16</v>
      </c>
      <c r="CC8">
        <v>16</v>
      </c>
      <c r="CD8">
        <v>20</v>
      </c>
      <c r="CE8">
        <v>0</v>
      </c>
      <c r="CF8">
        <v>3</v>
      </c>
      <c r="CG8">
        <v>4</v>
      </c>
      <c r="CH8">
        <v>5</v>
      </c>
      <c r="CI8">
        <v>0</v>
      </c>
      <c r="CJ8">
        <v>0</v>
      </c>
      <c r="CK8">
        <v>0</v>
      </c>
      <c r="CL8">
        <v>0</v>
      </c>
      <c r="CM8">
        <v>8</v>
      </c>
      <c r="CN8">
        <v>7</v>
      </c>
      <c r="CO8">
        <v>12</v>
      </c>
      <c r="CP8">
        <v>0</v>
      </c>
      <c r="CQ8">
        <v>0</v>
      </c>
      <c r="CR8">
        <v>1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</row>
    <row r="9" spans="1:106" x14ac:dyDescent="0.25">
      <c r="A9" t="s">
        <v>168</v>
      </c>
      <c r="B9" s="12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5</v>
      </c>
      <c r="K9">
        <v>1</v>
      </c>
      <c r="L9">
        <v>4</v>
      </c>
      <c r="M9">
        <v>7</v>
      </c>
      <c r="N9">
        <v>1</v>
      </c>
      <c r="O9">
        <v>5</v>
      </c>
      <c r="P9">
        <v>3</v>
      </c>
      <c r="Q9">
        <v>2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7</v>
      </c>
      <c r="Y9">
        <v>0</v>
      </c>
      <c r="Z9">
        <v>1</v>
      </c>
      <c r="AA9">
        <v>1</v>
      </c>
      <c r="AB9">
        <v>2</v>
      </c>
      <c r="AC9">
        <v>1</v>
      </c>
      <c r="AD9">
        <v>0</v>
      </c>
      <c r="AE9">
        <v>0</v>
      </c>
      <c r="AF9">
        <v>2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2</v>
      </c>
      <c r="AO9">
        <v>3</v>
      </c>
      <c r="AP9">
        <v>2</v>
      </c>
      <c r="AQ9">
        <v>0</v>
      </c>
      <c r="AR9">
        <v>0</v>
      </c>
      <c r="AS9">
        <v>0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2</v>
      </c>
      <c r="BA9">
        <v>3</v>
      </c>
      <c r="BB9">
        <v>1</v>
      </c>
      <c r="BC9">
        <v>1</v>
      </c>
      <c r="BD9">
        <v>6</v>
      </c>
      <c r="BE9">
        <v>1</v>
      </c>
      <c r="BF9">
        <v>0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2</v>
      </c>
      <c r="BR9">
        <v>2</v>
      </c>
      <c r="BS9">
        <v>2</v>
      </c>
      <c r="BT9">
        <v>1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18</v>
      </c>
      <c r="CC9">
        <v>14</v>
      </c>
      <c r="CD9">
        <v>18</v>
      </c>
      <c r="CE9">
        <v>0</v>
      </c>
      <c r="CF9">
        <v>3</v>
      </c>
      <c r="CG9">
        <v>1</v>
      </c>
      <c r="CH9">
        <v>1</v>
      </c>
      <c r="CI9">
        <v>0</v>
      </c>
      <c r="CJ9">
        <v>0</v>
      </c>
      <c r="CK9">
        <v>3</v>
      </c>
      <c r="CL9">
        <v>1</v>
      </c>
      <c r="CM9">
        <v>7</v>
      </c>
      <c r="CN9">
        <v>9</v>
      </c>
      <c r="CO9">
        <v>7</v>
      </c>
      <c r="CP9">
        <v>0</v>
      </c>
      <c r="CQ9">
        <v>2</v>
      </c>
      <c r="CR9">
        <v>0</v>
      </c>
      <c r="CS9">
        <v>1</v>
      </c>
      <c r="CT9">
        <v>0</v>
      </c>
      <c r="CU9">
        <v>0</v>
      </c>
      <c r="CV9">
        <v>1</v>
      </c>
      <c r="CW9">
        <v>0</v>
      </c>
      <c r="CX9">
        <v>1</v>
      </c>
      <c r="CY9">
        <v>1</v>
      </c>
      <c r="CZ9">
        <v>0</v>
      </c>
      <c r="DA9">
        <v>0</v>
      </c>
      <c r="DB9">
        <v>0</v>
      </c>
    </row>
    <row r="10" spans="1:106" x14ac:dyDescent="0.25">
      <c r="A10" t="s">
        <v>168</v>
      </c>
      <c r="B10" s="12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4</v>
      </c>
      <c r="K10">
        <v>1</v>
      </c>
      <c r="L10">
        <v>4</v>
      </c>
      <c r="M10">
        <v>8</v>
      </c>
      <c r="N10">
        <v>3</v>
      </c>
      <c r="O10">
        <v>6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2</v>
      </c>
      <c r="X10">
        <v>6</v>
      </c>
      <c r="Y10">
        <v>1</v>
      </c>
      <c r="Z10">
        <v>5</v>
      </c>
      <c r="AA10">
        <v>5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2</v>
      </c>
      <c r="AZ10">
        <v>1</v>
      </c>
      <c r="BA10">
        <v>2</v>
      </c>
      <c r="BB10">
        <v>1</v>
      </c>
      <c r="BC10">
        <v>0</v>
      </c>
      <c r="BD10">
        <v>3</v>
      </c>
      <c r="BE10">
        <v>2</v>
      </c>
      <c r="BF10">
        <v>1</v>
      </c>
      <c r="BG10">
        <v>0</v>
      </c>
      <c r="BH10">
        <v>0</v>
      </c>
      <c r="BI10">
        <v>1</v>
      </c>
      <c r="BJ10">
        <v>1</v>
      </c>
      <c r="BK10">
        <v>0</v>
      </c>
      <c r="BL10">
        <v>0</v>
      </c>
      <c r="BM10">
        <v>1</v>
      </c>
      <c r="BN10">
        <v>0</v>
      </c>
      <c r="BO10">
        <v>1</v>
      </c>
      <c r="BP10">
        <v>3</v>
      </c>
      <c r="BQ10">
        <v>2</v>
      </c>
      <c r="BR10">
        <v>3</v>
      </c>
      <c r="BS10">
        <v>3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12</v>
      </c>
      <c r="CC10">
        <v>12</v>
      </c>
      <c r="CD10">
        <v>12</v>
      </c>
      <c r="CE10">
        <v>1</v>
      </c>
      <c r="CF10">
        <v>4</v>
      </c>
      <c r="CG10">
        <v>1</v>
      </c>
      <c r="CH10">
        <v>2</v>
      </c>
      <c r="CI10">
        <v>1</v>
      </c>
      <c r="CJ10">
        <v>1</v>
      </c>
      <c r="CK10">
        <v>1</v>
      </c>
      <c r="CL10">
        <v>0</v>
      </c>
      <c r="CM10">
        <v>4</v>
      </c>
      <c r="CN10">
        <v>6</v>
      </c>
      <c r="CO10">
        <v>4</v>
      </c>
      <c r="CP10">
        <v>1</v>
      </c>
      <c r="CQ10">
        <v>2</v>
      </c>
      <c r="CR10">
        <v>0</v>
      </c>
      <c r="CS10">
        <v>0</v>
      </c>
      <c r="CT10">
        <v>2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</v>
      </c>
      <c r="DA10">
        <v>0</v>
      </c>
      <c r="DB10">
        <v>0</v>
      </c>
    </row>
    <row r="11" spans="1:106" x14ac:dyDescent="0.25">
      <c r="B11" s="12"/>
    </row>
    <row r="12" spans="1:106" x14ac:dyDescent="0.25">
      <c r="A12" t="s">
        <v>167</v>
      </c>
      <c r="B12" t="s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</row>
    <row r="13" spans="1:106" x14ac:dyDescent="0.25">
      <c r="A13" t="s">
        <v>167</v>
      </c>
      <c r="B13" t="s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</row>
    <row r="14" spans="1:106" x14ac:dyDescent="0.25">
      <c r="A14" t="s">
        <v>167</v>
      </c>
      <c r="B14" t="s">
        <v>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</row>
    <row r="15" spans="1:106" x14ac:dyDescent="0.25">
      <c r="A15" t="s">
        <v>167</v>
      </c>
      <c r="B15" t="s">
        <v>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</row>
    <row r="16" spans="1:106" x14ac:dyDescent="0.25">
      <c r="A16" t="s">
        <v>167</v>
      </c>
      <c r="B16" t="s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 x14ac:dyDescent="0.25">
      <c r="A17" t="s">
        <v>167</v>
      </c>
      <c r="B17" t="s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</row>
    <row r="18" spans="1:106" x14ac:dyDescent="0.25">
      <c r="A18" t="s">
        <v>167</v>
      </c>
      <c r="B18" t="s">
        <v>11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</row>
    <row r="19" spans="1:106" x14ac:dyDescent="0.25">
      <c r="A19" t="s">
        <v>167</v>
      </c>
      <c r="B19" s="12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</row>
    <row r="20" spans="1:106" x14ac:dyDescent="0.25">
      <c r="A20" t="s">
        <v>167</v>
      </c>
      <c r="B20" s="12" t="s">
        <v>21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</row>
    <row r="21" spans="1:106" x14ac:dyDescent="0.25">
      <c r="B21" s="12"/>
    </row>
    <row r="22" spans="1:106" x14ac:dyDescent="0.25">
      <c r="A22" t="s">
        <v>169</v>
      </c>
      <c r="B22" t="s">
        <v>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</row>
    <row r="23" spans="1:106" x14ac:dyDescent="0.25">
      <c r="A23" t="s">
        <v>169</v>
      </c>
      <c r="B23" t="s">
        <v>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</row>
    <row r="24" spans="1:106" x14ac:dyDescent="0.25">
      <c r="A24" t="s">
        <v>169</v>
      </c>
      <c r="B24" t="s">
        <v>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</row>
    <row r="25" spans="1:106" x14ac:dyDescent="0.25">
      <c r="A25" t="s">
        <v>169</v>
      </c>
      <c r="B25" t="s">
        <v>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</row>
    <row r="26" spans="1:106" x14ac:dyDescent="0.25">
      <c r="A26" t="s">
        <v>169</v>
      </c>
      <c r="B26" t="s">
        <v>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</row>
    <row r="27" spans="1:106" x14ac:dyDescent="0.25">
      <c r="A27" t="s">
        <v>169</v>
      </c>
      <c r="B27" t="s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</row>
    <row r="28" spans="1:106" x14ac:dyDescent="0.25">
      <c r="A28" t="s">
        <v>169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0</v>
      </c>
      <c r="M28">
        <v>0</v>
      </c>
      <c r="N28">
        <v>1</v>
      </c>
      <c r="O28">
        <v>0</v>
      </c>
      <c r="P28">
        <v>1</v>
      </c>
      <c r="Q28">
        <v>1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3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</row>
    <row r="29" spans="1:106" x14ac:dyDescent="0.25">
      <c r="A29" t="s">
        <v>169</v>
      </c>
      <c r="B29" s="12" t="s">
        <v>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</row>
    <row r="30" spans="1:106" x14ac:dyDescent="0.25">
      <c r="A30" t="s">
        <v>169</v>
      </c>
      <c r="B30" s="12" t="s">
        <v>21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3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Diagramms quant</vt:lpstr>
      <vt:lpstr>Diagramms qual</vt:lpstr>
      <vt:lpstr>Antibodies pos-neg</vt:lpstr>
      <vt:lpstr>Antibodies with titer</vt:lpstr>
      <vt:lpstr>Antibodies in u per ml</vt:lpstr>
      <vt:lpstr>Antibody values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2024-09-19T15:49:31Z</dcterms:created>
  <dcterms:modified xsi:type="dcterms:W3CDTF">2024-12-05T10:17:53Z</dcterms:modified>
</cp:coreProperties>
</file>