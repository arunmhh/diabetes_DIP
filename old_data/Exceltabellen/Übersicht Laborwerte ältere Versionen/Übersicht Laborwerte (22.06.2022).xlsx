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Übersicht Laborwerte ältere Versionen\"/>
    </mc:Choice>
  </mc:AlternateContent>
  <xr:revisionPtr revIDLastSave="0" documentId="13_ncr:1_{5A512211-C31F-4C30-B7FC-14B294F6646C}" xr6:coauthVersionLast="47" xr6:coauthVersionMax="47" xr10:uidLastSave="{00000000-0000-0000-0000-000000000000}"/>
  <bookViews>
    <workbookView xWindow="-120" yWindow="-120" windowWidth="29040" windowHeight="15840" firstSheet="1" activeTab="1" xr2:uid="{F98F23A4-6A22-4D6A-BAC1-275AB8407745}"/>
  </bookViews>
  <sheets>
    <sheet name="Übersicht Literaturfälle" sheetId="1" r:id="rId1"/>
    <sheet name="Arbeitsmaterial Literaturfälle" sheetId="4" r:id="rId2"/>
    <sheet name="Paracetamol Fälle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2" i="5" l="1"/>
  <c r="CA2" i="5"/>
  <c r="DD2" i="5"/>
  <c r="DR2" i="5"/>
  <c r="EE2" i="5"/>
  <c r="FH2" i="5"/>
  <c r="HX2" i="5"/>
  <c r="KL2" i="5"/>
  <c r="MY2" i="5"/>
  <c r="OP2" i="5"/>
  <c r="OV2" i="5"/>
  <c r="RC2" i="5"/>
  <c r="RT2" i="5"/>
  <c r="UD2" i="5"/>
  <c r="VI2" i="5"/>
  <c r="WL2" i="5"/>
  <c r="XG2" i="5"/>
  <c r="YC2" i="5"/>
  <c r="YW2" i="5"/>
  <c r="ZQ2" i="5"/>
  <c r="ZW2" i="5"/>
  <c r="AAS2" i="5"/>
  <c r="ABP2" i="5"/>
  <c r="ABU2" i="5"/>
  <c r="ACB2" i="5"/>
  <c r="ACP2" i="5"/>
  <c r="ACZ2" i="5"/>
  <c r="ADL2" i="5"/>
  <c r="AEH2" i="5"/>
  <c r="AZ3" i="5"/>
  <c r="CA3" i="5"/>
  <c r="DD3" i="5"/>
  <c r="DR3" i="5"/>
  <c r="EE3" i="5"/>
  <c r="FH3" i="5"/>
  <c r="HX3" i="5"/>
  <c r="KL3" i="5"/>
  <c r="MY3" i="5"/>
  <c r="OP3" i="5"/>
  <c r="OV3" i="5"/>
  <c r="RC3" i="5"/>
  <c r="RT3" i="5"/>
  <c r="UD3" i="5"/>
  <c r="VI3" i="5"/>
  <c r="WL3" i="5"/>
  <c r="XG3" i="5"/>
  <c r="YC3" i="5"/>
  <c r="YW3" i="5"/>
  <c r="ZQ3" i="5"/>
  <c r="ZW3" i="5"/>
  <c r="AAS3" i="5"/>
  <c r="ABP3" i="5"/>
  <c r="ABU3" i="5"/>
  <c r="ACB3" i="5"/>
  <c r="ACP3" i="5"/>
  <c r="ACZ3" i="5"/>
  <c r="ADL3" i="5"/>
  <c r="AEH3" i="5"/>
  <c r="AZ4" i="5"/>
  <c r="CA4" i="5"/>
  <c r="DD4" i="5"/>
  <c r="DR4" i="5"/>
  <c r="EE4" i="5"/>
  <c r="FH4" i="5"/>
  <c r="HX4" i="5"/>
  <c r="KL4" i="5"/>
  <c r="MY4" i="5"/>
  <c r="OP4" i="5"/>
  <c r="OV4" i="5"/>
  <c r="RC4" i="5"/>
  <c r="RT4" i="5"/>
  <c r="UD4" i="5"/>
  <c r="VI4" i="5"/>
  <c r="WL4" i="5"/>
  <c r="XG4" i="5"/>
  <c r="YC4" i="5"/>
  <c r="YW4" i="5"/>
  <c r="ZQ4" i="5"/>
  <c r="ZW4" i="5"/>
  <c r="AAS4" i="5"/>
  <c r="ABP4" i="5"/>
  <c r="ABU4" i="5"/>
  <c r="ACB4" i="5"/>
  <c r="ACP4" i="5"/>
  <c r="ACZ4" i="5"/>
  <c r="ADL4" i="5"/>
  <c r="AEH4" i="5"/>
  <c r="AZ5" i="5"/>
  <c r="CA5" i="5"/>
  <c r="DD5" i="5"/>
  <c r="DR5" i="5"/>
  <c r="EE5" i="5"/>
  <c r="FH5" i="5"/>
  <c r="HX5" i="5"/>
  <c r="KL5" i="5"/>
  <c r="MY5" i="5"/>
  <c r="OP5" i="5"/>
  <c r="OV5" i="5"/>
  <c r="RC5" i="5"/>
  <c r="RT5" i="5"/>
  <c r="UD5" i="5"/>
  <c r="VI5" i="5"/>
  <c r="WL5" i="5"/>
  <c r="XG5" i="5"/>
  <c r="YC5" i="5"/>
  <c r="YW5" i="5"/>
  <c r="ZQ5" i="5"/>
  <c r="ZW5" i="5"/>
  <c r="AAS5" i="5"/>
  <c r="ABP5" i="5"/>
  <c r="ABU5" i="5"/>
  <c r="ACB5" i="5"/>
  <c r="ACP5" i="5"/>
  <c r="ACZ5" i="5"/>
  <c r="ADL5" i="5"/>
  <c r="AEH5" i="5"/>
  <c r="AZ6" i="5"/>
  <c r="CA6" i="5"/>
  <c r="DD6" i="5"/>
  <c r="DR6" i="5"/>
  <c r="EE6" i="5"/>
  <c r="FH6" i="5"/>
  <c r="HX6" i="5"/>
  <c r="KL6" i="5"/>
  <c r="MY6" i="5"/>
  <c r="OP6" i="5"/>
  <c r="OV6" i="5"/>
  <c r="RC6" i="5"/>
  <c r="RT6" i="5"/>
  <c r="UD6" i="5"/>
  <c r="VI6" i="5"/>
  <c r="WL6" i="5"/>
  <c r="XG6" i="5"/>
  <c r="YC6" i="5"/>
  <c r="YW6" i="5"/>
  <c r="ZQ6" i="5"/>
  <c r="ZW6" i="5"/>
  <c r="AAS6" i="5"/>
  <c r="ABP6" i="5"/>
  <c r="ABU6" i="5"/>
  <c r="ACB6" i="5"/>
  <c r="ACP6" i="5"/>
  <c r="ACZ6" i="5"/>
  <c r="ADL6" i="5"/>
  <c r="AEH6" i="5"/>
  <c r="AZ7" i="5"/>
  <c r="CA7" i="5"/>
  <c r="DD7" i="5"/>
  <c r="DR7" i="5"/>
  <c r="EE7" i="5"/>
  <c r="FH7" i="5"/>
  <c r="HX7" i="5"/>
  <c r="KL7" i="5"/>
  <c r="MY7" i="5"/>
  <c r="OP7" i="5"/>
  <c r="OV7" i="5"/>
  <c r="RC7" i="5"/>
  <c r="RT7" i="5"/>
  <c r="UD7" i="5"/>
  <c r="VI7" i="5"/>
  <c r="WL7" i="5"/>
  <c r="XG7" i="5"/>
  <c r="YC7" i="5"/>
  <c r="YW7" i="5"/>
  <c r="ZQ7" i="5"/>
  <c r="ZW7" i="5"/>
  <c r="AAS7" i="5"/>
  <c r="ABP7" i="5"/>
  <c r="ABU7" i="5"/>
  <c r="ACB7" i="5"/>
  <c r="ACP7" i="5"/>
  <c r="ACZ7" i="5"/>
  <c r="ADL7" i="5"/>
  <c r="AEH7" i="5"/>
  <c r="AZ8" i="5"/>
  <c r="CA8" i="5"/>
  <c r="DD8" i="5"/>
  <c r="DR8" i="5"/>
  <c r="EE8" i="5"/>
  <c r="FH8" i="5"/>
  <c r="HX8" i="5"/>
  <c r="KL8" i="5"/>
  <c r="MY8" i="5"/>
  <c r="OP8" i="5"/>
  <c r="OV8" i="5"/>
  <c r="RC8" i="5"/>
  <c r="RT8" i="5"/>
  <c r="UD8" i="5"/>
  <c r="VI8" i="5"/>
  <c r="WL8" i="5"/>
  <c r="XG8" i="5"/>
  <c r="YC8" i="5"/>
  <c r="YW8" i="5"/>
  <c r="ZQ8" i="5"/>
  <c r="ZW8" i="5"/>
  <c r="AAS8" i="5"/>
  <c r="ABP8" i="5"/>
  <c r="ABU8" i="5"/>
  <c r="ACB8" i="5"/>
  <c r="ACP8" i="5"/>
  <c r="ACZ8" i="5"/>
  <c r="ADL8" i="5"/>
  <c r="AEH8" i="5"/>
  <c r="AZ9" i="5"/>
  <c r="CA9" i="5"/>
  <c r="DD9" i="5"/>
  <c r="DR9" i="5"/>
  <c r="EE9" i="5"/>
  <c r="FH9" i="5"/>
  <c r="HX9" i="5"/>
  <c r="KL9" i="5"/>
  <c r="MY9" i="5"/>
  <c r="OP9" i="5"/>
  <c r="OV9" i="5"/>
  <c r="RC9" i="5"/>
  <c r="RT9" i="5"/>
  <c r="UD9" i="5"/>
  <c r="VI9" i="5"/>
  <c r="WL9" i="5"/>
  <c r="XG9" i="5"/>
  <c r="YC9" i="5"/>
  <c r="YW9" i="5"/>
  <c r="ZQ9" i="5"/>
  <c r="ZW9" i="5"/>
  <c r="AAS9" i="5"/>
  <c r="ABP9" i="5"/>
  <c r="ABU9" i="5"/>
  <c r="ACB9" i="5"/>
  <c r="ACP9" i="5"/>
  <c r="ACZ9" i="5"/>
  <c r="ADL9" i="5"/>
  <c r="AEH9" i="5"/>
</calcChain>
</file>

<file path=xl/sharedStrings.xml><?xml version="1.0" encoding="utf-8"?>
<sst xmlns="http://schemas.openxmlformats.org/spreadsheetml/2006/main" count="2124" uniqueCount="1235">
  <si>
    <t>Gesamt</t>
  </si>
  <si>
    <t>Übersicht über die Laborwerte</t>
  </si>
  <si>
    <r>
      <t xml:space="preserve">Laborwerte </t>
    </r>
    <r>
      <rPr>
        <b/>
        <u/>
        <sz val="11"/>
        <color theme="1"/>
        <rFont val="Calibri"/>
        <family val="2"/>
        <scheme val="minor"/>
      </rPr>
      <t>ohne</t>
    </r>
    <r>
      <rPr>
        <sz val="11"/>
        <color theme="1"/>
        <rFont val="Calibri"/>
        <family val="2"/>
        <scheme val="minor"/>
      </rPr>
      <t xml:space="preserve"> zeitlichen Verlauf</t>
    </r>
  </si>
  <si>
    <t xml:space="preserve">BfArM Nummer </t>
  </si>
  <si>
    <r>
      <t xml:space="preserve">Häufigkeit </t>
    </r>
    <r>
      <rPr>
        <b/>
        <u/>
        <sz val="11"/>
        <color theme="1"/>
        <rFont val="Calibri"/>
        <family val="2"/>
        <scheme val="minor"/>
      </rPr>
      <t>mit</t>
    </r>
    <r>
      <rPr>
        <sz val="11"/>
        <color theme="1"/>
        <rFont val="Calibri"/>
        <family val="2"/>
        <scheme val="minor"/>
      </rPr>
      <t xml:space="preserve"> zeitlichem Verlauf</t>
    </r>
  </si>
  <si>
    <t>39.6/nL</t>
  </si>
  <si>
    <t>23/nL</t>
  </si>
  <si>
    <t xml:space="preserve"> 53.7 mg/dL</t>
  </si>
  <si>
    <t>Troponin</t>
  </si>
  <si>
    <t>Prothrombin</t>
  </si>
  <si>
    <t xml:space="preserve"> 2,466 microgram/L</t>
  </si>
  <si>
    <t>D-Dimer</t>
  </si>
  <si>
    <t xml:space="preserve"> 17.0 microgram/L</t>
  </si>
  <si>
    <t>CH-50</t>
  </si>
  <si>
    <t xml:space="preserve"> 282 mU/mL</t>
  </si>
  <si>
    <t>Fibrinogen</t>
  </si>
  <si>
    <t xml:space="preserve"> 415 mg%</t>
  </si>
  <si>
    <t>Leukozyten (WBC)</t>
  </si>
  <si>
    <t xml:space="preserve"> 2,9 mg/dL</t>
  </si>
  <si>
    <t>Serummyoglobin</t>
  </si>
  <si>
    <t xml:space="preserve"> 193 mg/L</t>
  </si>
  <si>
    <t>ANA (Antinukleäre Antikörper)</t>
  </si>
  <si>
    <t xml:space="preserve"> 1: 1280</t>
  </si>
  <si>
    <t>Anti-Ro (SSA(Ro)-Antikörper)</t>
  </si>
  <si>
    <t xml:space="preserve"> 1412.7 (positive)</t>
  </si>
  <si>
    <t>Anti-La (SSB(La)-Antikörper)</t>
  </si>
  <si>
    <t xml:space="preserve"> 154.6 (borderline)</t>
  </si>
  <si>
    <t>Antihistonantikörper</t>
  </si>
  <si>
    <t xml:space="preserve"> 43.5 (positive)</t>
  </si>
  <si>
    <t>DsDNA-Antikörper</t>
  </si>
  <si>
    <t>positiv</t>
  </si>
  <si>
    <t>Thrombozyten</t>
  </si>
  <si>
    <t>121000/MCL</t>
  </si>
  <si>
    <t>7900/MCL</t>
  </si>
  <si>
    <t>Zeitpunkt der Laboruntersuchung</t>
  </si>
  <si>
    <t>14.01.2003 (bei Einlieferung)</t>
  </si>
  <si>
    <t>15.01.2003 (Datum nicht sicher zuordbar)</t>
  </si>
  <si>
    <t>&lt; 10000/MCL</t>
  </si>
  <si>
    <t>Serum-Lipase</t>
  </si>
  <si>
    <t xml:space="preserve"> 632 U/L</t>
  </si>
  <si>
    <t>10.02.2003 (während Erhohlung)</t>
  </si>
  <si>
    <t>396000/MCL</t>
  </si>
  <si>
    <t xml:space="preserve"> 8000/MCL</t>
  </si>
  <si>
    <t>162U/L</t>
  </si>
  <si>
    <t xml:space="preserve"> 250/n</t>
  </si>
  <si>
    <t xml:space="preserve"> 60/nI</t>
  </si>
  <si>
    <t>6.77×109/L</t>
  </si>
  <si>
    <t xml:space="preserve"> 466×109/L</t>
  </si>
  <si>
    <t>330 mg/L</t>
  </si>
  <si>
    <t>Albumin</t>
  </si>
  <si>
    <t>22 g/L</t>
  </si>
  <si>
    <t xml:space="preserve"> 6.6 mg/dL</t>
  </si>
  <si>
    <t>7,7/ul</t>
  </si>
  <si>
    <t>Lymphozyten 
[%]</t>
  </si>
  <si>
    <t>GOT/ASAT/AST 
[U/L]</t>
  </si>
  <si>
    <t>GPT/ALAT/ALT
[U/L]</t>
  </si>
  <si>
    <t>GGT (Gamma-Glutamyltranferase) 
[U/L]</t>
  </si>
  <si>
    <t>LDH 
[U/L]</t>
  </si>
  <si>
    <t>Serumharnstoff 
[mg/dl]</t>
  </si>
  <si>
    <t xml:space="preserve"> 8,7/ul</t>
  </si>
  <si>
    <t>Kreatinin 
[mg/dl]</t>
  </si>
  <si>
    <t>CRP 
[mg/dl]</t>
  </si>
  <si>
    <t>CK (creatine phosphokinase)
[U/L]</t>
  </si>
  <si>
    <t>unbekanntes Datum</t>
  </si>
  <si>
    <t>CK-MB (creatine kinase MB)
[U/L]</t>
  </si>
  <si>
    <t>11.600/ul</t>
  </si>
  <si>
    <t>12,0/ul</t>
  </si>
  <si>
    <t>20,0/ul</t>
  </si>
  <si>
    <t>11,64/ul</t>
  </si>
  <si>
    <t>normal</t>
  </si>
  <si>
    <t>4000/ul</t>
  </si>
  <si>
    <t>8900/ul</t>
  </si>
  <si>
    <t>10600/ul</t>
  </si>
  <si>
    <t>9000/ul</t>
  </si>
  <si>
    <t>12000/ul</t>
  </si>
  <si>
    <t>ChE (Cholinesterase)
[U/L]</t>
  </si>
  <si>
    <t>Amylase
[U/L]</t>
  </si>
  <si>
    <t>378000/ul</t>
  </si>
  <si>
    <t>ESR, BSG (Erythrozytensedimentationsrate)
[mm/h]</t>
  </si>
  <si>
    <t xml:space="preserve">Eosinophile
[%] </t>
  </si>
  <si>
    <t>Monozyten
[%]</t>
  </si>
  <si>
    <t>Neutrophile
[%]</t>
  </si>
  <si>
    <t>IgG</t>
  </si>
  <si>
    <t>HIV</t>
  </si>
  <si>
    <t>1+2 negativ</t>
  </si>
  <si>
    <t>Herpes simplex Virus IgM</t>
  </si>
  <si>
    <t>negativ</t>
  </si>
  <si>
    <t>Mycoplasmatische Antikörper</t>
  </si>
  <si>
    <t>ECHO-Virus</t>
  </si>
  <si>
    <t>HBs-Antikörper</t>
  </si>
  <si>
    <t>HBc antikörper</t>
  </si>
  <si>
    <t>HBsAg</t>
  </si>
  <si>
    <t>Coxackie-Virus-Antikörper</t>
  </si>
  <si>
    <t>Hepatitis C-Antikörper</t>
  </si>
  <si>
    <t>90/ul</t>
  </si>
  <si>
    <t>Billirubin [mg/dl]</t>
  </si>
  <si>
    <t>Quick-Wert [%]</t>
  </si>
  <si>
    <t>107/ml</t>
  </si>
  <si>
    <t>2,5g/dl</t>
  </si>
  <si>
    <t>Gamma-Globulin 
[g/dl]</t>
  </si>
  <si>
    <t>Fieber 
[°C]</t>
  </si>
  <si>
    <t>4,1 (direktes: 3,1)</t>
  </si>
  <si>
    <t>PTT
[sec.]</t>
  </si>
  <si>
    <t>AT III 
[%]</t>
  </si>
  <si>
    <t>2,9/nl</t>
  </si>
  <si>
    <t>Hb (Hämoglobin)
[g/dl]</t>
  </si>
  <si>
    <t>&lt; 8</t>
  </si>
  <si>
    <t>101/nl</t>
  </si>
  <si>
    <t>unauffällig</t>
  </si>
  <si>
    <t>Natrium</t>
  </si>
  <si>
    <t>Kalium</t>
  </si>
  <si>
    <t>THS (Thyreoidea-stimulierendes Hormon)</t>
  </si>
  <si>
    <t>T3</t>
  </si>
  <si>
    <t>T4</t>
  </si>
  <si>
    <t>TBK (Thyroxinbindungskapazität)</t>
  </si>
  <si>
    <t>Erythrozyten
[Erys/ul]</t>
  </si>
  <si>
    <t>Urinstatus</t>
  </si>
  <si>
    <t>Protein
[mg/dl]</t>
  </si>
  <si>
    <t>Urobilinogen
[mg/dl]</t>
  </si>
  <si>
    <t>Nitrit</t>
  </si>
  <si>
    <t>Leukozyten
[Leukos/ul]</t>
  </si>
  <si>
    <t>Immunstatus</t>
  </si>
  <si>
    <t>IgE
[U/ml]</t>
  </si>
  <si>
    <t>Mikrobiologische Befunde vorhanden</t>
  </si>
  <si>
    <t>24h-Sammelurin vorhanden</t>
  </si>
  <si>
    <t>ja</t>
  </si>
  <si>
    <t>Gesamteiweiß
[g/dl]</t>
  </si>
  <si>
    <t>2,2g/dl</t>
  </si>
  <si>
    <t>Koagulase</t>
  </si>
  <si>
    <t>2/nl</t>
  </si>
  <si>
    <t>99 (keine Einheit)</t>
  </si>
  <si>
    <t>156 (keine Einheit)</t>
  </si>
  <si>
    <t>239 (keine Einheit)</t>
  </si>
  <si>
    <t>86 (keine Einheit)</t>
  </si>
  <si>
    <t>61 (keine Einheit)</t>
  </si>
  <si>
    <t>97 (keine Einheit)</t>
  </si>
  <si>
    <t>alkalische Phosphatase
[U/L]</t>
  </si>
  <si>
    <t>&gt;1000</t>
  </si>
  <si>
    <t>6000/ul</t>
  </si>
  <si>
    <t>11400/ul</t>
  </si>
  <si>
    <t>7700/mcl</t>
  </si>
  <si>
    <t>4300/mcl</t>
  </si>
  <si>
    <t>8,7/ul</t>
  </si>
  <si>
    <t>6,4/ul</t>
  </si>
  <si>
    <t>14:10 Uhr</t>
  </si>
  <si>
    <t>20:11 Uhr</t>
  </si>
  <si>
    <t>um 1,3 gestiegen</t>
  </si>
  <si>
    <t>um 3,18 gestiegen</t>
  </si>
  <si>
    <t>14100/mcl</t>
  </si>
  <si>
    <t>Patienten-ID</t>
  </si>
  <si>
    <t>Initialien</t>
  </si>
  <si>
    <t>Alter</t>
  </si>
  <si>
    <t>Geschlecht</t>
  </si>
  <si>
    <t>Arztbrief</t>
  </si>
  <si>
    <t>Laborwerte</t>
  </si>
  <si>
    <t>Indikation</t>
  </si>
  <si>
    <t>Suizid</t>
  </si>
  <si>
    <t>Leben</t>
  </si>
  <si>
    <t>Intervention</t>
  </si>
  <si>
    <t>Wirkung</t>
  </si>
  <si>
    <t>Gewicht (kg)</t>
  </si>
  <si>
    <t>Groesse (cm)</t>
  </si>
  <si>
    <t>BMI</t>
  </si>
  <si>
    <t>Paracetamol Start</t>
  </si>
  <si>
    <t>Paracetamol Stop</t>
  </si>
  <si>
    <t>Dauer der Paracetamol Einnahme</t>
  </si>
  <si>
    <t>Paracetamol-Dosis</t>
  </si>
  <si>
    <t>Grunderkrankung</t>
  </si>
  <si>
    <t>Nebendiagnosen</t>
  </si>
  <si>
    <t>Symptome bei Aufnahme</t>
  </si>
  <si>
    <t>Zusätzliche Medikation</t>
  </si>
  <si>
    <t>Entlassungsmedikation</t>
  </si>
  <si>
    <t>Dauermedikation</t>
  </si>
  <si>
    <t>CK-d1 (U\l)</t>
  </si>
  <si>
    <t>Ck-d2</t>
  </si>
  <si>
    <t>Ck-d2w2</t>
  </si>
  <si>
    <t>Ck-d2w3</t>
  </si>
  <si>
    <t>Ck-d3</t>
  </si>
  <si>
    <t>Ck-d4</t>
  </si>
  <si>
    <t>Ck-d4w2</t>
  </si>
  <si>
    <t>Ck-d4w3</t>
  </si>
  <si>
    <t>Ck-d4w4</t>
  </si>
  <si>
    <t>Ck-d5</t>
  </si>
  <si>
    <t>Ck-d5w2</t>
  </si>
  <si>
    <t>Ck-d6</t>
  </si>
  <si>
    <t>Ck-d6w2</t>
  </si>
  <si>
    <t>Ck-d6w3</t>
  </si>
  <si>
    <t>Ck-d7</t>
  </si>
  <si>
    <t>Ck-d8</t>
  </si>
  <si>
    <t>Ck-d10</t>
  </si>
  <si>
    <t>Ck-d13</t>
  </si>
  <si>
    <t>Ck-d14</t>
  </si>
  <si>
    <t>Ck-d15</t>
  </si>
  <si>
    <t>Ck-d19</t>
  </si>
  <si>
    <t>Ck-d20</t>
  </si>
  <si>
    <t>Ck-d21</t>
  </si>
  <si>
    <t>Ck-d23</t>
  </si>
  <si>
    <t>Ck-d28</t>
  </si>
  <si>
    <t>Ck-m20d28</t>
  </si>
  <si>
    <t>Ck-m21/2</t>
  </si>
  <si>
    <t>Anzahl CK Daten</t>
  </si>
  <si>
    <t>Quick-d1 (%)</t>
  </si>
  <si>
    <t>Quick-d1w2</t>
  </si>
  <si>
    <t xml:space="preserve">Quick-d2 </t>
  </si>
  <si>
    <t>Quick-d2w2</t>
  </si>
  <si>
    <t>Quick-d3</t>
  </si>
  <si>
    <t>Quick-d4</t>
  </si>
  <si>
    <t>Quick-d4w2</t>
  </si>
  <si>
    <t>Quick-d4w3</t>
  </si>
  <si>
    <t>Quick-d5</t>
  </si>
  <si>
    <t>Quick-d6</t>
  </si>
  <si>
    <t>Quick-d7</t>
  </si>
  <si>
    <t>Quick-d8</t>
  </si>
  <si>
    <t>Quick-d9</t>
  </si>
  <si>
    <t>Quick-d11</t>
  </si>
  <si>
    <t>Quick-d12</t>
  </si>
  <si>
    <t>Quick-d13</t>
  </si>
  <si>
    <t>Quick-d14</t>
  </si>
  <si>
    <t>Quick-d15</t>
  </si>
  <si>
    <t>Quick-d18</t>
  </si>
  <si>
    <t>Quick-d20</t>
  </si>
  <si>
    <t>Quick-23</t>
  </si>
  <si>
    <t>Quick-25</t>
  </si>
  <si>
    <t>Quick-d27</t>
  </si>
  <si>
    <t>Quick-29</t>
  </si>
  <si>
    <t>Quick-d32</t>
  </si>
  <si>
    <t>Quick-m20d28</t>
  </si>
  <si>
    <t>Anzahl Quick Daten</t>
  </si>
  <si>
    <t>PTT-d1 (sec)</t>
  </si>
  <si>
    <t>PTT-d1w2</t>
  </si>
  <si>
    <t>PTT-d2</t>
  </si>
  <si>
    <t>PTT-d2w2</t>
  </si>
  <si>
    <t>PTT-d3</t>
  </si>
  <si>
    <t>PTT-d4</t>
  </si>
  <si>
    <t>PTT-d4w1</t>
  </si>
  <si>
    <t>PTT-d4w2</t>
  </si>
  <si>
    <t>PTT-d4w3</t>
  </si>
  <si>
    <t>PTT-d5</t>
  </si>
  <si>
    <t>PTT-d6</t>
  </si>
  <si>
    <t>PTT-d7</t>
  </si>
  <si>
    <t>PTT-d8</t>
  </si>
  <si>
    <t>PTT-d9</t>
  </si>
  <si>
    <t>PTT-d10</t>
  </si>
  <si>
    <t>PTT-d11</t>
  </si>
  <si>
    <t>PTT-d12</t>
  </si>
  <si>
    <t>PTT-d13</t>
  </si>
  <si>
    <t>PTT-d14</t>
  </si>
  <si>
    <t>PTT-d15</t>
  </si>
  <si>
    <t>PTT-d18</t>
  </si>
  <si>
    <t>PTT-d20</t>
  </si>
  <si>
    <t>PTT-d23</t>
  </si>
  <si>
    <t>PTT-d25</t>
  </si>
  <si>
    <t>PTT-d27</t>
  </si>
  <si>
    <t>PTT-d29</t>
  </si>
  <si>
    <t>PTT-d32</t>
  </si>
  <si>
    <t>PTT-m20d28</t>
  </si>
  <si>
    <t>Anzahl PTT Daten</t>
  </si>
  <si>
    <t>TZ-d1</t>
  </si>
  <si>
    <t>Fibrinogen(mg/dl)-d1</t>
  </si>
  <si>
    <t>Fibrinogen-d2</t>
  </si>
  <si>
    <t>Fibrinogen-d3</t>
  </si>
  <si>
    <t>Fibrinogen-d4</t>
  </si>
  <si>
    <t>Fibrinogen-d4w1</t>
  </si>
  <si>
    <t>Fibrinogen-d4w2</t>
  </si>
  <si>
    <t>Fibrinogen-d5</t>
  </si>
  <si>
    <t>Fibrinogen-d7</t>
  </si>
  <si>
    <t>Fibrinogen-d8</t>
  </si>
  <si>
    <t>Fibrinogen-d12</t>
  </si>
  <si>
    <t>Fibrinogen-d13</t>
  </si>
  <si>
    <t>Fibrinogen-d14</t>
  </si>
  <si>
    <t>Anzahl Fibrinogen Daten</t>
  </si>
  <si>
    <t>AT III -d1</t>
  </si>
  <si>
    <t>AT III-d1w2</t>
  </si>
  <si>
    <t>ATIII-d2</t>
  </si>
  <si>
    <t>ATIII-d3</t>
  </si>
  <si>
    <t>ATII-d5</t>
  </si>
  <si>
    <t>ATIII-d6</t>
  </si>
  <si>
    <t>AT III-d7</t>
  </si>
  <si>
    <t>At III-d13</t>
  </si>
  <si>
    <t>AT III-d32</t>
  </si>
  <si>
    <t>AT III-d33</t>
  </si>
  <si>
    <t>Anzahl AT Daten</t>
  </si>
  <si>
    <t>Leukozyten-d1 (\mikrol)</t>
  </si>
  <si>
    <t>Leukozyten-d1w2</t>
  </si>
  <si>
    <t>Leukozyten-d2</t>
  </si>
  <si>
    <t>Leukozyten-d2w2</t>
  </si>
  <si>
    <t>Leukozyten-d2w3</t>
  </si>
  <si>
    <t>Leukozyten-d3</t>
  </si>
  <si>
    <t>Leukozyten-d3w2</t>
  </si>
  <si>
    <t>Leukozyten-d4</t>
  </si>
  <si>
    <t>Leukozyten-d4w2</t>
  </si>
  <si>
    <t>Leukozyten-d4w3</t>
  </si>
  <si>
    <t>Leukozyten-d4w4</t>
  </si>
  <si>
    <t>Leukozyten-d5</t>
  </si>
  <si>
    <t>Leukozyten-d5w2</t>
  </si>
  <si>
    <t>Leukozyten-d6</t>
  </si>
  <si>
    <t>Leukozyten-d6w2</t>
  </si>
  <si>
    <t>Leukozyten-d6w3</t>
  </si>
  <si>
    <t>Leukozyten-d7</t>
  </si>
  <si>
    <t>Leukozyten-d8</t>
  </si>
  <si>
    <t>Leukozyten-d9</t>
  </si>
  <si>
    <t>Leukozyten-d11</t>
  </si>
  <si>
    <t>Leukozyten-d12</t>
  </si>
  <si>
    <t>Leukozyten-d13</t>
  </si>
  <si>
    <t>Leukozyten-d14</t>
  </si>
  <si>
    <t>Leukozyten-d15</t>
  </si>
  <si>
    <t>Leukozyten-d16</t>
  </si>
  <si>
    <t>Leukozyten/d17</t>
  </si>
  <si>
    <t>Leukozyten-d19</t>
  </si>
  <si>
    <t>Leukozyten-d20</t>
  </si>
  <si>
    <t>Anzahl Leukozyten Daten</t>
  </si>
  <si>
    <t>GOT-d1 (u\l)</t>
  </si>
  <si>
    <t>GOT-d1w2</t>
  </si>
  <si>
    <t>GOT-d1w3</t>
  </si>
  <si>
    <t>GOT-d1w4</t>
  </si>
  <si>
    <t>GOT-d2</t>
  </si>
  <si>
    <t>GOT-d2w2</t>
  </si>
  <si>
    <t>GOT-d2w3</t>
  </si>
  <si>
    <t>GOT-d3</t>
  </si>
  <si>
    <t>GOT-d4</t>
  </si>
  <si>
    <t>GOT-d4w2</t>
  </si>
  <si>
    <t>GOT-d4w3</t>
  </si>
  <si>
    <t>GOT-d4w4</t>
  </si>
  <si>
    <t>GOT-d5</t>
  </si>
  <si>
    <t>GOT-d5w2</t>
  </si>
  <si>
    <t>GOT-d6</t>
  </si>
  <si>
    <t>GOT-d6w2</t>
  </si>
  <si>
    <t>GOTd6w3</t>
  </si>
  <si>
    <t>GOT-d7</t>
  </si>
  <si>
    <t>GOT-d8</t>
  </si>
  <si>
    <t>GOT-d9</t>
  </si>
  <si>
    <t>GOT-d10</t>
  </si>
  <si>
    <t>GOT-d11</t>
  </si>
  <si>
    <t>GOT-d12</t>
  </si>
  <si>
    <t>GOT-d13</t>
  </si>
  <si>
    <t>GOT-d14</t>
  </si>
  <si>
    <t>GOT-d15</t>
  </si>
  <si>
    <t>GOT-d16</t>
  </si>
  <si>
    <t>GOT-d17</t>
  </si>
  <si>
    <t>GOT-d18</t>
  </si>
  <si>
    <t>GOT-d19</t>
  </si>
  <si>
    <t>GOT-d20</t>
  </si>
  <si>
    <t>GOT-d21</t>
  </si>
  <si>
    <t>GOT-d23</t>
  </si>
  <si>
    <t>GOT-d25</t>
  </si>
  <si>
    <t>GOT-d26</t>
  </si>
  <si>
    <t>GOT-d27</t>
  </si>
  <si>
    <t>GOT-d28</t>
  </si>
  <si>
    <t>GOT-d29</t>
  </si>
  <si>
    <t>GOT-d31</t>
  </si>
  <si>
    <t>GOT-d32</t>
  </si>
  <si>
    <t>Got-d33</t>
  </si>
  <si>
    <t>GOT-d35</t>
  </si>
  <si>
    <t>GOT-d36</t>
  </si>
  <si>
    <t>GOT-d37</t>
  </si>
  <si>
    <t>GOT-d38</t>
  </si>
  <si>
    <t>GOT-d39</t>
  </si>
  <si>
    <t>GOT-d40</t>
  </si>
  <si>
    <t>GOT-d42</t>
  </si>
  <si>
    <t>GOT-d54</t>
  </si>
  <si>
    <t>GOT-m2d2</t>
  </si>
  <si>
    <t>GOT-m4d6</t>
  </si>
  <si>
    <t>GOT-m5d21</t>
  </si>
  <si>
    <t>GOT-m5d26</t>
  </si>
  <si>
    <t>GOT-m5d29</t>
  </si>
  <si>
    <t>GOT-m6d7</t>
  </si>
  <si>
    <t>GOT-m6d4</t>
  </si>
  <si>
    <t>GOT-m7d6</t>
  </si>
  <si>
    <t>GOT-m10d6</t>
  </si>
  <si>
    <t>GOT-m11d10</t>
  </si>
  <si>
    <t>GOT-m11d30</t>
  </si>
  <si>
    <t>GOT-m20d28</t>
  </si>
  <si>
    <t>GOT-m21d1</t>
  </si>
  <si>
    <t>GOT-m21d2</t>
  </si>
  <si>
    <t>GOTm21/d5</t>
  </si>
  <si>
    <t>GOTm21/d9</t>
  </si>
  <si>
    <t>GOT Therapieende</t>
  </si>
  <si>
    <t>Anzahl GOT Daten</t>
  </si>
  <si>
    <t>GPT-d1 (u\l)</t>
  </si>
  <si>
    <t>GPT-d1w2</t>
  </si>
  <si>
    <t>GPT-d1w3</t>
  </si>
  <si>
    <t>GPT-d2</t>
  </si>
  <si>
    <t>GPT-d2w2</t>
  </si>
  <si>
    <t>Gpt-d2w3</t>
  </si>
  <si>
    <t>GPT-d3</t>
  </si>
  <si>
    <t>GPT-d4</t>
  </si>
  <si>
    <t>GPT-d4w2</t>
  </si>
  <si>
    <t>GPT-d4w3</t>
  </si>
  <si>
    <t>GPT-d4w4</t>
  </si>
  <si>
    <t>GPT-d5</t>
  </si>
  <si>
    <t>GPT-d5w2</t>
  </si>
  <si>
    <t>GPT-d6</t>
  </si>
  <si>
    <t>GPT-d6w2</t>
  </si>
  <si>
    <t>GPT-d6w3</t>
  </si>
  <si>
    <t>GPT-d7</t>
  </si>
  <si>
    <t>GPT-d8</t>
  </si>
  <si>
    <t>GPT-d9</t>
  </si>
  <si>
    <t>GPT-d10</t>
  </si>
  <si>
    <t>GPT-d11</t>
  </si>
  <si>
    <t>GPT-d12</t>
  </si>
  <si>
    <t>GPT-d13</t>
  </si>
  <si>
    <t>GPT-d14</t>
  </si>
  <si>
    <t>GPT-d15</t>
  </si>
  <si>
    <t>GPT-d16</t>
  </si>
  <si>
    <t>GPT-d17</t>
  </si>
  <si>
    <t>GPT-d18</t>
  </si>
  <si>
    <t>GPT-d19</t>
  </si>
  <si>
    <t>GPT-d20</t>
  </si>
  <si>
    <t>GPT-d21</t>
  </si>
  <si>
    <t>GPT-d23</t>
  </si>
  <si>
    <t>GPT-d25</t>
  </si>
  <si>
    <t>GPT-d26</t>
  </si>
  <si>
    <t>GPT-d27</t>
  </si>
  <si>
    <t>GPT-d28</t>
  </si>
  <si>
    <t>GPT-d29</t>
  </si>
  <si>
    <t>GPT-d31</t>
  </si>
  <si>
    <t>GPT-d32</t>
  </si>
  <si>
    <t>GPT-d33</t>
  </si>
  <si>
    <t>GPT-d35</t>
  </si>
  <si>
    <t>GPT-d36</t>
  </si>
  <si>
    <t>GPT-d37</t>
  </si>
  <si>
    <t>GPT-d38</t>
  </si>
  <si>
    <t>GPT-d39</t>
  </si>
  <si>
    <t>GPT-d40</t>
  </si>
  <si>
    <t>GPT-d42</t>
  </si>
  <si>
    <t>GPT-d54</t>
  </si>
  <si>
    <t>GPT-m2d2</t>
  </si>
  <si>
    <t>GPT-m4d6</t>
  </si>
  <si>
    <t>GPT-m5d21</t>
  </si>
  <si>
    <t>GPT-m5d26</t>
  </si>
  <si>
    <t>GPT-m5d29</t>
  </si>
  <si>
    <t>GPT-m6d7</t>
  </si>
  <si>
    <t>GPT-m6d14</t>
  </si>
  <si>
    <t>GPT-m7d16</t>
  </si>
  <si>
    <t>GPT-m10d6</t>
  </si>
  <si>
    <t>GPT-m11d10</t>
  </si>
  <si>
    <t>GPT-m11d30</t>
  </si>
  <si>
    <t>GPT-m20d28</t>
  </si>
  <si>
    <t>GPT-m21/d1</t>
  </si>
  <si>
    <t>GPTm21d2</t>
  </si>
  <si>
    <t>GPTm21d5</t>
  </si>
  <si>
    <t>GPTm21d9</t>
  </si>
  <si>
    <t>GPT-Therapieende</t>
  </si>
  <si>
    <t>Anzahl GP Daten</t>
  </si>
  <si>
    <t>GGT-d1 (u\l)</t>
  </si>
  <si>
    <t>GGT-d1w2</t>
  </si>
  <si>
    <t>GGT-d2</t>
  </si>
  <si>
    <t>GGT-d2w2</t>
  </si>
  <si>
    <t>GGT-d3</t>
  </si>
  <si>
    <t>GGT-d4</t>
  </si>
  <si>
    <t>GGT-d4w2</t>
  </si>
  <si>
    <t>GGT-d4w3</t>
  </si>
  <si>
    <t>GGT-d4w4</t>
  </si>
  <si>
    <t>GGT-d5</t>
  </si>
  <si>
    <t>GGT-d5w2</t>
  </si>
  <si>
    <t>GGT-d6</t>
  </si>
  <si>
    <t>GGT-d6w2</t>
  </si>
  <si>
    <t>GGT-d6w3</t>
  </si>
  <si>
    <t>GGT-d7</t>
  </si>
  <si>
    <t>GGT-d8</t>
  </si>
  <si>
    <t>GGT-d9</t>
  </si>
  <si>
    <t>GGT-d10</t>
  </si>
  <si>
    <t>GGT-d11</t>
  </si>
  <si>
    <t>GGT-d12</t>
  </si>
  <si>
    <t>GGT-d13</t>
  </si>
  <si>
    <t>GGT-d14</t>
  </si>
  <si>
    <t>GGT-d15</t>
  </si>
  <si>
    <t>GGT-d16</t>
  </si>
  <si>
    <t>GGT-d17</t>
  </si>
  <si>
    <t>GGT-d18</t>
  </si>
  <si>
    <t>GGT-d19</t>
  </si>
  <si>
    <t>GGT-d20</t>
  </si>
  <si>
    <t>GGT-d21</t>
  </si>
  <si>
    <t>GGT-d23</t>
  </si>
  <si>
    <t>GGT-d25</t>
  </si>
  <si>
    <t>GGT-d26</t>
  </si>
  <si>
    <t>GGT-d27</t>
  </si>
  <si>
    <t>GGT-d28</t>
  </si>
  <si>
    <t>GGT-d29</t>
  </si>
  <si>
    <t>GGT-d31</t>
  </si>
  <si>
    <t>GGT-d32</t>
  </si>
  <si>
    <t>GGT-d33</t>
  </si>
  <si>
    <t>GGT-d35</t>
  </si>
  <si>
    <t>GGT-d36</t>
  </si>
  <si>
    <t>GGT-d37</t>
  </si>
  <si>
    <t>GGT-d38</t>
  </si>
  <si>
    <t>GGT-d39</t>
  </si>
  <si>
    <t>GGT-d40</t>
  </si>
  <si>
    <t>GGT-d42</t>
  </si>
  <si>
    <t>GGT-d54</t>
  </si>
  <si>
    <t>GGT-m2d2</t>
  </si>
  <si>
    <t>GGT-m4d6</t>
  </si>
  <si>
    <t>GGT-m5d21</t>
  </si>
  <si>
    <t>GGT-m5d26</t>
  </si>
  <si>
    <t>GGT-m5d29</t>
  </si>
  <si>
    <t>GGT-m6d7</t>
  </si>
  <si>
    <t>GGT-m6d14</t>
  </si>
  <si>
    <t>GGT-m7d16</t>
  </si>
  <si>
    <t>GGT-m10d6</t>
  </si>
  <si>
    <t>GGT-m11d10</t>
  </si>
  <si>
    <t>GGT-m11d30</t>
  </si>
  <si>
    <t>GGT-m7</t>
  </si>
  <si>
    <t>GGT-m20d28</t>
  </si>
  <si>
    <t>GGTm21d1</t>
  </si>
  <si>
    <t>GGTm21d2</t>
  </si>
  <si>
    <t>GGTm21d5</t>
  </si>
  <si>
    <t>GGTm21d9</t>
  </si>
  <si>
    <t>GGT-Verlauf/Therapieende</t>
  </si>
  <si>
    <t>Anzahl GGT Daten</t>
  </si>
  <si>
    <t>LDH-d1 (u\l)</t>
  </si>
  <si>
    <t>LDH-d1w2</t>
  </si>
  <si>
    <t>LDH-d1w3</t>
  </si>
  <si>
    <t>LDH-d2</t>
  </si>
  <si>
    <t>LDH-d2w2</t>
  </si>
  <si>
    <t>LDH-d2w3</t>
  </si>
  <si>
    <t>LDH-d3</t>
  </si>
  <si>
    <t>LDH-d4</t>
  </si>
  <si>
    <t>LDH-d4w2</t>
  </si>
  <si>
    <t>LDH-d4w3</t>
  </si>
  <si>
    <t>LDH-d4w4</t>
  </si>
  <si>
    <t>LDH-d5</t>
  </si>
  <si>
    <t>LDH-d5w2</t>
  </si>
  <si>
    <t>LDH-d6</t>
  </si>
  <si>
    <t>LDH-d6w2</t>
  </si>
  <si>
    <t>LDH-d6w3</t>
  </si>
  <si>
    <t>LDH-d7</t>
  </si>
  <si>
    <t>LDH-d8</t>
  </si>
  <si>
    <t>LDH-d11</t>
  </si>
  <si>
    <t>LDH-d13</t>
  </si>
  <si>
    <t>LDH-d14</t>
  </si>
  <si>
    <t>LDH-d15</t>
  </si>
  <si>
    <t>LDH-d16</t>
  </si>
  <si>
    <t>LDH-d17</t>
  </si>
  <si>
    <t>LDH-d18</t>
  </si>
  <si>
    <t>LDH-d19</t>
  </si>
  <si>
    <t>LDH-d20</t>
  </si>
  <si>
    <t>LDH-d21</t>
  </si>
  <si>
    <t>LDH-23</t>
  </si>
  <si>
    <t>LDH-25</t>
  </si>
  <si>
    <t>LDH-d27</t>
  </si>
  <si>
    <t>Ldh-d28</t>
  </si>
  <si>
    <t>LDH-d29</t>
  </si>
  <si>
    <t>LDH-d32</t>
  </si>
  <si>
    <t>LDH-d33</t>
  </si>
  <si>
    <t>LDH-d35</t>
  </si>
  <si>
    <t>LDH-d38</t>
  </si>
  <si>
    <t>LDH-d39</t>
  </si>
  <si>
    <t>LDH-d40</t>
  </si>
  <si>
    <t>LDH-m20d28</t>
  </si>
  <si>
    <t>LDH-m21d2</t>
  </si>
  <si>
    <t>LDH-m21d9</t>
  </si>
  <si>
    <t>Anzahl LDH Daten</t>
  </si>
  <si>
    <t>Lymphozyten-d1 (%)</t>
  </si>
  <si>
    <t>Lymphozyten-d2</t>
  </si>
  <si>
    <t>Lymphozyten-d8</t>
  </si>
  <si>
    <t>Lymphozyten-m20d28</t>
  </si>
  <si>
    <t>Lymphozyten-m21d2</t>
  </si>
  <si>
    <t>Anzahl Lymphozyten Daten</t>
  </si>
  <si>
    <t>Bilirubin-d1 (mikromol/l)</t>
  </si>
  <si>
    <t>Bilirubin-d2</t>
  </si>
  <si>
    <t>Bilirubin-d1w2</t>
  </si>
  <si>
    <t>Bilirubin-d2w2</t>
  </si>
  <si>
    <t>Bilirubin-d2w3</t>
  </si>
  <si>
    <t>Billirubin-d3</t>
  </si>
  <si>
    <t>Bilirubin-d3w2</t>
  </si>
  <si>
    <t>Billirubin-d4</t>
  </si>
  <si>
    <t>Billirubin-d4w2</t>
  </si>
  <si>
    <t>Billirubin-d4w3</t>
  </si>
  <si>
    <t>Bilirubin-d4w4</t>
  </si>
  <si>
    <t>Billirubin-d5</t>
  </si>
  <si>
    <t>Billirubin-d5w2</t>
  </si>
  <si>
    <t>Billirubin-d6</t>
  </si>
  <si>
    <t>Bilirubin-d6w2</t>
  </si>
  <si>
    <t>Billirubin-d6w3</t>
  </si>
  <si>
    <t>Bilirubin-d7</t>
  </si>
  <si>
    <t>Billirubin-d8</t>
  </si>
  <si>
    <t>Billirubin-d9</t>
  </si>
  <si>
    <t>Billirubin-d10</t>
  </si>
  <si>
    <t>Billirubin-d11</t>
  </si>
  <si>
    <t>Bilirubin-d12</t>
  </si>
  <si>
    <t>Bilirubin-d13</t>
  </si>
  <si>
    <t>Bilirubin-d14</t>
  </si>
  <si>
    <t>Bilirubin-d15</t>
  </si>
  <si>
    <t>Bilirubin-d16</t>
  </si>
  <si>
    <t>Bilirubin-d17</t>
  </si>
  <si>
    <t>Bilirubin-d18</t>
  </si>
  <si>
    <t>Bilirubin-d19</t>
  </si>
  <si>
    <t>Bilirubin-d20</t>
  </si>
  <si>
    <t>Bilirubin-d21</t>
  </si>
  <si>
    <t>Bilirubin-d23</t>
  </si>
  <si>
    <t>Bilirubin-25</t>
  </si>
  <si>
    <t>Billirubin-d27</t>
  </si>
  <si>
    <t>Billirubin-d28</t>
  </si>
  <si>
    <t>Bilirubin-d31</t>
  </si>
  <si>
    <t>Billirubin-d32</t>
  </si>
  <si>
    <t>Billirubin-d35</t>
  </si>
  <si>
    <t>Billirubin-d37</t>
  </si>
  <si>
    <t>Billirubin-d38</t>
  </si>
  <si>
    <t>Bilirubin-d39</t>
  </si>
  <si>
    <t>Billirubin-d40</t>
  </si>
  <si>
    <t>Bilirubin-d42</t>
  </si>
  <si>
    <t>Bili-m4d6</t>
  </si>
  <si>
    <t>Bili-m5d21</t>
  </si>
  <si>
    <t>Bili-m5d26</t>
  </si>
  <si>
    <t>Bili-m5d29</t>
  </si>
  <si>
    <t>Bili-m6d7</t>
  </si>
  <si>
    <t>Bili-m6d14</t>
  </si>
  <si>
    <t>Bili-m7d16</t>
  </si>
  <si>
    <t>Bili-m10d6</t>
  </si>
  <si>
    <t>Bili-m11d10</t>
  </si>
  <si>
    <t>Bili-m11d30</t>
  </si>
  <si>
    <t>Bilirubin-m7</t>
  </si>
  <si>
    <t>Bilirubin-m21d1</t>
  </si>
  <si>
    <t>Bilirubin-m21d2</t>
  </si>
  <si>
    <t>Bilirubin-m21d5</t>
  </si>
  <si>
    <t>Anzahl BILLI Werte</t>
  </si>
  <si>
    <t>GLDH-d1 (u/l)</t>
  </si>
  <si>
    <t>GLDH-d1w2</t>
  </si>
  <si>
    <t>GLDH-d1w3</t>
  </si>
  <si>
    <t>GLDH-d2</t>
  </si>
  <si>
    <t>GLDH-d2w2</t>
  </si>
  <si>
    <t>GLDH-d3</t>
  </si>
  <si>
    <t>GLDH-d4</t>
  </si>
  <si>
    <t>GLDH-d6</t>
  </si>
  <si>
    <t>GLDH-d13</t>
  </si>
  <si>
    <t>GLDH-d14</t>
  </si>
  <si>
    <t>GLDH-m6d7</t>
  </si>
  <si>
    <t>GLDH-m6d14</t>
  </si>
  <si>
    <t>GLDH-m7d16</t>
  </si>
  <si>
    <t>GLDH-m11d10</t>
  </si>
  <si>
    <t>GLDH-m11d30</t>
  </si>
  <si>
    <t>GLDH- Verlauf</t>
  </si>
  <si>
    <t>Anzahl GLDH Daten</t>
  </si>
  <si>
    <t>AP-d1 (u/l)</t>
  </si>
  <si>
    <t>AP-d1w2</t>
  </si>
  <si>
    <t>Ap-d1w3</t>
  </si>
  <si>
    <t>AP-d2</t>
  </si>
  <si>
    <t>AP-d2w2</t>
  </si>
  <si>
    <t>Ap-d2w3</t>
  </si>
  <si>
    <t>AP-d3</t>
  </si>
  <si>
    <t>Ap-d4</t>
  </si>
  <si>
    <t>AP-d4w2</t>
  </si>
  <si>
    <t>AP-d4w3</t>
  </si>
  <si>
    <t>Ap-d4w4</t>
  </si>
  <si>
    <t>AP-d5</t>
  </si>
  <si>
    <t>AP-d5w2</t>
  </si>
  <si>
    <t>Ap-d6</t>
  </si>
  <si>
    <t>AP-d6w2</t>
  </si>
  <si>
    <t>Ap-d6w3</t>
  </si>
  <si>
    <t>AP-d7</t>
  </si>
  <si>
    <t>AP-d8</t>
  </si>
  <si>
    <t>AP-d9</t>
  </si>
  <si>
    <t>AP-d10</t>
  </si>
  <si>
    <t>Ap-d11</t>
  </si>
  <si>
    <t>Ap-d12</t>
  </si>
  <si>
    <t>AP-d13</t>
  </si>
  <si>
    <t>AP-d14</t>
  </si>
  <si>
    <t>AP-d15</t>
  </si>
  <si>
    <t>AP-d16</t>
  </si>
  <si>
    <t>AP-d17</t>
  </si>
  <si>
    <t>AP-d18</t>
  </si>
  <si>
    <t>AP-d19</t>
  </si>
  <si>
    <t>AP-d20</t>
  </si>
  <si>
    <t>AP-d21</t>
  </si>
  <si>
    <t>AP-d22</t>
  </si>
  <si>
    <t>AP-d23</t>
  </si>
  <si>
    <t>Ap-d25</t>
  </si>
  <si>
    <t>AP-d27</t>
  </si>
  <si>
    <t>AP-d28</t>
  </si>
  <si>
    <t>AP-d29</t>
  </si>
  <si>
    <t>AP-d30</t>
  </si>
  <si>
    <t>AP-d31</t>
  </si>
  <si>
    <t>Ap-d32</t>
  </si>
  <si>
    <t>Ap-d35</t>
  </si>
  <si>
    <t>Ap-d36</t>
  </si>
  <si>
    <t>Ap-d38</t>
  </si>
  <si>
    <t>AP-d39</t>
  </si>
  <si>
    <t>Ap-d40</t>
  </si>
  <si>
    <t>AP-m2d2</t>
  </si>
  <si>
    <t>Ap-m5d21</t>
  </si>
  <si>
    <t>Ap-m5d26</t>
  </si>
  <si>
    <t>Ap-m5d29</t>
  </si>
  <si>
    <t>AP-m6d7</t>
  </si>
  <si>
    <t>AP-m6d14</t>
  </si>
  <si>
    <t>AP-m7d16</t>
  </si>
  <si>
    <t>Ap-m10d6</t>
  </si>
  <si>
    <t>Ap-m11d10</t>
  </si>
  <si>
    <t>Ap-m11d30</t>
  </si>
  <si>
    <t>Ap-m20d28</t>
  </si>
  <si>
    <t>Ap-m21d1</t>
  </si>
  <si>
    <t>Ap-m21d2</t>
  </si>
  <si>
    <t>Ap-m21d5</t>
  </si>
  <si>
    <t>Ap-m21d9</t>
  </si>
  <si>
    <t>AP Therapieende</t>
  </si>
  <si>
    <t>Anzahl AP Werte</t>
  </si>
  <si>
    <t>Cholinesterase-d1 (U/l)</t>
  </si>
  <si>
    <t>Cholinesterase-d1w2</t>
  </si>
  <si>
    <t>Cholinesterase-d2</t>
  </si>
  <si>
    <t>Cholinesterase-d2w2</t>
  </si>
  <si>
    <t>Cholinesterase-d2w3</t>
  </si>
  <si>
    <t>Cholinesterase-d3</t>
  </si>
  <si>
    <t>Cholinesterase-d4</t>
  </si>
  <si>
    <t>Cholinesterase-d5</t>
  </si>
  <si>
    <t>Cholinesterase-d6</t>
  </si>
  <si>
    <t>Cholinesterase-d5w2</t>
  </si>
  <si>
    <t>Cholinesterase-d6w2</t>
  </si>
  <si>
    <t>Cholinesterase-d6w3</t>
  </si>
  <si>
    <t>Cholinesterase-d7</t>
  </si>
  <si>
    <t>Cholinesterase-d9</t>
  </si>
  <si>
    <t>Cholinesterase-d11</t>
  </si>
  <si>
    <t>Cholinesterase-d13</t>
  </si>
  <si>
    <t>Cholinesterase-d15</t>
  </si>
  <si>
    <t>Cholinesterase-d18</t>
  </si>
  <si>
    <t>Cholinesterase-19</t>
  </si>
  <si>
    <t>Cholinesterase-d20</t>
  </si>
  <si>
    <t>Cholinesterase-d23</t>
  </si>
  <si>
    <t>Cholinesterase-25</t>
  </si>
  <si>
    <t>Cholinesterase-29</t>
  </si>
  <si>
    <t>Cholinesterase-m5d26</t>
  </si>
  <si>
    <t>Cholinesterase-m6d7</t>
  </si>
  <si>
    <t>Cholinesterase-m6d14</t>
  </si>
  <si>
    <t>Cholinesterase-m7d16</t>
  </si>
  <si>
    <t>Cholinesterase-m10d6</t>
  </si>
  <si>
    <t>Cholinesterase-m11d30</t>
  </si>
  <si>
    <t>Anzahl Choline Daten</t>
  </si>
  <si>
    <t>Kreatinin-d1 (mikromol/l)</t>
  </si>
  <si>
    <t>Kreatinin-d1w2</t>
  </si>
  <si>
    <t>Kreatinin-d2</t>
  </si>
  <si>
    <t>Kreatinin-d2w2</t>
  </si>
  <si>
    <t>Kreatinin-d2w3</t>
  </si>
  <si>
    <t>Kreatinin-d3</t>
  </si>
  <si>
    <t>Kreatinin-d4</t>
  </si>
  <si>
    <t>Kreatinin-d4w2</t>
  </si>
  <si>
    <t>Kreatinin-d4w3</t>
  </si>
  <si>
    <t>Kreatinin-d4w4</t>
  </si>
  <si>
    <t>Kreatinin-d5</t>
  </si>
  <si>
    <t>Kreatinin-d5w2</t>
  </si>
  <si>
    <t>Kreatinin-d6</t>
  </si>
  <si>
    <t>Kreatinin-d6w2</t>
  </si>
  <si>
    <t>Kreatinin-d6w3</t>
  </si>
  <si>
    <t>Kreatinin-d7</t>
  </si>
  <si>
    <t>Kreatinin-d8</t>
  </si>
  <si>
    <t>Kreatinin-d9</t>
  </si>
  <si>
    <t>Kreatinin-d11</t>
  </si>
  <si>
    <t>Kreatinin-d13</t>
  </si>
  <si>
    <t>Kreatinin-d14</t>
  </si>
  <si>
    <t>Kreatin-d19</t>
  </si>
  <si>
    <t>Kreatinin-d21</t>
  </si>
  <si>
    <t>Kreatinin-d27</t>
  </si>
  <si>
    <t>Kreatinin-d32</t>
  </si>
  <si>
    <t>Kreatinin-d33</t>
  </si>
  <si>
    <t>Kreatinin-d40</t>
  </si>
  <si>
    <t>Kreatinin-m20d28</t>
  </si>
  <si>
    <t>Anzahl Kreatinin Daten</t>
  </si>
  <si>
    <t xml:space="preserve">INR-d1 </t>
  </si>
  <si>
    <t>INR-d1w2</t>
  </si>
  <si>
    <t>INR-d2</t>
  </si>
  <si>
    <t>INR-d2w2</t>
  </si>
  <si>
    <t>INR-d3</t>
  </si>
  <si>
    <t>INR-d4</t>
  </si>
  <si>
    <t>INR-d4w2</t>
  </si>
  <si>
    <t>INR-d4w3</t>
  </si>
  <si>
    <t>INR-d4w4</t>
  </si>
  <si>
    <t>INR-d5</t>
  </si>
  <si>
    <t>INR-d6</t>
  </si>
  <si>
    <t>INR-d7</t>
  </si>
  <si>
    <t>INR-d9</t>
  </si>
  <si>
    <t>INR-d10</t>
  </si>
  <si>
    <t>INR-d12</t>
  </si>
  <si>
    <t>INR-d13</t>
  </si>
  <si>
    <t>INR-d14</t>
  </si>
  <si>
    <t>INR-d15</t>
  </si>
  <si>
    <t>INR-d20</t>
  </si>
  <si>
    <t>INR-d38</t>
  </si>
  <si>
    <t>Anzahl INR Daten</t>
  </si>
  <si>
    <t>Amylase-d1 (U/l)</t>
  </si>
  <si>
    <t>Amylase-d2</t>
  </si>
  <si>
    <t>Amylase-d2w2</t>
  </si>
  <si>
    <t>Amylase-d2w3</t>
  </si>
  <si>
    <t>Amylase-d3</t>
  </si>
  <si>
    <t>Amylase-d4</t>
  </si>
  <si>
    <t>Amylase-d4w2</t>
  </si>
  <si>
    <t>Amylase-d4w3</t>
  </si>
  <si>
    <t>Amzlase-d4w4</t>
  </si>
  <si>
    <t>Amylase-d5</t>
  </si>
  <si>
    <t>Amylase-d5w2</t>
  </si>
  <si>
    <t>Amylase-d6</t>
  </si>
  <si>
    <t>Amylase-d6w2</t>
  </si>
  <si>
    <t>Amylase-d6w3</t>
  </si>
  <si>
    <t>Amylase-d7</t>
  </si>
  <si>
    <t>Amylase-d9</t>
  </si>
  <si>
    <t>Amylase-d12</t>
  </si>
  <si>
    <t>Amylase-d14</t>
  </si>
  <si>
    <t>Amylase-d20</t>
  </si>
  <si>
    <t>Amylase-d28</t>
  </si>
  <si>
    <t>Amylase-d37</t>
  </si>
  <si>
    <t>Anzahl Amylase Daten</t>
  </si>
  <si>
    <t>Lipase-d1  (U/L)</t>
  </si>
  <si>
    <t>Lipase-d1w2</t>
  </si>
  <si>
    <t>Lipase-d2</t>
  </si>
  <si>
    <t>Lipase-d2w2</t>
  </si>
  <si>
    <t>Lipase-d2w3</t>
  </si>
  <si>
    <t>Lipase-d3</t>
  </si>
  <si>
    <t>Lipase-d4</t>
  </si>
  <si>
    <t>Lipase-d4w2</t>
  </si>
  <si>
    <t>Lipase-d4w3</t>
  </si>
  <si>
    <t>Lipase-d4w5</t>
  </si>
  <si>
    <t>Lipase-d5</t>
  </si>
  <si>
    <t>Lipase-d5w2</t>
  </si>
  <si>
    <t>Lipase-d6</t>
  </si>
  <si>
    <t>Lipase-d6w2</t>
  </si>
  <si>
    <t>Lipase-d6w3</t>
  </si>
  <si>
    <t>Lipase-d7</t>
  </si>
  <si>
    <t>Lipase-d14</t>
  </si>
  <si>
    <t>Lipase-d20</t>
  </si>
  <si>
    <t>Lipase-d28</t>
  </si>
  <si>
    <t>Anzahl Lipase Daten</t>
  </si>
  <si>
    <t>Crp-d1 (mg/l)</t>
  </si>
  <si>
    <t>CRP-d1w2</t>
  </si>
  <si>
    <t>Crp-d2</t>
  </si>
  <si>
    <t>Crp-d3</t>
  </si>
  <si>
    <t>Crp-d4</t>
  </si>
  <si>
    <t>CRP-d4w2</t>
  </si>
  <si>
    <t>CRP-d4w3</t>
  </si>
  <si>
    <t>CRP-d4w4</t>
  </si>
  <si>
    <t>Crp-d5</t>
  </si>
  <si>
    <t>Crp-d6</t>
  </si>
  <si>
    <t>Crp-d7</t>
  </si>
  <si>
    <t>Crp-d8</t>
  </si>
  <si>
    <t>Crp-d9</t>
  </si>
  <si>
    <t>CRP-d13</t>
  </si>
  <si>
    <t>CRP-d14</t>
  </si>
  <si>
    <t>CRP-d16</t>
  </si>
  <si>
    <t>CRP-m20d28</t>
  </si>
  <si>
    <t>CRP-m21d1</t>
  </si>
  <si>
    <t>CRP-m21d2</t>
  </si>
  <si>
    <t>Anzahl CRP DATEN</t>
  </si>
  <si>
    <t>PTZ-d1 (%)</t>
  </si>
  <si>
    <t>PTZ-d5</t>
  </si>
  <si>
    <t>PTZ-d7</t>
  </si>
  <si>
    <t>PTZ-d8</t>
  </si>
  <si>
    <t>PTZ-d27</t>
  </si>
  <si>
    <t>Azahl PTZ dATEN</t>
  </si>
  <si>
    <t>Harnstoff-d1 (mmol/l)</t>
  </si>
  <si>
    <t>Harnstoff-d2</t>
  </si>
  <si>
    <t>Harnstoff-d2w2</t>
  </si>
  <si>
    <t>Harnstoff-d2w3</t>
  </si>
  <si>
    <t>Harnstoff-d3</t>
  </si>
  <si>
    <t>Harnstoff-d4</t>
  </si>
  <si>
    <t>Harnstoff-d4w2</t>
  </si>
  <si>
    <t>Harnstoff-d4w3</t>
  </si>
  <si>
    <t>Harnstoff-d4w4</t>
  </si>
  <si>
    <t>Harnstoff-d5</t>
  </si>
  <si>
    <t>|Harnstoff-d5w2</t>
  </si>
  <si>
    <t>Harnstoff-d6</t>
  </si>
  <si>
    <t>Harnstoff-d6w2</t>
  </si>
  <si>
    <t>Harnstoff-d6w3</t>
  </si>
  <si>
    <t>Harnstoff-d7</t>
  </si>
  <si>
    <t>Harnstoff-d11</t>
  </si>
  <si>
    <t>Harnstoff-d13</t>
  </si>
  <si>
    <t>Harnstoff-d14</t>
  </si>
  <si>
    <t>Harnstoff-d21</t>
  </si>
  <si>
    <t>Harnstoff-d27</t>
  </si>
  <si>
    <t>Harnstoff-d28</t>
  </si>
  <si>
    <t>Anzahl Harnstoff Daten</t>
  </si>
  <si>
    <t>Thrombozyten-d1 (GPT/l)</t>
  </si>
  <si>
    <t>Thrombozyten-d1w2</t>
  </si>
  <si>
    <t>Thrombozyten-d2</t>
  </si>
  <si>
    <t>Trhombozyten-d2w2</t>
  </si>
  <si>
    <t>Thrombozyten-d2w3</t>
  </si>
  <si>
    <t>Thrombozyten-d3</t>
  </si>
  <si>
    <t>Trhomozyten-d3w2</t>
  </si>
  <si>
    <t>Thrombozyten-d4</t>
  </si>
  <si>
    <t>Thrombozyten-d5</t>
  </si>
  <si>
    <t>Thrombozyten-d5w2</t>
  </si>
  <si>
    <t>Thrombozyten-d6</t>
  </si>
  <si>
    <t>Thrombozyten-d6w2</t>
  </si>
  <si>
    <t>Trhombozyten-d6w3</t>
  </si>
  <si>
    <t>Thrombozyten-d7</t>
  </si>
  <si>
    <t>Thrombozyten-d8</t>
  </si>
  <si>
    <t>Thrombozyten-d9</t>
  </si>
  <si>
    <t>Thrombozyten-d12</t>
  </si>
  <si>
    <t>Thrombozyten-d13</t>
  </si>
  <si>
    <t>Thrombozyten-d14</t>
  </si>
  <si>
    <t>Thrombozyten-d15</t>
  </si>
  <si>
    <t>Thrombozyten-d17</t>
  </si>
  <si>
    <t>Thrombozyten-d20</t>
  </si>
  <si>
    <t>Anzahl Thromb Daten</t>
  </si>
  <si>
    <t>Laktat-d1 (mmol/l)</t>
  </si>
  <si>
    <t>Laktat-d3</t>
  </si>
  <si>
    <t>Laktat-d4</t>
  </si>
  <si>
    <t>Laktat-d7</t>
  </si>
  <si>
    <t>Anzahl Laktat Daten</t>
  </si>
  <si>
    <t>NH3-d1</t>
  </si>
  <si>
    <t>NH3-d2</t>
  </si>
  <si>
    <t>NH3-d3</t>
  </si>
  <si>
    <t>NH3-d4</t>
  </si>
  <si>
    <t>NH3-d5</t>
  </si>
  <si>
    <t>NH3-d7</t>
  </si>
  <si>
    <t>Anzahl NH3 Daten</t>
  </si>
  <si>
    <t>PLT-d1 /mikrol</t>
  </si>
  <si>
    <t>BSG-d1 (mm/h)</t>
  </si>
  <si>
    <t>Monozyten (%)</t>
  </si>
  <si>
    <t>Eosinophile Granuloyzten (%)</t>
  </si>
  <si>
    <t>Albumin-d1 (g/l)</t>
  </si>
  <si>
    <t>Albumin-d1w2</t>
  </si>
  <si>
    <t>Albumin-d2</t>
  </si>
  <si>
    <t>Albumin-d3</t>
  </si>
  <si>
    <t>Albumin-d4</t>
  </si>
  <si>
    <t>Albumin-d4w2</t>
  </si>
  <si>
    <t>Albumin-d4w3</t>
  </si>
  <si>
    <t>Albumin-d13</t>
  </si>
  <si>
    <t>Albumin-d14</t>
  </si>
  <si>
    <t>Anzahl Albumin Daten</t>
  </si>
  <si>
    <t>alpha-1-G-d1 (%)</t>
  </si>
  <si>
    <t>alpha-2-G-d1 (%)</t>
  </si>
  <si>
    <t>beta-G-d1 (%)</t>
  </si>
  <si>
    <t>gamma-G-d1 (%)</t>
  </si>
  <si>
    <t>Harnsaure-d1 (mg/dl)</t>
  </si>
  <si>
    <t>Harnsaure-d5</t>
  </si>
  <si>
    <t>Harnsaure-d7</t>
  </si>
  <si>
    <t>Harnsaure-d13</t>
  </si>
  <si>
    <t>Harnsaure-d14</t>
  </si>
  <si>
    <t>Anzahl Hansäure Daten</t>
  </si>
  <si>
    <t>Cholesterin-(mg/dl)-d1</t>
  </si>
  <si>
    <t>Cholesterin-d3</t>
  </si>
  <si>
    <t>Cholesterin-d4</t>
  </si>
  <si>
    <t>Cholesterin-d7</t>
  </si>
  <si>
    <t>Cholesterin-d8</t>
  </si>
  <si>
    <t>Cholesterin-d14</t>
  </si>
  <si>
    <t>Cholesterin-m4d6</t>
  </si>
  <si>
    <t>Cholesterin-m7d16</t>
  </si>
  <si>
    <t>Cholesterin-m10d6</t>
  </si>
  <si>
    <t>Cholesterin-m11d10</t>
  </si>
  <si>
    <t>Cholesterin-m11d30</t>
  </si>
  <si>
    <t>Anzahl Cholest Daten</t>
  </si>
  <si>
    <t>Triacyglyceride-(mg/dl)-d1</t>
  </si>
  <si>
    <t>Triacylglyceride-d2</t>
  </si>
  <si>
    <t>Triacylglyceride-d2w2</t>
  </si>
  <si>
    <t>Triacylglyceride-d2w3</t>
  </si>
  <si>
    <t>Triacylglyceride-d3</t>
  </si>
  <si>
    <t>Triacylglyceride-d4</t>
  </si>
  <si>
    <t>Triacylglyceride-d4w2</t>
  </si>
  <si>
    <t>Triacylglyceride-d4w3</t>
  </si>
  <si>
    <t>Triacylglyceride-d4w4</t>
  </si>
  <si>
    <t>Triacylglyceride-d5</t>
  </si>
  <si>
    <t>Triacylglyceride-d5w2</t>
  </si>
  <si>
    <t>Triacylglyceride-d6</t>
  </si>
  <si>
    <t>Triacylglyceride-d6w2</t>
  </si>
  <si>
    <t>Triacylglyceride-d6w3</t>
  </si>
  <si>
    <t>Triacylgylceride-d7</t>
  </si>
  <si>
    <t>Triacylglyceride-d14 (mmol/l)</t>
  </si>
  <si>
    <t>Tria-m4d6</t>
  </si>
  <si>
    <t>Tria-m7d16</t>
  </si>
  <si>
    <t>Tria-m10d6</t>
  </si>
  <si>
    <t>Tria-m11d10</t>
  </si>
  <si>
    <t>Tria-m11d30</t>
  </si>
  <si>
    <t>Anzahl Tria Daten</t>
  </si>
  <si>
    <t>00001263</t>
  </si>
  <si>
    <t>K.A.</t>
  </si>
  <si>
    <t>w</t>
  </si>
  <si>
    <t>Ja</t>
  </si>
  <si>
    <t>nein</t>
  </si>
  <si>
    <t>Konakionsgabe(Vit. K), Absetzen aller Medikamente</t>
  </si>
  <si>
    <t>Steven Johnson</t>
  </si>
  <si>
    <t>16,7</t>
  </si>
  <si>
    <t>8 Tage</t>
  </si>
  <si>
    <t>2 g/d</t>
  </si>
  <si>
    <t>Harnwegsinfektion</t>
  </si>
  <si>
    <t>Makrohaematurie</t>
  </si>
  <si>
    <t>Gerinnungsstörung, haemorrhagische Bullae</t>
  </si>
  <si>
    <t>Tarivid, Firin</t>
  </si>
  <si>
    <t>&gt;5</t>
  </si>
  <si>
    <t>&gt;180</t>
  </si>
  <si>
    <t>33,6</t>
  </si>
  <si>
    <t>14,4</t>
  </si>
  <si>
    <t>00001480</t>
  </si>
  <si>
    <t>P.H.</t>
  </si>
  <si>
    <t>Nein</t>
  </si>
  <si>
    <t>Tinnitus rechts, Kopfschmerzen</t>
  </si>
  <si>
    <t>28,9</t>
  </si>
  <si>
    <t>Tinnitus</t>
  </si>
  <si>
    <t>akute Gastrointeritis</t>
  </si>
  <si>
    <t>Bläschen, HV an Händen MSH/GSH</t>
  </si>
  <si>
    <t>Cortison, Corticoid</t>
  </si>
  <si>
    <t>00001505</t>
  </si>
  <si>
    <t>S.B.</t>
  </si>
  <si>
    <t>m</t>
  </si>
  <si>
    <t>Fieberhafter Infekt</t>
  </si>
  <si>
    <t>26,1</t>
  </si>
  <si>
    <t>Mykoplasmen-Pneumonie</t>
  </si>
  <si>
    <t>Erkältung, verschleterung AZ, Bläschen</t>
  </si>
  <si>
    <t>Fluimucil,Lindoxyl,Tavanic,Rhinotussal</t>
  </si>
  <si>
    <t>9,9</t>
  </si>
  <si>
    <t>00001506</t>
  </si>
  <si>
    <t>E.R.</t>
  </si>
  <si>
    <t xml:space="preserve">Fieber </t>
  </si>
  <si>
    <t>25,8</t>
  </si>
  <si>
    <t>Cystitis</t>
  </si>
  <si>
    <t>syst. lupus erythematodes</t>
  </si>
  <si>
    <t>Flecken an Händen, Füßen</t>
  </si>
  <si>
    <t>Cortison, Cotrim,Amoxcillin</t>
  </si>
  <si>
    <t>01000192</t>
  </si>
  <si>
    <t>F.R.</t>
  </si>
  <si>
    <t xml:space="preserve">Schmerzen   </t>
  </si>
  <si>
    <t>26,6</t>
  </si>
  <si>
    <t>01.09.1999/25.09.1999</t>
  </si>
  <si>
    <t>1 Tag/1Tag</t>
  </si>
  <si>
    <t>1*1 Tbsp/ 1x</t>
  </si>
  <si>
    <t>Astrozytom Grad III</t>
  </si>
  <si>
    <t>Hepatitis C, Gastroentiritis</t>
  </si>
  <si>
    <t>orale Erosionen, Bläschen</t>
  </si>
  <si>
    <t>Bepanthen, Phenydan,Remestan</t>
  </si>
  <si>
    <t>12000/mikrol</t>
  </si>
  <si>
    <t>01000197</t>
  </si>
  <si>
    <t>H.G.</t>
  </si>
  <si>
    <t>Mittelohrentzuendung</t>
  </si>
  <si>
    <t>31,2</t>
  </si>
  <si>
    <t>2 Tage</t>
  </si>
  <si>
    <t>5 DF/Tag</t>
  </si>
  <si>
    <t>Leukämie,refraktäre Anämie</t>
  </si>
  <si>
    <t>Erkältung und Otitis</t>
  </si>
  <si>
    <t>Exanthem, Blasen</t>
  </si>
  <si>
    <t>Acetylsalicylsäure,...</t>
  </si>
  <si>
    <t>9000/mikrol</t>
  </si>
  <si>
    <t>01003215</t>
  </si>
  <si>
    <t>T.H.</t>
  </si>
  <si>
    <t>Kopfschmerzen</t>
  </si>
  <si>
    <t>Glukokortikosteriod Gabe, Candio Hermal Suspension,Hydrocortison,Subkutin Lösung,...</t>
  </si>
  <si>
    <t>Krampfanfälle, Hepatitis B</t>
  </si>
  <si>
    <t>Ten(toxic epidermal necrolysis) mit Schleimhautbeteiligung, Bläschen</t>
  </si>
  <si>
    <t>Tegretal,Novalgin, Carbamezapin (Krampfanfälle)</t>
  </si>
  <si>
    <t>378 000</t>
  </si>
  <si>
    <t>04003543</t>
  </si>
  <si>
    <t>M.J.</t>
  </si>
  <si>
    <t>Fieber</t>
  </si>
  <si>
    <t>Steven Johnson Syndrom, Erhöhte Leberwerte</t>
  </si>
  <si>
    <t>Gliederschmerzen, Arterielle Hypertonie</t>
  </si>
  <si>
    <t>Juckenden Haut, Exanthem</t>
  </si>
  <si>
    <t>Voltaren,Ketek</t>
  </si>
  <si>
    <t xml:space="preserve">105.6 </t>
  </si>
  <si>
    <t>79.2</t>
  </si>
  <si>
    <t>Thrombozyten-Datum unbekannt</t>
  </si>
  <si>
    <t>LDH-Datum unbekannt</t>
  </si>
  <si>
    <t>Lymphozyten-d3</t>
  </si>
  <si>
    <t>GOT-d3w2</t>
  </si>
  <si>
    <t>GPT-d3w2</t>
  </si>
  <si>
    <t>GGT-d3w2</t>
  </si>
  <si>
    <t>Lymphozyten-d5</t>
  </si>
  <si>
    <t>GOT-Datum unbekannt</t>
  </si>
  <si>
    <t>GPT-Datum unbekannt</t>
  </si>
  <si>
    <t>GGT-Datum unbekannt</t>
  </si>
  <si>
    <t>Lymphozyten-Datum unbekannt</t>
  </si>
  <si>
    <t>Harnstoff-Datum unbekannt</t>
  </si>
  <si>
    <t>Anti-HAV-IgG</t>
  </si>
  <si>
    <t>EBV-VCA-IgG</t>
  </si>
  <si>
    <t>Leukozyten-Datum unbekannt</t>
  </si>
  <si>
    <t>Neutrophile-Datum unbekannt (%)</t>
  </si>
  <si>
    <t>13.12 G/L</t>
  </si>
  <si>
    <t>Kreatinkinase</t>
  </si>
  <si>
    <t>Gesamt (alle Fälle)</t>
  </si>
  <si>
    <t>BfArM Nummer</t>
  </si>
  <si>
    <t>Crp-Datum unbekannt</t>
  </si>
  <si>
    <t>Gesamteiweiß-Datum unbekannt</t>
  </si>
  <si>
    <t>Kreatinin-Datum unbekannt</t>
  </si>
  <si>
    <t>Gesamteiweiß-d1
[g/dl]</t>
  </si>
  <si>
    <t>Kreatinin-d1 (mg/dl)</t>
  </si>
  <si>
    <t>CK-Datum unbekannt</t>
  </si>
  <si>
    <t>Troponin-Datum unbekannt (mg/dL)</t>
  </si>
  <si>
    <t>PTT-Datum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</si>
  <si>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</si>
  <si>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</si>
  <si>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</si>
  <si>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</si>
  <si>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 xml:space="preserve"> 17.0</t>
  </si>
  <si>
    <t>Fibrinogen-Datum unbekannt</t>
  </si>
  <si>
    <t>AT III-Datum unbekannt</t>
  </si>
  <si>
    <t>AT III-d1 (%)</t>
  </si>
  <si>
    <t>Paracetamol-Fälle (aus Tabelle --&gt; noch mal kontrollieren)</t>
  </si>
  <si>
    <t>ANA (Antinukleäre Antikörper)-Datum umbekannt</t>
  </si>
  <si>
    <t>Anti-Ro (SSA(Ro)-Antikörper)-Datum unbekannt</t>
  </si>
  <si>
    <t>Anti-La (SSB(La)-Antikörper)-Datum unbekannt</t>
  </si>
  <si>
    <t>Antihistonantikörper-Datum unbekannt</t>
  </si>
  <si>
    <t>DsDNA-Antikörper-Datum unbekannt</t>
  </si>
  <si>
    <t>Ibuprofen (ohne zeitlichen Verlauf)</t>
  </si>
  <si>
    <t>Eosinophile Granuloyzten-Datum unbekannt (%)</t>
  </si>
  <si>
    <t>Monozyten-Datum unbekannt  (%)</t>
  </si>
  <si>
    <t>Paracetamol (ohne zeitlichen Verlauf</t>
  </si>
  <si>
    <t>Thrombozyten-d1 (/mikroliter)</t>
  </si>
  <si>
    <t>37 (noch mal nachproüfen in Quelle und umrechnen)</t>
  </si>
  <si>
    <t>BSG-Datum unbekannt</t>
  </si>
  <si>
    <t>Cholinesterase-Datum unbekannt</t>
  </si>
  <si>
    <t>Amylase-Datum unbekannt</t>
  </si>
  <si>
    <t>8,7 (um 14:10 Uhr), 6,4 (um 20:11 Uhr)</t>
  </si>
  <si>
    <t>Ibuprofen (mit zeitlichem Verlauf)</t>
  </si>
  <si>
    <t>&lt; 10000</t>
  </si>
  <si>
    <t>Leukozyten-d1w4</t>
  </si>
  <si>
    <t>Hb (Hämoglobin)-Datum unbekannt</t>
  </si>
  <si>
    <t>Hb-d6</t>
  </si>
  <si>
    <t>Hb-d1w4</t>
  </si>
  <si>
    <t>Trhombozyten-d1w4</t>
  </si>
  <si>
    <t>GPT-d1w4</t>
  </si>
  <si>
    <t>GGT-d1w4</t>
  </si>
  <si>
    <t>Lipase-d1w4</t>
  </si>
  <si>
    <t>alkkalische Phohphatase-d6 (U/L)</t>
  </si>
  <si>
    <t>alkalische Phosphatase-d1w4</t>
  </si>
  <si>
    <t>irgendwo hiervor noch mal kontrollieren mit den wochen und tagen</t>
  </si>
  <si>
    <t>Lymphozyten-d4w1</t>
  </si>
  <si>
    <t>Lymphozyten-d1w2</t>
  </si>
  <si>
    <t>Trhombozyten-d1w2</t>
  </si>
  <si>
    <t>Kreatinin-d4w1</t>
  </si>
  <si>
    <t>Kreatinin-d3w2</t>
  </si>
  <si>
    <t>Kreatinin-d1w4</t>
  </si>
  <si>
    <t>Kreatinin-d3w4</t>
  </si>
  <si>
    <t>GOT-d4w1</t>
  </si>
  <si>
    <t>GOT-d3w4</t>
  </si>
  <si>
    <t>GPT-d4w1</t>
  </si>
  <si>
    <t>GPT-d3w4</t>
  </si>
  <si>
    <t>GGT-d4w1</t>
  </si>
  <si>
    <t>LDH-d3w2</t>
  </si>
  <si>
    <t>LDH-d1w4</t>
  </si>
  <si>
    <t>Harnstoff-d4w1</t>
  </si>
  <si>
    <t>Harnstoff-d1w2</t>
  </si>
  <si>
    <t>Harnstoff-d3w2</t>
  </si>
  <si>
    <t>Harnstoff-d1w4</t>
  </si>
  <si>
    <t>Diclofenac (mit zeitlichem Verlauf)</t>
  </si>
  <si>
    <t>CRP-d1w1</t>
  </si>
  <si>
    <t>CRP-d5w1</t>
  </si>
  <si>
    <t>Kreatinin-d1w1</t>
  </si>
  <si>
    <t>Kreatinin-d5w1</t>
  </si>
  <si>
    <t>GOT-d1w1</t>
  </si>
  <si>
    <t>GOT-d5w1</t>
  </si>
  <si>
    <t>GPT-d1w1</t>
  </si>
  <si>
    <t>GPT-d5w1</t>
  </si>
  <si>
    <t>BSG-d1w1</t>
  </si>
  <si>
    <t>BSG-d5w1</t>
  </si>
  <si>
    <t>Kreatinin-d6w1</t>
  </si>
  <si>
    <t>Kreatinin-d3w3</t>
  </si>
  <si>
    <t>LDH-d1w1</t>
  </si>
  <si>
    <t>LDH-d6w1</t>
  </si>
  <si>
    <t>LDH-d3w3</t>
  </si>
  <si>
    <t>Ck-d1w1</t>
  </si>
  <si>
    <t>Ck-d6w1</t>
  </si>
  <si>
    <t>Ck-d3w3</t>
  </si>
  <si>
    <t>CK-MB-d3 (U/L)</t>
  </si>
  <si>
    <t>CK-MB-d4 (U/L)</t>
  </si>
  <si>
    <t>CK-MB-d5 (U/L)</t>
  </si>
  <si>
    <t>CK-MB-d1w1 (U/L)</t>
  </si>
  <si>
    <t>CK-MB-d6w1 (U/L)</t>
  </si>
  <si>
    <t>CK-MB-d3w3 (U/L)</t>
  </si>
  <si>
    <t>Paracetamol (mit zeitlichem Verlauf)</t>
  </si>
  <si>
    <t>Leukozyten-d3w1</t>
  </si>
  <si>
    <t>Lymphozyten-d6</t>
  </si>
  <si>
    <t>Lymphozyten-d4</t>
  </si>
  <si>
    <t>GOT-d2w1</t>
  </si>
  <si>
    <t>GGT-d2w1</t>
  </si>
  <si>
    <t>Leukozyten-d5w1</t>
  </si>
  <si>
    <t>Leukozyten-d2w1</t>
  </si>
  <si>
    <t>Leukozyten-w2</t>
  </si>
  <si>
    <t>Monozyten-d6</t>
  </si>
  <si>
    <t>Hb-d2  [g/dl]</t>
  </si>
  <si>
    <t>Hb-d3</t>
  </si>
  <si>
    <t>Hb-d4</t>
  </si>
  <si>
    <t>Hb-d5</t>
  </si>
  <si>
    <t>Hb-d2w1</t>
  </si>
  <si>
    <t>Hb-d5w1</t>
  </si>
  <si>
    <t>Hb-w2</t>
  </si>
  <si>
    <t>Hb-d3w2</t>
  </si>
  <si>
    <t>Werte ohne Einheit S. 1467 (auch andere Werte als im Test)</t>
  </si>
  <si>
    <t>Gesamteiweiß-d5</t>
  </si>
  <si>
    <t>Gesamteiweiß-d5w1</t>
  </si>
  <si>
    <t>Albumin-d5</t>
  </si>
  <si>
    <t>Albumin-d5w1</t>
  </si>
  <si>
    <t>gamma-Globulin-d5 (g/dl)</t>
  </si>
  <si>
    <t>gamma-Globulin-d5w1</t>
  </si>
  <si>
    <t>GOT-w2</t>
  </si>
  <si>
    <t>GPT-w2</t>
  </si>
  <si>
    <t>GGT-d5w1</t>
  </si>
  <si>
    <t>GGT-w2</t>
  </si>
  <si>
    <t>PTT-d1 (sec.)</t>
  </si>
  <si>
    <t>Werte ohne Einheit S. 1467</t>
  </si>
  <si>
    <t>AP-d5w1</t>
  </si>
  <si>
    <t>AP-w2</t>
  </si>
  <si>
    <t>Amylase-d2w1</t>
  </si>
  <si>
    <t>Amylase-w2</t>
  </si>
  <si>
    <t>Amylase-d5w1</t>
  </si>
  <si>
    <t>Bilirubin-d1 (mg/dl)</t>
  </si>
  <si>
    <t>Bilirubin-w2</t>
  </si>
  <si>
    <t>Bilirubin-d2w1</t>
  </si>
  <si>
    <t>Bilirubin-d5w1</t>
  </si>
  <si>
    <t>Natrium-d6</t>
  </si>
  <si>
    <t>Kalium-d6</t>
  </si>
  <si>
    <t>THS (Thyreoidea-stimulierendes Hormon)-d6</t>
  </si>
  <si>
    <t>T3-d6</t>
  </si>
  <si>
    <t>T4-d6</t>
  </si>
  <si>
    <t>TBK (Thyroxinbindungskapazität)-d6</t>
  </si>
  <si>
    <t>Koagulase-d3w2</t>
  </si>
  <si>
    <t>Fieber 
[°C]-d2</t>
  </si>
  <si>
    <t>Fieber 
[°C]-d3</t>
  </si>
  <si>
    <t>Erythrozyten
[Erys/ul]-d2w1</t>
  </si>
  <si>
    <t>Protein
[mg/dl]-d2w1</t>
  </si>
  <si>
    <t>Urobilinogen
[mg/dl]-d2w1</t>
  </si>
  <si>
    <t>Nitrit-d2w1</t>
  </si>
  <si>
    <t>Unbekannte Einheit bei allenWerten</t>
  </si>
  <si>
    <t>6,5(widersprüchlicher zweiter Wert vorhanden (am Ende der Tabelle Übersicht Laborwerte)</t>
  </si>
  <si>
    <t>IgE
[U/ml]-d1w2</t>
  </si>
  <si>
    <t>IgG-Datum unbekannt</t>
  </si>
  <si>
    <t>Leukozyten-12 Tage vor Krankheitsbeginn</t>
  </si>
  <si>
    <t>GOT-4 Tage vor Krankheitsbeginn</t>
  </si>
  <si>
    <t>GGT-7 Tage vor Krankheitsbeginn</t>
  </si>
  <si>
    <t>LDH-7 Tage vor Krankheitsbeginn</t>
  </si>
  <si>
    <t>Harnstoff-7 Tage vor Krankheitsbeginn</t>
  </si>
  <si>
    <t>Leukozyten-d6w1</t>
  </si>
  <si>
    <t>Lymphozyten-d6w1</t>
  </si>
  <si>
    <t>GGT-d6w1</t>
  </si>
  <si>
    <t>Leukozyten-d7w2</t>
  </si>
  <si>
    <t>Leukozyten-d1w1</t>
  </si>
  <si>
    <t>Tag der Erkrankung ist Tag 1 (nicht Tag 0, Tag 0 gibt es nicht)</t>
  </si>
  <si>
    <t>d7w3 bedeutet: 3 Wochen und 7 Tage nach Erkrankung = der 28. Tag der Erkrankung</t>
  </si>
  <si>
    <t>d1w1 bedeutet: eine Woche (7 Tage) und 1 Tag nach Erkrankung = 8. Tag der Erkrankung</t>
  </si>
  <si>
    <t>GGT-d1w1</t>
  </si>
  <si>
    <t xml:space="preserve">00001263 (hier ist nur von Hämorrhagischen Bullae die Rede, nicht explizit von SJS) + (Werte sind falsch datiert S. 29 in Einzelfälle_Paracetamol) </t>
  </si>
  <si>
    <t xml:space="preserve">nicht nur nach expliziten Fällen SJS schauen sondern auch nach Fällen, die nur Symprome davon aufweisen (Beispiel Fall 0001263)? </t>
  </si>
  <si>
    <t>Fragen:</t>
  </si>
  <si>
    <t>11,92 (keine Einheit S.43)</t>
  </si>
  <si>
    <t>Leukozyten-d4w1</t>
  </si>
  <si>
    <t>Epstein-Barr-IgM-d7</t>
  </si>
  <si>
    <t>schwach positiv</t>
  </si>
  <si>
    <t>12000/µl</t>
  </si>
  <si>
    <t>11 (ohne Einheit)</t>
  </si>
  <si>
    <t>4000 und 12000 (zwei Werte am selben Tag S. 124 Einzelfälle_Paracetamol)</t>
  </si>
  <si>
    <t>9000/MCL</t>
  </si>
  <si>
    <t>Duplikat</t>
  </si>
  <si>
    <t>Ap-d1w4</t>
  </si>
  <si>
    <t>CK-d1+C1:D59 (U\l)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</si>
</sst>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9" fontId="0" fillId="0" borderId="0" xfId="0" applyNumberFormat="1"/>
    <xf numFmtId="0" fontId="1" fillId="2" borderId="1" xfId="0" applyFont="1" applyFill="1" applyBorder="1"/>
    <xf numFmtId="14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0" borderId="0" xfId="0" applyNumberFormat="1"/>
    <xf numFmtId="9" fontId="0" fillId="3" borderId="0" xfId="0" applyNumberFormat="1" applyFill="1"/>
    <xf numFmtId="0" fontId="0" fillId="3" borderId="0" xfId="0" applyFill="1"/>
    <xf numFmtId="49" fontId="0" fillId="5" borderId="0" xfId="0" applyNumberFormat="1" applyFill="1"/>
    <xf numFmtId="16" fontId="0" fillId="0" borderId="0" xfId="0" applyNumberFormat="1"/>
    <xf numFmtId="0" fontId="4" fillId="0" borderId="0" xfId="0" applyFont="1"/>
    <xf numFmtId="49" fontId="0" fillId="3" borderId="0" xfId="0" applyNumberFormat="1" applyFill="1"/>
    <xf numFmtId="0" fontId="4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49" fontId="0" fillId="4" borderId="0" xfId="0" applyNumberFormat="1" applyFill="1" applyAlignment="1">
      <alignment wrapText="1"/>
    </xf>
    <xf numFmtId="3" fontId="0" fillId="0" borderId="0" xfId="0" applyNumberFormat="1"/>
    <xf numFmtId="0" fontId="0" fillId="4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Font="1" applyFill="1" applyAlignment="1">
      <alignment wrapText="1"/>
    </xf>
    <xf numFmtId="0" fontId="0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top" wrapText="1"/>
    </xf>
    <xf numFmtId="49" fontId="0" fillId="0" borderId="0" xfId="0" applyNumberFormat="1" applyFill="1"/>
    <xf numFmtId="0" fontId="1" fillId="0" borderId="0" xfId="0" applyFont="1" applyFill="1" applyAlignment="1"/>
    <xf numFmtId="0" fontId="1" fillId="0" borderId="0" xfId="0" applyFont="1" applyFill="1"/>
    <xf numFmtId="0" fontId="1" fillId="0" borderId="0" xfId="0" applyFont="1"/>
    <xf numFmtId="0" fontId="5" fillId="3" borderId="0" xfId="0" applyFont="1" applyFill="1"/>
    <xf numFmtId="0" fontId="0" fillId="4" borderId="1" xfId="0" applyFont="1" applyFill="1" applyBorder="1"/>
    <xf numFmtId="0" fontId="0" fillId="3" borderId="0" xfId="0" applyFill="1" applyAlignment="1">
      <alignment wrapText="1"/>
    </xf>
    <xf numFmtId="0" fontId="0" fillId="5" borderId="0" xfId="0" applyFill="1" applyAlignment="1"/>
    <xf numFmtId="0" fontId="0" fillId="0" borderId="0" xfId="0" applyFill="1" applyAlignment="1"/>
    <xf numFmtId="0" fontId="5" fillId="3" borderId="0" xfId="0" applyFont="1" applyFill="1" applyAlignment="1"/>
    <xf numFmtId="0" fontId="0" fillId="3" borderId="0" xfId="0" applyFill="1" applyAlignment="1"/>
    <xf numFmtId="0" fontId="5" fillId="4" borderId="1" xfId="0" applyFont="1" applyFill="1" applyBorder="1"/>
    <xf numFmtId="0" fontId="5" fillId="4" borderId="0" xfId="0" applyFont="1" applyFill="1" applyBorder="1" applyAlignment="1">
      <alignment wrapText="1"/>
    </xf>
  </cellXfs>
  <cellStyles count="1">
    <cellStyle name="Standard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63DF-6B77-4387-83AD-E7381E7F20D4}">
  <dimension ref="A1:BP84"/>
  <sheetViews>
    <sheetView zoomScale="85" zoomScaleNormal="85" workbookViewId="0">
      <pane xSplit="2" ySplit="4" topLeftCell="C59" activePane="bottomRight" state="frozen"/>
      <selection pane="topRight" activeCell="C1" sqref="C1"/>
      <selection pane="bottomLeft" activeCell="A5" sqref="A5"/>
      <selection pane="bottomRight" activeCell="E89" sqref="E89"/>
    </sheetView>
  </sheetViews>
  <sheetFormatPr baseColWidth="10" defaultRowHeight="15" x14ac:dyDescent="0.25"/>
  <sheetData>
    <row r="1" spans="1:68" x14ac:dyDescent="0.25">
      <c r="A1" t="s">
        <v>1</v>
      </c>
    </row>
    <row r="2" spans="1:68" x14ac:dyDescent="0.25">
      <c r="BG2" t="s">
        <v>116</v>
      </c>
      <c r="BH2" t="s">
        <v>116</v>
      </c>
      <c r="BI2" t="s">
        <v>116</v>
      </c>
      <c r="BJ2" t="s">
        <v>116</v>
      </c>
      <c r="BK2" t="s">
        <v>116</v>
      </c>
      <c r="BL2" t="s">
        <v>121</v>
      </c>
      <c r="BM2" t="s">
        <v>121</v>
      </c>
      <c r="BO2" t="s">
        <v>123</v>
      </c>
      <c r="BP2" t="s">
        <v>124</v>
      </c>
    </row>
    <row r="3" spans="1:68" ht="90" x14ac:dyDescent="0.25">
      <c r="A3" s="23" t="s">
        <v>3</v>
      </c>
      <c r="B3" s="23" t="s">
        <v>34</v>
      </c>
      <c r="C3" s="2" t="s">
        <v>17</v>
      </c>
      <c r="D3" s="4" t="s">
        <v>81</v>
      </c>
      <c r="E3" s="4" t="s">
        <v>79</v>
      </c>
      <c r="F3" s="4" t="s">
        <v>80</v>
      </c>
      <c r="G3" s="4" t="s">
        <v>53</v>
      </c>
      <c r="H3" s="4" t="s">
        <v>105</v>
      </c>
      <c r="I3" s="2" t="s">
        <v>31</v>
      </c>
      <c r="J3" s="4" t="s">
        <v>61</v>
      </c>
      <c r="K3" s="4" t="s">
        <v>126</v>
      </c>
      <c r="L3" s="2" t="s">
        <v>49</v>
      </c>
      <c r="M3" s="4" t="s">
        <v>99</v>
      </c>
      <c r="N3" s="4" t="s">
        <v>60</v>
      </c>
      <c r="O3" s="4" t="s">
        <v>54</v>
      </c>
      <c r="P3" s="4" t="s">
        <v>55</v>
      </c>
      <c r="Q3" s="4" t="s">
        <v>56</v>
      </c>
      <c r="R3" s="4" t="s">
        <v>57</v>
      </c>
      <c r="S3" s="4" t="s">
        <v>62</v>
      </c>
      <c r="T3" s="4" t="s">
        <v>64</v>
      </c>
      <c r="U3" s="2" t="s">
        <v>8</v>
      </c>
      <c r="V3" s="2" t="s">
        <v>9</v>
      </c>
      <c r="W3" s="4" t="s">
        <v>102</v>
      </c>
      <c r="X3" s="4" t="s">
        <v>96</v>
      </c>
      <c r="Y3" s="2" t="s">
        <v>19</v>
      </c>
      <c r="Z3" s="2" t="s">
        <v>11</v>
      </c>
      <c r="AA3" s="2" t="s">
        <v>13</v>
      </c>
      <c r="AB3" s="2" t="s">
        <v>15</v>
      </c>
      <c r="AC3" s="4" t="s">
        <v>103</v>
      </c>
      <c r="AD3" s="2" t="s">
        <v>21</v>
      </c>
      <c r="AE3" s="2" t="s">
        <v>23</v>
      </c>
      <c r="AF3" s="2" t="s">
        <v>25</v>
      </c>
      <c r="AG3" s="2" t="s">
        <v>27</v>
      </c>
      <c r="AH3" s="2" t="s">
        <v>29</v>
      </c>
      <c r="AI3" s="2" t="s">
        <v>38</v>
      </c>
      <c r="AJ3" s="4" t="s">
        <v>136</v>
      </c>
      <c r="AK3" s="4" t="s">
        <v>58</v>
      </c>
      <c r="AL3" s="4" t="s">
        <v>78</v>
      </c>
      <c r="AM3" s="4" t="s">
        <v>75</v>
      </c>
      <c r="AN3" s="4" t="s">
        <v>76</v>
      </c>
      <c r="AO3" s="4" t="s">
        <v>95</v>
      </c>
      <c r="AP3" s="4" t="s">
        <v>109</v>
      </c>
      <c r="AQ3" s="4" t="s">
        <v>110</v>
      </c>
      <c r="AR3" s="4" t="s">
        <v>111</v>
      </c>
      <c r="AS3" s="4" t="s">
        <v>112</v>
      </c>
      <c r="AT3" s="4" t="s">
        <v>113</v>
      </c>
      <c r="AU3" s="4" t="s">
        <v>114</v>
      </c>
      <c r="AV3" s="2" t="s">
        <v>83</v>
      </c>
      <c r="AW3" s="2" t="s">
        <v>85</v>
      </c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128</v>
      </c>
      <c r="BF3" s="4" t="s">
        <v>100</v>
      </c>
      <c r="BG3" s="4" t="s">
        <v>115</v>
      </c>
      <c r="BH3" s="4" t="s">
        <v>117</v>
      </c>
      <c r="BI3" s="4" t="s">
        <v>118</v>
      </c>
      <c r="BJ3" s="4" t="s">
        <v>119</v>
      </c>
      <c r="BK3" s="4" t="s">
        <v>120</v>
      </c>
      <c r="BL3" s="4" t="s">
        <v>122</v>
      </c>
      <c r="BM3" s="2" t="s">
        <v>82</v>
      </c>
      <c r="BN3" s="4" t="s">
        <v>1059</v>
      </c>
    </row>
    <row r="4" spans="1:68" x14ac:dyDescent="0.25">
      <c r="A4" t="s">
        <v>2</v>
      </c>
    </row>
    <row r="5" spans="1:68" x14ac:dyDescent="0.25">
      <c r="A5">
        <v>7072184</v>
      </c>
      <c r="C5" t="s">
        <v>5</v>
      </c>
      <c r="D5" s="5">
        <v>80</v>
      </c>
      <c r="E5" s="1"/>
      <c r="F5" s="1"/>
      <c r="G5" s="5">
        <v>11</v>
      </c>
      <c r="H5" s="7">
        <v>8</v>
      </c>
      <c r="I5" t="s">
        <v>6</v>
      </c>
      <c r="J5" t="s">
        <v>7</v>
      </c>
      <c r="K5">
        <v>3.3</v>
      </c>
      <c r="N5" s="5">
        <v>2.4</v>
      </c>
      <c r="O5">
        <v>916</v>
      </c>
      <c r="P5">
        <v>190</v>
      </c>
      <c r="R5">
        <v>5.423</v>
      </c>
      <c r="S5">
        <v>12.441000000000001</v>
      </c>
      <c r="U5" t="s">
        <v>18</v>
      </c>
      <c r="V5" s="1">
        <v>0.18</v>
      </c>
      <c r="W5">
        <v>108.5</v>
      </c>
      <c r="Y5" t="s">
        <v>10</v>
      </c>
      <c r="Z5" s="7" t="s">
        <v>12</v>
      </c>
      <c r="AA5" t="s">
        <v>14</v>
      </c>
      <c r="AB5" t="s">
        <v>16</v>
      </c>
      <c r="AC5" s="6">
        <v>69</v>
      </c>
    </row>
    <row r="6" spans="1:68" x14ac:dyDescent="0.25">
      <c r="A6">
        <v>9108231</v>
      </c>
      <c r="C6" t="s">
        <v>1058</v>
      </c>
      <c r="J6" t="s">
        <v>20</v>
      </c>
      <c r="N6" s="5"/>
    </row>
    <row r="7" spans="1:68" x14ac:dyDescent="0.25">
      <c r="A7">
        <v>12061933</v>
      </c>
      <c r="N7" s="5"/>
      <c r="AD7" t="s">
        <v>22</v>
      </c>
      <c r="AE7" t="s">
        <v>24</v>
      </c>
      <c r="AF7" t="s">
        <v>26</v>
      </c>
      <c r="AG7" t="s">
        <v>28</v>
      </c>
      <c r="AH7" t="s">
        <v>30</v>
      </c>
    </row>
    <row r="8" spans="1:68" x14ac:dyDescent="0.25">
      <c r="A8">
        <v>14242856</v>
      </c>
      <c r="C8" t="s">
        <v>46</v>
      </c>
      <c r="D8" s="5">
        <v>80</v>
      </c>
      <c r="E8" s="5">
        <v>4</v>
      </c>
      <c r="F8" s="5">
        <v>1</v>
      </c>
      <c r="G8" s="5">
        <v>25</v>
      </c>
      <c r="H8">
        <v>12.1</v>
      </c>
      <c r="I8" t="s">
        <v>47</v>
      </c>
      <c r="J8" t="s">
        <v>48</v>
      </c>
      <c r="K8">
        <v>5</v>
      </c>
      <c r="L8" t="s">
        <v>50</v>
      </c>
      <c r="N8" s="5"/>
      <c r="O8">
        <v>80</v>
      </c>
      <c r="P8">
        <v>145</v>
      </c>
    </row>
    <row r="9" spans="1:68" x14ac:dyDescent="0.25">
      <c r="A9">
        <v>7063959</v>
      </c>
      <c r="J9" t="s">
        <v>51</v>
      </c>
      <c r="N9" s="5"/>
    </row>
    <row r="10" spans="1:68" x14ac:dyDescent="0.25">
      <c r="A10">
        <v>99001183</v>
      </c>
      <c r="C10" t="s">
        <v>65</v>
      </c>
      <c r="N10" s="5"/>
      <c r="P10">
        <v>23</v>
      </c>
      <c r="Q10">
        <v>56</v>
      </c>
    </row>
    <row r="11" spans="1:68" x14ac:dyDescent="0.25">
      <c r="A11">
        <v>1480</v>
      </c>
      <c r="C11">
        <v>11.92</v>
      </c>
      <c r="N11" s="5"/>
      <c r="O11">
        <v>13</v>
      </c>
      <c r="P11">
        <v>24</v>
      </c>
      <c r="Q11">
        <v>49</v>
      </c>
      <c r="R11">
        <v>222</v>
      </c>
    </row>
    <row r="12" spans="1:68" x14ac:dyDescent="0.25">
      <c r="A12">
        <v>1003215</v>
      </c>
      <c r="E12">
        <v>8.1999999999999993</v>
      </c>
      <c r="F12">
        <v>22.4</v>
      </c>
      <c r="I12" t="s">
        <v>77</v>
      </c>
      <c r="J12">
        <v>22.5</v>
      </c>
      <c r="N12" s="5"/>
      <c r="O12">
        <v>20</v>
      </c>
      <c r="P12">
        <v>27</v>
      </c>
      <c r="R12">
        <v>248</v>
      </c>
      <c r="AL12">
        <v>61</v>
      </c>
      <c r="AM12">
        <v>2.9</v>
      </c>
      <c r="AN12">
        <v>196</v>
      </c>
      <c r="AV12" t="s">
        <v>84</v>
      </c>
      <c r="AW12" t="s">
        <v>86</v>
      </c>
      <c r="AX12" t="s">
        <v>86</v>
      </c>
      <c r="AY12" t="s">
        <v>86</v>
      </c>
      <c r="AZ12" t="s">
        <v>30</v>
      </c>
      <c r="BA12" t="s">
        <v>30</v>
      </c>
      <c r="BB12" t="s">
        <v>86</v>
      </c>
      <c r="BC12" t="s">
        <v>86</v>
      </c>
      <c r="BD12" t="s">
        <v>86</v>
      </c>
      <c r="BM12">
        <v>13000</v>
      </c>
    </row>
    <row r="13" spans="1:68" x14ac:dyDescent="0.25">
      <c r="A13">
        <v>99000802</v>
      </c>
      <c r="N13" s="5"/>
      <c r="O13">
        <v>16</v>
      </c>
      <c r="P13">
        <v>26</v>
      </c>
      <c r="Q13">
        <v>27</v>
      </c>
      <c r="R13">
        <v>299</v>
      </c>
    </row>
    <row r="14" spans="1:68" x14ac:dyDescent="0.25">
      <c r="B14" t="s">
        <v>144</v>
      </c>
      <c r="C14" t="s">
        <v>142</v>
      </c>
      <c r="N14" s="5"/>
    </row>
    <row r="15" spans="1:68" x14ac:dyDescent="0.25">
      <c r="B15" t="s">
        <v>145</v>
      </c>
      <c r="C15" t="s">
        <v>143</v>
      </c>
      <c r="N15" s="5"/>
    </row>
    <row r="16" spans="1:68" x14ac:dyDescent="0.25">
      <c r="A16">
        <v>99000892</v>
      </c>
      <c r="N16" s="5"/>
      <c r="O16" t="s">
        <v>146</v>
      </c>
      <c r="P16" t="s">
        <v>147</v>
      </c>
      <c r="Q16">
        <v>6.93</v>
      </c>
    </row>
    <row r="17" spans="1:68" x14ac:dyDescent="0.25">
      <c r="N17" s="5"/>
    </row>
    <row r="18" spans="1:68" x14ac:dyDescent="0.25">
      <c r="N18" s="5"/>
    </row>
    <row r="19" spans="1:68" x14ac:dyDescent="0.25">
      <c r="A19" t="s">
        <v>0</v>
      </c>
      <c r="C19">
        <v>7</v>
      </c>
      <c r="D19">
        <v>2</v>
      </c>
      <c r="E19">
        <v>2</v>
      </c>
      <c r="F19">
        <v>2</v>
      </c>
      <c r="G19">
        <v>2</v>
      </c>
      <c r="H19">
        <v>2</v>
      </c>
      <c r="I19">
        <v>3</v>
      </c>
      <c r="J19">
        <v>5</v>
      </c>
      <c r="K19">
        <v>2</v>
      </c>
      <c r="L19">
        <v>1</v>
      </c>
      <c r="M19">
        <v>0</v>
      </c>
      <c r="N19" s="5">
        <v>1</v>
      </c>
      <c r="O19" s="5">
        <v>6</v>
      </c>
      <c r="P19" s="5">
        <v>7</v>
      </c>
      <c r="Q19" s="5">
        <v>4</v>
      </c>
      <c r="R19" s="5">
        <v>4</v>
      </c>
      <c r="S19" s="5">
        <v>1</v>
      </c>
      <c r="T19" s="5">
        <v>0</v>
      </c>
      <c r="U19" s="5">
        <v>1</v>
      </c>
      <c r="V19" s="5">
        <v>1</v>
      </c>
      <c r="W19" s="5">
        <v>1</v>
      </c>
      <c r="X19" s="5">
        <v>0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0</v>
      </c>
      <c r="AJ19" s="5">
        <v>0</v>
      </c>
      <c r="AK19" s="5">
        <v>0</v>
      </c>
      <c r="AL19" s="5">
        <v>1</v>
      </c>
      <c r="AM19" s="5">
        <v>1</v>
      </c>
      <c r="AN19" s="5">
        <v>1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1</v>
      </c>
      <c r="BN19" s="5"/>
      <c r="BO19" s="5"/>
      <c r="BP19" s="5"/>
    </row>
    <row r="20" spans="1:68" x14ac:dyDescent="0.25">
      <c r="N20" s="5"/>
    </row>
    <row r="21" spans="1:68" x14ac:dyDescent="0.25">
      <c r="N21" s="5"/>
    </row>
    <row r="22" spans="1:68" x14ac:dyDescent="0.25">
      <c r="N22" s="5"/>
    </row>
    <row r="23" spans="1:68" x14ac:dyDescent="0.25">
      <c r="N23" s="5"/>
    </row>
    <row r="24" spans="1:68" x14ac:dyDescent="0.25">
      <c r="N24" s="5"/>
    </row>
    <row r="25" spans="1:68" x14ac:dyDescent="0.25">
      <c r="N25" s="5"/>
    </row>
    <row r="26" spans="1:68" x14ac:dyDescent="0.25">
      <c r="N26" s="5"/>
    </row>
    <row r="27" spans="1:68" x14ac:dyDescent="0.25">
      <c r="N27" s="5"/>
    </row>
    <row r="28" spans="1:68" x14ac:dyDescent="0.25">
      <c r="N28" s="5"/>
    </row>
    <row r="29" spans="1:68" x14ac:dyDescent="0.25">
      <c r="A29" t="s">
        <v>4</v>
      </c>
      <c r="N29" s="5"/>
    </row>
    <row r="30" spans="1:68" x14ac:dyDescent="0.25">
      <c r="A30">
        <v>3000983</v>
      </c>
      <c r="B30" t="s">
        <v>35</v>
      </c>
      <c r="C30" t="s">
        <v>33</v>
      </c>
      <c r="H30">
        <v>14.1</v>
      </c>
      <c r="I30" t="s">
        <v>32</v>
      </c>
      <c r="N30" s="5"/>
      <c r="O30">
        <v>28</v>
      </c>
      <c r="P30">
        <v>28</v>
      </c>
      <c r="Q30">
        <v>22</v>
      </c>
      <c r="R30">
        <v>511</v>
      </c>
    </row>
    <row r="31" spans="1:68" x14ac:dyDescent="0.25">
      <c r="B31" t="s">
        <v>36</v>
      </c>
      <c r="C31" t="s">
        <v>37</v>
      </c>
      <c r="H31" t="s">
        <v>106</v>
      </c>
      <c r="J31">
        <v>18.2</v>
      </c>
      <c r="N31" s="5"/>
      <c r="O31">
        <v>131</v>
      </c>
      <c r="P31">
        <v>241</v>
      </c>
      <c r="Q31">
        <v>943</v>
      </c>
      <c r="R31">
        <v>511</v>
      </c>
      <c r="AI31" t="s">
        <v>39</v>
      </c>
      <c r="AJ31">
        <v>408</v>
      </c>
    </row>
    <row r="32" spans="1:68" x14ac:dyDescent="0.25">
      <c r="B32" t="s">
        <v>40</v>
      </c>
      <c r="C32" t="s">
        <v>42</v>
      </c>
      <c r="H32">
        <v>12.3</v>
      </c>
      <c r="I32" t="s">
        <v>41</v>
      </c>
      <c r="N32" s="5"/>
      <c r="O32">
        <v>135</v>
      </c>
      <c r="P32">
        <v>264</v>
      </c>
      <c r="Q32">
        <v>847</v>
      </c>
      <c r="AI32" t="s">
        <v>43</v>
      </c>
      <c r="AJ32">
        <v>293</v>
      </c>
    </row>
    <row r="33" spans="1:38" x14ac:dyDescent="0.25">
      <c r="A33">
        <v>10064335</v>
      </c>
      <c r="B33" s="3">
        <v>39688</v>
      </c>
      <c r="G33" s="5">
        <v>7</v>
      </c>
      <c r="N33" s="5">
        <v>2.2599999999999998</v>
      </c>
      <c r="O33">
        <v>75</v>
      </c>
      <c r="P33">
        <v>52</v>
      </c>
      <c r="Q33">
        <v>126</v>
      </c>
      <c r="AK33">
        <v>125</v>
      </c>
    </row>
    <row r="34" spans="1:38" x14ac:dyDescent="0.25">
      <c r="B34" s="3">
        <v>39692</v>
      </c>
      <c r="G34" s="5">
        <v>7</v>
      </c>
      <c r="I34" t="s">
        <v>44</v>
      </c>
      <c r="N34" s="5">
        <v>1.6</v>
      </c>
      <c r="O34">
        <v>69</v>
      </c>
      <c r="P34">
        <v>101</v>
      </c>
      <c r="Q34">
        <v>140</v>
      </c>
      <c r="R34">
        <v>433</v>
      </c>
      <c r="AK34">
        <v>140</v>
      </c>
    </row>
    <row r="35" spans="1:38" x14ac:dyDescent="0.25">
      <c r="B35" s="3">
        <v>39694</v>
      </c>
      <c r="N35" s="5">
        <v>1.51</v>
      </c>
      <c r="O35">
        <v>47</v>
      </c>
      <c r="P35">
        <v>113</v>
      </c>
      <c r="Q35">
        <v>171</v>
      </c>
      <c r="R35">
        <v>384</v>
      </c>
      <c r="AK35">
        <v>107</v>
      </c>
    </row>
    <row r="36" spans="1:38" x14ac:dyDescent="0.25">
      <c r="B36" s="3">
        <v>39706</v>
      </c>
      <c r="I36" t="s">
        <v>45</v>
      </c>
      <c r="N36" s="5">
        <v>1.56</v>
      </c>
      <c r="O36">
        <v>191</v>
      </c>
      <c r="P36">
        <v>32</v>
      </c>
      <c r="Q36">
        <v>183</v>
      </c>
      <c r="R36">
        <v>263</v>
      </c>
      <c r="AK36">
        <v>98</v>
      </c>
    </row>
    <row r="37" spans="1:38" x14ac:dyDescent="0.25">
      <c r="B37" s="3">
        <v>39708</v>
      </c>
      <c r="N37" s="5">
        <v>1.8</v>
      </c>
      <c r="O37">
        <v>19</v>
      </c>
      <c r="P37">
        <v>32</v>
      </c>
    </row>
    <row r="38" spans="1:38" x14ac:dyDescent="0.25">
      <c r="A38">
        <v>1502</v>
      </c>
      <c r="B38" s="3">
        <v>36470</v>
      </c>
      <c r="C38" t="s">
        <v>59</v>
      </c>
      <c r="N38" s="5"/>
      <c r="O38">
        <v>52</v>
      </c>
      <c r="P38">
        <v>82</v>
      </c>
    </row>
    <row r="39" spans="1:38" x14ac:dyDescent="0.25">
      <c r="B39" s="3">
        <v>36472</v>
      </c>
      <c r="C39" t="s">
        <v>52</v>
      </c>
      <c r="G39">
        <v>12.6</v>
      </c>
      <c r="N39" s="5">
        <v>0.9</v>
      </c>
      <c r="Q39">
        <v>112</v>
      </c>
      <c r="R39">
        <v>351</v>
      </c>
    </row>
    <row r="40" spans="1:38" x14ac:dyDescent="0.25">
      <c r="A40">
        <v>4003543</v>
      </c>
      <c r="B40" s="3">
        <v>38047</v>
      </c>
      <c r="J40">
        <v>7.12</v>
      </c>
      <c r="N40" s="5">
        <v>1.2</v>
      </c>
      <c r="O40">
        <v>39</v>
      </c>
      <c r="P40">
        <v>53</v>
      </c>
    </row>
    <row r="41" spans="1:38" x14ac:dyDescent="0.25">
      <c r="B41" s="3">
        <v>38051</v>
      </c>
      <c r="J41">
        <v>1.03</v>
      </c>
      <c r="N41" s="5">
        <v>0.9</v>
      </c>
      <c r="O41">
        <v>25</v>
      </c>
      <c r="P41">
        <v>38</v>
      </c>
      <c r="AL41">
        <v>67</v>
      </c>
    </row>
    <row r="42" spans="1:38" x14ac:dyDescent="0.25">
      <c r="A42">
        <v>4900261</v>
      </c>
      <c r="B42" s="3" t="s">
        <v>63</v>
      </c>
      <c r="N42" s="5"/>
      <c r="S42">
        <v>18000</v>
      </c>
    </row>
    <row r="43" spans="1:38" x14ac:dyDescent="0.25">
      <c r="B43" s="3" t="s">
        <v>63</v>
      </c>
      <c r="N43" s="5"/>
      <c r="S43">
        <v>3000</v>
      </c>
    </row>
    <row r="44" spans="1:38" x14ac:dyDescent="0.25">
      <c r="B44" s="3">
        <v>38077</v>
      </c>
      <c r="N44" s="5">
        <v>0.76</v>
      </c>
      <c r="O44">
        <v>668</v>
      </c>
      <c r="R44">
        <v>1151</v>
      </c>
      <c r="S44">
        <v>18973</v>
      </c>
      <c r="T44">
        <v>258</v>
      </c>
    </row>
    <row r="45" spans="1:38" x14ac:dyDescent="0.25">
      <c r="B45" s="3">
        <v>38078</v>
      </c>
      <c r="N45" s="5">
        <v>0.53</v>
      </c>
      <c r="O45">
        <v>454</v>
      </c>
      <c r="R45">
        <v>804</v>
      </c>
      <c r="S45">
        <v>12480</v>
      </c>
      <c r="T45">
        <v>165</v>
      </c>
    </row>
    <row r="46" spans="1:38" x14ac:dyDescent="0.25">
      <c r="B46" s="3">
        <v>38079</v>
      </c>
      <c r="N46" s="5">
        <v>0.86</v>
      </c>
      <c r="O46">
        <v>184</v>
      </c>
      <c r="R46">
        <v>847</v>
      </c>
      <c r="S46">
        <v>13564</v>
      </c>
      <c r="T46">
        <v>132</v>
      </c>
    </row>
    <row r="47" spans="1:38" x14ac:dyDescent="0.25">
      <c r="B47" s="3">
        <v>38082</v>
      </c>
      <c r="N47" s="5">
        <v>0.71</v>
      </c>
      <c r="R47">
        <v>772</v>
      </c>
      <c r="S47">
        <v>7207</v>
      </c>
      <c r="T47">
        <v>106</v>
      </c>
    </row>
    <row r="48" spans="1:38" x14ac:dyDescent="0.25">
      <c r="B48" s="3">
        <v>38087</v>
      </c>
      <c r="N48" s="5">
        <v>0.79</v>
      </c>
      <c r="R48">
        <v>577</v>
      </c>
      <c r="S48">
        <v>4544</v>
      </c>
      <c r="T48">
        <v>71</v>
      </c>
    </row>
    <row r="49" spans="1:58" x14ac:dyDescent="0.25">
      <c r="B49" s="3">
        <v>38098</v>
      </c>
      <c r="N49" s="5">
        <v>0.69</v>
      </c>
      <c r="R49">
        <v>365</v>
      </c>
      <c r="S49">
        <v>341</v>
      </c>
      <c r="T49">
        <v>24</v>
      </c>
    </row>
    <row r="50" spans="1:58" x14ac:dyDescent="0.25">
      <c r="A50">
        <v>1505</v>
      </c>
      <c r="B50" s="3">
        <v>36460</v>
      </c>
      <c r="C50" t="s">
        <v>66</v>
      </c>
      <c r="G50">
        <v>9.9</v>
      </c>
    </row>
    <row r="51" spans="1:58" x14ac:dyDescent="0.25">
      <c r="B51" s="3">
        <v>36461</v>
      </c>
      <c r="O51">
        <v>28</v>
      </c>
      <c r="P51">
        <v>32</v>
      </c>
      <c r="R51">
        <v>249</v>
      </c>
    </row>
    <row r="52" spans="1:58" x14ac:dyDescent="0.25">
      <c r="B52" s="3">
        <v>36465</v>
      </c>
      <c r="C52" t="s">
        <v>67</v>
      </c>
    </row>
    <row r="53" spans="1:58" x14ac:dyDescent="0.25">
      <c r="A53">
        <v>1506</v>
      </c>
      <c r="B53" s="3">
        <v>36449</v>
      </c>
      <c r="C53" t="s">
        <v>68</v>
      </c>
      <c r="G53">
        <v>6.8</v>
      </c>
    </row>
    <row r="54" spans="1:58" x14ac:dyDescent="0.25">
      <c r="B54" s="3">
        <v>36452</v>
      </c>
      <c r="O54">
        <v>15</v>
      </c>
      <c r="P54">
        <v>28</v>
      </c>
      <c r="Q54">
        <v>45</v>
      </c>
      <c r="R54">
        <v>144</v>
      </c>
    </row>
    <row r="55" spans="1:58" x14ac:dyDescent="0.25">
      <c r="A55">
        <v>1000192</v>
      </c>
      <c r="B55" s="3">
        <v>36390</v>
      </c>
      <c r="C55" t="s">
        <v>69</v>
      </c>
    </row>
    <row r="56" spans="1:58" x14ac:dyDescent="0.25">
      <c r="B56" s="3">
        <v>36431</v>
      </c>
      <c r="C56" t="s">
        <v>70</v>
      </c>
      <c r="G56" t="s">
        <v>74</v>
      </c>
      <c r="J56">
        <v>11</v>
      </c>
      <c r="Q56">
        <v>240</v>
      </c>
    </row>
    <row r="57" spans="1:58" x14ac:dyDescent="0.25">
      <c r="A57">
        <v>1000197</v>
      </c>
      <c r="B57" s="3">
        <v>36545</v>
      </c>
      <c r="G57" t="s">
        <v>73</v>
      </c>
    </row>
    <row r="58" spans="1:58" x14ac:dyDescent="0.25">
      <c r="B58" s="3">
        <v>36546</v>
      </c>
      <c r="C58" t="s">
        <v>71</v>
      </c>
    </row>
    <row r="59" spans="1:58" x14ac:dyDescent="0.25">
      <c r="B59" s="3">
        <v>36547</v>
      </c>
      <c r="C59" t="s">
        <v>72</v>
      </c>
      <c r="P59">
        <v>64</v>
      </c>
    </row>
    <row r="60" spans="1:58" x14ac:dyDescent="0.25">
      <c r="B60" s="3">
        <v>36549</v>
      </c>
      <c r="O60">
        <v>25</v>
      </c>
      <c r="Q60">
        <v>51</v>
      </c>
    </row>
    <row r="61" spans="1:58" x14ac:dyDescent="0.25">
      <c r="A61">
        <v>96018835</v>
      </c>
      <c r="B61" s="3">
        <v>35257</v>
      </c>
      <c r="C61" t="s">
        <v>129</v>
      </c>
      <c r="I61" t="s">
        <v>94</v>
      </c>
    </row>
    <row r="62" spans="1:58" x14ac:dyDescent="0.25">
      <c r="B62" s="3">
        <v>35258</v>
      </c>
      <c r="C62" t="s">
        <v>104</v>
      </c>
      <c r="H62">
        <v>15.2</v>
      </c>
      <c r="I62" t="s">
        <v>97</v>
      </c>
      <c r="O62">
        <v>979</v>
      </c>
      <c r="P62">
        <v>1496</v>
      </c>
      <c r="Q62">
        <v>201</v>
      </c>
      <c r="R62">
        <v>1694</v>
      </c>
      <c r="X62">
        <v>67</v>
      </c>
      <c r="AI62">
        <v>273</v>
      </c>
      <c r="AJ62">
        <v>515</v>
      </c>
      <c r="AN62">
        <v>1400</v>
      </c>
      <c r="AO62">
        <v>3.9</v>
      </c>
      <c r="BF62">
        <v>39.5</v>
      </c>
    </row>
    <row r="63" spans="1:58" x14ac:dyDescent="0.25">
      <c r="B63" s="3">
        <v>35259</v>
      </c>
      <c r="C63">
        <v>3.8</v>
      </c>
      <c r="H63">
        <v>14</v>
      </c>
      <c r="I63" t="s">
        <v>107</v>
      </c>
      <c r="O63">
        <v>435</v>
      </c>
      <c r="P63">
        <v>1029</v>
      </c>
      <c r="Q63">
        <v>180</v>
      </c>
      <c r="R63">
        <v>617</v>
      </c>
      <c r="W63">
        <v>35</v>
      </c>
      <c r="X63">
        <v>82</v>
      </c>
      <c r="AI63">
        <v>890</v>
      </c>
      <c r="AJ63">
        <v>311</v>
      </c>
      <c r="AM63">
        <v>2082</v>
      </c>
      <c r="AN63">
        <v>1988</v>
      </c>
      <c r="AO63" t="s">
        <v>101</v>
      </c>
      <c r="BF63">
        <v>38.700000000000003</v>
      </c>
    </row>
    <row r="64" spans="1:58" x14ac:dyDescent="0.25">
      <c r="B64" s="3">
        <v>35260</v>
      </c>
      <c r="C64">
        <v>2.1</v>
      </c>
      <c r="H64">
        <v>13.4</v>
      </c>
      <c r="I64" t="s">
        <v>130</v>
      </c>
      <c r="O64">
        <v>155</v>
      </c>
      <c r="P64">
        <v>630</v>
      </c>
      <c r="Q64">
        <v>177</v>
      </c>
      <c r="AI64" t="s">
        <v>137</v>
      </c>
      <c r="AJ64">
        <v>288</v>
      </c>
      <c r="AN64">
        <v>1758</v>
      </c>
      <c r="AO64">
        <v>3.7</v>
      </c>
    </row>
    <row r="65" spans="1:68" x14ac:dyDescent="0.25">
      <c r="B65" s="3">
        <v>35261</v>
      </c>
      <c r="K65">
        <v>3.9</v>
      </c>
      <c r="L65" t="s">
        <v>98</v>
      </c>
      <c r="M65">
        <v>0.3</v>
      </c>
    </row>
    <row r="66" spans="1:68" x14ac:dyDescent="0.25">
      <c r="B66" s="3">
        <v>35262</v>
      </c>
      <c r="C66">
        <v>3</v>
      </c>
      <c r="F66">
        <v>66</v>
      </c>
      <c r="G66">
        <v>5</v>
      </c>
      <c r="H66">
        <v>11.8</v>
      </c>
      <c r="I66" t="s">
        <v>131</v>
      </c>
      <c r="N66" s="7" t="s">
        <v>108</v>
      </c>
      <c r="O66">
        <v>68</v>
      </c>
      <c r="P66">
        <v>356</v>
      </c>
      <c r="Q66">
        <v>246</v>
      </c>
      <c r="S66" s="7" t="s">
        <v>108</v>
      </c>
      <c r="AI66">
        <v>892</v>
      </c>
      <c r="AJ66">
        <v>381</v>
      </c>
      <c r="AK66" s="7" t="s">
        <v>108</v>
      </c>
      <c r="AN66">
        <v>332</v>
      </c>
      <c r="AO66">
        <v>3.9</v>
      </c>
      <c r="AP66" s="7" t="s">
        <v>108</v>
      </c>
      <c r="AQ66" s="7" t="s">
        <v>108</v>
      </c>
      <c r="AR66" s="7" t="s">
        <v>108</v>
      </c>
      <c r="AS66" s="7" t="s">
        <v>108</v>
      </c>
      <c r="AT66" s="7" t="s">
        <v>108</v>
      </c>
      <c r="AU66" s="7" t="s">
        <v>108</v>
      </c>
    </row>
    <row r="67" spans="1:68" x14ac:dyDescent="0.25">
      <c r="B67" s="3">
        <v>35265</v>
      </c>
      <c r="C67">
        <v>6.5</v>
      </c>
      <c r="H67">
        <v>10.7</v>
      </c>
      <c r="I67" t="s">
        <v>132</v>
      </c>
      <c r="O67">
        <v>19</v>
      </c>
      <c r="AN67">
        <v>24</v>
      </c>
      <c r="AO67">
        <v>8.4</v>
      </c>
      <c r="BG67">
        <v>200</v>
      </c>
      <c r="BH67">
        <v>30</v>
      </c>
      <c r="BI67">
        <v>0.2</v>
      </c>
      <c r="BJ67" t="s">
        <v>30</v>
      </c>
      <c r="BK67">
        <v>70</v>
      </c>
      <c r="BO67" t="s">
        <v>125</v>
      </c>
    </row>
    <row r="68" spans="1:68" x14ac:dyDescent="0.25">
      <c r="B68" s="3">
        <v>35268</v>
      </c>
      <c r="C68">
        <v>7.9</v>
      </c>
      <c r="H68">
        <v>8.6</v>
      </c>
      <c r="I68" t="s">
        <v>133</v>
      </c>
      <c r="K68">
        <v>3.5</v>
      </c>
      <c r="L68" t="s">
        <v>127</v>
      </c>
      <c r="M68">
        <v>0.3</v>
      </c>
      <c r="O68">
        <v>24</v>
      </c>
      <c r="P68">
        <v>18</v>
      </c>
      <c r="Q68">
        <v>41</v>
      </c>
      <c r="AJ68">
        <v>187</v>
      </c>
      <c r="AN68">
        <v>90</v>
      </c>
      <c r="AO68">
        <v>7.2</v>
      </c>
    </row>
    <row r="69" spans="1:68" x14ac:dyDescent="0.25">
      <c r="B69" s="3">
        <v>35270</v>
      </c>
      <c r="C69">
        <v>10.1</v>
      </c>
      <c r="H69">
        <v>10.5</v>
      </c>
      <c r="I69" t="s">
        <v>134</v>
      </c>
      <c r="O69">
        <v>51</v>
      </c>
      <c r="P69">
        <v>19</v>
      </c>
      <c r="Q69">
        <v>70</v>
      </c>
      <c r="AI69">
        <v>342</v>
      </c>
      <c r="AJ69">
        <v>326</v>
      </c>
      <c r="AN69">
        <v>99</v>
      </c>
      <c r="AO69">
        <v>8.3000000000000007</v>
      </c>
    </row>
    <row r="70" spans="1:68" x14ac:dyDescent="0.25">
      <c r="B70" s="3">
        <v>35271</v>
      </c>
      <c r="BL70">
        <v>290</v>
      </c>
      <c r="BP70" t="s">
        <v>125</v>
      </c>
    </row>
    <row r="71" spans="1:68" x14ac:dyDescent="0.25">
      <c r="B71" s="3">
        <v>35273</v>
      </c>
      <c r="C71">
        <v>7.5</v>
      </c>
      <c r="H71">
        <v>10</v>
      </c>
      <c r="I71" t="s">
        <v>135</v>
      </c>
      <c r="O71">
        <v>175</v>
      </c>
      <c r="AO71">
        <v>12.1</v>
      </c>
      <c r="BE71" t="s">
        <v>86</v>
      </c>
    </row>
    <row r="72" spans="1:68" x14ac:dyDescent="0.25">
      <c r="A72">
        <v>98008326</v>
      </c>
      <c r="B72" s="3">
        <v>35417</v>
      </c>
      <c r="C72" t="s">
        <v>138</v>
      </c>
      <c r="G72" s="1"/>
    </row>
    <row r="73" spans="1:68" x14ac:dyDescent="0.25">
      <c r="B73" s="3">
        <v>35422</v>
      </c>
      <c r="Q73">
        <v>27</v>
      </c>
      <c r="R73">
        <v>249</v>
      </c>
      <c r="AK73">
        <v>25.4</v>
      </c>
    </row>
    <row r="74" spans="1:68" x14ac:dyDescent="0.25">
      <c r="B74" s="3">
        <v>35425</v>
      </c>
      <c r="O74">
        <v>28</v>
      </c>
    </row>
    <row r="75" spans="1:68" x14ac:dyDescent="0.25">
      <c r="B75" s="3">
        <v>35429</v>
      </c>
      <c r="C75" t="s">
        <v>139</v>
      </c>
      <c r="G75">
        <v>10</v>
      </c>
    </row>
    <row r="76" spans="1:68" x14ac:dyDescent="0.25">
      <c r="A76">
        <v>99000717</v>
      </c>
      <c r="B76" s="3">
        <v>36101</v>
      </c>
      <c r="R76">
        <v>487</v>
      </c>
    </row>
    <row r="77" spans="1:68" x14ac:dyDescent="0.25">
      <c r="B77" s="3">
        <v>36108</v>
      </c>
      <c r="C77" t="s">
        <v>140</v>
      </c>
      <c r="G77">
        <v>11</v>
      </c>
      <c r="Q77">
        <v>75</v>
      </c>
    </row>
    <row r="78" spans="1:68" x14ac:dyDescent="0.25">
      <c r="B78" s="3">
        <v>36111</v>
      </c>
      <c r="O78">
        <v>31</v>
      </c>
      <c r="P78">
        <v>30</v>
      </c>
      <c r="R78" s="3"/>
    </row>
    <row r="79" spans="1:68" x14ac:dyDescent="0.25">
      <c r="B79" s="3">
        <v>36115</v>
      </c>
      <c r="C79" t="s">
        <v>141</v>
      </c>
    </row>
    <row r="80" spans="1:68" x14ac:dyDescent="0.25">
      <c r="A80">
        <v>99000894</v>
      </c>
      <c r="B80" s="3">
        <v>35544</v>
      </c>
      <c r="P80">
        <v>30</v>
      </c>
      <c r="Q80">
        <v>72</v>
      </c>
    </row>
    <row r="81" spans="1:68" x14ac:dyDescent="0.25">
      <c r="B81" s="3">
        <v>35550</v>
      </c>
      <c r="C81" t="s">
        <v>148</v>
      </c>
    </row>
    <row r="84" spans="1:68" x14ac:dyDescent="0.25">
      <c r="A84" t="s">
        <v>1060</v>
      </c>
      <c r="C84">
        <v>24</v>
      </c>
      <c r="D84">
        <v>2</v>
      </c>
      <c r="E84">
        <v>2</v>
      </c>
      <c r="F84">
        <v>3</v>
      </c>
      <c r="G84">
        <v>22</v>
      </c>
      <c r="H84">
        <v>4</v>
      </c>
      <c r="I84">
        <v>7</v>
      </c>
      <c r="J84">
        <v>11</v>
      </c>
      <c r="K84">
        <v>3</v>
      </c>
      <c r="L84">
        <v>2</v>
      </c>
      <c r="M84">
        <v>1</v>
      </c>
      <c r="N84">
        <v>6</v>
      </c>
      <c r="O84">
        <v>29</v>
      </c>
      <c r="P84">
        <v>30</v>
      </c>
      <c r="Q84">
        <v>26</v>
      </c>
      <c r="R84">
        <v>22</v>
      </c>
      <c r="S84">
        <v>2</v>
      </c>
      <c r="T84">
        <v>1</v>
      </c>
      <c r="U84">
        <v>1</v>
      </c>
      <c r="V84">
        <v>1</v>
      </c>
      <c r="W84">
        <v>3</v>
      </c>
      <c r="X84">
        <v>2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2</v>
      </c>
      <c r="AJ84">
        <v>2</v>
      </c>
      <c r="AK84">
        <v>3</v>
      </c>
      <c r="AL84">
        <v>2</v>
      </c>
      <c r="AM84">
        <v>3</v>
      </c>
      <c r="AN84">
        <v>3</v>
      </c>
      <c r="AO84">
        <v>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</row>
  </sheetData>
  <conditionalFormatting sqref="A40">
    <cfRule type="duplicateValues" dxfId="75" priority="30"/>
  </conditionalFormatting>
  <conditionalFormatting sqref="A40">
    <cfRule type="duplicateValues" dxfId="74" priority="29"/>
  </conditionalFormatting>
  <conditionalFormatting sqref="A42">
    <cfRule type="duplicateValues" dxfId="73" priority="28"/>
  </conditionalFormatting>
  <conditionalFormatting sqref="A42">
    <cfRule type="duplicateValues" dxfId="72" priority="27"/>
  </conditionalFormatting>
  <conditionalFormatting sqref="A10">
    <cfRule type="duplicateValues" dxfId="71" priority="26"/>
  </conditionalFormatting>
  <conditionalFormatting sqref="A50">
    <cfRule type="duplicateValues" dxfId="70" priority="24"/>
  </conditionalFormatting>
  <conditionalFormatting sqref="A50">
    <cfRule type="duplicateValues" dxfId="69" priority="23"/>
  </conditionalFormatting>
  <conditionalFormatting sqref="A53">
    <cfRule type="duplicateValues" dxfId="68" priority="22"/>
  </conditionalFormatting>
  <conditionalFormatting sqref="A53">
    <cfRule type="duplicateValues" dxfId="67" priority="21"/>
  </conditionalFormatting>
  <conditionalFormatting sqref="A55">
    <cfRule type="duplicateValues" dxfId="66" priority="20"/>
  </conditionalFormatting>
  <conditionalFormatting sqref="A55">
    <cfRule type="duplicateValues" dxfId="65" priority="19"/>
  </conditionalFormatting>
  <conditionalFormatting sqref="A57">
    <cfRule type="duplicateValues" dxfId="64" priority="18"/>
  </conditionalFormatting>
  <conditionalFormatting sqref="A57">
    <cfRule type="duplicateValues" dxfId="63" priority="17"/>
  </conditionalFormatting>
  <conditionalFormatting sqref="A12">
    <cfRule type="duplicateValues" dxfId="62" priority="16"/>
  </conditionalFormatting>
  <conditionalFormatting sqref="A61">
    <cfRule type="duplicateValues" dxfId="61" priority="14"/>
  </conditionalFormatting>
  <conditionalFormatting sqref="A61">
    <cfRule type="duplicateValues" dxfId="60" priority="13"/>
  </conditionalFormatting>
  <conditionalFormatting sqref="A72">
    <cfRule type="duplicateValues" dxfId="59" priority="12"/>
  </conditionalFormatting>
  <conditionalFormatting sqref="A72">
    <cfRule type="duplicateValues" dxfId="58" priority="11"/>
  </conditionalFormatting>
  <conditionalFormatting sqref="A76">
    <cfRule type="duplicateValues" dxfId="57" priority="10"/>
  </conditionalFormatting>
  <conditionalFormatting sqref="A76">
    <cfRule type="duplicateValues" dxfId="56" priority="9"/>
  </conditionalFormatting>
  <conditionalFormatting sqref="A13">
    <cfRule type="duplicateValues" dxfId="55" priority="8"/>
  </conditionalFormatting>
  <conditionalFormatting sqref="A16">
    <cfRule type="duplicateValues" dxfId="54" priority="6"/>
  </conditionalFormatting>
  <conditionalFormatting sqref="A80">
    <cfRule type="duplicateValues" dxfId="53" priority="4"/>
  </conditionalFormatting>
  <conditionalFormatting sqref="A80">
    <cfRule type="duplicateValues" dxfId="52" priority="3"/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48A5-F663-4AC3-91CD-5CEC3C856077}">
  <dimension ref="A1:AIX84"/>
  <sheetViews>
    <sheetView tabSelected="1" zoomScale="70" zoomScaleNormal="70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C62" sqref="C62"/>
    </sheetView>
  </sheetViews>
  <sheetFormatPr baseColWidth="10" defaultRowHeight="15" x14ac:dyDescent="0.25"/>
  <sheetData>
    <row r="1" spans="1:934" ht="105" x14ac:dyDescent="0.25">
      <c r="A1" s="26" t="s">
        <v>1061</v>
      </c>
      <c r="B1" s="16" t="s">
        <v>1067</v>
      </c>
      <c r="C1" s="16" t="s">
        <v>1234</v>
      </c>
      <c r="D1" s="16" t="s">
        <v>174</v>
      </c>
      <c r="E1" s="16" t="s">
        <v>1141</v>
      </c>
      <c r="F1" s="16" t="s">
        <v>1142</v>
      </c>
      <c r="G1" s="16" t="s">
        <v>175</v>
      </c>
      <c r="H1" s="16" t="s">
        <v>176</v>
      </c>
      <c r="I1" s="16" t="s">
        <v>177</v>
      </c>
      <c r="J1" s="16" t="s">
        <v>178</v>
      </c>
      <c r="K1" s="16" t="s">
        <v>179</v>
      </c>
      <c r="L1" s="16" t="s">
        <v>1143</v>
      </c>
      <c r="M1" s="16" t="s">
        <v>181</v>
      </c>
      <c r="N1" s="16" t="s">
        <v>182</v>
      </c>
      <c r="O1" s="16" t="s">
        <v>183</v>
      </c>
      <c r="P1" s="16" t="s">
        <v>184</v>
      </c>
      <c r="Q1" s="16" t="s">
        <v>185</v>
      </c>
      <c r="R1" s="16" t="s">
        <v>186</v>
      </c>
      <c r="S1" s="16" t="s">
        <v>187</v>
      </c>
      <c r="T1" s="16" t="s">
        <v>188</v>
      </c>
      <c r="U1" s="16" t="s">
        <v>189</v>
      </c>
      <c r="V1" s="16" t="s">
        <v>190</v>
      </c>
      <c r="W1" s="16" t="s">
        <v>191</v>
      </c>
      <c r="X1" s="16" t="s">
        <v>192</v>
      </c>
      <c r="Y1" s="16" t="s">
        <v>193</v>
      </c>
      <c r="Z1" s="16" t="s">
        <v>194</v>
      </c>
      <c r="AA1" s="16" t="s">
        <v>195</v>
      </c>
      <c r="AB1" s="16" t="s">
        <v>196</v>
      </c>
      <c r="AC1" s="16" t="s">
        <v>197</v>
      </c>
      <c r="AD1" s="16" t="s">
        <v>198</v>
      </c>
      <c r="AE1" s="16" t="s">
        <v>199</v>
      </c>
      <c r="AF1" s="17" t="s">
        <v>200</v>
      </c>
      <c r="AG1" s="18" t="s">
        <v>1144</v>
      </c>
      <c r="AH1" s="18" t="s">
        <v>1145</v>
      </c>
      <c r="AI1" s="18" t="s">
        <v>1146</v>
      </c>
      <c r="AJ1" s="18" t="s">
        <v>1147</v>
      </c>
      <c r="AK1" s="18" t="s">
        <v>1148</v>
      </c>
      <c r="AL1" s="18" t="s">
        <v>1149</v>
      </c>
      <c r="AM1" s="16" t="s">
        <v>201</v>
      </c>
      <c r="AN1" s="16" t="s">
        <v>202</v>
      </c>
      <c r="AO1" s="16" t="s">
        <v>203</v>
      </c>
      <c r="AP1" s="16" t="s">
        <v>204</v>
      </c>
      <c r="AQ1" s="16" t="s">
        <v>205</v>
      </c>
      <c r="AR1" s="16" t="s">
        <v>206</v>
      </c>
      <c r="AS1" s="16" t="s">
        <v>207</v>
      </c>
      <c r="AT1" s="16" t="s">
        <v>208</v>
      </c>
      <c r="AU1" s="16" t="s">
        <v>209</v>
      </c>
      <c r="AV1" s="16" t="s">
        <v>210</v>
      </c>
      <c r="AW1" s="16" t="s">
        <v>211</v>
      </c>
      <c r="AX1" s="16" t="s">
        <v>212</v>
      </c>
      <c r="AY1" s="16" t="s">
        <v>213</v>
      </c>
      <c r="AZ1" s="16" t="s">
        <v>214</v>
      </c>
      <c r="BA1" s="16" t="s">
        <v>215</v>
      </c>
      <c r="BB1" s="16" t="s">
        <v>216</v>
      </c>
      <c r="BC1" s="16" t="s">
        <v>217</v>
      </c>
      <c r="BD1" s="16" t="s">
        <v>218</v>
      </c>
      <c r="BE1" s="16" t="s">
        <v>219</v>
      </c>
      <c r="BF1" s="16" t="s">
        <v>220</v>
      </c>
      <c r="BG1" s="16" t="s">
        <v>221</v>
      </c>
      <c r="BH1" s="16" t="s">
        <v>222</v>
      </c>
      <c r="BI1" s="16" t="s">
        <v>223</v>
      </c>
      <c r="BJ1" s="16" t="s">
        <v>224</v>
      </c>
      <c r="BK1" s="16" t="s">
        <v>225</v>
      </c>
      <c r="BL1" s="16" t="s">
        <v>226</v>
      </c>
      <c r="BM1" s="17" t="s">
        <v>227</v>
      </c>
      <c r="BN1" s="25" t="s">
        <v>1068</v>
      </c>
      <c r="BO1" s="25" t="s">
        <v>1070</v>
      </c>
      <c r="BP1" s="25" t="s">
        <v>1069</v>
      </c>
      <c r="BQ1" s="16" t="s">
        <v>1179</v>
      </c>
      <c r="BR1" s="16" t="s">
        <v>229</v>
      </c>
      <c r="BS1" s="16" t="s">
        <v>230</v>
      </c>
      <c r="BT1" s="16" t="s">
        <v>231</v>
      </c>
      <c r="BU1" s="16" t="s">
        <v>232</v>
      </c>
      <c r="BV1" s="16" t="s">
        <v>233</v>
      </c>
      <c r="BW1" s="16" t="s">
        <v>234</v>
      </c>
      <c r="BX1" s="16" t="s">
        <v>235</v>
      </c>
      <c r="BY1" s="16" t="s">
        <v>236</v>
      </c>
      <c r="BZ1" s="16" t="s">
        <v>237</v>
      </c>
      <c r="CA1" s="16" t="s">
        <v>238</v>
      </c>
      <c r="CB1" s="16" t="s">
        <v>239</v>
      </c>
      <c r="CC1" s="16" t="s">
        <v>240</v>
      </c>
      <c r="CD1" s="16" t="s">
        <v>241</v>
      </c>
      <c r="CE1" s="16" t="s">
        <v>242</v>
      </c>
      <c r="CF1" s="16" t="s">
        <v>243</v>
      </c>
      <c r="CG1" s="16" t="s">
        <v>244</v>
      </c>
      <c r="CH1" s="16" t="s">
        <v>245</v>
      </c>
      <c r="CI1" s="16" t="s">
        <v>246</v>
      </c>
      <c r="CJ1" s="16" t="s">
        <v>247</v>
      </c>
      <c r="CK1" s="16" t="s">
        <v>248</v>
      </c>
      <c r="CL1" s="16" t="s">
        <v>249</v>
      </c>
      <c r="CM1" s="16" t="s">
        <v>250</v>
      </c>
      <c r="CN1" s="16" t="s">
        <v>251</v>
      </c>
      <c r="CO1" s="16" t="s">
        <v>252</v>
      </c>
      <c r="CP1" s="16" t="s">
        <v>253</v>
      </c>
      <c r="CQ1" s="16" t="s">
        <v>254</v>
      </c>
      <c r="CR1" s="16" t="s">
        <v>255</v>
      </c>
      <c r="CS1" s="17" t="s">
        <v>256</v>
      </c>
      <c r="CT1" s="16" t="s">
        <v>257</v>
      </c>
      <c r="CU1" s="25" t="s">
        <v>1071</v>
      </c>
      <c r="CV1" s="25" t="s">
        <v>1072</v>
      </c>
      <c r="CW1" s="25" t="s">
        <v>1073</v>
      </c>
      <c r="CX1" s="16" t="s">
        <v>1075</v>
      </c>
      <c r="CY1" s="16" t="s">
        <v>258</v>
      </c>
      <c r="CZ1" s="16" t="s">
        <v>259</v>
      </c>
      <c r="DA1" s="16" t="s">
        <v>260</v>
      </c>
      <c r="DB1" s="16" t="s">
        <v>261</v>
      </c>
      <c r="DC1" s="16" t="s">
        <v>262</v>
      </c>
      <c r="DD1" s="16" t="s">
        <v>263</v>
      </c>
      <c r="DE1" s="16" t="s">
        <v>264</v>
      </c>
      <c r="DF1" s="16" t="s">
        <v>265</v>
      </c>
      <c r="DG1" s="16" t="s">
        <v>266</v>
      </c>
      <c r="DH1" s="16" t="s">
        <v>267</v>
      </c>
      <c r="DI1" s="16" t="s">
        <v>268</v>
      </c>
      <c r="DJ1" s="16" t="s">
        <v>269</v>
      </c>
      <c r="DK1" s="17" t="s">
        <v>270</v>
      </c>
      <c r="DL1" s="16" t="s">
        <v>1076</v>
      </c>
      <c r="DM1" s="16" t="s">
        <v>1077</v>
      </c>
      <c r="DN1" s="16" t="s">
        <v>272</v>
      </c>
      <c r="DO1" s="16" t="s">
        <v>273</v>
      </c>
      <c r="DP1" s="16" t="s">
        <v>274</v>
      </c>
      <c r="DQ1" s="16" t="s">
        <v>275</v>
      </c>
      <c r="DR1" s="16" t="s">
        <v>276</v>
      </c>
      <c r="DS1" s="16" t="s">
        <v>277</v>
      </c>
      <c r="DT1" s="16" t="s">
        <v>278</v>
      </c>
      <c r="DU1" s="16" t="s">
        <v>279</v>
      </c>
      <c r="DV1" s="16" t="s">
        <v>280</v>
      </c>
      <c r="DW1" s="17" t="s">
        <v>281</v>
      </c>
      <c r="DX1" s="16" t="s">
        <v>1056</v>
      </c>
      <c r="DY1" s="16" t="s">
        <v>1207</v>
      </c>
      <c r="DZ1" s="16" t="s">
        <v>282</v>
      </c>
      <c r="EA1" s="16" t="s">
        <v>1216</v>
      </c>
      <c r="EB1" s="16" t="s">
        <v>284</v>
      </c>
      <c r="EC1" s="16" t="s">
        <v>1157</v>
      </c>
      <c r="ED1" s="16" t="s">
        <v>1151</v>
      </c>
      <c r="EE1" s="16" t="s">
        <v>1225</v>
      </c>
      <c r="EF1" s="16" t="s">
        <v>1156</v>
      </c>
      <c r="EG1" s="16" t="s">
        <v>1212</v>
      </c>
      <c r="EH1" s="16" t="s">
        <v>1158</v>
      </c>
      <c r="EI1" s="16" t="s">
        <v>285</v>
      </c>
      <c r="EJ1" s="16" t="s">
        <v>286</v>
      </c>
      <c r="EK1" s="16" t="s">
        <v>287</v>
      </c>
      <c r="EL1" s="16" t="s">
        <v>288</v>
      </c>
      <c r="EM1" s="16" t="s">
        <v>289</v>
      </c>
      <c r="EN1" s="16" t="s">
        <v>290</v>
      </c>
      <c r="EO1" s="16" t="s">
        <v>291</v>
      </c>
      <c r="EP1" s="16" t="s">
        <v>292</v>
      </c>
      <c r="EQ1" s="16" t="s">
        <v>293</v>
      </c>
      <c r="ER1" s="16" t="s">
        <v>294</v>
      </c>
      <c r="ES1" s="16" t="s">
        <v>295</v>
      </c>
      <c r="ET1" s="16" t="s">
        <v>296</v>
      </c>
      <c r="EU1" s="16" t="s">
        <v>297</v>
      </c>
      <c r="EV1" s="16" t="s">
        <v>1096</v>
      </c>
      <c r="EW1" s="16" t="s">
        <v>298</v>
      </c>
      <c r="EX1" s="16" t="s">
        <v>1215</v>
      </c>
      <c r="EY1" s="16" t="s">
        <v>299</v>
      </c>
      <c r="EZ1" s="16" t="s">
        <v>300</v>
      </c>
      <c r="FA1" s="16" t="s">
        <v>301</v>
      </c>
      <c r="FB1" s="16" t="s">
        <v>302</v>
      </c>
      <c r="FC1" s="16" t="s">
        <v>303</v>
      </c>
      <c r="FD1" s="16" t="s">
        <v>304</v>
      </c>
      <c r="FE1" s="16" t="s">
        <v>305</v>
      </c>
      <c r="FF1" s="16" t="s">
        <v>306</v>
      </c>
      <c r="FG1" s="16" t="s">
        <v>307</v>
      </c>
      <c r="FH1" s="16" t="s">
        <v>308</v>
      </c>
      <c r="FI1" s="16" t="s">
        <v>309</v>
      </c>
      <c r="FJ1" s="17" t="s">
        <v>310</v>
      </c>
      <c r="FK1" s="16" t="s">
        <v>1049</v>
      </c>
      <c r="FL1" s="16" t="s">
        <v>1208</v>
      </c>
      <c r="FM1" s="16" t="s">
        <v>311</v>
      </c>
      <c r="FN1" s="16" t="s">
        <v>1130</v>
      </c>
      <c r="FO1" s="16" t="s">
        <v>1154</v>
      </c>
      <c r="FP1" s="16" t="s">
        <v>1114</v>
      </c>
      <c r="FQ1" s="16" t="s">
        <v>1131</v>
      </c>
      <c r="FR1" s="16" t="s">
        <v>1175</v>
      </c>
      <c r="FS1" s="16" t="s">
        <v>312</v>
      </c>
      <c r="FT1" s="16" t="s">
        <v>313</v>
      </c>
      <c r="FU1" s="16" t="s">
        <v>1115</v>
      </c>
      <c r="FV1" s="16" t="s">
        <v>315</v>
      </c>
      <c r="FW1" s="16" t="s">
        <v>316</v>
      </c>
      <c r="FX1" s="16" t="s">
        <v>317</v>
      </c>
      <c r="FY1" s="16" t="s">
        <v>318</v>
      </c>
      <c r="FZ1" s="16" t="s">
        <v>1045</v>
      </c>
      <c r="GA1" s="16" t="s">
        <v>319</v>
      </c>
      <c r="GB1" s="16" t="s">
        <v>320</v>
      </c>
      <c r="GC1" s="16" t="s">
        <v>321</v>
      </c>
      <c r="GD1" s="16" t="s">
        <v>322</v>
      </c>
      <c r="GE1" s="16" t="s">
        <v>323</v>
      </c>
      <c r="GF1" s="16" t="s">
        <v>324</v>
      </c>
      <c r="GG1" s="16" t="s">
        <v>325</v>
      </c>
      <c r="GH1" s="16" t="s">
        <v>326</v>
      </c>
      <c r="GI1" s="16" t="s">
        <v>327</v>
      </c>
      <c r="GJ1" s="16" t="s">
        <v>314</v>
      </c>
      <c r="GK1" s="16" t="s">
        <v>328</v>
      </c>
      <c r="GL1" s="16" t="s">
        <v>329</v>
      </c>
      <c r="GM1" s="16" t="s">
        <v>330</v>
      </c>
      <c r="GN1" s="16" t="s">
        <v>331</v>
      </c>
      <c r="GO1" s="16" t="s">
        <v>332</v>
      </c>
      <c r="GP1" s="16" t="s">
        <v>333</v>
      </c>
      <c r="GQ1" s="16" t="s">
        <v>334</v>
      </c>
      <c r="GR1" s="16" t="s">
        <v>335</v>
      </c>
      <c r="GS1" s="16" t="s">
        <v>336</v>
      </c>
      <c r="GT1" s="16" t="s">
        <v>337</v>
      </c>
      <c r="GU1" s="16" t="s">
        <v>338</v>
      </c>
      <c r="GV1" s="16" t="s">
        <v>339</v>
      </c>
      <c r="GW1" s="16" t="s">
        <v>340</v>
      </c>
      <c r="GX1" s="16" t="s">
        <v>341</v>
      </c>
      <c r="GY1" s="16" t="s">
        <v>342</v>
      </c>
      <c r="GZ1" s="16" t="s">
        <v>343</v>
      </c>
      <c r="HA1" s="16" t="s">
        <v>344</v>
      </c>
      <c r="HB1" s="16" t="s">
        <v>345</v>
      </c>
      <c r="HC1" s="16" t="s">
        <v>346</v>
      </c>
      <c r="HD1" s="16" t="s">
        <v>347</v>
      </c>
      <c r="HE1" s="16" t="s">
        <v>348</v>
      </c>
      <c r="HF1" s="16" t="s">
        <v>349</v>
      </c>
      <c r="HG1" s="16" t="s">
        <v>350</v>
      </c>
      <c r="HH1" s="16" t="s">
        <v>351</v>
      </c>
      <c r="HI1" s="16" t="s">
        <v>352</v>
      </c>
      <c r="HJ1" s="16" t="s">
        <v>353</v>
      </c>
      <c r="HK1" s="16" t="s">
        <v>354</v>
      </c>
      <c r="HL1" s="16" t="s">
        <v>355</v>
      </c>
      <c r="HM1" s="16" t="s">
        <v>356</v>
      </c>
      <c r="HN1" s="16" t="s">
        <v>357</v>
      </c>
      <c r="HO1" s="16" t="s">
        <v>358</v>
      </c>
      <c r="HP1" s="16" t="s">
        <v>359</v>
      </c>
      <c r="HQ1" s="16" t="s">
        <v>360</v>
      </c>
      <c r="HR1" s="16" t="s">
        <v>361</v>
      </c>
      <c r="HS1" s="16" t="s">
        <v>362</v>
      </c>
      <c r="HT1" s="16" t="s">
        <v>363</v>
      </c>
      <c r="HU1" s="16" t="s">
        <v>364</v>
      </c>
      <c r="HV1" s="16" t="s">
        <v>365</v>
      </c>
      <c r="HW1" s="16" t="s">
        <v>366</v>
      </c>
      <c r="HX1" s="16" t="s">
        <v>367</v>
      </c>
      <c r="HY1" s="16" t="s">
        <v>368</v>
      </c>
      <c r="HZ1" s="16" t="s">
        <v>369</v>
      </c>
      <c r="IA1" s="16" t="s">
        <v>370</v>
      </c>
      <c r="IB1" s="16" t="s">
        <v>371</v>
      </c>
      <c r="IC1" s="16" t="s">
        <v>372</v>
      </c>
      <c r="ID1" s="16" t="s">
        <v>373</v>
      </c>
      <c r="IE1" s="16" t="s">
        <v>374</v>
      </c>
      <c r="IF1" s="16" t="s">
        <v>375</v>
      </c>
      <c r="IG1" s="16" t="s">
        <v>376</v>
      </c>
      <c r="IH1" s="17" t="s">
        <v>377</v>
      </c>
      <c r="II1" s="16" t="s">
        <v>1050</v>
      </c>
      <c r="IJ1" s="16" t="s">
        <v>378</v>
      </c>
      <c r="IK1" s="16" t="s">
        <v>1132</v>
      </c>
      <c r="IL1" s="16" t="s">
        <v>1116</v>
      </c>
      <c r="IM1" s="16" t="s">
        <v>1133</v>
      </c>
      <c r="IN1" s="16" t="s">
        <v>1176</v>
      </c>
      <c r="IO1" s="16" t="s">
        <v>379</v>
      </c>
      <c r="IP1" s="16" t="s">
        <v>380</v>
      </c>
      <c r="IQ1" s="16" t="s">
        <v>381</v>
      </c>
      <c r="IR1" s="16" t="s">
        <v>382</v>
      </c>
      <c r="IS1" s="16" t="s">
        <v>383</v>
      </c>
      <c r="IT1" s="16" t="s">
        <v>384</v>
      </c>
      <c r="IU1" s="16" t="s">
        <v>1046</v>
      </c>
      <c r="IV1" s="16" t="s">
        <v>385</v>
      </c>
      <c r="IW1" s="16" t="s">
        <v>386</v>
      </c>
      <c r="IX1" s="16" t="s">
        <v>387</v>
      </c>
      <c r="IY1" s="16" t="s">
        <v>388</v>
      </c>
      <c r="IZ1" s="16" t="s">
        <v>389</v>
      </c>
      <c r="JA1" s="16" t="s">
        <v>390</v>
      </c>
      <c r="JB1" s="16" t="s">
        <v>391</v>
      </c>
      <c r="JC1" s="16" t="s">
        <v>392</v>
      </c>
      <c r="JD1" s="16" t="s">
        <v>393</v>
      </c>
      <c r="JE1" s="16" t="s">
        <v>1101</v>
      </c>
      <c r="JF1" s="16" t="s">
        <v>1117</v>
      </c>
      <c r="JG1" s="16" t="s">
        <v>394</v>
      </c>
      <c r="JH1" s="16" t="s">
        <v>395</v>
      </c>
      <c r="JI1" s="16" t="s">
        <v>396</v>
      </c>
      <c r="JJ1" s="16" t="s">
        <v>397</v>
      </c>
      <c r="JK1" s="16" t="s">
        <v>398</v>
      </c>
      <c r="JL1" s="16" t="s">
        <v>399</v>
      </c>
      <c r="JM1" s="16" t="s">
        <v>400</v>
      </c>
      <c r="JN1" s="16" t="s">
        <v>401</v>
      </c>
      <c r="JO1" s="16" t="s">
        <v>402</v>
      </c>
      <c r="JP1" s="16" t="s">
        <v>403</v>
      </c>
      <c r="JQ1" s="16" t="s">
        <v>404</v>
      </c>
      <c r="JR1" s="16" t="s">
        <v>405</v>
      </c>
      <c r="JS1" s="16" t="s">
        <v>406</v>
      </c>
      <c r="JT1" s="16" t="s">
        <v>407</v>
      </c>
      <c r="JU1" s="16" t="s">
        <v>408</v>
      </c>
      <c r="JV1" s="16" t="s">
        <v>409</v>
      </c>
      <c r="JW1" s="16" t="s">
        <v>410</v>
      </c>
      <c r="JX1" s="16" t="s">
        <v>411</v>
      </c>
      <c r="JY1" s="16" t="s">
        <v>412</v>
      </c>
      <c r="JZ1" s="16" t="s">
        <v>413</v>
      </c>
      <c r="KA1" s="16" t="s">
        <v>414</v>
      </c>
      <c r="KB1" s="16" t="s">
        <v>415</v>
      </c>
      <c r="KC1" s="16" t="s">
        <v>416</v>
      </c>
      <c r="KD1" s="16" t="s">
        <v>417</v>
      </c>
      <c r="KE1" s="16" t="s">
        <v>418</v>
      </c>
      <c r="KF1" s="16" t="s">
        <v>419</v>
      </c>
      <c r="KG1" s="16" t="s">
        <v>420</v>
      </c>
      <c r="KH1" s="16" t="s">
        <v>421</v>
      </c>
      <c r="KI1" s="16" t="s">
        <v>422</v>
      </c>
      <c r="KJ1" s="16" t="s">
        <v>423</v>
      </c>
      <c r="KK1" s="16" t="s">
        <v>424</v>
      </c>
      <c r="KL1" s="16" t="s">
        <v>425</v>
      </c>
      <c r="KM1" s="16" t="s">
        <v>426</v>
      </c>
      <c r="KN1" s="16" t="s">
        <v>427</v>
      </c>
      <c r="KO1" s="16" t="s">
        <v>428</v>
      </c>
      <c r="KP1" s="16" t="s">
        <v>429</v>
      </c>
      <c r="KQ1" s="16" t="s">
        <v>430</v>
      </c>
      <c r="KR1" s="16" t="s">
        <v>431</v>
      </c>
      <c r="KS1" s="16" t="s">
        <v>432</v>
      </c>
      <c r="KT1" s="16" t="s">
        <v>433</v>
      </c>
      <c r="KU1" s="16" t="s">
        <v>434</v>
      </c>
      <c r="KV1" s="16" t="s">
        <v>435</v>
      </c>
      <c r="KW1" s="16" t="s">
        <v>436</v>
      </c>
      <c r="KX1" s="16" t="s">
        <v>437</v>
      </c>
      <c r="KY1" s="16" t="s">
        <v>438</v>
      </c>
      <c r="KZ1" s="16" t="s">
        <v>439</v>
      </c>
      <c r="LA1" s="16" t="s">
        <v>440</v>
      </c>
      <c r="LB1" s="16" t="s">
        <v>441</v>
      </c>
      <c r="LC1" s="16" t="s">
        <v>442</v>
      </c>
      <c r="LD1" s="17" t="s">
        <v>443</v>
      </c>
      <c r="LE1" s="16" t="s">
        <v>1051</v>
      </c>
      <c r="LF1" s="16" t="s">
        <v>1209</v>
      </c>
      <c r="LG1" s="16" t="s">
        <v>444</v>
      </c>
      <c r="LH1" s="16" t="s">
        <v>1220</v>
      </c>
      <c r="LI1" s="16" t="s">
        <v>1155</v>
      </c>
      <c r="LJ1" s="16" t="s">
        <v>1118</v>
      </c>
      <c r="LK1" s="16" t="s">
        <v>1177</v>
      </c>
      <c r="LL1" s="16" t="s">
        <v>1214</v>
      </c>
      <c r="LM1" s="16" t="s">
        <v>1178</v>
      </c>
      <c r="LN1" s="16" t="s">
        <v>445</v>
      </c>
      <c r="LO1" s="16" t="s">
        <v>446</v>
      </c>
      <c r="LP1" s="16" t="s">
        <v>447</v>
      </c>
      <c r="LQ1" s="16" t="s">
        <v>448</v>
      </c>
      <c r="LR1" s="16" t="s">
        <v>1047</v>
      </c>
      <c r="LS1" s="16" t="s">
        <v>449</v>
      </c>
      <c r="LT1" s="16" t="s">
        <v>450</v>
      </c>
      <c r="LU1" s="16" t="s">
        <v>451</v>
      </c>
      <c r="LV1" s="16" t="s">
        <v>452</v>
      </c>
      <c r="LW1" s="16" t="s">
        <v>453</v>
      </c>
      <c r="LX1" s="16" t="s">
        <v>454</v>
      </c>
      <c r="LY1" s="16" t="s">
        <v>455</v>
      </c>
      <c r="LZ1" s="16" t="s">
        <v>456</v>
      </c>
      <c r="MA1" s="16" t="s">
        <v>457</v>
      </c>
      <c r="MB1" s="16" t="s">
        <v>1102</v>
      </c>
      <c r="MC1" s="16" t="s">
        <v>458</v>
      </c>
      <c r="MD1" s="16" t="s">
        <v>459</v>
      </c>
      <c r="ME1" s="16" t="s">
        <v>460</v>
      </c>
      <c r="MF1" s="16" t="s">
        <v>461</v>
      </c>
      <c r="MG1" s="16" t="s">
        <v>462</v>
      </c>
      <c r="MH1" s="16" t="s">
        <v>463</v>
      </c>
      <c r="MI1" s="16" t="s">
        <v>464</v>
      </c>
      <c r="MJ1" s="16" t="s">
        <v>465</v>
      </c>
      <c r="MK1" s="16" t="s">
        <v>466</v>
      </c>
      <c r="ML1" s="16" t="s">
        <v>467</v>
      </c>
      <c r="MM1" s="16" t="s">
        <v>468</v>
      </c>
      <c r="MN1" s="16" t="s">
        <v>469</v>
      </c>
      <c r="MO1" s="16" t="s">
        <v>470</v>
      </c>
      <c r="MP1" s="16" t="s">
        <v>471</v>
      </c>
      <c r="MQ1" s="16" t="s">
        <v>472</v>
      </c>
      <c r="MR1" s="16" t="s">
        <v>473</v>
      </c>
      <c r="MS1" s="16" t="s">
        <v>474</v>
      </c>
      <c r="MT1" s="16" t="s">
        <v>475</v>
      </c>
      <c r="MU1" s="16" t="s">
        <v>476</v>
      </c>
      <c r="MV1" s="16" t="s">
        <v>477</v>
      </c>
      <c r="MW1" s="16" t="s">
        <v>478</v>
      </c>
      <c r="MX1" s="16" t="s">
        <v>479</v>
      </c>
      <c r="MY1" s="16" t="s">
        <v>480</v>
      </c>
      <c r="MZ1" s="16" t="s">
        <v>481</v>
      </c>
      <c r="NA1" s="16" t="s">
        <v>482</v>
      </c>
      <c r="NB1" s="16" t="s">
        <v>483</v>
      </c>
      <c r="NC1" s="16" t="s">
        <v>484</v>
      </c>
      <c r="ND1" s="16" t="s">
        <v>485</v>
      </c>
      <c r="NE1" s="16" t="s">
        <v>486</v>
      </c>
      <c r="NF1" s="16" t="s">
        <v>487</v>
      </c>
      <c r="NG1" s="16" t="s">
        <v>488</v>
      </c>
      <c r="NH1" s="16" t="s">
        <v>489</v>
      </c>
      <c r="NI1" s="16" t="s">
        <v>490</v>
      </c>
      <c r="NJ1" s="16" t="s">
        <v>491</v>
      </c>
      <c r="NK1" s="16" t="s">
        <v>492</v>
      </c>
      <c r="NL1" s="16" t="s">
        <v>493</v>
      </c>
      <c r="NM1" s="16" t="s">
        <v>494</v>
      </c>
      <c r="NN1" s="16" t="s">
        <v>495</v>
      </c>
      <c r="NO1" s="16" t="s">
        <v>496</v>
      </c>
      <c r="NP1" s="16" t="s">
        <v>497</v>
      </c>
      <c r="NQ1" s="16" t="s">
        <v>498</v>
      </c>
      <c r="NR1" s="16" t="s">
        <v>499</v>
      </c>
      <c r="NS1" s="16" t="s">
        <v>500</v>
      </c>
      <c r="NT1" s="16" t="s">
        <v>501</v>
      </c>
      <c r="NU1" s="16" t="s">
        <v>502</v>
      </c>
      <c r="NV1" s="16" t="s">
        <v>503</v>
      </c>
      <c r="NW1" s="16" t="s">
        <v>504</v>
      </c>
      <c r="NX1" s="16" t="s">
        <v>505</v>
      </c>
      <c r="NY1" s="16" t="s">
        <v>506</v>
      </c>
      <c r="NZ1" s="16" t="s">
        <v>507</v>
      </c>
      <c r="OA1" s="17" t="s">
        <v>508</v>
      </c>
      <c r="OB1" s="18" t="s">
        <v>1043</v>
      </c>
      <c r="OC1" s="18" t="s">
        <v>1210</v>
      </c>
      <c r="OD1" s="16" t="s">
        <v>509</v>
      </c>
      <c r="OE1" s="16" t="s">
        <v>1138</v>
      </c>
      <c r="OF1" s="16" t="s">
        <v>1139</v>
      </c>
      <c r="OG1" s="16" t="s">
        <v>510</v>
      </c>
      <c r="OH1" s="16" t="s">
        <v>511</v>
      </c>
      <c r="OI1" s="16" t="s">
        <v>512</v>
      </c>
      <c r="OJ1" s="16" t="s">
        <v>1119</v>
      </c>
      <c r="OK1" s="16" t="s">
        <v>514</v>
      </c>
      <c r="OL1" s="16" t="s">
        <v>515</v>
      </c>
      <c r="OM1" s="16" t="s">
        <v>516</v>
      </c>
      <c r="ON1" s="16" t="s">
        <v>1140</v>
      </c>
      <c r="OO1" s="16" t="s">
        <v>518</v>
      </c>
      <c r="OP1" s="16" t="s">
        <v>1120</v>
      </c>
      <c r="OQ1" s="16" t="s">
        <v>520</v>
      </c>
      <c r="OR1" s="16" t="s">
        <v>521</v>
      </c>
      <c r="OS1" s="16" t="s">
        <v>522</v>
      </c>
      <c r="OT1" s="16" t="s">
        <v>523</v>
      </c>
      <c r="OU1" s="16" t="s">
        <v>524</v>
      </c>
      <c r="OV1" s="16" t="s">
        <v>525</v>
      </c>
      <c r="OW1" s="16" t="s">
        <v>526</v>
      </c>
      <c r="OX1" s="16" t="s">
        <v>527</v>
      </c>
      <c r="OY1" s="16" t="s">
        <v>528</v>
      </c>
      <c r="OZ1" s="16" t="s">
        <v>529</v>
      </c>
      <c r="PA1" s="16" t="s">
        <v>530</v>
      </c>
      <c r="PB1" s="16" t="s">
        <v>531</v>
      </c>
      <c r="PC1" s="16" t="s">
        <v>532</v>
      </c>
      <c r="PD1" s="16" t="s">
        <v>533</v>
      </c>
      <c r="PE1" s="16" t="s">
        <v>534</v>
      </c>
      <c r="PF1" s="16" t="s">
        <v>535</v>
      </c>
      <c r="PG1" s="16" t="s">
        <v>536</v>
      </c>
      <c r="PH1" s="16" t="s">
        <v>537</v>
      </c>
      <c r="PI1" s="16" t="s">
        <v>538</v>
      </c>
      <c r="PJ1" s="16" t="s">
        <v>539</v>
      </c>
      <c r="PK1" s="16" t="s">
        <v>540</v>
      </c>
      <c r="PL1" s="16" t="s">
        <v>541</v>
      </c>
      <c r="PM1" s="16" t="s">
        <v>542</v>
      </c>
      <c r="PN1" s="16" t="s">
        <v>543</v>
      </c>
      <c r="PO1" s="16" t="s">
        <v>544</v>
      </c>
      <c r="PP1" s="16" t="s">
        <v>545</v>
      </c>
      <c r="PQ1" s="16" t="s">
        <v>546</v>
      </c>
      <c r="PR1" s="16" t="s">
        <v>547</v>
      </c>
      <c r="PS1" s="16" t="s">
        <v>548</v>
      </c>
      <c r="PT1" s="16" t="s">
        <v>549</v>
      </c>
      <c r="PU1" s="16" t="s">
        <v>550</v>
      </c>
      <c r="PV1" s="17" t="s">
        <v>551</v>
      </c>
      <c r="PW1" s="16" t="s">
        <v>1052</v>
      </c>
      <c r="PX1" s="16" t="s">
        <v>552</v>
      </c>
      <c r="PY1" s="16" t="s">
        <v>553</v>
      </c>
      <c r="PZ1" s="16" t="s">
        <v>1044</v>
      </c>
      <c r="QA1" s="16" t="s">
        <v>1153</v>
      </c>
      <c r="QB1" s="16" t="s">
        <v>1048</v>
      </c>
      <c r="QC1" s="16" t="s">
        <v>1152</v>
      </c>
      <c r="QD1" s="16" t="s">
        <v>554</v>
      </c>
      <c r="QE1" s="16" t="s">
        <v>1107</v>
      </c>
      <c r="QF1" s="16" t="s">
        <v>1213</v>
      </c>
      <c r="QG1" s="16" t="s">
        <v>1108</v>
      </c>
      <c r="QH1" s="16" t="s">
        <v>555</v>
      </c>
      <c r="QI1" s="16" t="s">
        <v>556</v>
      </c>
      <c r="QJ1" s="17" t="s">
        <v>557</v>
      </c>
      <c r="QK1" s="25" t="s">
        <v>1097</v>
      </c>
      <c r="QL1" s="25" t="s">
        <v>1160</v>
      </c>
      <c r="QM1" s="25" t="s">
        <v>1161</v>
      </c>
      <c r="QN1" s="25" t="s">
        <v>1162</v>
      </c>
      <c r="QO1" s="25" t="s">
        <v>1163</v>
      </c>
      <c r="QP1" s="25" t="s">
        <v>1098</v>
      </c>
      <c r="QQ1" s="25" t="s">
        <v>1164</v>
      </c>
      <c r="QR1" s="25" t="s">
        <v>1165</v>
      </c>
      <c r="QS1" s="25" t="s">
        <v>1166</v>
      </c>
      <c r="QT1" s="25" t="s">
        <v>1167</v>
      </c>
      <c r="QU1" s="25" t="s">
        <v>1099</v>
      </c>
      <c r="QV1" s="16" t="s">
        <v>1186</v>
      </c>
      <c r="QW1" s="16" t="s">
        <v>559</v>
      </c>
      <c r="QX1" s="16" t="s">
        <v>560</v>
      </c>
      <c r="QY1" s="16" t="s">
        <v>559</v>
      </c>
      <c r="QZ1" s="16" t="s">
        <v>1188</v>
      </c>
      <c r="RA1" s="16" t="s">
        <v>1189</v>
      </c>
      <c r="RB1" s="16" t="s">
        <v>1187</v>
      </c>
      <c r="RC1" s="16" t="s">
        <v>562</v>
      </c>
      <c r="RD1" s="16" t="s">
        <v>563</v>
      </c>
      <c r="RE1" s="16" t="s">
        <v>564</v>
      </c>
      <c r="RF1" s="16" t="s">
        <v>565</v>
      </c>
      <c r="RG1" s="16" t="s">
        <v>566</v>
      </c>
      <c r="RH1" s="16" t="s">
        <v>567</v>
      </c>
      <c r="RI1" s="16" t="s">
        <v>568</v>
      </c>
      <c r="RJ1" s="16" t="s">
        <v>569</v>
      </c>
      <c r="RK1" s="16" t="s">
        <v>570</v>
      </c>
      <c r="RL1" s="16" t="s">
        <v>571</v>
      </c>
      <c r="RM1" s="16" t="s">
        <v>572</v>
      </c>
      <c r="RN1" s="16" t="s">
        <v>573</v>
      </c>
      <c r="RO1" s="16" t="s">
        <v>574</v>
      </c>
      <c r="RP1" s="16" t="s">
        <v>575</v>
      </c>
      <c r="RQ1" s="16" t="s">
        <v>576</v>
      </c>
      <c r="RR1" s="16" t="s">
        <v>577</v>
      </c>
      <c r="RS1" s="16" t="s">
        <v>578</v>
      </c>
      <c r="RT1" s="16" t="s">
        <v>579</v>
      </c>
      <c r="RU1" s="16" t="s">
        <v>580</v>
      </c>
      <c r="RV1" s="16" t="s">
        <v>581</v>
      </c>
      <c r="RW1" s="16" t="s">
        <v>582</v>
      </c>
      <c r="RX1" s="16" t="s">
        <v>583</v>
      </c>
      <c r="RY1" s="16" t="s">
        <v>584</v>
      </c>
      <c r="RZ1" s="16" t="s">
        <v>585</v>
      </c>
      <c r="SA1" s="16" t="s">
        <v>586</v>
      </c>
      <c r="SB1" s="16" t="s">
        <v>587</v>
      </c>
      <c r="SC1" s="16" t="s">
        <v>588</v>
      </c>
      <c r="SD1" s="16" t="s">
        <v>589</v>
      </c>
      <c r="SE1" s="16" t="s">
        <v>590</v>
      </c>
      <c r="SF1" s="16" t="s">
        <v>591</v>
      </c>
      <c r="SG1" s="16" t="s">
        <v>592</v>
      </c>
      <c r="SH1" s="16" t="s">
        <v>593</v>
      </c>
      <c r="SI1" s="16" t="s">
        <v>594</v>
      </c>
      <c r="SJ1" s="16" t="s">
        <v>595</v>
      </c>
      <c r="SK1" s="16" t="s">
        <v>596</v>
      </c>
      <c r="SL1" s="16" t="s">
        <v>597</v>
      </c>
      <c r="SM1" s="16" t="s">
        <v>598</v>
      </c>
      <c r="SN1" s="16" t="s">
        <v>599</v>
      </c>
      <c r="SO1" s="16" t="s">
        <v>600</v>
      </c>
      <c r="SP1" s="16" t="s">
        <v>601</v>
      </c>
      <c r="SQ1" s="16" t="s">
        <v>602</v>
      </c>
      <c r="SR1" s="16" t="s">
        <v>603</v>
      </c>
      <c r="SS1" s="16" t="s">
        <v>604</v>
      </c>
      <c r="ST1" s="16" t="s">
        <v>605</v>
      </c>
      <c r="SU1" s="16" t="s">
        <v>606</v>
      </c>
      <c r="SV1" s="16" t="s">
        <v>607</v>
      </c>
      <c r="SW1" s="16" t="s">
        <v>608</v>
      </c>
      <c r="SX1" s="16" t="s">
        <v>609</v>
      </c>
      <c r="SY1" s="16" t="s">
        <v>610</v>
      </c>
      <c r="SZ1" s="16" t="s">
        <v>611</v>
      </c>
      <c r="TA1" s="16" t="s">
        <v>612</v>
      </c>
      <c r="TB1" s="16" t="s">
        <v>613</v>
      </c>
      <c r="TC1" s="16" t="s">
        <v>614</v>
      </c>
      <c r="TD1" s="17" t="s">
        <v>615</v>
      </c>
      <c r="TE1" s="25" t="s">
        <v>1063</v>
      </c>
      <c r="TF1" s="25" t="s">
        <v>1065</v>
      </c>
      <c r="TG1" s="25" t="s">
        <v>1169</v>
      </c>
      <c r="TH1" s="25" t="s">
        <v>1170</v>
      </c>
      <c r="TI1" s="16" t="s">
        <v>616</v>
      </c>
      <c r="TJ1" s="16" t="s">
        <v>617</v>
      </c>
      <c r="TK1" s="16" t="s">
        <v>618</v>
      </c>
      <c r="TL1" s="16" t="s">
        <v>619</v>
      </c>
      <c r="TM1" s="16" t="s">
        <v>620</v>
      </c>
      <c r="TN1" s="16" t="s">
        <v>621</v>
      </c>
      <c r="TO1" s="16" t="s">
        <v>622</v>
      </c>
      <c r="TP1" s="16" t="s">
        <v>623</v>
      </c>
      <c r="TQ1" s="16" t="s">
        <v>624</v>
      </c>
      <c r="TR1" s="16" t="s">
        <v>625</v>
      </c>
      <c r="TS1" s="16" t="s">
        <v>626</v>
      </c>
      <c r="TT1" s="16" t="s">
        <v>627</v>
      </c>
      <c r="TU1" s="16" t="s">
        <v>628</v>
      </c>
      <c r="TV1" s="16" t="s">
        <v>629</v>
      </c>
      <c r="TW1" s="16" t="s">
        <v>630</v>
      </c>
      <c r="TX1" s="16" t="s">
        <v>631</v>
      </c>
      <c r="TY1" s="17" t="s">
        <v>632</v>
      </c>
      <c r="TZ1" s="16" t="s">
        <v>633</v>
      </c>
      <c r="UA1" s="16" t="s">
        <v>634</v>
      </c>
      <c r="UB1" s="16" t="s">
        <v>635</v>
      </c>
      <c r="UC1" s="16" t="s">
        <v>636</v>
      </c>
      <c r="UD1" s="16" t="s">
        <v>637</v>
      </c>
      <c r="UE1" s="16" t="s">
        <v>638</v>
      </c>
      <c r="UF1" s="16" t="s">
        <v>639</v>
      </c>
      <c r="UG1" s="16" t="s">
        <v>640</v>
      </c>
      <c r="UH1" s="16" t="s">
        <v>641</v>
      </c>
      <c r="UI1" s="16" t="s">
        <v>642</v>
      </c>
      <c r="UJ1" s="16" t="s">
        <v>1233</v>
      </c>
      <c r="UK1" s="16" t="s">
        <v>644</v>
      </c>
      <c r="UL1" s="16" t="s">
        <v>645</v>
      </c>
      <c r="UM1" s="16" t="s">
        <v>646</v>
      </c>
      <c r="UN1" s="16" t="s">
        <v>1181</v>
      </c>
      <c r="UO1" s="16" t="s">
        <v>1182</v>
      </c>
      <c r="UP1" s="16" t="s">
        <v>647</v>
      </c>
      <c r="UQ1" s="16" t="s">
        <v>648</v>
      </c>
      <c r="UR1" s="16" t="s">
        <v>649</v>
      </c>
      <c r="US1" s="16" t="s">
        <v>650</v>
      </c>
      <c r="UT1" s="16" t="s">
        <v>651</v>
      </c>
      <c r="UU1" s="16" t="s">
        <v>652</v>
      </c>
      <c r="UV1" s="16" t="s">
        <v>653</v>
      </c>
      <c r="UW1" s="16" t="s">
        <v>654</v>
      </c>
      <c r="UX1" s="16" t="s">
        <v>655</v>
      </c>
      <c r="UY1" s="16" t="s">
        <v>656</v>
      </c>
      <c r="UZ1" s="16" t="s">
        <v>657</v>
      </c>
      <c r="VA1" s="16" t="s">
        <v>658</v>
      </c>
      <c r="VB1" s="16" t="s">
        <v>659</v>
      </c>
      <c r="VC1" s="16" t="s">
        <v>660</v>
      </c>
      <c r="VD1" s="16" t="s">
        <v>661</v>
      </c>
      <c r="VE1" s="16" t="s">
        <v>662</v>
      </c>
      <c r="VF1" s="16" t="s">
        <v>663</v>
      </c>
      <c r="VG1" s="16" t="s">
        <v>664</v>
      </c>
      <c r="VH1" s="16" t="s">
        <v>665</v>
      </c>
      <c r="VI1" s="16" t="s">
        <v>666</v>
      </c>
      <c r="VJ1" s="16" t="s">
        <v>667</v>
      </c>
      <c r="VK1" s="16" t="s">
        <v>668</v>
      </c>
      <c r="VL1" s="16" t="s">
        <v>669</v>
      </c>
      <c r="VM1" s="16" t="s">
        <v>670</v>
      </c>
      <c r="VN1" s="16" t="s">
        <v>671</v>
      </c>
      <c r="VO1" s="16" t="s">
        <v>672</v>
      </c>
      <c r="VP1" s="16" t="s">
        <v>673</v>
      </c>
      <c r="VQ1" s="16" t="s">
        <v>674</v>
      </c>
      <c r="VR1" s="16" t="s">
        <v>675</v>
      </c>
      <c r="VS1" s="16" t="s">
        <v>676</v>
      </c>
      <c r="VT1" s="16" t="s">
        <v>677</v>
      </c>
      <c r="VU1" s="16" t="s">
        <v>678</v>
      </c>
      <c r="VV1" s="16" t="s">
        <v>679</v>
      </c>
      <c r="VW1" s="16" t="s">
        <v>680</v>
      </c>
      <c r="VX1" s="16" t="s">
        <v>681</v>
      </c>
      <c r="VY1" s="16" t="s">
        <v>682</v>
      </c>
      <c r="VZ1" s="16" t="s">
        <v>683</v>
      </c>
      <c r="WA1" s="16" t="s">
        <v>684</v>
      </c>
      <c r="WB1" s="16" t="s">
        <v>685</v>
      </c>
      <c r="WC1" s="16" t="s">
        <v>686</v>
      </c>
      <c r="WD1" s="16" t="s">
        <v>687</v>
      </c>
      <c r="WE1" s="16" t="s">
        <v>688</v>
      </c>
      <c r="WF1" s="16" t="s">
        <v>689</v>
      </c>
      <c r="WG1" s="16" t="s">
        <v>690</v>
      </c>
      <c r="WH1" s="16" t="s">
        <v>691</v>
      </c>
      <c r="WI1" s="16" t="s">
        <v>692</v>
      </c>
      <c r="WJ1" s="16" t="s">
        <v>693</v>
      </c>
      <c r="WK1" s="17" t="s">
        <v>694</v>
      </c>
      <c r="WL1" s="16" t="s">
        <v>1091</v>
      </c>
      <c r="WM1" s="16" t="s">
        <v>695</v>
      </c>
      <c r="WN1" s="16" t="s">
        <v>696</v>
      </c>
      <c r="WO1" s="16" t="s">
        <v>697</v>
      </c>
      <c r="WP1" s="16" t="s">
        <v>698</v>
      </c>
      <c r="WQ1" s="16" t="s">
        <v>699</v>
      </c>
      <c r="WR1" s="16" t="s">
        <v>700</v>
      </c>
      <c r="WS1" s="16" t="s">
        <v>701</v>
      </c>
      <c r="WT1" s="16" t="s">
        <v>702</v>
      </c>
      <c r="WU1" s="16" t="s">
        <v>703</v>
      </c>
      <c r="WV1" s="16" t="s">
        <v>704</v>
      </c>
      <c r="WW1" s="16" t="s">
        <v>703</v>
      </c>
      <c r="WX1" s="16" t="s">
        <v>705</v>
      </c>
      <c r="WY1" s="16" t="s">
        <v>706</v>
      </c>
      <c r="WZ1" s="16" t="s">
        <v>707</v>
      </c>
      <c r="XA1" s="16" t="s">
        <v>708</v>
      </c>
      <c r="XB1" s="16" t="s">
        <v>709</v>
      </c>
      <c r="XC1" s="16" t="s">
        <v>710</v>
      </c>
      <c r="XD1" s="16" t="s">
        <v>711</v>
      </c>
      <c r="XE1" s="16" t="s">
        <v>712</v>
      </c>
      <c r="XF1" s="16" t="s">
        <v>713</v>
      </c>
      <c r="XG1" s="16" t="s">
        <v>714</v>
      </c>
      <c r="XH1" s="16" t="s">
        <v>715</v>
      </c>
      <c r="XI1" s="16" t="s">
        <v>716</v>
      </c>
      <c r="XJ1" s="16" t="s">
        <v>717</v>
      </c>
      <c r="XK1" s="16" t="s">
        <v>718</v>
      </c>
      <c r="XL1" s="16" t="s">
        <v>719</v>
      </c>
      <c r="XM1" s="16" t="s">
        <v>720</v>
      </c>
      <c r="XN1" s="16" t="s">
        <v>721</v>
      </c>
      <c r="XO1" s="16" t="s">
        <v>722</v>
      </c>
      <c r="XP1" s="16" t="s">
        <v>723</v>
      </c>
      <c r="XQ1" s="17" t="s">
        <v>724</v>
      </c>
      <c r="XR1" s="16" t="s">
        <v>1064</v>
      </c>
      <c r="XS1" s="16" t="s">
        <v>1066</v>
      </c>
      <c r="XT1" s="16" t="s">
        <v>1128</v>
      </c>
      <c r="XU1" s="16" t="s">
        <v>1110</v>
      </c>
      <c r="XV1" s="16" t="s">
        <v>1129</v>
      </c>
      <c r="XW1" s="16" t="s">
        <v>1136</v>
      </c>
      <c r="XX1" s="16" t="s">
        <v>726</v>
      </c>
      <c r="XY1" s="16" t="s">
        <v>727</v>
      </c>
      <c r="XZ1" s="16" t="s">
        <v>1111</v>
      </c>
      <c r="YA1" s="16" t="s">
        <v>729</v>
      </c>
      <c r="YB1" s="16" t="s">
        <v>730</v>
      </c>
      <c r="YC1" s="16" t="s">
        <v>731</v>
      </c>
      <c r="YD1" s="16" t="s">
        <v>732</v>
      </c>
      <c r="YE1" s="16" t="s">
        <v>1137</v>
      </c>
      <c r="YF1" s="16" t="s">
        <v>1112</v>
      </c>
      <c r="YG1" s="16" t="s">
        <v>1113</v>
      </c>
      <c r="YH1" s="16" t="s">
        <v>735</v>
      </c>
      <c r="YI1" s="16" t="s">
        <v>736</v>
      </c>
      <c r="YJ1" s="16" t="s">
        <v>737</v>
      </c>
      <c r="YK1" s="16" t="s">
        <v>738</v>
      </c>
      <c r="YL1" s="16" t="s">
        <v>739</v>
      </c>
      <c r="YM1" s="16" t="s">
        <v>740</v>
      </c>
      <c r="YN1" s="16" t="s">
        <v>741</v>
      </c>
      <c r="YO1" s="16" t="s">
        <v>742</v>
      </c>
      <c r="YP1" s="16" t="s">
        <v>743</v>
      </c>
      <c r="YQ1" s="16" t="s">
        <v>744</v>
      </c>
      <c r="YR1" s="16" t="s">
        <v>745</v>
      </c>
      <c r="YS1" s="16" t="s">
        <v>746</v>
      </c>
      <c r="YT1" s="16" t="s">
        <v>747</v>
      </c>
      <c r="YU1" s="16" t="s">
        <v>748</v>
      </c>
      <c r="YV1" s="16" t="s">
        <v>749</v>
      </c>
      <c r="YW1" s="16" t="s">
        <v>750</v>
      </c>
      <c r="YX1" s="16" t="s">
        <v>751</v>
      </c>
      <c r="YY1" s="16" t="s">
        <v>752</v>
      </c>
      <c r="YZ1" s="17" t="s">
        <v>753</v>
      </c>
      <c r="ZA1" s="16" t="s">
        <v>754</v>
      </c>
      <c r="ZB1" s="16" t="s">
        <v>755</v>
      </c>
      <c r="ZC1" s="16" t="s">
        <v>756</v>
      </c>
      <c r="ZD1" s="16" t="s">
        <v>757</v>
      </c>
      <c r="ZE1" s="16" t="s">
        <v>758</v>
      </c>
      <c r="ZF1" s="16" t="s">
        <v>759</v>
      </c>
      <c r="ZG1" s="16" t="s">
        <v>760</v>
      </c>
      <c r="ZH1" s="16" t="s">
        <v>761</v>
      </c>
      <c r="ZI1" s="16" t="s">
        <v>762</v>
      </c>
      <c r="ZJ1" s="16" t="s">
        <v>763</v>
      </c>
      <c r="ZK1" s="16" t="s">
        <v>764</v>
      </c>
      <c r="ZL1" s="16" t="s">
        <v>765</v>
      </c>
      <c r="ZM1" s="16" t="s">
        <v>766</v>
      </c>
      <c r="ZN1" s="16" t="s">
        <v>767</v>
      </c>
      <c r="ZO1" s="16" t="s">
        <v>768</v>
      </c>
      <c r="ZP1" s="16" t="s">
        <v>769</v>
      </c>
      <c r="ZQ1" s="16" t="s">
        <v>770</v>
      </c>
      <c r="ZR1" s="16" t="s">
        <v>771</v>
      </c>
      <c r="ZS1" s="16" t="s">
        <v>772</v>
      </c>
      <c r="ZT1" s="16" t="s">
        <v>773</v>
      </c>
      <c r="ZU1" s="17" t="s">
        <v>774</v>
      </c>
      <c r="ZV1" s="16" t="s">
        <v>1092</v>
      </c>
      <c r="ZW1" s="16" t="s">
        <v>775</v>
      </c>
      <c r="ZX1" s="16" t="s">
        <v>776</v>
      </c>
      <c r="ZY1" s="16" t="s">
        <v>1183</v>
      </c>
      <c r="ZZ1" s="16" t="s">
        <v>1185</v>
      </c>
      <c r="AAA1" s="16" t="s">
        <v>1184</v>
      </c>
      <c r="AAB1" s="16" t="s">
        <v>778</v>
      </c>
      <c r="AAC1" s="16" t="s">
        <v>779</v>
      </c>
      <c r="AAD1" s="16" t="s">
        <v>780</v>
      </c>
      <c r="AAE1" s="16" t="s">
        <v>781</v>
      </c>
      <c r="AAF1" s="16" t="s">
        <v>782</v>
      </c>
      <c r="AAG1" s="16" t="s">
        <v>783</v>
      </c>
      <c r="AAH1" s="16" t="s">
        <v>784</v>
      </c>
      <c r="AAI1" s="16" t="s">
        <v>785</v>
      </c>
      <c r="AAJ1" s="16" t="s">
        <v>786</v>
      </c>
      <c r="AAK1" s="16" t="s">
        <v>787</v>
      </c>
      <c r="AAL1" s="16" t="s">
        <v>788</v>
      </c>
      <c r="AAM1" s="16" t="s">
        <v>789</v>
      </c>
      <c r="AAN1" s="16" t="s">
        <v>790</v>
      </c>
      <c r="AAO1" s="16" t="s">
        <v>791</v>
      </c>
      <c r="AAP1" s="16" t="s">
        <v>792</v>
      </c>
      <c r="AAQ1" s="16" t="s">
        <v>793</v>
      </c>
      <c r="AAR1" s="16" t="s">
        <v>794</v>
      </c>
      <c r="AAS1" s="16" t="s">
        <v>795</v>
      </c>
      <c r="AAT1" s="17" t="s">
        <v>796</v>
      </c>
      <c r="AAU1" s="16" t="s">
        <v>797</v>
      </c>
      <c r="AAV1" s="16" t="s">
        <v>798</v>
      </c>
      <c r="AAW1" s="16" t="s">
        <v>799</v>
      </c>
      <c r="AAX1" s="16" t="s">
        <v>800</v>
      </c>
      <c r="AAY1" s="16" t="s">
        <v>801</v>
      </c>
      <c r="AAZ1" s="16" t="s">
        <v>802</v>
      </c>
      <c r="ABA1" s="16" t="s">
        <v>803</v>
      </c>
      <c r="ABB1" s="16" t="s">
        <v>804</v>
      </c>
      <c r="ABC1" s="16" t="s">
        <v>805</v>
      </c>
      <c r="ABD1" s="16" t="s">
        <v>806</v>
      </c>
      <c r="ABE1" s="16" t="s">
        <v>807</v>
      </c>
      <c r="ABF1" s="16" t="s">
        <v>808</v>
      </c>
      <c r="ABG1" s="16" t="s">
        <v>809</v>
      </c>
      <c r="ABH1" s="16" t="s">
        <v>810</v>
      </c>
      <c r="ABI1" s="16" t="s">
        <v>811</v>
      </c>
      <c r="ABJ1" s="16" t="s">
        <v>1103</v>
      </c>
      <c r="ABK1" s="16" t="s">
        <v>812</v>
      </c>
      <c r="ABL1" s="16" t="s">
        <v>813</v>
      </c>
      <c r="ABM1" s="16" t="s">
        <v>814</v>
      </c>
      <c r="ABN1" s="16" t="s">
        <v>815</v>
      </c>
      <c r="ABO1" s="17" t="s">
        <v>816</v>
      </c>
      <c r="ABP1" s="18" t="s">
        <v>1104</v>
      </c>
      <c r="ABQ1" s="18" t="s">
        <v>1105</v>
      </c>
      <c r="ABR1" s="16" t="s">
        <v>1062</v>
      </c>
      <c r="ABS1" s="16" t="s">
        <v>817</v>
      </c>
      <c r="ABT1" s="16" t="s">
        <v>1126</v>
      </c>
      <c r="ABU1" s="16" t="s">
        <v>1127</v>
      </c>
      <c r="ABV1" s="16" t="s">
        <v>819</v>
      </c>
      <c r="ABW1" s="16" t="s">
        <v>820</v>
      </c>
      <c r="ABX1" s="16" t="s">
        <v>821</v>
      </c>
      <c r="ABY1" s="16" t="s">
        <v>822</v>
      </c>
      <c r="ABZ1" s="16" t="s">
        <v>823</v>
      </c>
      <c r="ACA1" s="16" t="s">
        <v>824</v>
      </c>
      <c r="ACB1" s="16" t="s">
        <v>825</v>
      </c>
      <c r="ACC1" s="16" t="s">
        <v>826</v>
      </c>
      <c r="ACD1" s="16" t="s">
        <v>827</v>
      </c>
      <c r="ACE1" s="16" t="s">
        <v>828</v>
      </c>
      <c r="ACF1" s="16" t="s">
        <v>829</v>
      </c>
      <c r="ACG1" s="16" t="s">
        <v>830</v>
      </c>
      <c r="ACH1" s="16" t="s">
        <v>831</v>
      </c>
      <c r="ACI1" s="16" t="s">
        <v>832</v>
      </c>
      <c r="ACJ1" s="16" t="s">
        <v>833</v>
      </c>
      <c r="ACK1" s="16" t="s">
        <v>834</v>
      </c>
      <c r="ACL1" s="16" t="s">
        <v>835</v>
      </c>
      <c r="ACM1" s="17" t="s">
        <v>836</v>
      </c>
      <c r="ACN1" s="16" t="s">
        <v>837</v>
      </c>
      <c r="ACO1" s="16" t="s">
        <v>838</v>
      </c>
      <c r="ACP1" s="16" t="s">
        <v>839</v>
      </c>
      <c r="ACQ1" s="16" t="s">
        <v>840</v>
      </c>
      <c r="ACR1" s="16" t="s">
        <v>841</v>
      </c>
      <c r="ACS1" s="17" t="s">
        <v>842</v>
      </c>
      <c r="ACT1" s="16" t="s">
        <v>1053</v>
      </c>
      <c r="ACU1" s="16" t="s">
        <v>1211</v>
      </c>
      <c r="ACV1" s="16" t="s">
        <v>843</v>
      </c>
      <c r="ACW1" s="16" t="s">
        <v>844</v>
      </c>
      <c r="ACX1" s="16" t="s">
        <v>1121</v>
      </c>
      <c r="ACY1" s="16" t="s">
        <v>1122</v>
      </c>
      <c r="ACZ1" s="16" t="s">
        <v>846</v>
      </c>
      <c r="ADA1" s="16" t="s">
        <v>847</v>
      </c>
      <c r="ADB1" s="16" t="s">
        <v>848</v>
      </c>
      <c r="ADC1" s="16" t="s">
        <v>1123</v>
      </c>
      <c r="ADD1" s="16" t="s">
        <v>850</v>
      </c>
      <c r="ADE1" s="16" t="s">
        <v>1124</v>
      </c>
      <c r="ADF1" s="16" t="s">
        <v>852</v>
      </c>
      <c r="ADG1" s="16" t="s">
        <v>853</v>
      </c>
      <c r="ADH1" s="16" t="s">
        <v>854</v>
      </c>
      <c r="ADI1" s="16" t="s">
        <v>855</v>
      </c>
      <c r="ADJ1" s="16" t="s">
        <v>856</v>
      </c>
      <c r="ADK1" s="16" t="s">
        <v>857</v>
      </c>
      <c r="ADL1" s="16" t="s">
        <v>858</v>
      </c>
      <c r="ADM1" s="16" t="s">
        <v>859</v>
      </c>
      <c r="ADN1" s="16" t="s">
        <v>860</v>
      </c>
      <c r="ADO1" s="16" t="s">
        <v>861</v>
      </c>
      <c r="ADP1" s="16" t="s">
        <v>862</v>
      </c>
      <c r="ADQ1" s="16" t="s">
        <v>863</v>
      </c>
      <c r="ADR1" s="17" t="s">
        <v>864</v>
      </c>
      <c r="ADS1" s="18" t="s">
        <v>1042</v>
      </c>
      <c r="ADT1" s="16" t="s">
        <v>1088</v>
      </c>
      <c r="ADU1" s="16" t="s">
        <v>866</v>
      </c>
      <c r="ADV1" s="16" t="s">
        <v>867</v>
      </c>
      <c r="ADW1" s="16" t="s">
        <v>1109</v>
      </c>
      <c r="ADX1" s="16" t="s">
        <v>868</v>
      </c>
      <c r="ADY1" s="16" t="s">
        <v>869</v>
      </c>
      <c r="ADZ1" s="16" t="s">
        <v>870</v>
      </c>
      <c r="AEA1" s="16" t="s">
        <v>871</v>
      </c>
      <c r="AEB1" s="16" t="s">
        <v>872</v>
      </c>
      <c r="AEC1" s="16" t="s">
        <v>873</v>
      </c>
      <c r="AED1" s="16" t="s">
        <v>874</v>
      </c>
      <c r="AEE1" s="16" t="s">
        <v>875</v>
      </c>
      <c r="AEF1" s="16" t="s">
        <v>876</v>
      </c>
      <c r="AEG1" s="16" t="s">
        <v>877</v>
      </c>
      <c r="AEH1" s="16" t="s">
        <v>1100</v>
      </c>
      <c r="AEI1" s="16" t="s">
        <v>878</v>
      </c>
      <c r="AEJ1" s="16" t="s">
        <v>879</v>
      </c>
      <c r="AEK1" s="16" t="s">
        <v>880</v>
      </c>
      <c r="AEL1" s="16" t="s">
        <v>881</v>
      </c>
      <c r="AEM1" s="16" t="s">
        <v>882</v>
      </c>
      <c r="AEN1" s="16" t="s">
        <v>883</v>
      </c>
      <c r="AEO1" s="16" t="s">
        <v>884</v>
      </c>
      <c r="AEP1" s="16" t="s">
        <v>885</v>
      </c>
      <c r="AEQ1" s="16" t="s">
        <v>886</v>
      </c>
      <c r="AER1" s="17" t="s">
        <v>887</v>
      </c>
      <c r="AES1" s="16" t="s">
        <v>888</v>
      </c>
      <c r="AET1" s="16" t="s">
        <v>889</v>
      </c>
      <c r="AEU1" s="16" t="s">
        <v>890</v>
      </c>
      <c r="AEV1" s="16" t="s">
        <v>891</v>
      </c>
      <c r="AEW1" s="17" t="s">
        <v>892</v>
      </c>
      <c r="AEX1" s="16" t="s">
        <v>893</v>
      </c>
      <c r="AEY1" s="16" t="s">
        <v>894</v>
      </c>
      <c r="AEZ1" s="16" t="s">
        <v>895</v>
      </c>
      <c r="AFA1" s="16" t="s">
        <v>896</v>
      </c>
      <c r="AFB1" s="16" t="s">
        <v>897</v>
      </c>
      <c r="AFC1" s="16" t="s">
        <v>898</v>
      </c>
      <c r="AFD1" s="17" t="s">
        <v>899</v>
      </c>
      <c r="AFE1" s="18" t="s">
        <v>1090</v>
      </c>
      <c r="AFF1" s="16" t="s">
        <v>901</v>
      </c>
      <c r="AFG1" s="16" t="s">
        <v>1134</v>
      </c>
      <c r="AFH1" s="16" t="s">
        <v>1135</v>
      </c>
      <c r="AFI1" s="16" t="s">
        <v>1086</v>
      </c>
      <c r="AFJ1" s="16" t="s">
        <v>1159</v>
      </c>
      <c r="AFK1" s="16" t="s">
        <v>1085</v>
      </c>
      <c r="AFL1" s="16" t="s">
        <v>1057</v>
      </c>
      <c r="AFM1" s="16" t="s">
        <v>904</v>
      </c>
      <c r="AFN1" s="16" t="s">
        <v>905</v>
      </c>
      <c r="AFO1" s="16" t="s">
        <v>906</v>
      </c>
      <c r="AFP1" s="16" t="s">
        <v>907</v>
      </c>
      <c r="AFQ1" s="16" t="s">
        <v>908</v>
      </c>
      <c r="AFR1" s="16" t="s">
        <v>1171</v>
      </c>
      <c r="AFS1" s="16" t="s">
        <v>1172</v>
      </c>
      <c r="AFT1" s="16" t="s">
        <v>909</v>
      </c>
      <c r="AFU1" s="16" t="s">
        <v>910</v>
      </c>
      <c r="AFV1" s="16" t="s">
        <v>911</v>
      </c>
      <c r="AFW1" s="16" t="s">
        <v>912</v>
      </c>
      <c r="AFX1" s="17" t="s">
        <v>913</v>
      </c>
      <c r="AFY1" s="16" t="s">
        <v>914</v>
      </c>
      <c r="AFZ1" s="16" t="s">
        <v>915</v>
      </c>
      <c r="AGA1" s="16" t="s">
        <v>916</v>
      </c>
      <c r="AGB1" s="16" t="s">
        <v>1173</v>
      </c>
      <c r="AGC1" s="16" t="s">
        <v>1174</v>
      </c>
      <c r="AGD1" s="16" t="s">
        <v>918</v>
      </c>
      <c r="AGE1" s="16" t="s">
        <v>919</v>
      </c>
      <c r="AGF1" s="16" t="s">
        <v>920</v>
      </c>
      <c r="AGG1" s="16" t="s">
        <v>921</v>
      </c>
      <c r="AGH1" s="16" t="s">
        <v>922</v>
      </c>
      <c r="AGI1" s="17" t="s">
        <v>923</v>
      </c>
      <c r="AGJ1" s="16" t="s">
        <v>924</v>
      </c>
      <c r="AGK1" s="16" t="s">
        <v>925</v>
      </c>
      <c r="AGL1" s="16" t="s">
        <v>926</v>
      </c>
      <c r="AGM1" s="16" t="s">
        <v>927</v>
      </c>
      <c r="AGN1" s="16" t="s">
        <v>928</v>
      </c>
      <c r="AGO1" s="16" t="s">
        <v>929</v>
      </c>
      <c r="AGP1" s="16" t="s">
        <v>930</v>
      </c>
      <c r="AGQ1" s="16" t="s">
        <v>931</v>
      </c>
      <c r="AGR1" s="16" t="s">
        <v>932</v>
      </c>
      <c r="AGS1" s="16" t="s">
        <v>933</v>
      </c>
      <c r="AGT1" s="16" t="s">
        <v>934</v>
      </c>
      <c r="AGU1" s="17" t="s">
        <v>935</v>
      </c>
      <c r="AGV1" s="16" t="s">
        <v>936</v>
      </c>
      <c r="AGW1" s="16" t="s">
        <v>937</v>
      </c>
      <c r="AGX1" s="16" t="s">
        <v>938</v>
      </c>
      <c r="AGY1" s="16" t="s">
        <v>939</v>
      </c>
      <c r="AGZ1" s="16" t="s">
        <v>940</v>
      </c>
      <c r="AHA1" s="16" t="s">
        <v>941</v>
      </c>
      <c r="AHB1" s="16" t="s">
        <v>942</v>
      </c>
      <c r="AHC1" s="16" t="s">
        <v>943</v>
      </c>
      <c r="AHD1" s="16" t="s">
        <v>944</v>
      </c>
      <c r="AHE1" s="16" t="s">
        <v>945</v>
      </c>
      <c r="AHF1" s="16" t="s">
        <v>946</v>
      </c>
      <c r="AHG1" s="16" t="s">
        <v>947</v>
      </c>
      <c r="AHH1" s="16" t="s">
        <v>948</v>
      </c>
      <c r="AHI1" s="16" t="s">
        <v>949</v>
      </c>
      <c r="AHJ1" s="16" t="s">
        <v>950</v>
      </c>
      <c r="AHK1" s="16" t="s">
        <v>951</v>
      </c>
      <c r="AHL1" s="16" t="s">
        <v>952</v>
      </c>
      <c r="AHM1" s="16" t="s">
        <v>953</v>
      </c>
      <c r="AHN1" s="16" t="s">
        <v>954</v>
      </c>
      <c r="AHO1" s="16" t="s">
        <v>955</v>
      </c>
      <c r="AHP1" s="16" t="s">
        <v>956</v>
      </c>
      <c r="AHQ1" s="17" t="s">
        <v>957</v>
      </c>
      <c r="AHR1" s="16" t="s">
        <v>1054</v>
      </c>
      <c r="AHS1" s="16" t="s">
        <v>1055</v>
      </c>
      <c r="AHT1" s="25" t="s">
        <v>1079</v>
      </c>
      <c r="AHU1" s="25" t="s">
        <v>1080</v>
      </c>
      <c r="AHV1" s="25" t="s">
        <v>1081</v>
      </c>
      <c r="AHW1" s="25" t="s">
        <v>1082</v>
      </c>
      <c r="AHX1" s="25" t="s">
        <v>1083</v>
      </c>
      <c r="AHY1" s="32" t="s">
        <v>83</v>
      </c>
      <c r="AHZ1" s="32" t="s">
        <v>85</v>
      </c>
      <c r="AIA1" s="32" t="s">
        <v>87</v>
      </c>
      <c r="AIB1" s="32" t="s">
        <v>88</v>
      </c>
      <c r="AIC1" s="32" t="s">
        <v>89</v>
      </c>
      <c r="AID1" s="32" t="s">
        <v>90</v>
      </c>
      <c r="AIE1" s="32" t="s">
        <v>91</v>
      </c>
      <c r="AIF1" s="32" t="s">
        <v>92</v>
      </c>
      <c r="AIG1" s="32" t="s">
        <v>93</v>
      </c>
      <c r="AIH1" s="25" t="s">
        <v>1190</v>
      </c>
      <c r="AII1" s="25" t="s">
        <v>1191</v>
      </c>
      <c r="AIJ1" s="25" t="s">
        <v>1192</v>
      </c>
      <c r="AIK1" s="25" t="s">
        <v>1193</v>
      </c>
      <c r="AIL1" s="25" t="s">
        <v>1194</v>
      </c>
      <c r="AIM1" s="25" t="s">
        <v>1195</v>
      </c>
      <c r="AIN1" s="32" t="s">
        <v>1196</v>
      </c>
      <c r="AIO1" s="25" t="s">
        <v>1197</v>
      </c>
      <c r="AIP1" s="25" t="s">
        <v>1198</v>
      </c>
      <c r="AIQ1" s="25" t="s">
        <v>1199</v>
      </c>
      <c r="AIR1" s="25" t="s">
        <v>1200</v>
      </c>
      <c r="AIS1" s="25" t="s">
        <v>1201</v>
      </c>
      <c r="AIT1" s="25" t="s">
        <v>1202</v>
      </c>
      <c r="AIU1" s="18" t="s">
        <v>1205</v>
      </c>
      <c r="AIV1" s="38" t="s">
        <v>1206</v>
      </c>
      <c r="AIW1" s="38" t="s">
        <v>82</v>
      </c>
      <c r="AIX1" s="39" t="s">
        <v>1226</v>
      </c>
    </row>
    <row r="2" spans="1:934" x14ac:dyDescent="0.25">
      <c r="A2" s="19">
        <v>1000218</v>
      </c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21"/>
      <c r="AH2" s="21"/>
      <c r="AI2" s="21"/>
      <c r="AJ2" s="21"/>
      <c r="AK2" s="21"/>
      <c r="AL2" s="21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1"/>
      <c r="BN2" s="21"/>
      <c r="BO2" s="21"/>
      <c r="BP2" s="21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1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1"/>
      <c r="DL2" s="21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1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1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1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1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1"/>
      <c r="OB2" s="22"/>
      <c r="OC2" s="22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1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1"/>
      <c r="TE2" s="21"/>
      <c r="TF2" s="21"/>
      <c r="TG2" s="21"/>
      <c r="TH2" s="21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1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1"/>
      <c r="WL2" s="21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1"/>
      <c r="XR2" s="21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1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1"/>
      <c r="ZV2" s="21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1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1"/>
      <c r="ABP2" s="21"/>
      <c r="ABQ2" s="21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1"/>
      <c r="ACN2" s="20"/>
      <c r="ACO2" s="20"/>
      <c r="ACP2" s="20"/>
      <c r="ACQ2" s="20"/>
      <c r="ACR2" s="20"/>
      <c r="ACS2" s="21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1"/>
      <c r="ADS2" s="22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1"/>
      <c r="AES2" s="20"/>
      <c r="AET2" s="20"/>
      <c r="AEU2" s="20"/>
      <c r="AEV2" s="20"/>
      <c r="AEW2" s="21"/>
      <c r="AEX2" s="20"/>
      <c r="AEY2" s="20"/>
      <c r="AEZ2" s="20"/>
      <c r="AFA2" s="20"/>
      <c r="AFB2" s="20"/>
      <c r="AFC2" s="20"/>
      <c r="AFD2" s="21"/>
      <c r="AFE2" s="21"/>
      <c r="AFF2" s="20"/>
      <c r="AFG2" s="20"/>
      <c r="AFH2" s="20"/>
      <c r="AFI2" s="20"/>
      <c r="AFJ2" s="20"/>
      <c r="AFK2" s="20"/>
      <c r="AFL2" s="20"/>
      <c r="AFM2" s="20"/>
      <c r="AFN2" s="20"/>
      <c r="AFO2" s="20"/>
      <c r="AFP2" s="20"/>
      <c r="AFQ2" s="20"/>
      <c r="AFR2" s="20"/>
      <c r="AFS2" s="20"/>
      <c r="AFT2" s="20"/>
      <c r="AFU2" s="20"/>
      <c r="AFV2" s="20"/>
      <c r="AFW2" s="20"/>
      <c r="AFX2" s="21"/>
      <c r="AFY2" s="20"/>
      <c r="AFZ2" s="20"/>
      <c r="AGA2" s="20"/>
      <c r="AGB2" s="20"/>
      <c r="AGC2" s="20"/>
      <c r="AGD2" s="20"/>
      <c r="AGE2" s="20"/>
      <c r="AGF2" s="20"/>
      <c r="AGG2" s="20"/>
      <c r="AGH2" s="20"/>
      <c r="AGI2" s="21"/>
      <c r="AGJ2" s="20"/>
      <c r="AGK2" s="20"/>
      <c r="AGL2" s="20"/>
      <c r="AGM2" s="20"/>
      <c r="AGN2" s="20"/>
      <c r="AGO2" s="20"/>
      <c r="AGP2" s="20"/>
      <c r="AGQ2" s="20"/>
      <c r="AGR2" s="20"/>
      <c r="AGS2" s="20"/>
      <c r="AGT2" s="20"/>
      <c r="AGU2" s="21"/>
      <c r="AGV2" s="20"/>
      <c r="AGW2" s="20"/>
      <c r="AGX2" s="20"/>
      <c r="AGY2" s="20"/>
      <c r="AGZ2" s="20"/>
      <c r="AHA2" s="20"/>
      <c r="AHB2" s="20"/>
      <c r="AHC2" s="20"/>
      <c r="AHD2" s="20"/>
      <c r="AHE2" s="20"/>
      <c r="AHF2" s="20"/>
      <c r="AHG2" s="20"/>
      <c r="AHH2" s="20"/>
      <c r="AHI2" s="20"/>
      <c r="AHJ2" s="20"/>
      <c r="AHK2" s="20"/>
      <c r="AHL2" s="20"/>
      <c r="AHM2" s="20"/>
      <c r="AHN2" s="20"/>
      <c r="AHO2" s="20"/>
      <c r="AHP2" s="20"/>
      <c r="AHQ2" s="21"/>
      <c r="AHR2" s="20"/>
      <c r="AHS2" s="20"/>
    </row>
    <row r="3" spans="1:934" x14ac:dyDescent="0.25">
      <c r="A3" s="29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21"/>
      <c r="AH3" s="21"/>
      <c r="AI3" s="21"/>
      <c r="AJ3" s="21"/>
      <c r="AK3" s="21"/>
      <c r="AL3" s="21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1"/>
      <c r="BN3" s="21"/>
      <c r="BO3" s="21"/>
      <c r="BP3" s="21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1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1"/>
      <c r="DL3" s="21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1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1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1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1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1"/>
      <c r="OB3" s="22"/>
      <c r="OC3" s="22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1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1"/>
      <c r="TE3" s="21"/>
      <c r="TF3" s="21"/>
      <c r="TG3" s="21"/>
      <c r="TH3" s="21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1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1"/>
      <c r="WL3" s="21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1"/>
      <c r="XR3" s="21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1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1"/>
      <c r="ZV3" s="21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1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1"/>
      <c r="ABP3" s="21"/>
      <c r="ABQ3" s="21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1"/>
      <c r="ACN3" s="20"/>
      <c r="ACO3" s="20"/>
      <c r="ACP3" s="20"/>
      <c r="ACQ3" s="20"/>
      <c r="ACR3" s="20"/>
      <c r="ACS3" s="21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1"/>
      <c r="ADS3" s="22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1"/>
      <c r="AES3" s="20"/>
      <c r="AET3" s="20"/>
      <c r="AEU3" s="20"/>
      <c r="AEV3" s="20"/>
      <c r="AEW3" s="21"/>
      <c r="AEX3" s="20"/>
      <c r="AEY3" s="20"/>
      <c r="AEZ3" s="20"/>
      <c r="AFA3" s="20"/>
      <c r="AFB3" s="20"/>
      <c r="AFC3" s="20"/>
      <c r="AFD3" s="21"/>
      <c r="AFE3" s="21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1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1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1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1"/>
      <c r="AHR3" s="20"/>
      <c r="AHS3" s="20"/>
    </row>
    <row r="4" spans="1:934" x14ac:dyDescent="0.25">
      <c r="A4" s="7">
        <v>7072184</v>
      </c>
      <c r="B4">
        <v>12.441000000000001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21"/>
      <c r="AH4" s="21"/>
      <c r="AI4" s="21"/>
      <c r="AJ4" s="21"/>
      <c r="AK4" s="21"/>
      <c r="AL4" s="21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1"/>
      <c r="BN4">
        <v>2.9</v>
      </c>
      <c r="BO4" s="5">
        <v>18</v>
      </c>
      <c r="BP4">
        <v>108.5</v>
      </c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1"/>
      <c r="CT4" s="20"/>
      <c r="CU4">
        <v>2.4660000000000002</v>
      </c>
      <c r="CV4" s="7" t="s">
        <v>1074</v>
      </c>
      <c r="CW4">
        <v>282</v>
      </c>
      <c r="CX4" s="7" t="s">
        <v>16</v>
      </c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1"/>
      <c r="DL4" s="6">
        <v>69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1"/>
      <c r="DX4" s="24">
        <v>3.9600000000000003E-2</v>
      </c>
      <c r="DY4" s="24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1"/>
      <c r="FK4">
        <v>916</v>
      </c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1"/>
      <c r="II4">
        <v>190</v>
      </c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1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1"/>
      <c r="OB4">
        <v>5.423</v>
      </c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1"/>
      <c r="PW4" s="19">
        <v>11</v>
      </c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1"/>
      <c r="QK4" s="19">
        <v>8</v>
      </c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1"/>
      <c r="TE4">
        <v>3.3</v>
      </c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1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20"/>
      <c r="UL4" s="20"/>
      <c r="UM4" s="20"/>
      <c r="UN4" s="20"/>
      <c r="UO4" s="20"/>
      <c r="UP4" s="20"/>
      <c r="UQ4" s="20"/>
      <c r="UR4" s="20"/>
      <c r="US4" s="20"/>
      <c r="UT4" s="20"/>
      <c r="UU4" s="20"/>
      <c r="UV4" s="20"/>
      <c r="UW4" s="20"/>
      <c r="UX4" s="20"/>
      <c r="UY4" s="20"/>
      <c r="UZ4" s="20"/>
      <c r="VA4" s="20"/>
      <c r="VB4" s="20"/>
      <c r="VC4" s="20"/>
      <c r="VD4" s="20"/>
      <c r="VE4" s="20"/>
      <c r="VF4" s="20"/>
      <c r="VG4" s="20"/>
      <c r="VH4" s="20"/>
      <c r="VI4" s="20"/>
      <c r="VJ4" s="20"/>
      <c r="VK4" s="20"/>
      <c r="VL4" s="20"/>
      <c r="VM4" s="20"/>
      <c r="VN4" s="20"/>
      <c r="VO4" s="20"/>
      <c r="VP4" s="20"/>
      <c r="VQ4" s="20"/>
      <c r="VR4" s="20"/>
      <c r="VS4" s="20"/>
      <c r="VT4" s="20"/>
      <c r="VU4" s="20"/>
      <c r="VV4" s="20"/>
      <c r="VW4" s="20"/>
      <c r="VX4" s="20"/>
      <c r="VY4" s="20"/>
      <c r="VZ4" s="20"/>
      <c r="WA4" s="20"/>
      <c r="WB4" s="20"/>
      <c r="WC4" s="20"/>
      <c r="WD4" s="20"/>
      <c r="WE4" s="20"/>
      <c r="WF4" s="20"/>
      <c r="WG4" s="20"/>
      <c r="WH4" s="20"/>
      <c r="WI4" s="20"/>
      <c r="WJ4" s="20"/>
      <c r="WK4" s="21"/>
      <c r="WL4" s="21"/>
      <c r="WM4" s="20"/>
      <c r="WN4" s="20"/>
      <c r="WO4" s="20"/>
      <c r="WP4" s="20"/>
      <c r="WQ4" s="20"/>
      <c r="WR4" s="20"/>
      <c r="WS4" s="20"/>
      <c r="WT4" s="20"/>
      <c r="WU4" s="20"/>
      <c r="WV4" s="20"/>
      <c r="WW4" s="20"/>
      <c r="WX4" s="20"/>
      <c r="WY4" s="20"/>
      <c r="WZ4" s="20"/>
      <c r="XA4" s="20"/>
      <c r="XB4" s="20"/>
      <c r="XC4" s="20"/>
      <c r="XD4" s="20"/>
      <c r="XE4" s="20"/>
      <c r="XF4" s="20"/>
      <c r="XG4" s="20"/>
      <c r="XH4" s="20"/>
      <c r="XI4" s="20"/>
      <c r="XJ4" s="20"/>
      <c r="XK4" s="20"/>
      <c r="XL4" s="20"/>
      <c r="XM4" s="20"/>
      <c r="XN4" s="20"/>
      <c r="XO4" s="20"/>
      <c r="XP4" s="20"/>
      <c r="XQ4" s="21"/>
      <c r="XR4">
        <v>2.4</v>
      </c>
      <c r="XS4" s="20"/>
      <c r="XT4" s="20"/>
      <c r="XU4" s="20"/>
      <c r="XV4" s="20"/>
      <c r="XW4" s="20"/>
      <c r="XX4" s="20"/>
      <c r="XY4" s="20"/>
      <c r="XZ4" s="20"/>
      <c r="YA4" s="20"/>
      <c r="YB4" s="20"/>
      <c r="YC4" s="20"/>
      <c r="YD4" s="20"/>
      <c r="YE4" s="20"/>
      <c r="YF4" s="20"/>
      <c r="YG4" s="20"/>
      <c r="YH4" s="20"/>
      <c r="YI4" s="20"/>
      <c r="YJ4" s="20"/>
      <c r="YK4" s="20"/>
      <c r="YL4" s="20"/>
      <c r="YM4" s="20"/>
      <c r="YN4" s="20"/>
      <c r="YO4" s="20"/>
      <c r="YP4" s="20"/>
      <c r="YQ4" s="20"/>
      <c r="YR4" s="20"/>
      <c r="YS4" s="20"/>
      <c r="YT4" s="20"/>
      <c r="YU4" s="20"/>
      <c r="YV4" s="20"/>
      <c r="YW4" s="20"/>
      <c r="YX4" s="20"/>
      <c r="YY4" s="20"/>
      <c r="YZ4" s="21"/>
      <c r="ZA4" s="20"/>
      <c r="ZB4" s="20"/>
      <c r="ZC4" s="20"/>
      <c r="ZD4" s="20"/>
      <c r="ZE4" s="20"/>
      <c r="ZF4" s="20"/>
      <c r="ZG4" s="20"/>
      <c r="ZH4" s="20"/>
      <c r="ZI4" s="20"/>
      <c r="ZJ4" s="20"/>
      <c r="ZK4" s="20"/>
      <c r="ZL4" s="20"/>
      <c r="ZM4" s="20"/>
      <c r="ZN4" s="20"/>
      <c r="ZO4" s="20"/>
      <c r="ZP4" s="20"/>
      <c r="ZQ4" s="20"/>
      <c r="ZR4" s="20"/>
      <c r="ZS4" s="20"/>
      <c r="ZT4" s="20"/>
      <c r="ZU4" s="21"/>
      <c r="ZV4" s="21"/>
      <c r="ZW4" s="20"/>
      <c r="ZX4" s="20"/>
      <c r="ZY4" s="20"/>
      <c r="ZZ4" s="20"/>
      <c r="AAA4" s="20"/>
      <c r="AAB4" s="20"/>
      <c r="AAC4" s="20"/>
      <c r="AAD4" s="20"/>
      <c r="AAE4" s="20"/>
      <c r="AAF4" s="20"/>
      <c r="AAG4" s="20"/>
      <c r="AAH4" s="20"/>
      <c r="AAI4" s="20"/>
      <c r="AAJ4" s="20"/>
      <c r="AAK4" s="20"/>
      <c r="AAL4" s="20"/>
      <c r="AAM4" s="20"/>
      <c r="AAN4" s="20"/>
      <c r="AAO4" s="20"/>
      <c r="AAP4" s="20"/>
      <c r="AAQ4" s="20"/>
      <c r="AAR4" s="20"/>
      <c r="AAS4" s="20"/>
      <c r="AAT4" s="21"/>
      <c r="AAU4" s="20"/>
      <c r="AAV4" s="20"/>
      <c r="AAW4" s="20"/>
      <c r="AAX4" s="20"/>
      <c r="AAY4" s="20"/>
      <c r="AAZ4" s="20"/>
      <c r="ABA4" s="20"/>
      <c r="ABB4" s="20"/>
      <c r="ABC4" s="20"/>
      <c r="ABD4" s="20"/>
      <c r="ABE4" s="20"/>
      <c r="ABF4" s="20"/>
      <c r="ABG4" s="20"/>
      <c r="ABH4" s="20"/>
      <c r="ABI4" s="20"/>
      <c r="ABJ4" s="20"/>
      <c r="ABK4" s="20"/>
      <c r="ABL4" s="20"/>
      <c r="ABM4" s="20"/>
      <c r="ABN4" s="20"/>
      <c r="ABO4" s="21"/>
      <c r="ABP4" s="21"/>
      <c r="ABQ4" s="21"/>
      <c r="ABR4" s="20">
        <v>537</v>
      </c>
      <c r="ABS4" s="20"/>
      <c r="ABT4" s="20"/>
      <c r="ABU4" s="20"/>
      <c r="ABV4" s="20"/>
      <c r="ABW4" s="20"/>
      <c r="ABX4" s="20"/>
      <c r="ABY4" s="20"/>
      <c r="ABZ4" s="20"/>
      <c r="ACA4" s="20"/>
      <c r="ACB4" s="20"/>
      <c r="ACC4" s="20"/>
      <c r="ACD4" s="20"/>
      <c r="ACE4" s="20"/>
      <c r="ACF4" s="20"/>
      <c r="ACG4" s="20"/>
      <c r="ACH4" s="20"/>
      <c r="ACI4" s="20"/>
      <c r="ACJ4" s="20"/>
      <c r="ACK4" s="20"/>
      <c r="ACL4" s="20"/>
      <c r="ACM4" s="21"/>
      <c r="ACN4" s="20"/>
      <c r="ACO4" s="20"/>
      <c r="ACP4" s="20"/>
      <c r="ACQ4" s="20"/>
      <c r="ACR4" s="20"/>
      <c r="ACS4" s="21"/>
      <c r="ACT4" s="20"/>
      <c r="ACU4" s="20"/>
      <c r="ACV4" s="20"/>
      <c r="ACW4" s="20"/>
      <c r="ACX4" s="20"/>
      <c r="ACY4" s="20"/>
      <c r="ACZ4" s="20"/>
      <c r="ADA4" s="20"/>
      <c r="ADB4" s="20"/>
      <c r="ADC4" s="20"/>
      <c r="ADD4" s="20"/>
      <c r="ADE4" s="20"/>
      <c r="ADF4" s="20"/>
      <c r="ADG4" s="20"/>
      <c r="ADH4" s="20"/>
      <c r="ADI4" s="20"/>
      <c r="ADJ4" s="20"/>
      <c r="ADK4" s="20"/>
      <c r="ADL4" s="20"/>
      <c r="ADM4" s="20"/>
      <c r="ADN4" s="20"/>
      <c r="ADO4" s="20"/>
      <c r="ADP4" s="20"/>
      <c r="ADQ4" s="20"/>
      <c r="ADR4" s="21"/>
      <c r="ADS4" s="7" t="s">
        <v>6</v>
      </c>
      <c r="ADT4" s="20"/>
      <c r="ADU4" s="20"/>
      <c r="ADV4" s="20"/>
      <c r="ADW4" s="20"/>
      <c r="ADX4" s="20"/>
      <c r="ADY4" s="20"/>
      <c r="ADZ4" s="20"/>
      <c r="AEA4" s="20"/>
      <c r="AEB4" s="20"/>
      <c r="AEC4" s="20"/>
      <c r="AED4" s="20"/>
      <c r="AEE4" s="20"/>
      <c r="AEF4" s="20"/>
      <c r="AEG4" s="20"/>
      <c r="AEH4" s="20"/>
      <c r="AEI4" s="20"/>
      <c r="AEJ4" s="20"/>
      <c r="AEK4" s="20"/>
      <c r="AEL4" s="20"/>
      <c r="AEM4" s="20"/>
      <c r="AEN4" s="20"/>
      <c r="AEO4" s="20"/>
      <c r="AEP4" s="20"/>
      <c r="AEQ4" s="20"/>
      <c r="AER4" s="21"/>
      <c r="AES4" s="20"/>
      <c r="AET4" s="20"/>
      <c r="AEU4" s="20"/>
      <c r="AEV4" s="20"/>
      <c r="AEW4" s="21"/>
      <c r="AEX4" s="20"/>
      <c r="AEY4" s="20"/>
      <c r="AEZ4" s="20"/>
      <c r="AFA4" s="20"/>
      <c r="AFB4" s="20"/>
      <c r="AFC4" s="20"/>
      <c r="AFD4" s="21"/>
      <c r="AFE4" s="21"/>
      <c r="AFF4" s="20"/>
      <c r="AFG4" s="20"/>
      <c r="AFH4" s="20"/>
      <c r="AFI4" s="20"/>
      <c r="AFJ4" s="20"/>
      <c r="AFK4" s="20"/>
      <c r="AFL4" s="19">
        <v>80</v>
      </c>
      <c r="AFM4" s="20"/>
      <c r="AFN4" s="20"/>
      <c r="AFO4" s="20"/>
      <c r="AFP4" s="20"/>
      <c r="AFQ4" s="20"/>
      <c r="AFR4" s="20"/>
      <c r="AFS4" s="20"/>
      <c r="AFT4" s="20"/>
      <c r="AFU4" s="20"/>
      <c r="AFV4" s="20"/>
      <c r="AFW4" s="20"/>
      <c r="AFX4" s="21"/>
      <c r="AFY4" s="20"/>
      <c r="AFZ4" s="20"/>
      <c r="AGA4" s="20"/>
      <c r="AGB4" s="20"/>
      <c r="AGC4" s="20"/>
      <c r="AGD4" s="20"/>
      <c r="AGE4" s="20"/>
      <c r="AGF4" s="20"/>
      <c r="AGG4" s="20"/>
      <c r="AGH4" s="20"/>
      <c r="AGI4" s="21"/>
      <c r="AGJ4" s="20"/>
      <c r="AGK4" s="20"/>
      <c r="AGL4" s="20"/>
      <c r="AGM4" s="20"/>
      <c r="AGN4" s="20"/>
      <c r="AGO4" s="20"/>
      <c r="AGP4" s="20"/>
      <c r="AGQ4" s="20"/>
      <c r="AGR4" s="20"/>
      <c r="AGS4" s="20"/>
      <c r="AGT4" s="20"/>
      <c r="AGU4" s="21"/>
      <c r="AGV4" s="20"/>
      <c r="AGW4" s="20"/>
      <c r="AGX4" s="20"/>
      <c r="AGY4" s="20"/>
      <c r="AGZ4" s="20"/>
      <c r="AHA4" s="20"/>
      <c r="AHB4" s="20"/>
      <c r="AHC4" s="20"/>
      <c r="AHD4" s="20"/>
      <c r="AHE4" s="20"/>
      <c r="AHF4" s="20"/>
      <c r="AHG4" s="20"/>
      <c r="AHH4" s="20"/>
      <c r="AHI4" s="20"/>
      <c r="AHJ4" s="20"/>
      <c r="AHK4" s="20"/>
      <c r="AHL4" s="20"/>
      <c r="AHM4" s="20"/>
      <c r="AHN4" s="20"/>
      <c r="AHO4" s="20"/>
      <c r="AHP4" s="20"/>
      <c r="AHQ4" s="21"/>
      <c r="AHR4" s="20"/>
      <c r="AHS4" s="20"/>
    </row>
    <row r="5" spans="1:934" x14ac:dyDescent="0.25">
      <c r="A5">
        <v>9108231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1"/>
      <c r="AG5" s="21"/>
      <c r="AH5" s="21"/>
      <c r="AI5" s="21"/>
      <c r="AJ5" s="21"/>
      <c r="AK5" s="21"/>
      <c r="AL5" s="21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1"/>
      <c r="BN5" s="21"/>
      <c r="BO5" s="21"/>
      <c r="BP5" s="21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1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1"/>
      <c r="DL5" s="21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1"/>
      <c r="DX5" s="24">
        <v>13120</v>
      </c>
      <c r="DY5" s="24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1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1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1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1"/>
      <c r="OB5" s="22"/>
      <c r="OC5" s="22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1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1"/>
      <c r="QK5" s="21"/>
      <c r="QL5" s="21"/>
      <c r="QM5" s="21"/>
      <c r="QN5" s="21"/>
      <c r="QO5" s="21"/>
      <c r="QP5" s="21"/>
      <c r="QQ5" s="21"/>
      <c r="QR5" s="21"/>
      <c r="QS5" s="21"/>
      <c r="QT5" s="21"/>
      <c r="QU5" s="21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1"/>
      <c r="TE5" s="21"/>
      <c r="TF5" s="21"/>
      <c r="TG5" s="21"/>
      <c r="TH5" s="21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1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  <c r="VH5" s="20"/>
      <c r="VI5" s="20"/>
      <c r="VJ5" s="20"/>
      <c r="VK5" s="20"/>
      <c r="VL5" s="20"/>
      <c r="VM5" s="20"/>
      <c r="VN5" s="20"/>
      <c r="VO5" s="20"/>
      <c r="VP5" s="20"/>
      <c r="VQ5" s="20"/>
      <c r="VR5" s="20"/>
      <c r="VS5" s="20"/>
      <c r="VT5" s="20"/>
      <c r="VU5" s="20"/>
      <c r="VV5" s="20"/>
      <c r="VW5" s="20"/>
      <c r="VX5" s="20"/>
      <c r="VY5" s="20"/>
      <c r="VZ5" s="20"/>
      <c r="WA5" s="20"/>
      <c r="WB5" s="20"/>
      <c r="WC5" s="20"/>
      <c r="WD5" s="20"/>
      <c r="WE5" s="20"/>
      <c r="WF5" s="20"/>
      <c r="WG5" s="20"/>
      <c r="WH5" s="20"/>
      <c r="WI5" s="20"/>
      <c r="WJ5" s="20"/>
      <c r="WK5" s="21"/>
      <c r="WL5" s="21"/>
      <c r="WM5" s="20"/>
      <c r="WN5" s="20"/>
      <c r="WO5" s="20"/>
      <c r="WP5" s="20"/>
      <c r="WQ5" s="20"/>
      <c r="WR5" s="20"/>
      <c r="WS5" s="20"/>
      <c r="WT5" s="20"/>
      <c r="WU5" s="20"/>
      <c r="WV5" s="20"/>
      <c r="WW5" s="20"/>
      <c r="WX5" s="20"/>
      <c r="WY5" s="20"/>
      <c r="WZ5" s="20"/>
      <c r="XA5" s="20"/>
      <c r="XB5" s="20"/>
      <c r="XC5" s="20"/>
      <c r="XD5" s="20"/>
      <c r="XE5" s="20"/>
      <c r="XF5" s="20"/>
      <c r="XG5" s="20"/>
      <c r="XH5" s="20"/>
      <c r="XI5" s="20"/>
      <c r="XJ5" s="20"/>
      <c r="XK5" s="20"/>
      <c r="XL5" s="20"/>
      <c r="XM5" s="20"/>
      <c r="XN5" s="20"/>
      <c r="XO5" s="20"/>
      <c r="XP5" s="20"/>
      <c r="XQ5" s="21"/>
      <c r="XR5" s="21"/>
      <c r="XS5" s="20"/>
      <c r="XT5" s="20"/>
      <c r="XU5" s="20"/>
      <c r="XV5" s="20"/>
      <c r="XW5" s="20"/>
      <c r="XX5" s="20"/>
      <c r="XY5" s="20"/>
      <c r="XZ5" s="20"/>
      <c r="YA5" s="20"/>
      <c r="YB5" s="20"/>
      <c r="YC5" s="20"/>
      <c r="YD5" s="20"/>
      <c r="YE5" s="20"/>
      <c r="YF5" s="20"/>
      <c r="YG5" s="20"/>
      <c r="YH5" s="20"/>
      <c r="YI5" s="20"/>
      <c r="YJ5" s="20"/>
      <c r="YK5" s="20"/>
      <c r="YL5" s="20"/>
      <c r="YM5" s="20"/>
      <c r="YN5" s="20"/>
      <c r="YO5" s="20"/>
      <c r="YP5" s="20"/>
      <c r="YQ5" s="20"/>
      <c r="YR5" s="20"/>
      <c r="YS5" s="20"/>
      <c r="YT5" s="20"/>
      <c r="YU5" s="20"/>
      <c r="YV5" s="20"/>
      <c r="YW5" s="20"/>
      <c r="YX5" s="20"/>
      <c r="YY5" s="20"/>
      <c r="YZ5" s="21"/>
      <c r="ZA5" s="20"/>
      <c r="ZB5" s="20"/>
      <c r="ZC5" s="20"/>
      <c r="ZD5" s="20"/>
      <c r="ZE5" s="20"/>
      <c r="ZF5" s="20"/>
      <c r="ZG5" s="20"/>
      <c r="ZH5" s="20"/>
      <c r="ZI5" s="20"/>
      <c r="ZJ5" s="20"/>
      <c r="ZK5" s="20"/>
      <c r="ZL5" s="20"/>
      <c r="ZM5" s="20"/>
      <c r="ZN5" s="20"/>
      <c r="ZO5" s="20"/>
      <c r="ZP5" s="20"/>
      <c r="ZQ5" s="20"/>
      <c r="ZR5" s="20"/>
      <c r="ZS5" s="20"/>
      <c r="ZT5" s="20"/>
      <c r="ZU5" s="21"/>
      <c r="ZV5" s="21"/>
      <c r="ZW5" s="20"/>
      <c r="ZX5" s="20"/>
      <c r="ZY5" s="20"/>
      <c r="ZZ5" s="20"/>
      <c r="AAA5" s="20"/>
      <c r="AAB5" s="20"/>
      <c r="AAC5" s="20"/>
      <c r="AAD5" s="20"/>
      <c r="AAE5" s="20"/>
      <c r="AAF5" s="20"/>
      <c r="AAG5" s="20"/>
      <c r="AAH5" s="20"/>
      <c r="AAI5" s="20"/>
      <c r="AAJ5" s="20"/>
      <c r="AAK5" s="20"/>
      <c r="AAL5" s="20"/>
      <c r="AAM5" s="20"/>
      <c r="AAN5" s="20"/>
      <c r="AAO5" s="20"/>
      <c r="AAP5" s="20"/>
      <c r="AAQ5" s="20"/>
      <c r="AAR5" s="20"/>
      <c r="AAS5" s="20"/>
      <c r="AAT5" s="21"/>
      <c r="AAU5" s="20"/>
      <c r="AAV5" s="20"/>
      <c r="AAW5" s="20"/>
      <c r="AAX5" s="20"/>
      <c r="AAY5" s="20"/>
      <c r="AAZ5" s="20"/>
      <c r="ABA5" s="20"/>
      <c r="ABB5" s="20"/>
      <c r="ABC5" s="20"/>
      <c r="ABD5" s="20"/>
      <c r="ABE5" s="20"/>
      <c r="ABF5" s="20"/>
      <c r="ABG5" s="20"/>
      <c r="ABH5" s="20"/>
      <c r="ABI5" s="20"/>
      <c r="ABJ5" s="20"/>
      <c r="ABK5" s="20"/>
      <c r="ABL5" s="20"/>
      <c r="ABM5" s="20"/>
      <c r="ABN5" s="20"/>
      <c r="ABO5" s="21"/>
      <c r="ABP5" s="21"/>
      <c r="ABQ5" s="21"/>
      <c r="ABR5">
        <v>193</v>
      </c>
      <c r="ABS5" s="20"/>
      <c r="ABT5" s="20"/>
      <c r="ABU5" s="20"/>
      <c r="ABV5" s="20"/>
      <c r="ABW5" s="20"/>
      <c r="ABX5" s="20"/>
      <c r="ABY5" s="20"/>
      <c r="ABZ5" s="20"/>
      <c r="ACA5" s="20"/>
      <c r="ACB5" s="20"/>
      <c r="ACC5" s="20"/>
      <c r="ACD5" s="20"/>
      <c r="ACE5" s="20"/>
      <c r="ACF5" s="20"/>
      <c r="ACG5" s="20"/>
      <c r="ACH5" s="20"/>
      <c r="ACI5" s="20"/>
      <c r="ACJ5" s="20"/>
      <c r="ACK5" s="20"/>
      <c r="ACL5" s="20"/>
      <c r="ACM5" s="21"/>
      <c r="ACN5" s="20"/>
      <c r="ACO5" s="20"/>
      <c r="ACP5" s="20"/>
      <c r="ACQ5" s="20"/>
      <c r="ACR5" s="20"/>
      <c r="ACS5" s="21"/>
      <c r="ACT5" s="20"/>
      <c r="ACU5" s="20"/>
      <c r="ACV5" s="20"/>
      <c r="ACW5" s="20"/>
      <c r="ACX5" s="20"/>
      <c r="ACY5" s="20"/>
      <c r="ACZ5" s="20"/>
      <c r="ADA5" s="20"/>
      <c r="ADB5" s="20"/>
      <c r="ADC5" s="20"/>
      <c r="ADD5" s="20"/>
      <c r="ADE5" s="20"/>
      <c r="ADF5" s="20"/>
      <c r="ADG5" s="20"/>
      <c r="ADH5" s="20"/>
      <c r="ADI5" s="20"/>
      <c r="ADJ5" s="20"/>
      <c r="ADK5" s="20"/>
      <c r="ADL5" s="20"/>
      <c r="ADM5" s="20"/>
      <c r="ADN5" s="20"/>
      <c r="ADO5" s="20"/>
      <c r="ADP5" s="20"/>
      <c r="ADQ5" s="20"/>
      <c r="ADR5" s="21"/>
      <c r="ADS5" s="22"/>
      <c r="ADT5" s="20"/>
      <c r="ADU5" s="20"/>
      <c r="ADV5" s="20"/>
      <c r="ADW5" s="20"/>
      <c r="ADX5" s="20"/>
      <c r="ADY5" s="20"/>
      <c r="ADZ5" s="20"/>
      <c r="AEA5" s="20"/>
      <c r="AEB5" s="20"/>
      <c r="AEC5" s="20"/>
      <c r="AED5" s="20"/>
      <c r="AEE5" s="20"/>
      <c r="AEF5" s="20"/>
      <c r="AEG5" s="20"/>
      <c r="AEH5" s="20"/>
      <c r="AEI5" s="20"/>
      <c r="AEJ5" s="20"/>
      <c r="AEK5" s="20"/>
      <c r="AEL5" s="20"/>
      <c r="AEM5" s="20"/>
      <c r="AEN5" s="20"/>
      <c r="AEO5" s="20"/>
      <c r="AEP5" s="20"/>
      <c r="AEQ5" s="20"/>
      <c r="AER5" s="21"/>
      <c r="AES5" s="20"/>
      <c r="AET5" s="20"/>
      <c r="AEU5" s="20"/>
      <c r="AEV5" s="20"/>
      <c r="AEW5" s="21"/>
      <c r="AEX5" s="20"/>
      <c r="AEY5" s="20"/>
      <c r="AEZ5" s="20"/>
      <c r="AFA5" s="20"/>
      <c r="AFB5" s="20"/>
      <c r="AFC5" s="20"/>
      <c r="AFD5" s="21"/>
      <c r="AFE5" s="21"/>
      <c r="AFF5" s="20"/>
      <c r="AFG5" s="20"/>
      <c r="AFH5" s="20"/>
      <c r="AFI5" s="20"/>
      <c r="AFJ5" s="20"/>
      <c r="AFK5" s="20"/>
      <c r="AFL5" s="20"/>
      <c r="AFM5" s="20"/>
      <c r="AFN5" s="20"/>
      <c r="AFO5" s="20"/>
      <c r="AFP5" s="20"/>
      <c r="AFQ5" s="20"/>
      <c r="AFR5" s="20"/>
      <c r="AFS5" s="20"/>
      <c r="AFT5" s="20"/>
      <c r="AFU5" s="20"/>
      <c r="AFV5" s="20"/>
      <c r="AFW5" s="20"/>
      <c r="AFX5" s="21"/>
      <c r="AFY5" s="20"/>
      <c r="AFZ5" s="20"/>
      <c r="AGA5" s="20"/>
      <c r="AGB5" s="20"/>
      <c r="AGC5" s="20"/>
      <c r="AGD5" s="20"/>
      <c r="AGE5" s="20"/>
      <c r="AGF5" s="20"/>
      <c r="AGG5" s="20"/>
      <c r="AGH5" s="20"/>
      <c r="AGI5" s="21"/>
      <c r="AGJ5" s="20"/>
      <c r="AGK5" s="20"/>
      <c r="AGL5" s="20"/>
      <c r="AGM5" s="20"/>
      <c r="AGN5" s="20"/>
      <c r="AGO5" s="20"/>
      <c r="AGP5" s="20"/>
      <c r="AGQ5" s="20"/>
      <c r="AGR5" s="20"/>
      <c r="AGS5" s="20"/>
      <c r="AGT5" s="20"/>
      <c r="AGU5" s="21"/>
      <c r="AGV5" s="20"/>
      <c r="AGW5" s="20"/>
      <c r="AGX5" s="20"/>
      <c r="AGY5" s="20"/>
      <c r="AGZ5" s="20"/>
      <c r="AHA5" s="20"/>
      <c r="AHB5" s="20"/>
      <c r="AHC5" s="20"/>
      <c r="AHD5" s="20"/>
      <c r="AHE5" s="20"/>
      <c r="AHF5" s="20"/>
      <c r="AHG5" s="20"/>
      <c r="AHH5" s="20"/>
      <c r="AHI5" s="20"/>
      <c r="AHJ5" s="20"/>
      <c r="AHK5" s="20"/>
      <c r="AHL5" s="20"/>
      <c r="AHM5" s="20"/>
      <c r="AHN5" s="20"/>
      <c r="AHO5" s="20"/>
      <c r="AHP5" s="20"/>
      <c r="AHQ5" s="21"/>
      <c r="AHR5" s="20"/>
      <c r="AHS5" s="20"/>
    </row>
    <row r="6" spans="1:934" x14ac:dyDescent="0.25">
      <c r="A6">
        <v>12061933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21"/>
      <c r="AH6" s="21"/>
      <c r="AI6" s="21"/>
      <c r="AJ6" s="21"/>
      <c r="AK6" s="21"/>
      <c r="AL6" s="21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1"/>
      <c r="BN6" s="21"/>
      <c r="BO6" s="21"/>
      <c r="BP6" s="21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1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1"/>
      <c r="DL6" s="21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1"/>
      <c r="DX6" s="21"/>
      <c r="DY6" s="21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1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1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1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1"/>
      <c r="OB6" s="22"/>
      <c r="OC6" s="22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1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1"/>
      <c r="QK6" s="21"/>
      <c r="QL6" s="21"/>
      <c r="QM6" s="21"/>
      <c r="QN6" s="21"/>
      <c r="QO6" s="21"/>
      <c r="QP6" s="21"/>
      <c r="QQ6" s="21"/>
      <c r="QR6" s="21"/>
      <c r="QS6" s="21"/>
      <c r="QT6" s="21"/>
      <c r="QU6" s="21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1"/>
      <c r="TE6" s="21"/>
      <c r="TF6" s="21"/>
      <c r="TG6" s="21"/>
      <c r="TH6" s="21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1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1"/>
      <c r="WL6" s="21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1"/>
      <c r="XR6" s="21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1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1"/>
      <c r="ZV6" s="21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1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1"/>
      <c r="ABP6" s="21"/>
      <c r="ABQ6" s="21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1"/>
      <c r="ACN6" s="20"/>
      <c r="ACO6" s="20"/>
      <c r="ACP6" s="20"/>
      <c r="ACQ6" s="20"/>
      <c r="ACR6" s="20"/>
      <c r="ACS6" s="21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1"/>
      <c r="ADS6" s="22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1"/>
      <c r="AES6" s="20"/>
      <c r="AET6" s="20"/>
      <c r="AEU6" s="20"/>
      <c r="AEV6" s="20"/>
      <c r="AEW6" s="21"/>
      <c r="AEX6" s="20"/>
      <c r="AEY6" s="20"/>
      <c r="AEZ6" s="20"/>
      <c r="AFA6" s="20"/>
      <c r="AFB6" s="20"/>
      <c r="AFC6" s="20"/>
      <c r="AFD6" s="21"/>
      <c r="AFE6" s="21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1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1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1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1"/>
      <c r="AHR6" s="20"/>
      <c r="AHS6" s="20"/>
      <c r="AHT6" t="s">
        <v>22</v>
      </c>
      <c r="AHU6" t="s">
        <v>24</v>
      </c>
      <c r="AHV6" t="s">
        <v>26</v>
      </c>
      <c r="AHW6" t="s">
        <v>28</v>
      </c>
      <c r="AHX6" t="s">
        <v>30</v>
      </c>
    </row>
    <row r="7" spans="1:934" x14ac:dyDescent="0.2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1"/>
      <c r="AG7" s="21"/>
      <c r="AH7" s="21"/>
      <c r="AI7" s="21"/>
      <c r="AJ7" s="21"/>
      <c r="AK7" s="21"/>
      <c r="AL7" s="21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1"/>
      <c r="BN7" s="21"/>
      <c r="BO7" s="21"/>
      <c r="BP7" s="21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1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1"/>
      <c r="DL7" s="21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1"/>
      <c r="DX7" s="21"/>
      <c r="DY7" s="21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1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1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1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1"/>
      <c r="OB7" s="22"/>
      <c r="OC7" s="22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1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1"/>
      <c r="QK7" s="21"/>
      <c r="QL7" s="21"/>
      <c r="QM7" s="21"/>
      <c r="QN7" s="21"/>
      <c r="QO7" s="21"/>
      <c r="QP7" s="21"/>
      <c r="QQ7" s="21"/>
      <c r="QR7" s="21"/>
      <c r="QS7" s="21"/>
      <c r="QT7" s="21"/>
      <c r="QU7" s="21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1"/>
      <c r="TE7" s="21"/>
      <c r="TF7" s="21"/>
      <c r="TG7" s="21"/>
      <c r="TH7" s="21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1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  <c r="VH7" s="20"/>
      <c r="VI7" s="20"/>
      <c r="VJ7" s="20"/>
      <c r="VK7" s="20"/>
      <c r="VL7" s="20"/>
      <c r="VM7" s="20"/>
      <c r="VN7" s="20"/>
      <c r="VO7" s="20"/>
      <c r="VP7" s="20"/>
      <c r="VQ7" s="20"/>
      <c r="VR7" s="20"/>
      <c r="VS7" s="20"/>
      <c r="VT7" s="20"/>
      <c r="VU7" s="20"/>
      <c r="VV7" s="20"/>
      <c r="VW7" s="20"/>
      <c r="VX7" s="20"/>
      <c r="VY7" s="20"/>
      <c r="VZ7" s="20"/>
      <c r="WA7" s="20"/>
      <c r="WB7" s="20"/>
      <c r="WC7" s="20"/>
      <c r="WD7" s="20"/>
      <c r="WE7" s="20"/>
      <c r="WF7" s="20"/>
      <c r="WG7" s="20"/>
      <c r="WH7" s="20"/>
      <c r="WI7" s="20"/>
      <c r="WJ7" s="20"/>
      <c r="WK7" s="21"/>
      <c r="WL7" s="21"/>
      <c r="WM7" s="20"/>
      <c r="WN7" s="20"/>
      <c r="WO7" s="20"/>
      <c r="WP7" s="20"/>
      <c r="WQ7" s="20"/>
      <c r="WR7" s="20"/>
      <c r="WS7" s="20"/>
      <c r="WT7" s="20"/>
      <c r="WU7" s="20"/>
      <c r="WV7" s="20"/>
      <c r="WW7" s="20"/>
      <c r="WX7" s="20"/>
      <c r="WY7" s="20"/>
      <c r="WZ7" s="20"/>
      <c r="XA7" s="20"/>
      <c r="XB7" s="20"/>
      <c r="XC7" s="20"/>
      <c r="XD7" s="20"/>
      <c r="XE7" s="20"/>
      <c r="XF7" s="20"/>
      <c r="XG7" s="20"/>
      <c r="XH7" s="20"/>
      <c r="XI7" s="20"/>
      <c r="XJ7" s="20"/>
      <c r="XK7" s="20"/>
      <c r="XL7" s="20"/>
      <c r="XM7" s="20"/>
      <c r="XN7" s="20"/>
      <c r="XO7" s="20"/>
      <c r="XP7" s="20"/>
      <c r="XQ7" s="21"/>
      <c r="XR7" s="21"/>
      <c r="XS7" s="20"/>
      <c r="XT7" s="20"/>
      <c r="XU7" s="20"/>
      <c r="XV7" s="20"/>
      <c r="XW7" s="20"/>
      <c r="XX7" s="20"/>
      <c r="XY7" s="20"/>
      <c r="XZ7" s="20"/>
      <c r="YA7" s="20"/>
      <c r="YB7" s="20"/>
      <c r="YC7" s="20"/>
      <c r="YD7" s="20"/>
      <c r="YE7" s="20"/>
      <c r="YF7" s="20"/>
      <c r="YG7" s="20"/>
      <c r="YH7" s="20"/>
      <c r="YI7" s="20"/>
      <c r="YJ7" s="20"/>
      <c r="YK7" s="20"/>
      <c r="YL7" s="20"/>
      <c r="YM7" s="20"/>
      <c r="YN7" s="20"/>
      <c r="YO7" s="20"/>
      <c r="YP7" s="20"/>
      <c r="YQ7" s="20"/>
      <c r="YR7" s="20"/>
      <c r="YS7" s="20"/>
      <c r="YT7" s="20"/>
      <c r="YU7" s="20"/>
      <c r="YV7" s="20"/>
      <c r="YW7" s="20"/>
      <c r="YX7" s="20"/>
      <c r="YY7" s="20"/>
      <c r="YZ7" s="21"/>
      <c r="ZA7" s="20"/>
      <c r="ZB7" s="20"/>
      <c r="ZC7" s="20"/>
      <c r="ZD7" s="20"/>
      <c r="ZE7" s="20"/>
      <c r="ZF7" s="20"/>
      <c r="ZG7" s="20"/>
      <c r="ZH7" s="20"/>
      <c r="ZI7" s="20"/>
      <c r="ZJ7" s="20"/>
      <c r="ZK7" s="20"/>
      <c r="ZL7" s="20"/>
      <c r="ZM7" s="20"/>
      <c r="ZN7" s="20"/>
      <c r="ZO7" s="20"/>
      <c r="ZP7" s="20"/>
      <c r="ZQ7" s="20"/>
      <c r="ZR7" s="20"/>
      <c r="ZS7" s="20"/>
      <c r="ZT7" s="20"/>
      <c r="ZU7" s="21"/>
      <c r="ZV7" s="21"/>
      <c r="ZW7" s="20"/>
      <c r="ZX7" s="20"/>
      <c r="ZY7" s="20"/>
      <c r="ZZ7" s="20"/>
      <c r="AAA7" s="20"/>
      <c r="AAB7" s="20"/>
      <c r="AAC7" s="20"/>
      <c r="AAD7" s="20"/>
      <c r="AAE7" s="20"/>
      <c r="AAF7" s="20"/>
      <c r="AAG7" s="20"/>
      <c r="AAH7" s="20"/>
      <c r="AAI7" s="20"/>
      <c r="AAJ7" s="20"/>
      <c r="AAK7" s="20"/>
      <c r="AAL7" s="20"/>
      <c r="AAM7" s="20"/>
      <c r="AAN7" s="20"/>
      <c r="AAO7" s="20"/>
      <c r="AAP7" s="20"/>
      <c r="AAQ7" s="20"/>
      <c r="AAR7" s="20"/>
      <c r="AAS7" s="20"/>
      <c r="AAT7" s="21"/>
      <c r="AAU7" s="20"/>
      <c r="AAV7" s="20"/>
      <c r="AAW7" s="20"/>
      <c r="AAX7" s="20"/>
      <c r="AAY7" s="20"/>
      <c r="AAZ7" s="20"/>
      <c r="ABA7" s="20"/>
      <c r="ABB7" s="20"/>
      <c r="ABC7" s="20"/>
      <c r="ABD7" s="20"/>
      <c r="ABE7" s="20"/>
      <c r="ABF7" s="20"/>
      <c r="ABG7" s="20"/>
      <c r="ABH7" s="20"/>
      <c r="ABI7" s="20"/>
      <c r="ABJ7" s="20"/>
      <c r="ABK7" s="20"/>
      <c r="ABL7" s="20"/>
      <c r="ABM7" s="20"/>
      <c r="ABN7" s="20"/>
      <c r="ABO7" s="21"/>
      <c r="ABP7" s="21"/>
      <c r="ABQ7" s="21"/>
      <c r="ABR7" s="20"/>
      <c r="ABS7" s="20"/>
      <c r="ABT7" s="20"/>
      <c r="ABU7" s="20"/>
      <c r="ABV7" s="20"/>
      <c r="ABW7" s="20"/>
      <c r="ABX7" s="20"/>
      <c r="ABY7" s="20"/>
      <c r="ABZ7" s="20"/>
      <c r="ACA7" s="20"/>
      <c r="ACB7" s="20"/>
      <c r="ACC7" s="20"/>
      <c r="ACD7" s="20"/>
      <c r="ACE7" s="20"/>
      <c r="ACF7" s="20"/>
      <c r="ACG7" s="20"/>
      <c r="ACH7" s="20"/>
      <c r="ACI7" s="20"/>
      <c r="ACJ7" s="20"/>
      <c r="ACK7" s="20"/>
      <c r="ACL7" s="20"/>
      <c r="ACM7" s="21"/>
      <c r="ACN7" s="20"/>
      <c r="ACO7" s="20"/>
      <c r="ACP7" s="20"/>
      <c r="ACQ7" s="20"/>
      <c r="ACR7" s="20"/>
      <c r="ACS7" s="21"/>
      <c r="ACT7" s="20"/>
      <c r="ACU7" s="20"/>
      <c r="ACV7" s="20"/>
      <c r="ACW7" s="20"/>
      <c r="ACX7" s="20"/>
      <c r="ACY7" s="20"/>
      <c r="ACZ7" s="20"/>
      <c r="ADA7" s="20"/>
      <c r="ADB7" s="20"/>
      <c r="ADC7" s="20"/>
      <c r="ADD7" s="20"/>
      <c r="ADE7" s="20"/>
      <c r="ADF7" s="20"/>
      <c r="ADG7" s="20"/>
      <c r="ADH7" s="20"/>
      <c r="ADI7" s="20"/>
      <c r="ADJ7" s="20"/>
      <c r="ADK7" s="20"/>
      <c r="ADL7" s="20"/>
      <c r="ADM7" s="20"/>
      <c r="ADN7" s="20"/>
      <c r="ADO7" s="20"/>
      <c r="ADP7" s="20"/>
      <c r="ADQ7" s="20"/>
      <c r="ADR7" s="21"/>
      <c r="ADS7" s="22"/>
      <c r="ADT7" s="20"/>
      <c r="ADU7" s="20"/>
      <c r="ADV7" s="20"/>
      <c r="ADW7" s="20"/>
      <c r="ADX7" s="20"/>
      <c r="ADY7" s="20"/>
      <c r="ADZ7" s="20"/>
      <c r="AEA7" s="20"/>
      <c r="AEB7" s="20"/>
      <c r="AEC7" s="20"/>
      <c r="AED7" s="20"/>
      <c r="AEE7" s="20"/>
      <c r="AEF7" s="20"/>
      <c r="AEG7" s="20"/>
      <c r="AEH7" s="20"/>
      <c r="AEI7" s="20"/>
      <c r="AEJ7" s="20"/>
      <c r="AEK7" s="20"/>
      <c r="AEL7" s="20"/>
      <c r="AEM7" s="20"/>
      <c r="AEN7" s="20"/>
      <c r="AEO7" s="20"/>
      <c r="AEP7" s="20"/>
      <c r="AEQ7" s="20"/>
      <c r="AER7" s="21"/>
      <c r="AES7" s="20"/>
      <c r="AET7" s="20"/>
      <c r="AEU7" s="20"/>
      <c r="AEV7" s="20"/>
      <c r="AEW7" s="21"/>
      <c r="AEX7" s="20"/>
      <c r="AEY7" s="20"/>
      <c r="AEZ7" s="20"/>
      <c r="AFA7" s="20"/>
      <c r="AFB7" s="20"/>
      <c r="AFC7" s="20"/>
      <c r="AFD7" s="21"/>
      <c r="AFE7" s="21"/>
      <c r="AFF7" s="20"/>
      <c r="AFG7" s="20"/>
      <c r="AFH7" s="20"/>
      <c r="AFI7" s="20"/>
      <c r="AFJ7" s="20"/>
      <c r="AFK7" s="20"/>
      <c r="AFL7" s="20"/>
      <c r="AFM7" s="20"/>
      <c r="AFN7" s="20"/>
      <c r="AFO7" s="20"/>
      <c r="AFP7" s="20"/>
      <c r="AFQ7" s="20"/>
      <c r="AFR7" s="20"/>
      <c r="AFS7" s="20"/>
      <c r="AFT7" s="20"/>
      <c r="AFU7" s="20"/>
      <c r="AFV7" s="20"/>
      <c r="AFW7" s="20"/>
      <c r="AFX7" s="21"/>
      <c r="AFY7" s="20"/>
      <c r="AFZ7" s="20"/>
      <c r="AGA7" s="20"/>
      <c r="AGB7" s="20"/>
      <c r="AGC7" s="20"/>
      <c r="AGD7" s="20"/>
      <c r="AGE7" s="20"/>
      <c r="AGF7" s="20"/>
      <c r="AGG7" s="20"/>
      <c r="AGH7" s="20"/>
      <c r="AGI7" s="21"/>
      <c r="AGJ7" s="20"/>
      <c r="AGK7" s="20"/>
      <c r="AGL7" s="20"/>
      <c r="AGM7" s="20"/>
      <c r="AGN7" s="20"/>
      <c r="AGO7" s="20"/>
      <c r="AGP7" s="20"/>
      <c r="AGQ7" s="20"/>
      <c r="AGR7" s="20"/>
      <c r="AGS7" s="20"/>
      <c r="AGT7" s="20"/>
      <c r="AGU7" s="21"/>
      <c r="AGV7" s="20"/>
      <c r="AGW7" s="20"/>
      <c r="AGX7" s="20"/>
      <c r="AGY7" s="20"/>
      <c r="AGZ7" s="20"/>
      <c r="AHA7" s="20"/>
      <c r="AHB7" s="20"/>
      <c r="AHC7" s="20"/>
      <c r="AHD7" s="20"/>
      <c r="AHE7" s="20"/>
      <c r="AHF7" s="20"/>
      <c r="AHG7" s="20"/>
      <c r="AHH7" s="20"/>
      <c r="AHI7" s="20"/>
      <c r="AHJ7" s="20"/>
      <c r="AHK7" s="20"/>
      <c r="AHL7" s="20"/>
      <c r="AHM7" s="20"/>
      <c r="AHN7" s="20"/>
      <c r="AHO7" s="20"/>
      <c r="AHP7" s="20"/>
      <c r="AHQ7" s="21"/>
      <c r="AHR7" s="20"/>
      <c r="AHS7" s="20"/>
    </row>
    <row r="8" spans="1:934" x14ac:dyDescent="0.25">
      <c r="A8" s="28" t="s">
        <v>1084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1"/>
      <c r="AG8" s="21"/>
      <c r="AH8" s="21"/>
      <c r="AI8" s="21"/>
      <c r="AJ8" s="21"/>
      <c r="AK8" s="21"/>
      <c r="AL8" s="21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1"/>
      <c r="BN8" s="21"/>
      <c r="BO8" s="21"/>
      <c r="BP8" s="21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1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1"/>
      <c r="DL8" s="21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1"/>
      <c r="DX8" s="21"/>
      <c r="DY8" s="21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1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1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1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1"/>
      <c r="OB8" s="22"/>
      <c r="OC8" s="22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1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20"/>
      <c r="SC8" s="20"/>
      <c r="SD8" s="20"/>
      <c r="SE8" s="20"/>
      <c r="SF8" s="20"/>
      <c r="SG8" s="20"/>
      <c r="SH8" s="20"/>
      <c r="SI8" s="20"/>
      <c r="SJ8" s="20"/>
      <c r="SK8" s="20"/>
      <c r="SL8" s="20"/>
      <c r="SM8" s="20"/>
      <c r="SN8" s="20"/>
      <c r="SO8" s="20"/>
      <c r="SP8" s="20"/>
      <c r="SQ8" s="20"/>
      <c r="SR8" s="20"/>
      <c r="SS8" s="20"/>
      <c r="ST8" s="20"/>
      <c r="SU8" s="20"/>
      <c r="SV8" s="20"/>
      <c r="SW8" s="20"/>
      <c r="SX8" s="20"/>
      <c r="SY8" s="20"/>
      <c r="SZ8" s="20"/>
      <c r="TA8" s="20"/>
      <c r="TB8" s="20"/>
      <c r="TC8" s="20"/>
      <c r="TD8" s="21"/>
      <c r="TE8" s="21"/>
      <c r="TF8" s="21"/>
      <c r="TG8" s="21"/>
      <c r="TH8" s="21"/>
      <c r="TI8" s="20"/>
      <c r="TJ8" s="20"/>
      <c r="TK8" s="20"/>
      <c r="TL8" s="20"/>
      <c r="TM8" s="20"/>
      <c r="TN8" s="20"/>
      <c r="TO8" s="20"/>
      <c r="TP8" s="20"/>
      <c r="TQ8" s="20"/>
      <c r="TR8" s="20"/>
      <c r="TS8" s="20"/>
      <c r="TT8" s="20"/>
      <c r="TU8" s="20"/>
      <c r="TV8" s="20"/>
      <c r="TW8" s="20"/>
      <c r="TX8" s="20"/>
      <c r="TY8" s="21"/>
      <c r="TZ8" s="20"/>
      <c r="UA8" s="20"/>
      <c r="UB8" s="20"/>
      <c r="UC8" s="20"/>
      <c r="UD8" s="20"/>
      <c r="UE8" s="20"/>
      <c r="UF8" s="20"/>
      <c r="UG8" s="20"/>
      <c r="UH8" s="20"/>
      <c r="UI8" s="20"/>
      <c r="UJ8" s="20"/>
      <c r="UK8" s="20"/>
      <c r="UL8" s="20"/>
      <c r="UM8" s="20"/>
      <c r="UN8" s="20"/>
      <c r="UO8" s="20"/>
      <c r="UP8" s="20"/>
      <c r="UQ8" s="20"/>
      <c r="UR8" s="20"/>
      <c r="US8" s="20"/>
      <c r="UT8" s="20"/>
      <c r="UU8" s="20"/>
      <c r="UV8" s="20"/>
      <c r="UW8" s="20"/>
      <c r="UX8" s="20"/>
      <c r="UY8" s="20"/>
      <c r="UZ8" s="20"/>
      <c r="VA8" s="20"/>
      <c r="VB8" s="20"/>
      <c r="VC8" s="20"/>
      <c r="VD8" s="20"/>
      <c r="VE8" s="20"/>
      <c r="VF8" s="20"/>
      <c r="VG8" s="20"/>
      <c r="VH8" s="20"/>
      <c r="VI8" s="20"/>
      <c r="VJ8" s="20"/>
      <c r="VK8" s="20"/>
      <c r="VL8" s="20"/>
      <c r="VM8" s="20"/>
      <c r="VN8" s="20"/>
      <c r="VO8" s="20"/>
      <c r="VP8" s="20"/>
      <c r="VQ8" s="20"/>
      <c r="VR8" s="20"/>
      <c r="VS8" s="20"/>
      <c r="VT8" s="20"/>
      <c r="VU8" s="20"/>
      <c r="VV8" s="20"/>
      <c r="VW8" s="20"/>
      <c r="VX8" s="20"/>
      <c r="VY8" s="20"/>
      <c r="VZ8" s="20"/>
      <c r="WA8" s="20"/>
      <c r="WB8" s="20"/>
      <c r="WC8" s="20"/>
      <c r="WD8" s="20"/>
      <c r="WE8" s="20"/>
      <c r="WF8" s="20"/>
      <c r="WG8" s="20"/>
      <c r="WH8" s="20"/>
      <c r="WI8" s="20"/>
      <c r="WJ8" s="20"/>
      <c r="WK8" s="21"/>
      <c r="WL8" s="21"/>
      <c r="WM8" s="20"/>
      <c r="WN8" s="20"/>
      <c r="WO8" s="20"/>
      <c r="WP8" s="20"/>
      <c r="WQ8" s="20"/>
      <c r="WR8" s="20"/>
      <c r="WS8" s="20"/>
      <c r="WT8" s="20"/>
      <c r="WU8" s="20"/>
      <c r="WV8" s="20"/>
      <c r="WW8" s="20"/>
      <c r="WX8" s="20"/>
      <c r="WY8" s="20"/>
      <c r="WZ8" s="20"/>
      <c r="XA8" s="20"/>
      <c r="XB8" s="20"/>
      <c r="XC8" s="20"/>
      <c r="XD8" s="20"/>
      <c r="XE8" s="20"/>
      <c r="XF8" s="20"/>
      <c r="XG8" s="20"/>
      <c r="XH8" s="20"/>
      <c r="XI8" s="20"/>
      <c r="XJ8" s="20"/>
      <c r="XK8" s="20"/>
      <c r="XL8" s="20"/>
      <c r="XM8" s="20"/>
      <c r="XN8" s="20"/>
      <c r="XO8" s="20"/>
      <c r="XP8" s="20"/>
      <c r="XQ8" s="21"/>
      <c r="XR8" s="21"/>
      <c r="XS8" s="20"/>
      <c r="XT8" s="20"/>
      <c r="XU8" s="20"/>
      <c r="XV8" s="20"/>
      <c r="XW8" s="20"/>
      <c r="XX8" s="20"/>
      <c r="XY8" s="20"/>
      <c r="XZ8" s="20"/>
      <c r="YA8" s="20"/>
      <c r="YB8" s="20"/>
      <c r="YC8" s="20"/>
      <c r="YD8" s="20"/>
      <c r="YE8" s="20"/>
      <c r="YF8" s="20"/>
      <c r="YG8" s="20"/>
      <c r="YH8" s="20"/>
      <c r="YI8" s="20"/>
      <c r="YJ8" s="20"/>
      <c r="YK8" s="20"/>
      <c r="YL8" s="20"/>
      <c r="YM8" s="20"/>
      <c r="YN8" s="20"/>
      <c r="YO8" s="20"/>
      <c r="YP8" s="20"/>
      <c r="YQ8" s="20"/>
      <c r="YR8" s="20"/>
      <c r="YS8" s="20"/>
      <c r="YT8" s="20"/>
      <c r="YU8" s="20"/>
      <c r="YV8" s="20"/>
      <c r="YW8" s="20"/>
      <c r="YX8" s="20"/>
      <c r="YY8" s="20"/>
      <c r="YZ8" s="21"/>
      <c r="ZA8" s="20"/>
      <c r="ZB8" s="20"/>
      <c r="ZC8" s="20"/>
      <c r="ZD8" s="20"/>
      <c r="ZE8" s="20"/>
      <c r="ZF8" s="20"/>
      <c r="ZG8" s="20"/>
      <c r="ZH8" s="20"/>
      <c r="ZI8" s="20"/>
      <c r="ZJ8" s="20"/>
      <c r="ZK8" s="20"/>
      <c r="ZL8" s="20"/>
      <c r="ZM8" s="20"/>
      <c r="ZN8" s="20"/>
      <c r="ZO8" s="20"/>
      <c r="ZP8" s="20"/>
      <c r="ZQ8" s="20"/>
      <c r="ZR8" s="20"/>
      <c r="ZS8" s="20"/>
      <c r="ZT8" s="20"/>
      <c r="ZU8" s="21"/>
      <c r="ZV8" s="21"/>
      <c r="ZW8" s="20"/>
      <c r="ZX8" s="20"/>
      <c r="ZY8" s="20"/>
      <c r="ZZ8" s="20"/>
      <c r="AAA8" s="20"/>
      <c r="AAB8" s="20"/>
      <c r="AAC8" s="20"/>
      <c r="AAD8" s="20"/>
      <c r="AAE8" s="20"/>
      <c r="AAF8" s="20"/>
      <c r="AAG8" s="20"/>
      <c r="AAH8" s="20"/>
      <c r="AAI8" s="20"/>
      <c r="AAJ8" s="20"/>
      <c r="AAK8" s="20"/>
      <c r="AAL8" s="20"/>
      <c r="AAM8" s="20"/>
      <c r="AAN8" s="20"/>
      <c r="AAO8" s="20"/>
      <c r="AAP8" s="20"/>
      <c r="AAQ8" s="20"/>
      <c r="AAR8" s="20"/>
      <c r="AAS8" s="20"/>
      <c r="AAT8" s="21"/>
      <c r="AAU8" s="20"/>
      <c r="AAV8" s="20"/>
      <c r="AAW8" s="20"/>
      <c r="AAX8" s="20"/>
      <c r="AAY8" s="20"/>
      <c r="AAZ8" s="20"/>
      <c r="ABA8" s="20"/>
      <c r="ABB8" s="20"/>
      <c r="ABC8" s="20"/>
      <c r="ABD8" s="20"/>
      <c r="ABE8" s="20"/>
      <c r="ABF8" s="20"/>
      <c r="ABG8" s="20"/>
      <c r="ABH8" s="20"/>
      <c r="ABI8" s="20"/>
      <c r="ABJ8" s="20"/>
      <c r="ABK8" s="20"/>
      <c r="ABL8" s="20"/>
      <c r="ABM8" s="20"/>
      <c r="ABN8" s="20"/>
      <c r="ABO8" s="21"/>
      <c r="ABP8" s="21"/>
      <c r="ABQ8" s="21"/>
      <c r="ABR8" s="20"/>
      <c r="ABS8" s="20"/>
      <c r="ABT8" s="20"/>
      <c r="ABU8" s="20"/>
      <c r="ABV8" s="20"/>
      <c r="ABW8" s="20"/>
      <c r="ABX8" s="20"/>
      <c r="ABY8" s="20"/>
      <c r="ABZ8" s="20"/>
      <c r="ACA8" s="20"/>
      <c r="ACB8" s="20"/>
      <c r="ACC8" s="20"/>
      <c r="ACD8" s="20"/>
      <c r="ACE8" s="20"/>
      <c r="ACF8" s="20"/>
      <c r="ACG8" s="20"/>
      <c r="ACH8" s="20"/>
      <c r="ACI8" s="20"/>
      <c r="ACJ8" s="20"/>
      <c r="ACK8" s="20"/>
      <c r="ACL8" s="20"/>
      <c r="ACM8" s="21"/>
      <c r="ACN8" s="20"/>
      <c r="ACO8" s="20"/>
      <c r="ACP8" s="20"/>
      <c r="ACQ8" s="20"/>
      <c r="ACR8" s="20"/>
      <c r="ACS8" s="21"/>
      <c r="ACT8" s="20"/>
      <c r="ACU8" s="20"/>
      <c r="ACV8" s="20"/>
      <c r="ACW8" s="20"/>
      <c r="ACX8" s="20"/>
      <c r="ACY8" s="20"/>
      <c r="ACZ8" s="20"/>
      <c r="ADA8" s="20"/>
      <c r="ADB8" s="20"/>
      <c r="ADC8" s="20"/>
      <c r="ADD8" s="20"/>
      <c r="ADE8" s="20"/>
      <c r="ADF8" s="20"/>
      <c r="ADG8" s="20"/>
      <c r="ADH8" s="20"/>
      <c r="ADI8" s="20"/>
      <c r="ADJ8" s="20"/>
      <c r="ADK8" s="20"/>
      <c r="ADL8" s="20"/>
      <c r="ADM8" s="20"/>
      <c r="ADN8" s="20"/>
      <c r="ADO8" s="20"/>
      <c r="ADP8" s="20"/>
      <c r="ADQ8" s="20"/>
      <c r="ADR8" s="21"/>
      <c r="ADS8" s="22"/>
      <c r="ADT8" s="20"/>
      <c r="ADU8" s="20"/>
      <c r="ADV8" s="20"/>
      <c r="ADW8" s="20"/>
      <c r="ADX8" s="20"/>
      <c r="ADY8" s="20"/>
      <c r="ADZ8" s="20"/>
      <c r="AEA8" s="20"/>
      <c r="AEB8" s="20"/>
      <c r="AEC8" s="20"/>
      <c r="AED8" s="20"/>
      <c r="AEE8" s="20"/>
      <c r="AEF8" s="20"/>
      <c r="AEG8" s="20"/>
      <c r="AEH8" s="20"/>
      <c r="AEI8" s="20"/>
      <c r="AEJ8" s="20"/>
      <c r="AEK8" s="20"/>
      <c r="AEL8" s="20"/>
      <c r="AEM8" s="20"/>
      <c r="AEN8" s="20"/>
      <c r="AEO8" s="20"/>
      <c r="AEP8" s="20"/>
      <c r="AEQ8" s="20"/>
      <c r="AER8" s="21"/>
      <c r="AES8" s="20"/>
      <c r="AET8" s="20"/>
      <c r="AEU8" s="20"/>
      <c r="AEV8" s="20"/>
      <c r="AEW8" s="21"/>
      <c r="AEX8" s="20"/>
      <c r="AEY8" s="20"/>
      <c r="AEZ8" s="20"/>
      <c r="AFA8" s="20"/>
      <c r="AFB8" s="20"/>
      <c r="AFC8" s="20"/>
      <c r="AFD8" s="21"/>
      <c r="AFE8" s="21"/>
      <c r="AFF8" s="20"/>
      <c r="AFG8" s="20"/>
      <c r="AFH8" s="20"/>
      <c r="AFI8" s="20"/>
      <c r="AFJ8" s="20"/>
      <c r="AFK8" s="20"/>
      <c r="AFL8" s="20"/>
      <c r="AFM8" s="20"/>
      <c r="AFN8" s="20"/>
      <c r="AFO8" s="20"/>
      <c r="AFP8" s="20"/>
      <c r="AFQ8" s="20"/>
      <c r="AFR8" s="20"/>
      <c r="AFS8" s="20"/>
      <c r="AFT8" s="20"/>
      <c r="AFU8" s="20"/>
      <c r="AFV8" s="20"/>
      <c r="AFW8" s="20"/>
      <c r="AFX8" s="21"/>
      <c r="AFY8" s="20"/>
      <c r="AFZ8" s="20"/>
      <c r="AGA8" s="20"/>
      <c r="AGB8" s="20"/>
      <c r="AGC8" s="20"/>
      <c r="AGD8" s="20"/>
      <c r="AGE8" s="20"/>
      <c r="AGF8" s="20"/>
      <c r="AGG8" s="20"/>
      <c r="AGH8" s="20"/>
      <c r="AGI8" s="21"/>
      <c r="AGJ8" s="20"/>
      <c r="AGK8" s="20"/>
      <c r="AGL8" s="20"/>
      <c r="AGM8" s="20"/>
      <c r="AGN8" s="20"/>
      <c r="AGO8" s="20"/>
      <c r="AGP8" s="20"/>
      <c r="AGQ8" s="20"/>
      <c r="AGR8" s="20"/>
      <c r="AGS8" s="20"/>
      <c r="AGT8" s="20"/>
      <c r="AGU8" s="21"/>
      <c r="AGV8" s="20"/>
      <c r="AGW8" s="20"/>
      <c r="AGX8" s="20"/>
      <c r="AGY8" s="20"/>
      <c r="AGZ8" s="20"/>
      <c r="AHA8" s="20"/>
      <c r="AHB8" s="20"/>
      <c r="AHC8" s="20"/>
      <c r="AHD8" s="20"/>
      <c r="AHE8" s="20"/>
      <c r="AHF8" s="20"/>
      <c r="AHG8" s="20"/>
      <c r="AHH8" s="20"/>
      <c r="AHI8" s="20"/>
      <c r="AHJ8" s="20"/>
      <c r="AHK8" s="20"/>
      <c r="AHL8" s="20"/>
      <c r="AHM8" s="20"/>
      <c r="AHN8" s="20"/>
      <c r="AHO8" s="20"/>
      <c r="AHP8" s="20"/>
      <c r="AHQ8" s="21"/>
      <c r="AHR8" s="20"/>
      <c r="AHS8" s="20"/>
    </row>
    <row r="9" spans="1:934" x14ac:dyDescent="0.25">
      <c r="A9">
        <v>14242856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1"/>
      <c r="AG9" s="21"/>
      <c r="AH9" s="21"/>
      <c r="AI9" s="21"/>
      <c r="AJ9" s="21"/>
      <c r="AK9" s="21"/>
      <c r="AL9" s="21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1"/>
      <c r="BN9" s="21"/>
      <c r="BO9" s="21"/>
      <c r="BP9" s="21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1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1"/>
      <c r="DL9" s="21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1"/>
      <c r="DX9" s="21">
        <v>6770</v>
      </c>
      <c r="DY9" s="21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1"/>
      <c r="FK9" s="20">
        <v>80</v>
      </c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1"/>
      <c r="II9">
        <v>145</v>
      </c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1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1"/>
      <c r="OB9" s="22"/>
      <c r="OC9" s="22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1"/>
      <c r="PW9">
        <v>25</v>
      </c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1"/>
      <c r="QK9">
        <v>12.1</v>
      </c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0"/>
      <c r="SC9" s="20"/>
      <c r="SD9" s="20"/>
      <c r="SE9" s="20"/>
      <c r="SF9" s="20"/>
      <c r="SG9" s="20"/>
      <c r="SH9" s="20"/>
      <c r="SI9" s="20"/>
      <c r="SJ9" s="20"/>
      <c r="SK9" s="20"/>
      <c r="SL9" s="20"/>
      <c r="SM9" s="20"/>
      <c r="SN9" s="20"/>
      <c r="SO9" s="20"/>
      <c r="SP9" s="20"/>
      <c r="SQ9" s="20"/>
      <c r="SR9" s="20"/>
      <c r="SS9" s="20"/>
      <c r="ST9" s="20"/>
      <c r="SU9" s="20"/>
      <c r="SV9" s="20"/>
      <c r="SW9" s="20"/>
      <c r="SX9" s="20"/>
      <c r="SY9" s="20"/>
      <c r="SZ9" s="20"/>
      <c r="TA9" s="20"/>
      <c r="TB9" s="20"/>
      <c r="TC9" s="20"/>
      <c r="TD9" s="21"/>
      <c r="TE9" s="21">
        <v>5</v>
      </c>
      <c r="TF9" s="21"/>
      <c r="TG9" s="21"/>
      <c r="TH9" s="21"/>
      <c r="TI9" s="20"/>
      <c r="TJ9" s="20"/>
      <c r="TK9" s="20"/>
      <c r="TL9" s="20"/>
      <c r="TM9" s="20"/>
      <c r="TN9" s="20"/>
      <c r="TO9" s="20"/>
      <c r="TP9" s="20"/>
      <c r="TQ9" s="20"/>
      <c r="TR9" s="20"/>
      <c r="TS9" s="20"/>
      <c r="TT9" s="20"/>
      <c r="TU9" s="20"/>
      <c r="TV9" s="20"/>
      <c r="TW9" s="20"/>
      <c r="TX9" s="20"/>
      <c r="TY9" s="21"/>
      <c r="TZ9" s="20"/>
      <c r="UA9" s="20"/>
      <c r="UB9" s="20"/>
      <c r="UC9" s="20"/>
      <c r="UD9" s="20"/>
      <c r="UE9" s="20"/>
      <c r="UF9" s="20"/>
      <c r="UG9" s="20"/>
      <c r="UH9" s="20"/>
      <c r="UI9" s="20"/>
      <c r="UJ9" s="20"/>
      <c r="UK9" s="20"/>
      <c r="UL9" s="20"/>
      <c r="UM9" s="20"/>
      <c r="UN9" s="20"/>
      <c r="UO9" s="20"/>
      <c r="UP9" s="20"/>
      <c r="UQ9" s="20"/>
      <c r="UR9" s="20"/>
      <c r="US9" s="20"/>
      <c r="UT9" s="20"/>
      <c r="UU9" s="20"/>
      <c r="UV9" s="20"/>
      <c r="UW9" s="20"/>
      <c r="UX9" s="20"/>
      <c r="UY9" s="20"/>
      <c r="UZ9" s="20"/>
      <c r="VA9" s="20"/>
      <c r="VB9" s="20"/>
      <c r="VC9" s="20"/>
      <c r="VD9" s="20"/>
      <c r="VE9" s="20"/>
      <c r="VF9" s="20"/>
      <c r="VG9" s="20"/>
      <c r="VH9" s="20"/>
      <c r="VI9" s="20"/>
      <c r="VJ9" s="20"/>
      <c r="VK9" s="20"/>
      <c r="VL9" s="20"/>
      <c r="VM9" s="20"/>
      <c r="VN9" s="20"/>
      <c r="VO9" s="20"/>
      <c r="VP9" s="20"/>
      <c r="VQ9" s="20"/>
      <c r="VR9" s="20"/>
      <c r="VS9" s="20"/>
      <c r="VT9" s="20"/>
      <c r="VU9" s="20"/>
      <c r="VV9" s="20"/>
      <c r="VW9" s="20"/>
      <c r="VX9" s="20"/>
      <c r="VY9" s="20"/>
      <c r="VZ9" s="20"/>
      <c r="WA9" s="20"/>
      <c r="WB9" s="20"/>
      <c r="WC9" s="20"/>
      <c r="WD9" s="20"/>
      <c r="WE9" s="20"/>
      <c r="WF9" s="20"/>
      <c r="WG9" s="20"/>
      <c r="WH9" s="20"/>
      <c r="WI9" s="20"/>
      <c r="WJ9" s="20"/>
      <c r="WK9" s="21"/>
      <c r="WL9" s="21"/>
      <c r="WM9" s="20"/>
      <c r="WN9" s="20"/>
      <c r="WO9" s="20"/>
      <c r="WP9" s="20"/>
      <c r="WQ9" s="20"/>
      <c r="WR9" s="20"/>
      <c r="WS9" s="20"/>
      <c r="WT9" s="20"/>
      <c r="WU9" s="20"/>
      <c r="WV9" s="20"/>
      <c r="WW9" s="20"/>
      <c r="WX9" s="20"/>
      <c r="WY9" s="20"/>
      <c r="WZ9" s="20"/>
      <c r="XA9" s="20"/>
      <c r="XB9" s="20"/>
      <c r="XC9" s="20"/>
      <c r="XD9" s="20"/>
      <c r="XE9" s="20"/>
      <c r="XF9" s="20"/>
      <c r="XG9" s="20"/>
      <c r="XH9" s="20"/>
      <c r="XI9" s="20"/>
      <c r="XJ9" s="20"/>
      <c r="XK9" s="20"/>
      <c r="XL9" s="20"/>
      <c r="XM9" s="20"/>
      <c r="XN9" s="20"/>
      <c r="XO9" s="20"/>
      <c r="XP9" s="20"/>
      <c r="XQ9" s="21"/>
      <c r="XR9" s="21"/>
      <c r="XS9" s="20"/>
      <c r="XT9" s="20"/>
      <c r="XU9" s="20"/>
      <c r="XV9" s="20"/>
      <c r="XW9" s="20"/>
      <c r="XX9" s="20"/>
      <c r="XY9" s="20"/>
      <c r="XZ9" s="20"/>
      <c r="YA9" s="20"/>
      <c r="YB9" s="20"/>
      <c r="YC9" s="20"/>
      <c r="YD9" s="20"/>
      <c r="YE9" s="20"/>
      <c r="YF9" s="20"/>
      <c r="YG9" s="20"/>
      <c r="YH9" s="20"/>
      <c r="YI9" s="20"/>
      <c r="YJ9" s="20"/>
      <c r="YK9" s="20"/>
      <c r="YL9" s="20"/>
      <c r="YM9" s="20"/>
      <c r="YN9" s="20"/>
      <c r="YO9" s="20"/>
      <c r="YP9" s="20"/>
      <c r="YQ9" s="20"/>
      <c r="YR9" s="20"/>
      <c r="YS9" s="20"/>
      <c r="YT9" s="20"/>
      <c r="YU9" s="20"/>
      <c r="YV9" s="20"/>
      <c r="YW9" s="20"/>
      <c r="YX9" s="20"/>
      <c r="YY9" s="20"/>
      <c r="YZ9" s="21"/>
      <c r="ZA9" s="20"/>
      <c r="ZB9" s="20"/>
      <c r="ZC9" s="20"/>
      <c r="ZD9" s="20"/>
      <c r="ZE9" s="20"/>
      <c r="ZF9" s="20"/>
      <c r="ZG9" s="20"/>
      <c r="ZH9" s="20"/>
      <c r="ZI9" s="20"/>
      <c r="ZJ9" s="20"/>
      <c r="ZK9" s="20"/>
      <c r="ZL9" s="20"/>
      <c r="ZM9" s="20"/>
      <c r="ZN9" s="20"/>
      <c r="ZO9" s="20"/>
      <c r="ZP9" s="20"/>
      <c r="ZQ9" s="20"/>
      <c r="ZR9" s="20"/>
      <c r="ZS9" s="20"/>
      <c r="ZT9" s="20"/>
      <c r="ZU9" s="21"/>
      <c r="ZV9" s="21"/>
      <c r="ZW9" s="20"/>
      <c r="ZX9" s="20"/>
      <c r="ZY9" s="20"/>
      <c r="ZZ9" s="20"/>
      <c r="AAA9" s="20"/>
      <c r="AAB9" s="20"/>
      <c r="AAC9" s="20"/>
      <c r="AAD9" s="20"/>
      <c r="AAE9" s="20"/>
      <c r="AAF9" s="20"/>
      <c r="AAG9" s="20"/>
      <c r="AAH9" s="20"/>
      <c r="AAI9" s="20"/>
      <c r="AAJ9" s="20"/>
      <c r="AAK9" s="20"/>
      <c r="AAL9" s="20"/>
      <c r="AAM9" s="20"/>
      <c r="AAN9" s="20"/>
      <c r="AAO9" s="20"/>
      <c r="AAP9" s="20"/>
      <c r="AAQ9" s="20"/>
      <c r="AAR9" s="20"/>
      <c r="AAS9" s="20"/>
      <c r="AAT9" s="21"/>
      <c r="AAU9" s="20"/>
      <c r="AAV9" s="20"/>
      <c r="AAW9" s="20"/>
      <c r="AAX9" s="20"/>
      <c r="AAY9" s="20"/>
      <c r="AAZ9" s="20"/>
      <c r="ABA9" s="20"/>
      <c r="ABB9" s="20"/>
      <c r="ABC9" s="20"/>
      <c r="ABD9" s="20"/>
      <c r="ABE9" s="20"/>
      <c r="ABF9" s="20"/>
      <c r="ABG9" s="20"/>
      <c r="ABH9" s="20"/>
      <c r="ABI9" s="20"/>
      <c r="ABJ9" s="20"/>
      <c r="ABK9" s="20"/>
      <c r="ABL9" s="20"/>
      <c r="ABM9" s="20"/>
      <c r="ABN9" s="20"/>
      <c r="ABO9" s="21"/>
      <c r="ABP9" s="21"/>
      <c r="ABQ9" s="21"/>
      <c r="ABR9" s="20">
        <v>330</v>
      </c>
      <c r="ABS9" s="20"/>
      <c r="ABT9" s="20"/>
      <c r="ABU9" s="20"/>
      <c r="ABV9" s="20"/>
      <c r="ABW9" s="20"/>
      <c r="ABX9" s="20"/>
      <c r="ABY9" s="20"/>
      <c r="ABZ9" s="20"/>
      <c r="ACA9" s="20"/>
      <c r="ACB9" s="20"/>
      <c r="ACC9" s="20"/>
      <c r="ACD9" s="20"/>
      <c r="ACE9" s="20"/>
      <c r="ACF9" s="20"/>
      <c r="ACG9" s="20"/>
      <c r="ACH9" s="20"/>
      <c r="ACI9" s="20"/>
      <c r="ACJ9" s="20"/>
      <c r="ACK9" s="20"/>
      <c r="ACL9" s="20"/>
      <c r="ACM9" s="21"/>
      <c r="ACN9" s="20"/>
      <c r="ACO9" s="20"/>
      <c r="ACP9" s="20"/>
      <c r="ACQ9" s="20"/>
      <c r="ACR9" s="20"/>
      <c r="ACS9" s="21"/>
      <c r="ACT9" s="20"/>
      <c r="ACU9" s="20"/>
      <c r="ACV9" s="20"/>
      <c r="ACW9" s="20"/>
      <c r="ACX9" s="20"/>
      <c r="ACY9" s="20"/>
      <c r="ACZ9" s="20"/>
      <c r="ADA9" s="20"/>
      <c r="ADB9" s="20"/>
      <c r="ADC9" s="20"/>
      <c r="ADD9" s="20"/>
      <c r="ADE9" s="20"/>
      <c r="ADF9" s="20"/>
      <c r="ADG9" s="20"/>
      <c r="ADH9" s="20"/>
      <c r="ADI9" s="20"/>
      <c r="ADJ9" s="20"/>
      <c r="ADK9" s="20"/>
      <c r="ADL9" s="20"/>
      <c r="ADM9" s="20"/>
      <c r="ADN9" s="20"/>
      <c r="ADO9" s="20"/>
      <c r="ADP9" s="20"/>
      <c r="ADQ9" s="20"/>
      <c r="ADR9" s="21"/>
      <c r="ADS9" s="22">
        <v>466000</v>
      </c>
      <c r="ADT9" s="20"/>
      <c r="ADU9" s="20"/>
      <c r="ADV9" s="20"/>
      <c r="ADW9" s="20"/>
      <c r="ADX9" s="20"/>
      <c r="ADY9" s="20"/>
      <c r="ADZ9" s="20"/>
      <c r="AEA9" s="20"/>
      <c r="AEB9" s="20"/>
      <c r="AEC9" s="20"/>
      <c r="AED9" s="20"/>
      <c r="AEE9" s="20"/>
      <c r="AEF9" s="20"/>
      <c r="AEG9" s="20"/>
      <c r="AEH9" s="20"/>
      <c r="AEI9" s="20"/>
      <c r="AEJ9" s="20"/>
      <c r="AEK9" s="20"/>
      <c r="AEL9" s="20"/>
      <c r="AEM9" s="20"/>
      <c r="AEN9" s="20"/>
      <c r="AEO9" s="20"/>
      <c r="AEP9" s="20"/>
      <c r="AEQ9" s="20"/>
      <c r="AER9" s="21"/>
      <c r="AES9" s="20"/>
      <c r="AET9" s="20"/>
      <c r="AEU9" s="20"/>
      <c r="AEV9" s="20"/>
      <c r="AEW9" s="21"/>
      <c r="AEX9" s="20"/>
      <c r="AEY9" s="20"/>
      <c r="AEZ9" s="20"/>
      <c r="AFA9" s="20"/>
      <c r="AFB9" s="20"/>
      <c r="AFC9" s="20"/>
      <c r="AFD9" s="21"/>
      <c r="AFE9" s="21"/>
      <c r="AFF9" s="20"/>
      <c r="AFG9" s="20"/>
      <c r="AFH9" s="20"/>
      <c r="AFI9">
        <v>1</v>
      </c>
      <c r="AFK9">
        <v>4</v>
      </c>
      <c r="AFL9">
        <v>80</v>
      </c>
      <c r="AFM9" s="20">
        <v>22</v>
      </c>
      <c r="AFN9" s="20"/>
      <c r="AFO9" s="20"/>
      <c r="AFP9" s="20"/>
      <c r="AFQ9" s="20"/>
      <c r="AFR9" s="20"/>
      <c r="AFS9" s="20"/>
      <c r="AFT9" s="20"/>
      <c r="AFU9" s="20"/>
      <c r="AFV9" s="20"/>
      <c r="AFW9" s="20"/>
      <c r="AFX9" s="21"/>
      <c r="AFY9" s="20"/>
      <c r="AFZ9" s="20"/>
      <c r="AGA9" s="20"/>
      <c r="AGB9" s="20"/>
      <c r="AGC9" s="20"/>
      <c r="AGD9" s="20"/>
      <c r="AGE9" s="20"/>
      <c r="AGF9" s="20"/>
      <c r="AGG9" s="20"/>
      <c r="AGH9" s="20"/>
      <c r="AGI9" s="21"/>
      <c r="AGJ9" s="20"/>
      <c r="AGK9" s="20"/>
      <c r="AGL9" s="20"/>
      <c r="AGM9" s="20"/>
      <c r="AGN9" s="20"/>
      <c r="AGO9" s="20"/>
      <c r="AGP9" s="20"/>
      <c r="AGQ9" s="20"/>
      <c r="AGR9" s="20"/>
      <c r="AGS9" s="20"/>
      <c r="AGT9" s="20"/>
      <c r="AGU9" s="21"/>
      <c r="AGV9" s="20"/>
      <c r="AGW9" s="20"/>
      <c r="AGX9" s="20"/>
      <c r="AGY9" s="20"/>
      <c r="AGZ9" s="20"/>
      <c r="AHA9" s="20"/>
      <c r="AHB9" s="20"/>
      <c r="AHC9" s="20"/>
      <c r="AHD9" s="20"/>
      <c r="AHE9" s="20"/>
      <c r="AHF9" s="20"/>
      <c r="AHG9" s="20"/>
      <c r="AHH9" s="20"/>
      <c r="AHI9" s="20"/>
      <c r="AHJ9" s="20"/>
      <c r="AHK9" s="20"/>
      <c r="AHL9" s="20"/>
      <c r="AHM9" s="20"/>
      <c r="AHN9" s="20"/>
      <c r="AHO9" s="20"/>
      <c r="AHP9" s="20"/>
      <c r="AHQ9" s="21"/>
      <c r="AHR9" s="20"/>
      <c r="AHS9" s="20"/>
    </row>
    <row r="10" spans="1:934" x14ac:dyDescent="0.25">
      <c r="A10">
        <v>99001183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1"/>
      <c r="AG10" s="21"/>
      <c r="AH10" s="21"/>
      <c r="AI10" s="21"/>
      <c r="AJ10" s="21"/>
      <c r="AK10" s="21"/>
      <c r="AL10" s="21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1"/>
      <c r="BN10" s="21"/>
      <c r="BO10" s="21"/>
      <c r="BP10" s="21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1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1"/>
      <c r="DL10" s="21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1"/>
      <c r="DX10" s="21"/>
      <c r="DY10" s="21"/>
      <c r="DZ10" s="20"/>
      <c r="EA10" s="20">
        <v>116000</v>
      </c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1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1"/>
      <c r="IJ10" s="20"/>
      <c r="IK10" s="20">
        <v>23</v>
      </c>
      <c r="IL10" s="20"/>
      <c r="IM10" s="20"/>
      <c r="IN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1"/>
      <c r="LE10" s="20"/>
      <c r="LF10" s="20"/>
      <c r="LG10" s="20"/>
      <c r="LH10" s="20">
        <v>56</v>
      </c>
      <c r="LI10" s="20"/>
      <c r="LJ10" s="20"/>
      <c r="LK10" s="20"/>
      <c r="LL10" s="20"/>
      <c r="LM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1"/>
      <c r="OB10" s="22"/>
      <c r="OC10" s="22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1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1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1"/>
      <c r="TE10" s="21"/>
      <c r="TF10" s="21"/>
      <c r="TG10" s="21"/>
      <c r="TH10" s="21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1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1"/>
      <c r="WL10" s="21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1"/>
      <c r="XR10" s="21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1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1"/>
      <c r="ZV10" s="21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1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1"/>
      <c r="ABP10" s="21"/>
      <c r="ABQ10" s="21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1"/>
      <c r="ACN10" s="20"/>
      <c r="ACO10" s="20"/>
      <c r="ACP10" s="20"/>
      <c r="ACQ10" s="20"/>
      <c r="ACR10" s="20"/>
      <c r="ACS10" s="21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1"/>
      <c r="ADS10" s="22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1"/>
      <c r="AES10" s="20"/>
      <c r="AET10" s="20"/>
      <c r="AEU10" s="20"/>
      <c r="AEV10" s="20"/>
      <c r="AEW10" s="21"/>
      <c r="AEX10" s="20"/>
      <c r="AEY10" s="20"/>
      <c r="AEZ10" s="20"/>
      <c r="AFA10" s="20"/>
      <c r="AFB10" s="20"/>
      <c r="AFC10" s="20"/>
      <c r="AFD10" s="21"/>
      <c r="AFE10" s="21"/>
      <c r="AFF10" s="20"/>
      <c r="AFG10" s="20"/>
      <c r="AFH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1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1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1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1"/>
      <c r="AHR10" s="20"/>
      <c r="AHS10" s="20"/>
    </row>
    <row r="11" spans="1:934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1"/>
      <c r="AG11" s="21"/>
      <c r="AH11" s="21"/>
      <c r="AI11" s="21"/>
      <c r="AJ11" s="21"/>
      <c r="AK11" s="21"/>
      <c r="AL11" s="21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1"/>
      <c r="BN11" s="21"/>
      <c r="BO11" s="21"/>
      <c r="BP11" s="21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1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1"/>
      <c r="DL11" s="21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1"/>
      <c r="DX11" s="21"/>
      <c r="DY11" s="21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1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1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1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1"/>
      <c r="OB11" s="22"/>
      <c r="OC11" s="22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1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1"/>
      <c r="QK11" s="21"/>
      <c r="QL11" s="21"/>
      <c r="QM11" s="21"/>
      <c r="QN11" s="21"/>
      <c r="QO11" s="21"/>
      <c r="QP11" s="21"/>
      <c r="QQ11" s="21"/>
      <c r="QR11" s="21"/>
      <c r="QS11" s="21"/>
      <c r="QT11" s="21"/>
      <c r="QU11" s="21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1"/>
      <c r="TE11" s="21"/>
      <c r="TF11" s="21"/>
      <c r="TG11" s="21"/>
      <c r="TH11" s="21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1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1"/>
      <c r="WL11" s="21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1"/>
      <c r="XR11" s="21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1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1"/>
      <c r="ZV11" s="21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1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1"/>
      <c r="ABP11" s="21"/>
      <c r="ABQ11" s="21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1"/>
      <c r="ACN11" s="20"/>
      <c r="ACO11" s="20"/>
      <c r="ACP11" s="20"/>
      <c r="ACQ11" s="20"/>
      <c r="ACR11" s="20"/>
      <c r="ACS11" s="21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1"/>
      <c r="ADS11" s="22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1"/>
      <c r="AES11" s="20"/>
      <c r="AET11" s="20"/>
      <c r="AEU11" s="20"/>
      <c r="AEV11" s="20"/>
      <c r="AEW11" s="21"/>
      <c r="AEX11" s="20"/>
      <c r="AEY11" s="20"/>
      <c r="AEZ11" s="20"/>
      <c r="AFA11" s="20"/>
      <c r="AFB11" s="20"/>
      <c r="AFC11" s="20"/>
      <c r="AFD11" s="21"/>
      <c r="AFE11" s="21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1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1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1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1"/>
      <c r="AHR11" s="20"/>
      <c r="AHS11" s="20"/>
    </row>
    <row r="12" spans="1:934" x14ac:dyDescent="0.25">
      <c r="A12" s="30" t="s">
        <v>1087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1"/>
      <c r="AG12" s="21"/>
      <c r="AH12" s="21"/>
      <c r="AI12" s="21"/>
      <c r="AJ12" s="21"/>
      <c r="AK12" s="21"/>
      <c r="AL12" s="21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  <c r="BN12" s="21"/>
      <c r="BO12" s="21"/>
      <c r="BP12" s="21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1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1"/>
      <c r="DL12" s="21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1"/>
      <c r="DX12" s="21"/>
      <c r="DY12" s="21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1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1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1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1"/>
      <c r="OB12" s="22"/>
      <c r="OC12" s="22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1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1"/>
      <c r="QK12" s="21"/>
      <c r="QL12" s="21"/>
      <c r="QM12" s="21"/>
      <c r="QN12" s="21"/>
      <c r="QO12" s="21"/>
      <c r="QP12" s="21"/>
      <c r="QQ12" s="21"/>
      <c r="QR12" s="21"/>
      <c r="QS12" s="21"/>
      <c r="QT12" s="21"/>
      <c r="QU12" s="21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1"/>
      <c r="TE12" s="21"/>
      <c r="TF12" s="21"/>
      <c r="TG12" s="21"/>
      <c r="TH12" s="21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1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1"/>
      <c r="WL12" s="21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1"/>
      <c r="XR12" s="21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1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1"/>
      <c r="ZV12" s="21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1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1"/>
      <c r="ABP12" s="21"/>
      <c r="ABQ12" s="21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1"/>
      <c r="ACN12" s="20"/>
      <c r="ACO12" s="20"/>
      <c r="ACP12" s="20"/>
      <c r="ACQ12" s="20"/>
      <c r="ACR12" s="20"/>
      <c r="ACS12" s="21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1"/>
      <c r="ADS12" s="22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1"/>
      <c r="AES12" s="20"/>
      <c r="AET12" s="20"/>
      <c r="AEU12" s="20"/>
      <c r="AEV12" s="20"/>
      <c r="AEW12" s="21"/>
      <c r="AEX12" s="20"/>
      <c r="AEY12" s="20"/>
      <c r="AEZ12" s="20"/>
      <c r="AFA12" s="20"/>
      <c r="AFB12" s="20"/>
      <c r="AFC12" s="20"/>
      <c r="AFD12" s="21"/>
      <c r="AFE12" s="21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1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1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1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1"/>
      <c r="AHR12" s="20"/>
      <c r="AHS12" s="20"/>
    </row>
    <row r="13" spans="1:934" x14ac:dyDescent="0.25">
      <c r="A13" s="11" t="s">
        <v>976</v>
      </c>
      <c r="B13" s="27"/>
      <c r="ES13" s="7" t="s">
        <v>1224</v>
      </c>
      <c r="GG13">
        <v>13</v>
      </c>
      <c r="IJ13">
        <v>24</v>
      </c>
      <c r="JB13">
        <v>24</v>
      </c>
      <c r="LY13">
        <v>49</v>
      </c>
      <c r="OS13">
        <v>222</v>
      </c>
    </row>
    <row r="14" spans="1:934" x14ac:dyDescent="0.25">
      <c r="A14">
        <v>7063959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1"/>
      <c r="AG14" s="21"/>
      <c r="AH14" s="21"/>
      <c r="AI14" s="21"/>
      <c r="AJ14" s="21"/>
      <c r="AK14" s="21"/>
      <c r="AL14" s="21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1"/>
      <c r="BN14" s="21"/>
      <c r="BO14" s="21"/>
      <c r="BP14" s="21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1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1"/>
      <c r="DL14" s="21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1"/>
      <c r="DX14" s="21"/>
      <c r="DY14" s="21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1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1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1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1"/>
      <c r="OB14" s="22"/>
      <c r="OC14" s="22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1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1"/>
      <c r="QK14" s="21"/>
      <c r="QL14" s="21"/>
      <c r="QM14" s="21"/>
      <c r="QN14" s="21"/>
      <c r="QO14" s="21"/>
      <c r="QP14" s="21"/>
      <c r="QQ14" s="21"/>
      <c r="QR14" s="21"/>
      <c r="QS14" s="21"/>
      <c r="QT14" s="21"/>
      <c r="QU14" s="21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1"/>
      <c r="TE14" s="21"/>
      <c r="TF14" s="21"/>
      <c r="TG14" s="21"/>
      <c r="TH14" s="21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1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1"/>
      <c r="WL14" s="21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1"/>
      <c r="XR14" s="21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1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1"/>
      <c r="ZV14" s="21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1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1"/>
      <c r="ABP14" s="21"/>
      <c r="ABQ14" s="21"/>
      <c r="ABR14" s="20">
        <v>66</v>
      </c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1"/>
      <c r="ACN14" s="20"/>
      <c r="ACO14" s="20"/>
      <c r="ACP14" s="20"/>
      <c r="ACQ14" s="20"/>
      <c r="ACR14" s="20"/>
      <c r="ACS14" s="21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1"/>
      <c r="ADS14" s="22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1"/>
      <c r="AES14" s="20"/>
      <c r="AET14" s="20"/>
      <c r="AEU14" s="20"/>
      <c r="AEV14" s="20"/>
      <c r="AEW14" s="21"/>
      <c r="AEX14" s="20"/>
      <c r="AEY14" s="20"/>
      <c r="AEZ14" s="20"/>
      <c r="AFA14" s="20"/>
      <c r="AFB14" s="20"/>
      <c r="AFC14" s="20"/>
      <c r="AFD14" s="21"/>
      <c r="AFE14" s="21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1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1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1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1"/>
      <c r="AHR14" s="20"/>
      <c r="AHS14" s="20"/>
    </row>
    <row r="15" spans="1:934" x14ac:dyDescent="0.2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1"/>
      <c r="AG15" s="21"/>
      <c r="AH15" s="21"/>
      <c r="AI15" s="21"/>
      <c r="AJ15" s="21"/>
      <c r="AK15" s="21"/>
      <c r="AL15" s="21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1"/>
      <c r="BN15" s="21"/>
      <c r="BO15" s="21"/>
      <c r="BP15" s="21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1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1"/>
      <c r="DL15" s="21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1"/>
      <c r="DX15" s="21"/>
      <c r="DY15" s="21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7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1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1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1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1"/>
      <c r="OB15" s="22"/>
      <c r="OC15" s="22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1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1"/>
      <c r="QK15" s="21"/>
      <c r="QL15" s="21"/>
      <c r="QM15" s="21"/>
      <c r="QN15" s="21"/>
      <c r="QO15" s="21"/>
      <c r="QP15" s="21"/>
      <c r="QQ15" s="21"/>
      <c r="QR15" s="21"/>
      <c r="QS15" s="21"/>
      <c r="QT15" s="21"/>
      <c r="QU15" s="21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1"/>
      <c r="TE15" s="21"/>
      <c r="TF15" s="21"/>
      <c r="TG15" s="21"/>
      <c r="TH15" s="21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1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1"/>
      <c r="WL15" s="21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1"/>
      <c r="XR15" s="21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1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1"/>
      <c r="ZV15" s="21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1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1"/>
      <c r="ABP15" s="21"/>
      <c r="ABQ15" s="21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1"/>
      <c r="ACN15" s="20"/>
      <c r="ACO15" s="20"/>
      <c r="ACP15" s="20"/>
      <c r="ACQ15" s="20"/>
      <c r="ACR15" s="20"/>
      <c r="ACS15" s="21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1"/>
      <c r="ADS15" s="22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1"/>
      <c r="AES15" s="20"/>
      <c r="AET15" s="20"/>
      <c r="AEU15" s="20"/>
      <c r="AEV15" s="20"/>
      <c r="AEW15" s="21"/>
      <c r="AEX15" s="20"/>
      <c r="AEY15" s="20"/>
      <c r="AEZ15" s="20"/>
      <c r="AFA15" s="20"/>
      <c r="AFB15" s="20"/>
      <c r="AFC15" s="20"/>
      <c r="AFD15" s="21"/>
      <c r="AFE15" s="21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1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1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1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1"/>
      <c r="AHR15" s="20"/>
      <c r="AHS15" s="20"/>
    </row>
    <row r="16" spans="1:934" x14ac:dyDescent="0.25">
      <c r="A16" s="19">
        <v>1003215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1"/>
      <c r="AG16" s="21"/>
      <c r="AH16" s="21"/>
      <c r="AI16" s="21"/>
      <c r="AJ16" s="21"/>
      <c r="AK16" s="21"/>
      <c r="AL16" s="21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1"/>
      <c r="BN16" s="21"/>
      <c r="BO16" s="21"/>
      <c r="BP16" s="21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1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1"/>
      <c r="DL16" s="21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1"/>
      <c r="DX16" s="21"/>
      <c r="DY16" s="21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1"/>
      <c r="FK16" s="20">
        <v>20</v>
      </c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1"/>
      <c r="II16" s="20">
        <v>27</v>
      </c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1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1"/>
      <c r="OB16" s="22">
        <v>248</v>
      </c>
      <c r="OC16" s="22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1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1"/>
      <c r="QK16" s="21"/>
      <c r="QL16" s="21"/>
      <c r="QM16" s="21"/>
      <c r="QN16" s="21"/>
      <c r="QO16" s="21"/>
      <c r="QP16" s="21"/>
      <c r="QQ16" s="21"/>
      <c r="QR16" s="21"/>
      <c r="QS16" s="21"/>
      <c r="QT16" s="21"/>
      <c r="QU16" s="21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1"/>
      <c r="TE16" s="21"/>
      <c r="TF16" s="21"/>
      <c r="TG16" s="21"/>
      <c r="TH16" s="21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1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1"/>
      <c r="WL16">
        <v>2.9</v>
      </c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1"/>
      <c r="XR16" s="21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1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1"/>
      <c r="ZV16">
        <v>196</v>
      </c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1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1"/>
      <c r="ABP16" s="21"/>
      <c r="ABQ16" s="21"/>
      <c r="ABR16" s="20">
        <v>225</v>
      </c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1"/>
      <c r="ACN16" s="20"/>
      <c r="ACO16" s="20"/>
      <c r="ACP16" s="20"/>
      <c r="ACQ16" s="20"/>
      <c r="ACR16" s="20"/>
      <c r="ACS16" s="21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1"/>
      <c r="ADS16">
        <v>378000</v>
      </c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1"/>
      <c r="AES16" s="20"/>
      <c r="AET16" s="20"/>
      <c r="AEU16" s="20"/>
      <c r="AEV16" s="20"/>
      <c r="AEW16" s="21"/>
      <c r="AEX16" s="20"/>
      <c r="AEY16" s="20"/>
      <c r="AEZ16" s="20"/>
      <c r="AFA16" s="20"/>
      <c r="AFB16" s="20"/>
      <c r="AFC16" s="20"/>
      <c r="AFD16" s="21"/>
      <c r="AFE16" s="21">
        <v>61</v>
      </c>
      <c r="AFF16" s="20"/>
      <c r="AFG16" s="20"/>
      <c r="AFH16" s="20"/>
      <c r="AFI16" s="20">
        <v>22.4</v>
      </c>
      <c r="AFJ16" s="20"/>
      <c r="AFK16" s="20">
        <v>8.1999999999999993</v>
      </c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1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1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1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1"/>
      <c r="AHR16" s="20"/>
      <c r="AHS16" s="20"/>
      <c r="AHY16" t="s">
        <v>84</v>
      </c>
      <c r="AHZ16" t="s">
        <v>86</v>
      </c>
      <c r="AIA16" t="s">
        <v>86</v>
      </c>
      <c r="AIB16" t="s">
        <v>86</v>
      </c>
      <c r="AIC16" t="s">
        <v>30</v>
      </c>
      <c r="AID16" t="s">
        <v>30</v>
      </c>
      <c r="AIE16" t="s">
        <v>86</v>
      </c>
      <c r="AIF16" t="s">
        <v>86</v>
      </c>
      <c r="AIG16" t="s">
        <v>86</v>
      </c>
      <c r="AIV16">
        <v>13000</v>
      </c>
    </row>
    <row r="17" spans="1:903" x14ac:dyDescent="0.25">
      <c r="A17" s="7">
        <v>99000802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1"/>
      <c r="AG17" s="21"/>
      <c r="AH17" s="21"/>
      <c r="AI17" s="21"/>
      <c r="AJ17" s="21"/>
      <c r="AK17" s="21"/>
      <c r="AL17" s="21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1"/>
      <c r="BN17" s="21"/>
      <c r="BO17" s="21"/>
      <c r="BP17" s="21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1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1"/>
      <c r="DL17" s="21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1"/>
      <c r="DX17" s="21"/>
      <c r="DY17" s="21"/>
      <c r="DZ17" s="20"/>
      <c r="EA17" s="20"/>
      <c r="EB17" s="37" t="s">
        <v>1093</v>
      </c>
      <c r="EC17" s="33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1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>
        <v>16</v>
      </c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1"/>
      <c r="II17" s="20"/>
      <c r="IJ17" s="20"/>
      <c r="IK17" s="20"/>
      <c r="IL17" s="20"/>
      <c r="IM17" s="20"/>
      <c r="IN17" s="20"/>
      <c r="IO17" s="20"/>
      <c r="IP17" s="20"/>
      <c r="IQ17">
        <v>26</v>
      </c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1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>
        <v>27</v>
      </c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1"/>
      <c r="OB17" s="22"/>
      <c r="OC17" s="22"/>
      <c r="OD17" s="20"/>
      <c r="OE17" s="20"/>
      <c r="OF17" s="20"/>
      <c r="OG17" s="20"/>
      <c r="OH17" s="20"/>
      <c r="OI17">
        <v>299</v>
      </c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1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1"/>
      <c r="TE17" s="21"/>
      <c r="TF17" s="21"/>
      <c r="TG17" s="21"/>
      <c r="TH17" s="21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1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  <c r="VH17" s="20"/>
      <c r="VI17" s="20"/>
      <c r="VJ17" s="20"/>
      <c r="VK17" s="20"/>
      <c r="VL17" s="20"/>
      <c r="VM17" s="20"/>
      <c r="VN17" s="20"/>
      <c r="VO17" s="20"/>
      <c r="VP17" s="20"/>
      <c r="VQ17" s="20"/>
      <c r="VR17" s="20"/>
      <c r="VS17" s="20"/>
      <c r="VT17" s="20"/>
      <c r="VU17" s="20"/>
      <c r="VV17" s="20"/>
      <c r="VW17" s="20"/>
      <c r="VX17" s="20"/>
      <c r="VY17" s="20"/>
      <c r="VZ17" s="20"/>
      <c r="WA17" s="20"/>
      <c r="WB17" s="20"/>
      <c r="WC17" s="20"/>
      <c r="WD17" s="20"/>
      <c r="WE17" s="20"/>
      <c r="WF17" s="20"/>
      <c r="WG17" s="20"/>
      <c r="WH17" s="20"/>
      <c r="WI17" s="20"/>
      <c r="WJ17" s="20"/>
      <c r="WK17" s="21"/>
      <c r="WM17" s="20"/>
      <c r="WN17" s="20"/>
      <c r="WO17" s="20"/>
      <c r="WP17" s="20"/>
      <c r="WQ17" s="20"/>
      <c r="WR17" s="20"/>
      <c r="WS17" s="20"/>
      <c r="WT17" s="20"/>
      <c r="WU17" s="20"/>
      <c r="WV17" s="20"/>
      <c r="WW17" s="20"/>
      <c r="WX17" s="20"/>
      <c r="WY17" s="20"/>
      <c r="WZ17" s="20"/>
      <c r="XA17" s="20"/>
      <c r="XB17" s="20"/>
      <c r="XC17" s="20"/>
      <c r="XD17" s="20"/>
      <c r="XE17" s="20"/>
      <c r="XF17" s="20"/>
      <c r="XG17" s="20"/>
      <c r="XH17" s="20"/>
      <c r="XI17" s="20"/>
      <c r="XJ17" s="20"/>
      <c r="XK17" s="20"/>
      <c r="XL17" s="20"/>
      <c r="XM17" s="20"/>
      <c r="XN17" s="20"/>
      <c r="XO17" s="20"/>
      <c r="XP17" s="20"/>
      <c r="XQ17" s="21"/>
      <c r="XR17" s="21"/>
      <c r="XS17" s="20"/>
      <c r="XT17" s="20"/>
      <c r="XU17" s="20"/>
      <c r="XV17" s="20"/>
      <c r="XW17" s="20"/>
      <c r="XX17" s="20"/>
      <c r="XY17" s="20"/>
      <c r="XZ17" s="20"/>
      <c r="YA17" s="20"/>
      <c r="YB17" s="20"/>
      <c r="YC17" s="20"/>
      <c r="YD17" s="20"/>
      <c r="YE17" s="20"/>
      <c r="YF17" s="20"/>
      <c r="YG17" s="20"/>
      <c r="YH17" s="20"/>
      <c r="YI17" s="20"/>
      <c r="YJ17" s="20"/>
      <c r="YK17" s="20"/>
      <c r="YL17" s="20"/>
      <c r="YM17" s="20"/>
      <c r="YN17" s="20"/>
      <c r="YO17" s="20"/>
      <c r="YP17" s="20"/>
      <c r="YQ17" s="20"/>
      <c r="YR17" s="20"/>
      <c r="YS17" s="20"/>
      <c r="YT17" s="20"/>
      <c r="YU17" s="20"/>
      <c r="YV17" s="20"/>
      <c r="YW17" s="20"/>
      <c r="YX17" s="20"/>
      <c r="YY17" s="20"/>
      <c r="YZ17" s="21"/>
      <c r="ZA17" s="20"/>
      <c r="ZB17" s="20"/>
      <c r="ZC17" s="20"/>
      <c r="ZD17" s="20"/>
      <c r="ZE17" s="20"/>
      <c r="ZF17" s="20"/>
      <c r="ZG17" s="20"/>
      <c r="ZH17" s="20"/>
      <c r="ZI17" s="20"/>
      <c r="ZJ17" s="20"/>
      <c r="ZK17" s="20"/>
      <c r="ZL17" s="20"/>
      <c r="ZM17" s="20"/>
      <c r="ZN17" s="20"/>
      <c r="ZO17" s="20"/>
      <c r="ZP17" s="20"/>
      <c r="ZQ17" s="20"/>
      <c r="ZR17" s="20"/>
      <c r="ZS17" s="20"/>
      <c r="ZT17" s="20"/>
      <c r="ZU17" s="21"/>
      <c r="ZW17" s="20"/>
      <c r="ZX17" s="20"/>
      <c r="ZY17" s="20"/>
      <c r="ZZ17" s="20"/>
      <c r="AAA17" s="20"/>
      <c r="AAB17" s="20"/>
      <c r="AAC17" s="20"/>
      <c r="AAD17" s="20"/>
      <c r="AAE17" s="20"/>
      <c r="AAF17" s="20"/>
      <c r="AAG17" s="20"/>
      <c r="AAH17" s="20"/>
      <c r="AAI17" s="20"/>
      <c r="AAJ17" s="20"/>
      <c r="AAK17" s="20"/>
      <c r="AAL17" s="20"/>
      <c r="AAM17" s="20"/>
      <c r="AAN17" s="20"/>
      <c r="AAO17" s="20"/>
      <c r="AAP17" s="20"/>
      <c r="AAQ17" s="20"/>
      <c r="AAR17" s="20"/>
      <c r="AAS17" s="20"/>
      <c r="AAT17" s="21"/>
      <c r="AAU17" s="20"/>
      <c r="AAV17" s="20"/>
      <c r="AAW17" s="20"/>
      <c r="AAX17" s="20"/>
      <c r="AAY17" s="20"/>
      <c r="AAZ17" s="20"/>
      <c r="ABA17" s="20"/>
      <c r="ABB17" s="20"/>
      <c r="ABC17" s="20"/>
      <c r="ABD17" s="20"/>
      <c r="ABE17" s="20"/>
      <c r="ABF17" s="20"/>
      <c r="ABG17" s="20"/>
      <c r="ABH17" s="20"/>
      <c r="ABI17" s="20"/>
      <c r="ABJ17" s="20"/>
      <c r="ABK17" s="20"/>
      <c r="ABL17" s="20"/>
      <c r="ABM17" s="20"/>
      <c r="ABN17" s="20"/>
      <c r="ABO17" s="21"/>
      <c r="ABP17" s="21"/>
      <c r="ABQ17" s="21"/>
      <c r="ABR17" s="20"/>
      <c r="ABS17" s="20"/>
      <c r="ABT17" s="20"/>
      <c r="ABU17" s="20"/>
      <c r="ABV17" s="20"/>
      <c r="ABW17" s="20"/>
      <c r="ABX17" s="20"/>
      <c r="ABY17" s="20"/>
      <c r="ABZ17" s="20"/>
      <c r="ACA17" s="20"/>
      <c r="ACB17" s="20"/>
      <c r="ACC17" s="20"/>
      <c r="ACD17" s="20"/>
      <c r="ACE17" s="20"/>
      <c r="ACF17" s="20"/>
      <c r="ACG17" s="20"/>
      <c r="ACH17" s="20"/>
      <c r="ACI17" s="20"/>
      <c r="ACJ17" s="20"/>
      <c r="ACK17" s="20"/>
      <c r="ACL17" s="20"/>
      <c r="ACM17" s="21"/>
      <c r="ACN17" s="20"/>
      <c r="ACO17" s="20"/>
      <c r="ACP17" s="20"/>
      <c r="ACQ17" s="20"/>
      <c r="ACR17" s="20"/>
      <c r="ACS17" s="21"/>
      <c r="ACT17" s="20"/>
      <c r="ACU17" s="20"/>
      <c r="ACV17" s="20"/>
      <c r="ACW17" s="20"/>
      <c r="ACX17" s="20"/>
      <c r="ACY17" s="20"/>
      <c r="ACZ17" s="20"/>
      <c r="ADA17" s="20"/>
      <c r="ADB17" s="20"/>
      <c r="ADC17" s="20"/>
      <c r="ADD17" s="20"/>
      <c r="ADE17" s="20"/>
      <c r="ADF17" s="20"/>
      <c r="ADG17" s="20"/>
      <c r="ADH17" s="20"/>
      <c r="ADI17" s="20"/>
      <c r="ADJ17" s="20"/>
      <c r="ADK17" s="20"/>
      <c r="ADL17" s="20"/>
      <c r="ADM17" s="20"/>
      <c r="ADN17" s="20"/>
      <c r="ADO17" s="20"/>
      <c r="ADP17" s="20"/>
      <c r="ADQ17" s="20"/>
      <c r="ADR17" s="21"/>
      <c r="ADT17" s="20"/>
      <c r="ADU17" s="20"/>
      <c r="ADV17" s="20"/>
      <c r="ADW17" s="20"/>
      <c r="ADX17" s="20"/>
      <c r="ADY17" s="20"/>
      <c r="ADZ17" s="20"/>
      <c r="AEA17" s="20"/>
      <c r="AEB17" s="20"/>
      <c r="AEC17" s="20"/>
      <c r="AED17" s="20"/>
      <c r="AEE17" s="20"/>
      <c r="AEF17" s="20"/>
      <c r="AEG17" s="20"/>
      <c r="AEH17" s="20"/>
      <c r="AEI17" s="20"/>
      <c r="AEJ17" s="20"/>
      <c r="AEK17" s="20"/>
      <c r="AEL17" s="20"/>
      <c r="AEM17" s="20"/>
      <c r="AEN17" s="20"/>
      <c r="AEO17" s="20"/>
      <c r="AEP17" s="20"/>
      <c r="AEQ17" s="20"/>
      <c r="AER17" s="21"/>
      <c r="AES17" s="20"/>
      <c r="AET17" s="20"/>
      <c r="AEU17" s="20"/>
      <c r="AEV17" s="20"/>
      <c r="AEW17" s="21"/>
      <c r="AEX17" s="20"/>
      <c r="AEY17" s="20"/>
      <c r="AEZ17" s="20"/>
      <c r="AFA17" s="20"/>
      <c r="AFB17" s="20"/>
      <c r="AFC17" s="20"/>
      <c r="AFD17" s="21"/>
      <c r="AFE17" s="21"/>
      <c r="AFF17" s="20"/>
      <c r="AFG17" s="20"/>
      <c r="AFH17" s="20"/>
      <c r="AFI17" s="20"/>
      <c r="AFJ17" s="20"/>
      <c r="AFK17" s="20"/>
      <c r="AFL17" s="20"/>
      <c r="AFM17" s="20"/>
      <c r="AFN17" s="20"/>
      <c r="AFO17" s="20"/>
      <c r="AFP17" s="20"/>
      <c r="AFQ17" s="20"/>
      <c r="AFR17" s="20"/>
      <c r="AFS17" s="20"/>
      <c r="AFT17" s="20"/>
      <c r="AFU17" s="20"/>
      <c r="AFV17" s="20"/>
      <c r="AFW17" s="20"/>
      <c r="AFX17" s="21"/>
      <c r="AFY17" s="20"/>
      <c r="AFZ17" s="20"/>
      <c r="AGA17" s="20"/>
      <c r="AGB17" s="20"/>
      <c r="AGC17" s="20"/>
      <c r="AGD17" s="20"/>
      <c r="AGE17" s="20"/>
      <c r="AGF17" s="20"/>
      <c r="AGG17" s="20"/>
      <c r="AGH17" s="20"/>
      <c r="AGI17" s="21"/>
      <c r="AGJ17" s="20"/>
      <c r="AGK17" s="20"/>
      <c r="AGL17" s="20"/>
      <c r="AGM17" s="20"/>
      <c r="AGN17" s="20"/>
      <c r="AGO17" s="20"/>
      <c r="AGP17" s="20"/>
      <c r="AGQ17" s="20"/>
      <c r="AGR17" s="20"/>
      <c r="AGS17" s="20"/>
      <c r="AGT17" s="20"/>
      <c r="AGU17" s="21"/>
      <c r="AGV17" s="20"/>
      <c r="AGW17" s="20"/>
      <c r="AGX17" s="20"/>
      <c r="AGY17" s="20"/>
      <c r="AGZ17" s="20"/>
      <c r="AHA17" s="20"/>
      <c r="AHB17" s="20"/>
      <c r="AHC17" s="20"/>
      <c r="AHD17" s="20"/>
      <c r="AHE17" s="20"/>
      <c r="AHF17" s="20"/>
      <c r="AHG17" s="20"/>
      <c r="AHH17" s="20"/>
      <c r="AHI17" s="20"/>
      <c r="AHJ17" s="20"/>
      <c r="AHK17" s="20"/>
      <c r="AHL17" s="20"/>
      <c r="AHM17" s="20"/>
      <c r="AHN17" s="20"/>
      <c r="AHO17" s="20"/>
      <c r="AHP17" s="20"/>
      <c r="AHQ17" s="21"/>
      <c r="AHR17" s="20"/>
      <c r="AHS17" s="20"/>
    </row>
    <row r="18" spans="1:903" x14ac:dyDescent="0.25">
      <c r="A18" s="7">
        <v>99000892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1"/>
      <c r="AG18" s="21"/>
      <c r="AH18" s="21"/>
      <c r="AI18" s="21"/>
      <c r="AJ18" s="21"/>
      <c r="AK18" s="21"/>
      <c r="AL18" s="21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1"/>
      <c r="BN18" s="21"/>
      <c r="BO18" s="21"/>
      <c r="BP18" s="21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1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1"/>
      <c r="DL18" s="21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1"/>
      <c r="DX18" s="21"/>
      <c r="DY18" s="21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1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7" t="s">
        <v>146</v>
      </c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1"/>
      <c r="II18" s="20"/>
      <c r="IJ18" s="20"/>
      <c r="IK18" s="20"/>
      <c r="IL18" s="20"/>
      <c r="IM18" s="20"/>
      <c r="IN18" s="20"/>
      <c r="IO18" s="20"/>
      <c r="IP18" s="20"/>
      <c r="IQ18" s="7" t="s">
        <v>147</v>
      </c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1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>
        <v>6.93</v>
      </c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1"/>
      <c r="OB18" s="22"/>
      <c r="OC18" s="22"/>
      <c r="OD18" s="20"/>
      <c r="OE18" s="20"/>
      <c r="OF18" s="20"/>
      <c r="OG18" s="20"/>
      <c r="OH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1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1"/>
      <c r="TE18" s="21"/>
      <c r="TF18" s="21"/>
      <c r="TG18" s="21"/>
      <c r="TH18" s="21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1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  <c r="VH18" s="20"/>
      <c r="VI18" s="20"/>
      <c r="VJ18" s="20"/>
      <c r="VK18" s="20"/>
      <c r="VL18" s="20"/>
      <c r="VM18" s="20"/>
      <c r="VN18" s="20"/>
      <c r="VO18" s="20"/>
      <c r="VP18" s="20"/>
      <c r="VQ18" s="20"/>
      <c r="VR18" s="20"/>
      <c r="VS18" s="20"/>
      <c r="VT18" s="20"/>
      <c r="VU18" s="20"/>
      <c r="VV18" s="20"/>
      <c r="VW18" s="20"/>
      <c r="VX18" s="20"/>
      <c r="VY18" s="20"/>
      <c r="VZ18" s="20"/>
      <c r="WA18" s="20"/>
      <c r="WB18" s="20"/>
      <c r="WC18" s="20"/>
      <c r="WD18" s="20"/>
      <c r="WE18" s="20"/>
      <c r="WF18" s="20"/>
      <c r="WG18" s="20"/>
      <c r="WH18" s="20"/>
      <c r="WI18" s="20"/>
      <c r="WJ18" s="20"/>
      <c r="WK18" s="21"/>
      <c r="WM18" s="20"/>
      <c r="WN18" s="20"/>
      <c r="WO18" s="20"/>
      <c r="WP18" s="20"/>
      <c r="WQ18" s="20"/>
      <c r="WR18" s="20"/>
      <c r="WS18" s="20"/>
      <c r="WT18" s="20"/>
      <c r="WU18" s="20"/>
      <c r="WV18" s="20"/>
      <c r="WW18" s="20"/>
      <c r="WX18" s="20"/>
      <c r="WY18" s="20"/>
      <c r="WZ18" s="20"/>
      <c r="XA18" s="20"/>
      <c r="XB18" s="20"/>
      <c r="XC18" s="20"/>
      <c r="XD18" s="20"/>
      <c r="XE18" s="20"/>
      <c r="XF18" s="20"/>
      <c r="XG18" s="20"/>
      <c r="XH18" s="20"/>
      <c r="XI18" s="20"/>
      <c r="XJ18" s="20"/>
      <c r="XK18" s="20"/>
      <c r="XL18" s="20"/>
      <c r="XM18" s="20"/>
      <c r="XN18" s="20"/>
      <c r="XO18" s="20"/>
      <c r="XP18" s="20"/>
      <c r="XQ18" s="21"/>
      <c r="XR18" s="21"/>
      <c r="XS18" s="20"/>
      <c r="XT18" s="20"/>
      <c r="XU18" s="20"/>
      <c r="XV18" s="20"/>
      <c r="XW18" s="20"/>
      <c r="XX18" s="20"/>
      <c r="XY18" s="20"/>
      <c r="XZ18" s="20"/>
      <c r="YA18" s="20"/>
      <c r="YB18" s="20"/>
      <c r="YC18" s="20"/>
      <c r="YD18" s="20"/>
      <c r="YE18" s="20"/>
      <c r="YF18" s="20"/>
      <c r="YG18" s="20"/>
      <c r="YH18" s="20"/>
      <c r="YI18" s="20"/>
      <c r="YJ18" s="20"/>
      <c r="YK18" s="20"/>
      <c r="YL18" s="20"/>
      <c r="YM18" s="20"/>
      <c r="YN18" s="20"/>
      <c r="YO18" s="20"/>
      <c r="YP18" s="20"/>
      <c r="YQ18" s="20"/>
      <c r="YR18" s="20"/>
      <c r="YS18" s="20"/>
      <c r="YT18" s="20"/>
      <c r="YU18" s="20"/>
      <c r="YV18" s="20"/>
      <c r="YW18" s="20"/>
      <c r="YX18" s="20"/>
      <c r="YY18" s="20"/>
      <c r="YZ18" s="21"/>
      <c r="ZA18" s="20"/>
      <c r="ZB18" s="20"/>
      <c r="ZC18" s="20"/>
      <c r="ZD18" s="20"/>
      <c r="ZE18" s="20"/>
      <c r="ZF18" s="20"/>
      <c r="ZG18" s="20"/>
      <c r="ZH18" s="20"/>
      <c r="ZI18" s="20"/>
      <c r="ZJ18" s="20"/>
      <c r="ZK18" s="20"/>
      <c r="ZL18" s="20"/>
      <c r="ZM18" s="20"/>
      <c r="ZN18" s="20"/>
      <c r="ZO18" s="20"/>
      <c r="ZP18" s="20"/>
      <c r="ZQ18" s="20"/>
      <c r="ZR18" s="20"/>
      <c r="ZS18" s="20"/>
      <c r="ZT18" s="20"/>
      <c r="ZU18" s="21"/>
      <c r="ZW18" s="20"/>
      <c r="ZX18" s="20"/>
      <c r="ZY18" s="20"/>
      <c r="ZZ18" s="20"/>
      <c r="AAA18" s="20"/>
      <c r="AAB18" s="20"/>
      <c r="AAC18" s="20"/>
      <c r="AAD18" s="20"/>
      <c r="AAE18" s="20"/>
      <c r="AAF18" s="20"/>
      <c r="AAG18" s="20"/>
      <c r="AAH18" s="20"/>
      <c r="AAI18" s="20"/>
      <c r="AAJ18" s="20"/>
      <c r="AAK18" s="20"/>
      <c r="AAL18" s="20"/>
      <c r="AAM18" s="20"/>
      <c r="AAN18" s="20"/>
      <c r="AAO18" s="20"/>
      <c r="AAP18" s="20"/>
      <c r="AAQ18" s="20"/>
      <c r="AAR18" s="20"/>
      <c r="AAS18" s="20"/>
      <c r="AAT18" s="21"/>
      <c r="AAU18" s="20"/>
      <c r="AAV18" s="20"/>
      <c r="AAW18" s="20"/>
      <c r="AAX18" s="20"/>
      <c r="AAY18" s="20"/>
      <c r="AAZ18" s="20"/>
      <c r="ABA18" s="20"/>
      <c r="ABB18" s="20"/>
      <c r="ABC18" s="20"/>
      <c r="ABD18" s="20"/>
      <c r="ABE18" s="20"/>
      <c r="ABF18" s="20"/>
      <c r="ABG18" s="20"/>
      <c r="ABH18" s="20"/>
      <c r="ABI18" s="20"/>
      <c r="ABJ18" s="20"/>
      <c r="ABK18" s="20"/>
      <c r="ABL18" s="20"/>
      <c r="ABM18" s="20"/>
      <c r="ABN18" s="20"/>
      <c r="ABO18" s="21"/>
      <c r="ABP18" s="21"/>
      <c r="ABQ18" s="21"/>
      <c r="ABR18" s="20"/>
      <c r="ABS18" s="20"/>
      <c r="ABT18" s="20"/>
      <c r="ABU18" s="20"/>
      <c r="ABV18" s="20"/>
      <c r="ABW18" s="20"/>
      <c r="ABX18" s="20"/>
      <c r="ABY18" s="20"/>
      <c r="ABZ18" s="20"/>
      <c r="ACA18" s="20"/>
      <c r="ACB18" s="20"/>
      <c r="ACC18" s="20"/>
      <c r="ACD18" s="20"/>
      <c r="ACE18" s="20"/>
      <c r="ACF18" s="20"/>
      <c r="ACG18" s="20"/>
      <c r="ACH18" s="20"/>
      <c r="ACI18" s="20"/>
      <c r="ACJ18" s="20"/>
      <c r="ACK18" s="20"/>
      <c r="ACL18" s="20"/>
      <c r="ACM18" s="21"/>
      <c r="ACN18" s="20"/>
      <c r="ACO18" s="20"/>
      <c r="ACP18" s="20"/>
      <c r="ACQ18" s="20"/>
      <c r="ACR18" s="20"/>
      <c r="ACS18" s="21"/>
      <c r="ACT18" s="20"/>
      <c r="ACU18" s="20"/>
      <c r="ACV18" s="20"/>
      <c r="ACW18" s="20"/>
      <c r="ACX18" s="20"/>
      <c r="ACY18" s="20"/>
      <c r="ACZ18" s="20"/>
      <c r="ADA18" s="20"/>
      <c r="ADB18" s="20"/>
      <c r="ADC18" s="20"/>
      <c r="ADD18" s="20"/>
      <c r="ADE18" s="20"/>
      <c r="ADF18" s="20"/>
      <c r="ADG18" s="20"/>
      <c r="ADH18" s="20"/>
      <c r="ADI18" s="20"/>
      <c r="ADJ18" s="20"/>
      <c r="ADK18" s="20"/>
      <c r="ADL18" s="20"/>
      <c r="ADM18" s="20"/>
      <c r="ADN18" s="20"/>
      <c r="ADO18" s="20"/>
      <c r="ADP18" s="20"/>
      <c r="ADQ18" s="20"/>
      <c r="ADR18" s="21"/>
      <c r="ADT18" s="20"/>
      <c r="ADU18" s="20"/>
      <c r="ADV18" s="20"/>
      <c r="ADW18" s="20"/>
      <c r="ADX18" s="20"/>
      <c r="ADY18" s="20"/>
      <c r="ADZ18" s="20"/>
      <c r="AEA18" s="20"/>
      <c r="AEB18" s="20"/>
      <c r="AEC18" s="20"/>
      <c r="AED18" s="20"/>
      <c r="AEE18" s="20"/>
      <c r="AEF18" s="20"/>
      <c r="AEG18" s="20"/>
      <c r="AEH18" s="20"/>
      <c r="AEI18" s="20"/>
      <c r="AEJ18" s="20"/>
      <c r="AEK18" s="20"/>
      <c r="AEL18" s="20"/>
      <c r="AEM18" s="20"/>
      <c r="AEN18" s="20"/>
      <c r="AEO18" s="20"/>
      <c r="AEP18" s="20"/>
      <c r="AEQ18" s="20"/>
      <c r="AER18" s="21"/>
      <c r="AES18" s="20"/>
      <c r="AET18" s="20"/>
      <c r="AEU18" s="20"/>
      <c r="AEV18" s="20"/>
      <c r="AEW18" s="21"/>
      <c r="AEX18" s="20"/>
      <c r="AEY18" s="20"/>
      <c r="AEZ18" s="20"/>
      <c r="AFA18" s="20"/>
      <c r="AFB18" s="20"/>
      <c r="AFC18" s="20"/>
      <c r="AFD18" s="21"/>
      <c r="AFE18" s="21"/>
      <c r="AFF18" s="20"/>
      <c r="AFG18" s="20"/>
      <c r="AFH18" s="20"/>
      <c r="AFI18" s="20"/>
      <c r="AFJ18" s="20"/>
      <c r="AFK18" s="20"/>
      <c r="AFL18" s="20"/>
      <c r="AFM18" s="20"/>
      <c r="AFN18" s="20"/>
      <c r="AFO18" s="20"/>
      <c r="AFP18" s="20"/>
      <c r="AFQ18" s="20"/>
      <c r="AFR18" s="20"/>
      <c r="AFS18" s="20"/>
      <c r="AFT18" s="20"/>
      <c r="AFU18" s="20"/>
      <c r="AFV18" s="20"/>
      <c r="AFW18" s="20"/>
      <c r="AFX18" s="21"/>
      <c r="AFY18" s="20"/>
      <c r="AFZ18" s="20"/>
      <c r="AGA18" s="20"/>
      <c r="AGB18" s="20"/>
      <c r="AGC18" s="20"/>
      <c r="AGD18" s="20"/>
      <c r="AGE18" s="20"/>
      <c r="AGF18" s="20"/>
      <c r="AGG18" s="20"/>
      <c r="AGH18" s="20"/>
      <c r="AGI18" s="21"/>
      <c r="AGJ18" s="20"/>
      <c r="AGK18" s="20"/>
      <c r="AGL18" s="20"/>
      <c r="AGM18" s="20"/>
      <c r="AGN18" s="20"/>
      <c r="AGO18" s="20"/>
      <c r="AGP18" s="20"/>
      <c r="AGQ18" s="20"/>
      <c r="AGR18" s="20"/>
      <c r="AGS18" s="20"/>
      <c r="AGT18" s="20"/>
      <c r="AGU18" s="21"/>
      <c r="AGV18" s="20"/>
      <c r="AGW18" s="20"/>
      <c r="AGX18" s="20"/>
      <c r="AGY18" s="20"/>
      <c r="AGZ18" s="20"/>
      <c r="AHA18" s="20"/>
      <c r="AHB18" s="20"/>
      <c r="AHC18" s="20"/>
      <c r="AHD18" s="20"/>
      <c r="AHE18" s="20"/>
      <c r="AHF18" s="20"/>
      <c r="AHG18" s="20"/>
      <c r="AHH18" s="20"/>
      <c r="AHI18" s="20"/>
      <c r="AHJ18" s="20"/>
      <c r="AHK18" s="20"/>
      <c r="AHL18" s="20"/>
      <c r="AHM18" s="20"/>
      <c r="AHN18" s="20"/>
      <c r="AHO18" s="20"/>
      <c r="AHP18" s="20"/>
      <c r="AHQ18" s="21"/>
      <c r="AHR18" s="20"/>
      <c r="AHS18" s="20"/>
    </row>
    <row r="19" spans="1:903" x14ac:dyDescent="0.25">
      <c r="A19" s="7">
        <v>1000192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1"/>
      <c r="AG19" s="21"/>
      <c r="AH19" s="21"/>
      <c r="AI19" s="21"/>
      <c r="AJ19" s="21"/>
      <c r="AK19" s="21"/>
      <c r="AL19" s="21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1"/>
      <c r="BN19" s="21"/>
      <c r="BO19" s="21"/>
      <c r="BP19" s="21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1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1"/>
      <c r="DL19" s="21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1"/>
      <c r="DX19" s="21"/>
      <c r="DY19" s="21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>
        <v>4000</v>
      </c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1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1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1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>
        <v>240</v>
      </c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1"/>
      <c r="OB19" s="22"/>
      <c r="OC19" s="22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1"/>
      <c r="PW19" s="20"/>
      <c r="PX19" s="20"/>
      <c r="PY19" s="20"/>
      <c r="PZ19" s="20"/>
      <c r="QA19" s="7" t="s">
        <v>74</v>
      </c>
      <c r="QB19" s="20"/>
      <c r="QC19" s="20"/>
      <c r="QD19" s="20"/>
      <c r="QE19" s="20"/>
      <c r="QF19" s="20"/>
      <c r="QG19" s="20"/>
      <c r="QH19" s="20"/>
      <c r="QI19" s="20"/>
      <c r="QJ19" s="21"/>
      <c r="QK19" s="21"/>
      <c r="QL19" s="21"/>
      <c r="QM19" s="21"/>
      <c r="QN19" s="21"/>
      <c r="QO19" s="21"/>
      <c r="QP19" s="21"/>
      <c r="QQ19" s="21"/>
      <c r="QR19" s="21"/>
      <c r="QS19" s="21"/>
      <c r="QT19" s="21"/>
      <c r="QU19" s="21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1"/>
      <c r="TE19" s="21"/>
      <c r="TF19" s="21"/>
      <c r="TG19" s="21"/>
      <c r="TH19" s="21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1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1"/>
      <c r="WL19" s="21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20"/>
      <c r="WX19" s="20"/>
      <c r="WY19" s="20"/>
      <c r="WZ19" s="20"/>
      <c r="XA19" s="20"/>
      <c r="XB19" s="20"/>
      <c r="XC19" s="20"/>
      <c r="XD19" s="20"/>
      <c r="XE19" s="20"/>
      <c r="XF19" s="20"/>
      <c r="XG19" s="20"/>
      <c r="XH19" s="20"/>
      <c r="XI19" s="20"/>
      <c r="XJ19" s="20"/>
      <c r="XK19" s="20"/>
      <c r="XL19" s="20"/>
      <c r="XM19" s="20"/>
      <c r="XN19" s="20"/>
      <c r="XO19" s="20"/>
      <c r="XP19" s="20"/>
      <c r="XQ19" s="21"/>
      <c r="XR19" s="21"/>
      <c r="XS19" s="20"/>
      <c r="XT19" s="20"/>
      <c r="XU19" s="20"/>
      <c r="XV19" s="20"/>
      <c r="XW19" s="20"/>
      <c r="XX19" s="20"/>
      <c r="XY19" s="20"/>
      <c r="XZ19" s="20"/>
      <c r="YA19" s="20"/>
      <c r="YB19" s="20"/>
      <c r="YC19" s="20"/>
      <c r="YD19" s="20"/>
      <c r="YE19" s="20"/>
      <c r="YF19" s="20"/>
      <c r="YG19" s="20"/>
      <c r="YH19" s="20"/>
      <c r="YI19" s="20"/>
      <c r="YJ19" s="20"/>
      <c r="YK19" s="20"/>
      <c r="YL19" s="20"/>
      <c r="YM19" s="20"/>
      <c r="YN19" s="20"/>
      <c r="YO19" s="20"/>
      <c r="YP19" s="20"/>
      <c r="YQ19" s="20"/>
      <c r="YR19" s="20"/>
      <c r="YS19" s="20"/>
      <c r="YT19" s="20"/>
      <c r="YU19" s="20"/>
      <c r="YV19" s="20"/>
      <c r="YW19" s="20"/>
      <c r="YX19" s="20"/>
      <c r="YY19" s="20"/>
      <c r="YZ19" s="21"/>
      <c r="ZA19" s="20"/>
      <c r="ZB19" s="20"/>
      <c r="ZC19" s="20"/>
      <c r="ZD19" s="20"/>
      <c r="ZE19" s="20"/>
      <c r="ZF19" s="20"/>
      <c r="ZG19" s="20"/>
      <c r="ZH19" s="20"/>
      <c r="ZI19" s="20"/>
      <c r="ZJ19" s="20"/>
      <c r="ZK19" s="20"/>
      <c r="ZL19" s="20"/>
      <c r="ZM19" s="20"/>
      <c r="ZN19" s="20"/>
      <c r="ZO19" s="20"/>
      <c r="ZP19" s="20"/>
      <c r="ZQ19" s="20"/>
      <c r="ZR19" s="20"/>
      <c r="ZS19" s="20"/>
      <c r="ZT19" s="20"/>
      <c r="ZU19" s="21"/>
      <c r="ZV19" s="21"/>
      <c r="ZW19" s="20"/>
      <c r="ZX19" s="20"/>
      <c r="ZY19" s="20"/>
      <c r="ZZ19" s="20"/>
      <c r="AAA19" s="20"/>
      <c r="AAB19" s="20"/>
      <c r="AAC19" s="20"/>
      <c r="AAD19" s="20"/>
      <c r="AAE19" s="20"/>
      <c r="AAF19" s="20"/>
      <c r="AAG19" s="20"/>
      <c r="AAH19" s="20"/>
      <c r="AAI19" s="20"/>
      <c r="AAJ19" s="20"/>
      <c r="AAK19" s="20"/>
      <c r="AAL19" s="20"/>
      <c r="AAM19" s="20"/>
      <c r="AAN19" s="20"/>
      <c r="AAO19" s="20"/>
      <c r="AAP19" s="20"/>
      <c r="AAQ19" s="20"/>
      <c r="AAR19" s="20"/>
      <c r="AAS19" s="20"/>
      <c r="AAT19" s="21"/>
      <c r="AAU19" s="20"/>
      <c r="AAV19" s="20"/>
      <c r="AAW19" s="20"/>
      <c r="AAX19" s="20"/>
      <c r="AAY19" s="20"/>
      <c r="AAZ19" s="20"/>
      <c r="ABA19" s="20"/>
      <c r="ABB19" s="20"/>
      <c r="ABC19" s="20"/>
      <c r="ABD19" s="20"/>
      <c r="ABE19" s="20"/>
      <c r="ABF19" s="20"/>
      <c r="ABG19" s="20"/>
      <c r="ABH19" s="20"/>
      <c r="ABI19" s="20"/>
      <c r="ABJ19" s="20"/>
      <c r="ABK19" s="20"/>
      <c r="ABL19" s="20"/>
      <c r="ABM19" s="20"/>
      <c r="ABN19" s="20"/>
      <c r="ABO19" s="21"/>
      <c r="ABP19" s="21"/>
      <c r="ABQ19" s="21"/>
      <c r="ABR19" s="20"/>
      <c r="ABS19" s="20"/>
      <c r="ABT19" s="20"/>
      <c r="ABU19" s="20"/>
      <c r="ABV19" s="20"/>
      <c r="ABW19" s="20"/>
      <c r="ABX19" s="20">
        <v>110</v>
      </c>
      <c r="ABY19" s="20"/>
      <c r="ABZ19" s="20"/>
      <c r="ACA19" s="20"/>
      <c r="ACB19" s="20"/>
      <c r="ACC19" s="20"/>
      <c r="ACD19" s="20"/>
      <c r="ACE19" s="20"/>
      <c r="ACF19" s="20"/>
      <c r="ACG19" s="20"/>
      <c r="ACH19" s="20"/>
      <c r="ACI19" s="20"/>
      <c r="ACJ19" s="20"/>
      <c r="ACK19" s="20"/>
      <c r="ACL19" s="20"/>
      <c r="ACM19" s="21"/>
      <c r="ACN19" s="20"/>
      <c r="ACO19" s="20"/>
      <c r="ACP19" s="20"/>
      <c r="ACQ19" s="20"/>
      <c r="ACR19" s="20"/>
      <c r="ACS19" s="21"/>
      <c r="ACT19" s="20"/>
      <c r="ACU19" s="20"/>
      <c r="ACV19" s="20"/>
      <c r="ACW19" s="20"/>
      <c r="ACX19" s="20"/>
      <c r="ACY19" s="20"/>
      <c r="ACZ19" s="20"/>
      <c r="ADA19" s="20"/>
      <c r="ADB19" s="20"/>
      <c r="ADC19" s="20"/>
      <c r="ADD19" s="20"/>
      <c r="ADE19" s="20"/>
      <c r="ADF19" s="20"/>
      <c r="ADG19" s="20"/>
      <c r="ADH19" s="20"/>
      <c r="ADI19" s="20"/>
      <c r="ADJ19" s="20"/>
      <c r="ADK19" s="20"/>
      <c r="ADL19" s="20"/>
      <c r="ADM19" s="20"/>
      <c r="ADN19" s="20"/>
      <c r="ADO19" s="20"/>
      <c r="ADP19" s="20"/>
      <c r="ADQ19" s="20"/>
      <c r="ADR19" s="21"/>
      <c r="ADS19" s="22"/>
      <c r="ADT19" s="20"/>
      <c r="ADU19" s="20"/>
      <c r="ADV19" s="20"/>
      <c r="ADW19" s="20"/>
      <c r="ADX19" s="20"/>
      <c r="ADY19" s="20"/>
      <c r="ADZ19" s="20"/>
      <c r="AEA19" s="20"/>
      <c r="AEB19" s="20"/>
      <c r="AEC19" s="20"/>
      <c r="AED19" s="20"/>
      <c r="AEE19" s="20"/>
      <c r="AEF19" s="20"/>
      <c r="AEG19" s="20"/>
      <c r="AEH19" s="20"/>
      <c r="AEI19" s="20"/>
      <c r="AEJ19" s="20"/>
      <c r="AEK19" s="20"/>
      <c r="AEL19" s="20"/>
      <c r="AEM19" s="20"/>
      <c r="AEN19" s="20"/>
      <c r="AEO19" s="20"/>
      <c r="AEP19" s="20"/>
      <c r="AEQ19" s="20"/>
      <c r="AER19" s="21"/>
      <c r="AES19" s="20"/>
      <c r="AET19" s="20"/>
      <c r="AEU19" s="20"/>
      <c r="AEV19" s="20"/>
      <c r="AEW19" s="21"/>
      <c r="AEX19" s="20"/>
      <c r="AEY19" s="20"/>
      <c r="AEZ19" s="20"/>
      <c r="AFA19" s="20"/>
      <c r="AFB19" s="20"/>
      <c r="AFC19" s="20"/>
      <c r="AFD19" s="21"/>
      <c r="AFE19" s="21"/>
      <c r="AFF19" s="20"/>
      <c r="AFG19" s="20"/>
      <c r="AFH19" s="20"/>
      <c r="AFI19" s="20"/>
      <c r="AFJ19" s="20"/>
      <c r="AFK19" s="20"/>
      <c r="AFL19" s="20"/>
      <c r="AFM19" s="20"/>
      <c r="AFN19" s="20"/>
      <c r="AFO19" s="20"/>
      <c r="AFP19" s="20"/>
      <c r="AFQ19" s="20"/>
      <c r="AFR19" s="20"/>
      <c r="AFS19" s="20"/>
      <c r="AFT19" s="20"/>
      <c r="AFU19" s="20"/>
      <c r="AFV19" s="20"/>
      <c r="AFW19" s="20"/>
      <c r="AFX19" s="21"/>
      <c r="AFY19" s="20"/>
      <c r="AFZ19" s="20"/>
      <c r="AGA19" s="20"/>
      <c r="AGB19" s="20"/>
      <c r="AGC19" s="20"/>
      <c r="AGD19" s="20"/>
      <c r="AGE19" s="20"/>
      <c r="AGF19" s="20"/>
      <c r="AGG19" s="20"/>
      <c r="AGH19" s="20"/>
      <c r="AGI19" s="21"/>
      <c r="AGJ19" s="20"/>
      <c r="AGK19" s="20"/>
      <c r="AGL19" s="20"/>
      <c r="AGM19" s="20"/>
      <c r="AGN19" s="20"/>
      <c r="AGO19" s="20"/>
      <c r="AGP19" s="20"/>
      <c r="AGQ19" s="20"/>
      <c r="AGR19" s="20"/>
      <c r="AGS19" s="20"/>
      <c r="AGT19" s="20"/>
      <c r="AGU19" s="21"/>
      <c r="AGV19" s="20"/>
      <c r="AGW19" s="20"/>
      <c r="AGX19" s="20"/>
      <c r="AGY19" s="20"/>
      <c r="AGZ19" s="20"/>
      <c r="AHA19" s="20"/>
      <c r="AHB19" s="20"/>
      <c r="AHC19" s="20"/>
      <c r="AHD19" s="20"/>
      <c r="AHE19" s="20"/>
      <c r="AHF19" s="20"/>
      <c r="AHG19" s="20"/>
      <c r="AHH19" s="20"/>
      <c r="AHI19" s="20"/>
      <c r="AHJ19" s="20"/>
      <c r="AHK19" s="20"/>
      <c r="AHL19" s="20"/>
      <c r="AHM19" s="20"/>
      <c r="AHN19" s="20"/>
      <c r="AHO19" s="20"/>
      <c r="AHP19" s="20"/>
      <c r="AHQ19" s="21"/>
      <c r="AHR19" s="20"/>
      <c r="AHS19" s="20"/>
    </row>
    <row r="20" spans="1:903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1"/>
      <c r="AG20" s="21"/>
      <c r="AH20" s="21"/>
      <c r="AI20" s="21"/>
      <c r="AJ20" s="21"/>
      <c r="AK20" s="21"/>
      <c r="AL20" s="21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1"/>
      <c r="BN20" s="21"/>
      <c r="BO20" s="21"/>
      <c r="BP20" s="21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1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1"/>
      <c r="DL20" s="21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1"/>
      <c r="DX20" s="21"/>
      <c r="DY20" s="21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1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1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1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1"/>
      <c r="OB20" s="22"/>
      <c r="OC20" s="22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1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1"/>
      <c r="QK20" s="21"/>
      <c r="QL20" s="21"/>
      <c r="QM20" s="21"/>
      <c r="QN20" s="21"/>
      <c r="QO20" s="21"/>
      <c r="QP20" s="21"/>
      <c r="QQ20" s="21"/>
      <c r="QR20" s="21"/>
      <c r="QS20" s="21"/>
      <c r="QT20" s="21"/>
      <c r="QU20" s="21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1"/>
      <c r="TE20" s="21"/>
      <c r="TF20" s="21"/>
      <c r="TG20" s="21"/>
      <c r="TH20" s="21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1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1"/>
      <c r="WL20" s="21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1"/>
      <c r="XR20" s="21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1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1"/>
      <c r="ZV20" s="21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1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1"/>
      <c r="ABP20" s="21"/>
      <c r="ABQ20" s="21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1"/>
      <c r="ACN20" s="20"/>
      <c r="ACO20" s="20"/>
      <c r="ACP20" s="20"/>
      <c r="ACQ20" s="20"/>
      <c r="ACR20" s="20"/>
      <c r="ACS20" s="21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1"/>
      <c r="ADS20" s="22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1"/>
      <c r="AES20" s="20"/>
      <c r="AET20" s="20"/>
      <c r="AEU20" s="20"/>
      <c r="AEV20" s="20"/>
      <c r="AEW20" s="21"/>
      <c r="AEX20" s="20"/>
      <c r="AEY20" s="20"/>
      <c r="AEZ20" s="20"/>
      <c r="AFA20" s="20"/>
      <c r="AFB20" s="20"/>
      <c r="AFC20" s="20"/>
      <c r="AFD20" s="21"/>
      <c r="AFE20" s="21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1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1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1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1"/>
      <c r="AHR20" s="20"/>
      <c r="AHS20" s="20"/>
    </row>
    <row r="21" spans="1:903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1"/>
      <c r="AG21" s="21"/>
      <c r="AH21" s="21"/>
      <c r="AI21" s="21"/>
      <c r="AJ21" s="21"/>
      <c r="AK21" s="21"/>
      <c r="AL21" s="21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1"/>
      <c r="BN21" s="21"/>
      <c r="BO21" s="21"/>
      <c r="BP21" s="21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1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1"/>
      <c r="DL21" s="21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1"/>
      <c r="DX21" s="21"/>
      <c r="DY21" s="21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1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1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1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1"/>
      <c r="OB21" s="22"/>
      <c r="OC21" s="22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1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1"/>
      <c r="QK21" s="21"/>
      <c r="QL21" s="21"/>
      <c r="QM21" s="21"/>
      <c r="QN21" s="21"/>
      <c r="QO21" s="21"/>
      <c r="QP21" s="21"/>
      <c r="QQ21" s="21"/>
      <c r="QR21" s="21"/>
      <c r="QS21" s="21"/>
      <c r="QT21" s="21"/>
      <c r="QU21" s="21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1"/>
      <c r="TE21" s="21"/>
      <c r="TF21" s="21"/>
      <c r="TG21" s="21"/>
      <c r="TH21" s="21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1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1"/>
      <c r="WL21" s="21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1"/>
      <c r="XR21" s="21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1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1"/>
      <c r="ZV21" s="21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1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1"/>
      <c r="ABP21" s="21"/>
      <c r="ABQ21" s="21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1"/>
      <c r="ACN21" s="20"/>
      <c r="ACO21" s="20"/>
      <c r="ACP21" s="20"/>
      <c r="ACQ21" s="20"/>
      <c r="ACR21" s="20"/>
      <c r="ACS21" s="21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1"/>
      <c r="ADS21" s="22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1"/>
      <c r="AES21" s="20"/>
      <c r="AET21" s="20"/>
      <c r="AEU21" s="20"/>
      <c r="AEV21" s="20"/>
      <c r="AEW21" s="21"/>
      <c r="AEX21" s="20"/>
      <c r="AEY21" s="20"/>
      <c r="AEZ21" s="20"/>
      <c r="AFA21" s="20"/>
      <c r="AFB21" s="20"/>
      <c r="AFC21" s="20"/>
      <c r="AFD21" s="21"/>
      <c r="AFE21" s="21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1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1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1"/>
      <c r="AGV21" s="20"/>
      <c r="AGW21" s="20"/>
      <c r="AGX21" s="20"/>
      <c r="AGY21" s="20"/>
      <c r="AGZ21" s="20"/>
      <c r="AHA21" s="20"/>
      <c r="AHB21" s="20"/>
      <c r="AHC21" s="20"/>
      <c r="AHD21" s="20"/>
      <c r="AHE21" s="20"/>
      <c r="AHF21" s="20"/>
      <c r="AHG21" s="20"/>
      <c r="AHH21" s="20"/>
      <c r="AHI21" s="20"/>
      <c r="AHJ21" s="20"/>
      <c r="AHK21" s="20"/>
      <c r="AHL21" s="20"/>
      <c r="AHM21" s="20"/>
      <c r="AHN21" s="20"/>
      <c r="AHO21" s="20"/>
      <c r="AHP21" s="20"/>
      <c r="AHQ21" s="21"/>
      <c r="AHR21" s="20"/>
      <c r="AHS21" s="20"/>
    </row>
    <row r="22" spans="1:903" x14ac:dyDescent="0.25">
      <c r="A22" s="34" t="s">
        <v>1106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1"/>
      <c r="AG22" s="21"/>
      <c r="AH22" s="21"/>
      <c r="AI22" s="21"/>
      <c r="AJ22" s="21"/>
      <c r="AK22" s="21"/>
      <c r="AL22" s="21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1"/>
      <c r="BN22" s="21"/>
      <c r="BO22" s="21"/>
      <c r="BP22" s="21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1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1"/>
      <c r="DL22" s="21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1"/>
      <c r="DX22" s="21"/>
      <c r="DY22" s="21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1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1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1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1"/>
      <c r="OB22" s="22"/>
      <c r="OC22" s="22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1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1"/>
      <c r="QK22" s="21"/>
      <c r="QL22" s="21"/>
      <c r="QM22" s="21"/>
      <c r="QN22" s="21"/>
      <c r="QO22" s="21"/>
      <c r="QP22" s="21"/>
      <c r="QQ22" s="21"/>
      <c r="QR22" s="21"/>
      <c r="QS22" s="21"/>
      <c r="QT22" s="21"/>
      <c r="QU22" s="21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1"/>
      <c r="TE22" s="21"/>
      <c r="TF22" s="21"/>
      <c r="TG22" s="21"/>
      <c r="TH22" s="21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1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1"/>
      <c r="WL22" s="21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1"/>
      <c r="XR22" s="21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1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1"/>
      <c r="ZV22" s="21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1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1"/>
      <c r="ABP22" s="21"/>
      <c r="ABQ22" s="21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1"/>
      <c r="ACN22" s="20"/>
      <c r="ACO22" s="20"/>
      <c r="ACP22" s="20"/>
      <c r="ACQ22" s="20"/>
      <c r="ACR22" s="20"/>
      <c r="ACS22" s="21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1"/>
      <c r="ADS22" s="22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1"/>
      <c r="AES22" s="20"/>
      <c r="AET22" s="20"/>
      <c r="AEU22" s="20"/>
      <c r="AEV22" s="20"/>
      <c r="AEW22" s="21"/>
      <c r="AEX22" s="20"/>
      <c r="AEY22" s="20"/>
      <c r="AEZ22" s="20"/>
      <c r="AFA22" s="20"/>
      <c r="AFB22" s="20"/>
      <c r="AFC22" s="20"/>
      <c r="AFD22" s="21"/>
      <c r="AFE22" s="21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1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1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1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1"/>
      <c r="AHR22" s="20"/>
      <c r="AHS22" s="20"/>
    </row>
    <row r="23" spans="1:903" x14ac:dyDescent="0.25">
      <c r="A23" s="28" t="s">
        <v>1094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1"/>
      <c r="AG23" s="21"/>
      <c r="AH23" s="21"/>
      <c r="AI23" s="21"/>
      <c r="AJ23" s="21"/>
      <c r="AK23" s="21"/>
      <c r="AL23" s="21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1"/>
      <c r="BN23" s="21"/>
      <c r="BO23" s="21"/>
      <c r="BP23" s="21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1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1"/>
      <c r="DL23" s="21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1"/>
      <c r="DX23" s="21"/>
      <c r="DY23" s="21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1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1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1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1"/>
      <c r="OB23" s="22"/>
      <c r="OC23" s="22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1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1"/>
      <c r="QK23" s="21"/>
      <c r="QL23" s="21"/>
      <c r="QM23" s="21"/>
      <c r="QN23" s="21"/>
      <c r="QO23">
        <v>14.1</v>
      </c>
      <c r="QP23" s="7" t="s">
        <v>106</v>
      </c>
      <c r="QQ23" s="19"/>
      <c r="QR23" s="19"/>
      <c r="QS23" s="19"/>
      <c r="QT23" s="19"/>
      <c r="QU23">
        <v>12.3</v>
      </c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1"/>
      <c r="TE23" s="21"/>
      <c r="TF23" s="21"/>
      <c r="TG23" s="21"/>
      <c r="TH23" s="21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1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1"/>
      <c r="WL23" s="21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1"/>
      <c r="XR23" s="21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1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1"/>
      <c r="ZV23" s="21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1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1"/>
      <c r="ABP23" s="21"/>
      <c r="ABQ23" s="21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1"/>
      <c r="ACN23" s="20"/>
      <c r="ACO23" s="20"/>
      <c r="ACP23" s="20"/>
      <c r="ACQ23" s="20"/>
      <c r="ACR23" s="20"/>
      <c r="ACS23" s="21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1"/>
      <c r="ADS23" s="22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1"/>
      <c r="AES23" s="20"/>
      <c r="AET23" s="20"/>
      <c r="AEU23" s="20"/>
      <c r="AEV23" s="20"/>
      <c r="AEW23" s="21"/>
      <c r="AEX23" s="20"/>
      <c r="AEY23" s="20"/>
      <c r="AEZ23" s="20"/>
      <c r="AFA23" s="20"/>
      <c r="AFB23" s="20"/>
      <c r="AFC23" s="20"/>
      <c r="AFD23" s="21"/>
      <c r="AFE23" s="21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1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1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1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1"/>
      <c r="AHR23" s="20"/>
      <c r="AHS23" s="20"/>
    </row>
    <row r="24" spans="1:903" x14ac:dyDescent="0.25">
      <c r="A24" s="7">
        <v>3000983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1"/>
      <c r="AG24" s="21"/>
      <c r="AH24" s="21"/>
      <c r="AI24" s="21"/>
      <c r="AJ24" s="21"/>
      <c r="AK24" s="21"/>
      <c r="AL24" s="21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1"/>
      <c r="BN24" s="21"/>
      <c r="BO24" s="21"/>
      <c r="BP24" s="21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1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1"/>
      <c r="DL24" s="21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1"/>
      <c r="DX24" s="21"/>
      <c r="DY24" s="21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>
        <v>7900</v>
      </c>
      <c r="ER24" s="20"/>
      <c r="ES24" s="7" t="s">
        <v>1095</v>
      </c>
      <c r="ET24" s="20"/>
      <c r="EU24" s="20"/>
      <c r="EV24">
        <v>8000</v>
      </c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1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>
        <v>28</v>
      </c>
      <c r="GF24" s="20"/>
      <c r="GG24">
        <v>131</v>
      </c>
      <c r="GH24" s="20"/>
      <c r="GI24" s="20"/>
      <c r="GJ24">
        <v>135</v>
      </c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1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>
        <v>28</v>
      </c>
      <c r="JA24" s="20"/>
      <c r="JB24">
        <v>241</v>
      </c>
      <c r="JC24" s="20"/>
      <c r="JD24" s="20"/>
      <c r="JE24">
        <v>264</v>
      </c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1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>
        <v>22</v>
      </c>
      <c r="LX24" s="20"/>
      <c r="LY24">
        <v>943</v>
      </c>
      <c r="LZ24" s="20"/>
      <c r="MA24" s="20"/>
      <c r="MB24">
        <v>847</v>
      </c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1"/>
      <c r="OB24" s="22"/>
      <c r="OC24" s="22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>
        <v>511</v>
      </c>
      <c r="OR24" s="20"/>
      <c r="OS24">
        <v>511</v>
      </c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1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1"/>
      <c r="QK24" s="21"/>
      <c r="QL24" s="21"/>
      <c r="QM24" s="21"/>
      <c r="QN24" s="21"/>
      <c r="QO24" s="21"/>
      <c r="QP24" s="21"/>
      <c r="QQ24" s="21"/>
      <c r="QR24" s="21"/>
      <c r="QS24" s="21"/>
      <c r="QT24" s="21"/>
      <c r="QU24" s="21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1"/>
      <c r="TE24" s="21"/>
      <c r="TF24" s="21"/>
      <c r="TG24" s="21"/>
      <c r="TH24" s="21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1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>
        <v>293</v>
      </c>
      <c r="UK24" s="20"/>
      <c r="UL24" s="20"/>
      <c r="UM24">
        <v>408</v>
      </c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1"/>
      <c r="WL24" s="21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1"/>
      <c r="XR24" s="21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1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1"/>
      <c r="ZV24" s="21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1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>
        <v>632</v>
      </c>
      <c r="ABH24" s="20"/>
      <c r="ABI24" s="20"/>
      <c r="ABJ24">
        <v>162</v>
      </c>
      <c r="ABK24" s="20"/>
      <c r="ABL24" s="20"/>
      <c r="ABM24" s="20"/>
      <c r="ABN24" s="20"/>
      <c r="ABO24" s="21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>
        <v>182</v>
      </c>
      <c r="ACD24" s="20"/>
      <c r="ACE24" s="20"/>
      <c r="ACF24" s="20"/>
      <c r="ACG24" s="20"/>
      <c r="ACH24" s="20"/>
      <c r="ACI24" s="20"/>
      <c r="ACJ24" s="20"/>
      <c r="ACK24" s="20"/>
      <c r="ACL24" s="20"/>
      <c r="ACM24" s="21"/>
      <c r="ACN24" s="20"/>
      <c r="ACO24" s="20"/>
      <c r="ACP24" s="20"/>
      <c r="ACQ24" s="20"/>
      <c r="ACR24" s="20"/>
      <c r="ACS24" s="21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1"/>
      <c r="ADS24" s="22"/>
      <c r="ADT24" s="20"/>
      <c r="ADU24" s="20"/>
      <c r="ADV24" s="20"/>
      <c r="ADW24" s="20"/>
      <c r="ADX24" s="20"/>
      <c r="ADY24" s="20"/>
      <c r="ADZ24" s="20"/>
      <c r="AEA24" s="20"/>
      <c r="AEB24">
        <v>121000</v>
      </c>
      <c r="AEC24" s="20"/>
      <c r="AED24" s="20"/>
      <c r="AEF24" s="20"/>
      <c r="AEG24" s="20"/>
      <c r="AEH24">
        <v>396000</v>
      </c>
      <c r="AEI24" s="20"/>
      <c r="AEJ24" s="20"/>
      <c r="AEK24" s="20"/>
      <c r="AEL24" s="20"/>
      <c r="AEM24" s="20"/>
      <c r="AEN24" s="20"/>
      <c r="AEO24" s="20"/>
      <c r="AEP24" s="20"/>
      <c r="AEQ24" s="20"/>
      <c r="AER24" s="21"/>
      <c r="AES24" s="20"/>
      <c r="AET24" s="20"/>
      <c r="AEU24" s="20"/>
      <c r="AEV24" s="20"/>
      <c r="AEW24" s="21"/>
      <c r="AEX24" s="20"/>
      <c r="AEY24" s="20"/>
      <c r="AEZ24" s="20"/>
      <c r="AFA24" s="20"/>
      <c r="AFB24" s="20"/>
      <c r="AFC24" s="20"/>
      <c r="AFD24" s="21"/>
      <c r="AFE24" s="21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1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1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1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1"/>
      <c r="AHR24" s="20"/>
      <c r="AHS24" s="20"/>
    </row>
    <row r="25" spans="1:903" x14ac:dyDescent="0.25">
      <c r="A25" s="7">
        <v>10064335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1"/>
      <c r="AG25" s="21"/>
      <c r="AH25" s="21"/>
      <c r="AI25" s="21"/>
      <c r="AJ25" s="21"/>
      <c r="AK25" s="21"/>
      <c r="AL25" s="21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1"/>
      <c r="BN25" s="21"/>
      <c r="BO25" s="21"/>
      <c r="BP25" s="21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1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1"/>
      <c r="DL25" s="21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1"/>
      <c r="DX25" s="21"/>
      <c r="DY25" s="21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1"/>
      <c r="FK25" s="20"/>
      <c r="FL25" s="20"/>
      <c r="FM25" s="20"/>
      <c r="FN25" s="20"/>
      <c r="FO25" s="20"/>
      <c r="FP25">
        <v>75</v>
      </c>
      <c r="FS25">
        <v>69</v>
      </c>
      <c r="FT25" s="20"/>
      <c r="FU25">
        <v>19</v>
      </c>
      <c r="FV25" s="20"/>
      <c r="FW25" s="20"/>
      <c r="FX25" s="20"/>
      <c r="FY25" s="20"/>
      <c r="FZ25">
        <v>47</v>
      </c>
      <c r="GA25" s="20"/>
      <c r="GB25" s="20"/>
      <c r="GC25" s="20"/>
      <c r="GD25" s="20"/>
      <c r="GE25" s="20"/>
      <c r="GF25" s="20"/>
      <c r="GG25" s="20"/>
      <c r="GH25" s="20"/>
      <c r="GI25" s="20"/>
      <c r="GJ25">
        <v>191</v>
      </c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1"/>
      <c r="II25" s="20"/>
      <c r="IJ25" s="20"/>
      <c r="IK25" s="20"/>
      <c r="IL25">
        <v>52</v>
      </c>
      <c r="IO25">
        <v>101</v>
      </c>
      <c r="IP25" s="20"/>
      <c r="IQ25" s="20"/>
      <c r="IR25" s="20"/>
      <c r="IS25" s="20"/>
      <c r="IT25" s="20"/>
      <c r="IU25">
        <v>113</v>
      </c>
      <c r="IV25" s="20"/>
      <c r="IW25" s="20"/>
      <c r="IX25" s="20"/>
      <c r="IY25" s="20"/>
      <c r="IZ25" s="20"/>
      <c r="JA25" s="20"/>
      <c r="JB25" s="20"/>
      <c r="JC25" s="20"/>
      <c r="JD25" s="20"/>
      <c r="JE25">
        <v>32</v>
      </c>
      <c r="JF25">
        <v>32</v>
      </c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1"/>
      <c r="LE25" s="20"/>
      <c r="LF25" s="20"/>
      <c r="LG25" s="20"/>
      <c r="LH25" s="20"/>
      <c r="LI25" s="20"/>
      <c r="LJ25">
        <v>126</v>
      </c>
      <c r="LN25">
        <v>140</v>
      </c>
      <c r="LO25" s="20"/>
      <c r="LP25" s="20"/>
      <c r="LQ25" s="20"/>
      <c r="LR25">
        <v>171</v>
      </c>
      <c r="LS25" s="20"/>
      <c r="LT25" s="20"/>
      <c r="LU25" s="20"/>
      <c r="LV25" s="20"/>
      <c r="LW25" s="20"/>
      <c r="LX25" s="20"/>
      <c r="LY25" s="20"/>
      <c r="LZ25" s="20"/>
      <c r="MA25" s="20"/>
      <c r="MB25">
        <v>183</v>
      </c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1"/>
      <c r="OB25" s="22"/>
      <c r="OC25" s="22"/>
      <c r="OD25" s="20"/>
      <c r="OE25" s="20"/>
      <c r="OF25" s="20"/>
      <c r="OG25">
        <v>433</v>
      </c>
      <c r="OH25" s="20"/>
      <c r="OI25" s="20"/>
      <c r="OJ25">
        <v>384</v>
      </c>
      <c r="OK25" s="20"/>
      <c r="OL25" s="20"/>
      <c r="OM25" s="20"/>
      <c r="ON25" s="20"/>
      <c r="OO25" s="20"/>
      <c r="OP25">
        <v>263</v>
      </c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1"/>
      <c r="PW25" s="20"/>
      <c r="PX25" s="20"/>
      <c r="PY25" s="20"/>
      <c r="PZ25" s="20"/>
      <c r="QA25" s="20"/>
      <c r="QB25" s="20"/>
      <c r="QC25" s="20"/>
      <c r="QD25" s="20"/>
      <c r="QE25" s="20">
        <v>7</v>
      </c>
      <c r="QF25" s="20"/>
      <c r="QG25" s="20">
        <v>7</v>
      </c>
      <c r="QH25" s="20"/>
      <c r="QI25" s="20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1"/>
      <c r="TE25" s="21"/>
      <c r="TF25" s="21"/>
      <c r="TG25" s="21"/>
      <c r="TH25" s="21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1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20"/>
      <c r="VZ25" s="20"/>
      <c r="WA25" s="20"/>
      <c r="WB25" s="20"/>
      <c r="WC25" s="20"/>
      <c r="WD25" s="20"/>
      <c r="WE25" s="20"/>
      <c r="WF25" s="20"/>
      <c r="WG25" s="20"/>
      <c r="WH25" s="20"/>
      <c r="WI25" s="20"/>
      <c r="WJ25" s="20"/>
      <c r="WK25" s="21"/>
      <c r="WL25" s="21"/>
      <c r="WM25" s="20"/>
      <c r="WN25" s="20"/>
      <c r="WO25" s="20"/>
      <c r="WP25" s="20"/>
      <c r="WQ25" s="20"/>
      <c r="WR25" s="20"/>
      <c r="WS25" s="20"/>
      <c r="WT25" s="20"/>
      <c r="WU25" s="20"/>
      <c r="WV25" s="20"/>
      <c r="WW25" s="20"/>
      <c r="WX25" s="20"/>
      <c r="WY25" s="20"/>
      <c r="WZ25" s="20"/>
      <c r="XA25" s="20"/>
      <c r="XB25" s="20"/>
      <c r="XC25" s="20"/>
      <c r="XD25" s="20"/>
      <c r="XE25" s="20"/>
      <c r="XF25" s="20"/>
      <c r="XG25" s="20"/>
      <c r="XH25" s="20"/>
      <c r="XI25" s="20"/>
      <c r="XJ25" s="20"/>
      <c r="XK25" s="20"/>
      <c r="XL25" s="20"/>
      <c r="XM25" s="20"/>
      <c r="XN25" s="20"/>
      <c r="XO25" s="20"/>
      <c r="XP25" s="20"/>
      <c r="XQ25" s="21"/>
      <c r="XR25" s="21"/>
      <c r="XS25" s="20"/>
      <c r="XT25" s="20"/>
      <c r="XU25">
        <v>2.2599999999999998</v>
      </c>
      <c r="XX25">
        <v>1.6</v>
      </c>
      <c r="XY25" s="20"/>
      <c r="XZ25">
        <v>1.51</v>
      </c>
      <c r="YA25" s="20"/>
      <c r="YB25" s="20"/>
      <c r="YC25" s="20"/>
      <c r="YD25" s="20"/>
      <c r="YE25" s="20"/>
      <c r="YF25">
        <v>1.56</v>
      </c>
      <c r="YG25">
        <v>1.8</v>
      </c>
      <c r="YH25" s="20"/>
      <c r="YI25" s="20"/>
      <c r="YJ25" s="20"/>
      <c r="YK25" s="20"/>
      <c r="YL25" s="20"/>
      <c r="YM25" s="20"/>
      <c r="YN25" s="20"/>
      <c r="YO25" s="20"/>
      <c r="YP25" s="20"/>
      <c r="YQ25" s="20"/>
      <c r="YR25" s="20"/>
      <c r="YS25" s="20"/>
      <c r="YT25" s="20"/>
      <c r="YU25" s="20"/>
      <c r="YV25" s="20"/>
      <c r="YW25" s="20"/>
      <c r="YX25" s="20"/>
      <c r="YY25" s="20"/>
      <c r="YZ25" s="21"/>
      <c r="ZA25" s="20"/>
      <c r="ZB25" s="20"/>
      <c r="ZC25" s="20"/>
      <c r="ZD25" s="20"/>
      <c r="ZE25" s="20"/>
      <c r="ZF25" s="20"/>
      <c r="ZG25" s="20"/>
      <c r="ZH25" s="20"/>
      <c r="ZI25" s="20"/>
      <c r="ZJ25" s="20"/>
      <c r="ZK25" s="20"/>
      <c r="ZL25" s="20"/>
      <c r="ZM25" s="20"/>
      <c r="ZN25" s="20"/>
      <c r="ZO25" s="20"/>
      <c r="ZP25" s="20"/>
      <c r="ZQ25" s="20"/>
      <c r="ZR25" s="20"/>
      <c r="ZS25" s="20"/>
      <c r="ZT25" s="20"/>
      <c r="ZU25" s="21"/>
      <c r="ZV25" s="21"/>
      <c r="ZW25" s="20"/>
      <c r="ZX25" s="20"/>
      <c r="ZY25" s="20"/>
      <c r="ZZ25" s="20"/>
      <c r="AAA25" s="20"/>
      <c r="AAB25" s="20"/>
      <c r="AAC25" s="20"/>
      <c r="AAD25" s="20"/>
      <c r="AAE25" s="20"/>
      <c r="AAF25" s="20"/>
      <c r="AAG25" s="20"/>
      <c r="AAH25" s="20"/>
      <c r="AAI25" s="20"/>
      <c r="AAJ25" s="20"/>
      <c r="AAK25" s="20"/>
      <c r="AAL25" s="20"/>
      <c r="AAM25" s="20"/>
      <c r="AAN25" s="20"/>
      <c r="AAO25" s="20"/>
      <c r="AAP25" s="20"/>
      <c r="AAQ25" s="20"/>
      <c r="AAR25" s="20"/>
      <c r="AAS25" s="20"/>
      <c r="AAT25" s="21"/>
      <c r="AAU25" s="20"/>
      <c r="AAV25" s="20"/>
      <c r="AAW25" s="20"/>
      <c r="AAX25" s="20"/>
      <c r="AAY25" s="20"/>
      <c r="AAZ25" s="20"/>
      <c r="ABA25" s="20"/>
      <c r="ABB25" s="20"/>
      <c r="ABC25" s="20"/>
      <c r="ABD25" s="20"/>
      <c r="ABE25" s="20"/>
      <c r="ABF25" s="20"/>
      <c r="ABG25" s="20"/>
      <c r="ABH25" s="20"/>
      <c r="ABI25" s="20"/>
      <c r="ABJ25" s="20"/>
      <c r="ABK25" s="20"/>
      <c r="ABL25" s="20"/>
      <c r="ABM25" s="20"/>
      <c r="ABN25" s="20"/>
      <c r="ABO25" s="21"/>
      <c r="ABP25" s="21"/>
      <c r="ABQ25" s="21"/>
      <c r="ABR25" s="20"/>
      <c r="ABS25" s="20"/>
      <c r="ABT25" s="20"/>
      <c r="ABU25" s="20"/>
      <c r="ABV25" s="20"/>
      <c r="ABW25" s="20"/>
      <c r="ABX25" s="20"/>
      <c r="ABY25" s="20"/>
      <c r="ABZ25" s="20"/>
      <c r="ACA25" s="20"/>
      <c r="ACB25" s="20"/>
      <c r="ACC25" s="20"/>
      <c r="ACD25" s="20"/>
      <c r="ACE25" s="20"/>
      <c r="ACF25" s="20"/>
      <c r="ACG25" s="20"/>
      <c r="ACH25" s="20"/>
      <c r="ACI25" s="20"/>
      <c r="ACJ25" s="20"/>
      <c r="ACK25" s="20"/>
      <c r="ACL25" s="20"/>
      <c r="ACM25" s="21"/>
      <c r="ACN25" s="20"/>
      <c r="ACO25" s="20"/>
      <c r="ACP25" s="20"/>
      <c r="ACQ25" s="20"/>
      <c r="ACR25" s="20"/>
      <c r="ACS25" s="21"/>
      <c r="ACT25" s="20"/>
      <c r="ACU25" s="20"/>
      <c r="ACV25" s="20"/>
      <c r="ACW25" s="20"/>
      <c r="ACX25">
        <v>125</v>
      </c>
      <c r="ACY25">
        <v>140</v>
      </c>
      <c r="ACZ25" s="20"/>
      <c r="ADA25" s="20"/>
      <c r="ADB25" s="20"/>
      <c r="ADC25">
        <v>107</v>
      </c>
      <c r="ADD25" s="20"/>
      <c r="ADE25">
        <v>98</v>
      </c>
      <c r="ADF25" s="20"/>
      <c r="ADG25" s="20"/>
      <c r="ADH25" s="20"/>
      <c r="ADI25" s="20"/>
      <c r="ADJ25" s="20"/>
      <c r="ADK25" s="20"/>
      <c r="ADL25" s="20"/>
      <c r="ADM25" s="20"/>
      <c r="ADN25" s="20"/>
      <c r="ADO25" s="20"/>
      <c r="ADP25" s="20"/>
      <c r="ADQ25" s="20"/>
      <c r="ADR25" s="21"/>
      <c r="ADS25" s="22"/>
      <c r="ADT25" s="20"/>
      <c r="ADU25" s="20"/>
      <c r="ADV25" s="20"/>
      <c r="ADW25" s="7">
        <v>0.25</v>
      </c>
      <c r="ADX25" s="20"/>
      <c r="ADY25" s="20"/>
      <c r="ADZ25" s="20"/>
      <c r="AEA25" s="20"/>
      <c r="AEB25" s="20"/>
      <c r="AEC25" s="20"/>
      <c r="AED25" s="20"/>
      <c r="AEE25" s="20"/>
      <c r="AEF25" s="20"/>
      <c r="AEG25" s="20"/>
      <c r="AEH25" s="33">
        <v>0.06</v>
      </c>
      <c r="AEI25" s="20"/>
      <c r="AEJ25" s="20"/>
      <c r="AEK25" s="20"/>
      <c r="AEL25" s="20"/>
      <c r="AEM25" s="20"/>
      <c r="AEN25" s="20"/>
      <c r="AEO25" s="20"/>
      <c r="AEP25" s="20"/>
      <c r="AEQ25" s="20"/>
      <c r="AER25" s="21"/>
      <c r="AES25" s="20"/>
      <c r="AET25" s="20"/>
      <c r="AEU25" s="20"/>
      <c r="AEV25" s="20"/>
      <c r="AEW25" s="21"/>
      <c r="AEX25" s="20"/>
      <c r="AEY25" s="20"/>
      <c r="AEZ25" s="20"/>
      <c r="AFA25" s="20"/>
      <c r="AFB25" s="20"/>
      <c r="AFC25" s="20"/>
      <c r="AFD25" s="21"/>
      <c r="AFE25" s="21"/>
      <c r="AFF25" s="20"/>
      <c r="AFG25" s="20"/>
      <c r="AFH25" s="20"/>
      <c r="AFI25" s="20"/>
      <c r="AFJ25" s="20"/>
      <c r="AFK25" s="20"/>
      <c r="AFL25" s="20"/>
      <c r="AFM25" s="20"/>
      <c r="AFN25" s="20"/>
      <c r="AFO25" s="20"/>
      <c r="AFP25" s="20"/>
      <c r="AFQ25" s="20"/>
      <c r="AFR25" s="20"/>
      <c r="AFS25" s="20"/>
      <c r="AFT25" s="20"/>
      <c r="AFU25" s="20"/>
      <c r="AFV25" s="20"/>
      <c r="AFW25" s="20"/>
      <c r="AFX25" s="21"/>
      <c r="AFY25" s="20"/>
      <c r="AFZ25" s="20"/>
      <c r="AGA25" s="20"/>
      <c r="AGB25" s="20"/>
      <c r="AGC25" s="20"/>
      <c r="AGD25" s="20"/>
      <c r="AGE25" s="20"/>
      <c r="AGF25" s="20"/>
      <c r="AGG25" s="20"/>
      <c r="AGH25" s="20"/>
      <c r="AGI25" s="21"/>
      <c r="AGJ25" s="20"/>
      <c r="AGK25" s="20"/>
      <c r="AGL25" s="20"/>
      <c r="AGM25" s="20"/>
      <c r="AGN25" s="20"/>
      <c r="AGO25" s="20"/>
      <c r="AGP25" s="20"/>
      <c r="AGQ25" s="20"/>
      <c r="AGR25" s="20"/>
      <c r="AGS25" s="20"/>
      <c r="AGT25" s="20"/>
      <c r="AGU25" s="21"/>
      <c r="AGV25" s="20"/>
      <c r="AGW25" s="20"/>
      <c r="AGX25" s="20"/>
      <c r="AGY25" s="20"/>
      <c r="AGZ25" s="20"/>
      <c r="AHA25" s="20"/>
      <c r="AHB25" s="20"/>
      <c r="AHC25" s="20"/>
      <c r="AHD25" s="20"/>
      <c r="AHE25" s="20"/>
      <c r="AHF25" s="20"/>
      <c r="AHG25" s="20"/>
      <c r="AHH25" s="20"/>
      <c r="AHI25" s="20"/>
      <c r="AHJ25" s="20"/>
      <c r="AHK25" s="20"/>
      <c r="AHL25" s="20"/>
      <c r="AHM25" s="20"/>
      <c r="AHN25" s="20"/>
      <c r="AHO25" s="20"/>
      <c r="AHP25" s="20"/>
      <c r="AHQ25" s="21"/>
      <c r="AHR25" s="20"/>
      <c r="AHS25" s="20"/>
    </row>
    <row r="26" spans="1:903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1"/>
      <c r="AG26" s="21"/>
      <c r="AH26" s="21"/>
      <c r="AI26" s="21"/>
      <c r="AJ26" s="21"/>
      <c r="AK26" s="21"/>
      <c r="AL26" s="21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1"/>
      <c r="BN26" s="21"/>
      <c r="BO26" s="21"/>
      <c r="BP26" s="21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1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1"/>
      <c r="DL26" s="21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1"/>
      <c r="DX26" s="21"/>
      <c r="DY26" s="21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1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1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1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1"/>
      <c r="OB26" s="22"/>
      <c r="OC26" s="22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1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1"/>
      <c r="QK26" s="21"/>
      <c r="QL26" s="21"/>
      <c r="QM26" s="21"/>
      <c r="QN26" s="21"/>
      <c r="QO26" s="21"/>
      <c r="QP26" s="21"/>
      <c r="QQ26" s="21"/>
      <c r="QR26" s="21"/>
      <c r="QS26" s="21"/>
      <c r="QT26" s="21"/>
      <c r="QU26" s="21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1"/>
      <c r="TE26" s="21"/>
      <c r="TF26" s="21"/>
      <c r="TG26" s="21"/>
      <c r="TH26" s="21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1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1"/>
      <c r="WL26" s="21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1"/>
      <c r="XR26" s="21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1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1"/>
      <c r="ZV26" s="21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1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1"/>
      <c r="ABP26" s="21"/>
      <c r="ABQ26" s="21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1"/>
      <c r="ACN26" s="20"/>
      <c r="ACO26" s="20"/>
      <c r="ACP26" s="20"/>
      <c r="ACQ26" s="20"/>
      <c r="ACR26" s="20"/>
      <c r="ACS26" s="21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1"/>
      <c r="ADS26" s="22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1"/>
      <c r="AES26" s="20"/>
      <c r="AET26" s="20"/>
      <c r="AEU26" s="20"/>
      <c r="AEV26" s="20"/>
      <c r="AEW26" s="21"/>
      <c r="AEX26" s="20"/>
      <c r="AEY26" s="20"/>
      <c r="AEZ26" s="20"/>
      <c r="AFA26" s="20"/>
      <c r="AFB26" s="20"/>
      <c r="AFC26" s="20"/>
      <c r="AFD26" s="21"/>
      <c r="AFE26" s="21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1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1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1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1"/>
      <c r="AHR26" s="20"/>
      <c r="AHS26" s="20"/>
    </row>
    <row r="27" spans="1:903" x14ac:dyDescent="0.25">
      <c r="A27" s="28" t="s">
        <v>1125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1"/>
      <c r="AG27" s="21"/>
      <c r="AH27" s="21"/>
      <c r="AI27" s="21"/>
      <c r="AJ27" s="21"/>
      <c r="AK27" s="21"/>
      <c r="AL27" s="21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1"/>
      <c r="BN27" s="21"/>
      <c r="BO27" s="21"/>
      <c r="BP27" s="21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1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1"/>
      <c r="DL27" s="21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1"/>
      <c r="DX27" s="21"/>
      <c r="DY27" s="21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1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1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1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1"/>
      <c r="OB27" s="22"/>
      <c r="OC27" s="22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1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1"/>
      <c r="QK27" s="21"/>
      <c r="QL27" s="21"/>
      <c r="QM27" s="21"/>
      <c r="QN27" s="21"/>
      <c r="QO27" s="21"/>
      <c r="QP27" s="21"/>
      <c r="QQ27" s="21"/>
      <c r="QR27" s="21"/>
      <c r="QS27" s="21"/>
      <c r="QT27" s="21"/>
      <c r="QU27" s="21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1"/>
      <c r="TE27" s="21"/>
      <c r="TF27" s="21"/>
      <c r="TG27" s="21"/>
      <c r="TH27" s="21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1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  <c r="VH27" s="20"/>
      <c r="VI27" s="20"/>
      <c r="VJ27" s="20"/>
      <c r="VK27" s="20"/>
      <c r="VL27" s="20"/>
      <c r="VM27" s="20"/>
      <c r="VN27" s="20"/>
      <c r="VO27" s="20"/>
      <c r="VP27" s="20"/>
      <c r="VQ27" s="20"/>
      <c r="VR27" s="20"/>
      <c r="VS27" s="20"/>
      <c r="VT27" s="20"/>
      <c r="VU27" s="20"/>
      <c r="VV27" s="20"/>
      <c r="VW27" s="20"/>
      <c r="VX27" s="20"/>
      <c r="VY27" s="20"/>
      <c r="VZ27" s="20"/>
      <c r="WA27" s="20"/>
      <c r="WB27" s="20"/>
      <c r="WC27" s="20"/>
      <c r="WD27" s="20"/>
      <c r="WE27" s="20"/>
      <c r="WF27" s="20"/>
      <c r="WG27" s="20"/>
      <c r="WH27" s="20"/>
      <c r="WI27" s="20"/>
      <c r="WJ27" s="20"/>
      <c r="WK27" s="21"/>
      <c r="WL27" s="21"/>
      <c r="WM27" s="20"/>
      <c r="WN27" s="20"/>
      <c r="WO27" s="20"/>
      <c r="WP27" s="20"/>
      <c r="WQ27" s="20"/>
      <c r="WR27" s="20"/>
      <c r="WS27" s="20"/>
      <c r="WT27" s="20"/>
      <c r="WU27" s="20"/>
      <c r="WV27" s="20"/>
      <c r="WW27" s="20"/>
      <c r="WX27" s="20"/>
      <c r="WY27" s="20"/>
      <c r="WZ27" s="20"/>
      <c r="XA27" s="20"/>
      <c r="XB27" s="20"/>
      <c r="XC27" s="20"/>
      <c r="XD27" s="20"/>
      <c r="XE27" s="20"/>
      <c r="XF27" s="20"/>
      <c r="XG27" s="20"/>
      <c r="XH27" s="20"/>
      <c r="XI27" s="20"/>
      <c r="XJ27" s="20"/>
      <c r="XK27" s="20"/>
      <c r="XL27" s="20"/>
      <c r="XM27" s="20"/>
      <c r="XN27" s="20"/>
      <c r="XO27" s="20"/>
      <c r="XP27" s="20"/>
      <c r="XQ27" s="21"/>
      <c r="XR27" s="21"/>
      <c r="XS27" s="20"/>
      <c r="XT27" s="20"/>
      <c r="XU27" s="20"/>
      <c r="XV27" s="20"/>
      <c r="XW27" s="20"/>
      <c r="XX27" s="20"/>
      <c r="XY27" s="20"/>
      <c r="XZ27" s="20"/>
      <c r="YA27" s="20"/>
      <c r="YB27" s="20"/>
      <c r="YC27" s="20"/>
      <c r="YD27" s="20"/>
      <c r="YE27" s="20"/>
      <c r="YF27" s="20"/>
      <c r="YG27" s="20"/>
      <c r="YH27" s="20"/>
      <c r="YI27" s="20"/>
      <c r="YJ27" s="20"/>
      <c r="YK27" s="20"/>
      <c r="YL27" s="20"/>
      <c r="YM27" s="20"/>
      <c r="YN27" s="20"/>
      <c r="YO27" s="20"/>
      <c r="YP27" s="20"/>
      <c r="YQ27" s="20"/>
      <c r="YR27" s="20"/>
      <c r="YS27" s="20"/>
      <c r="YT27" s="20"/>
      <c r="YU27" s="20"/>
      <c r="YV27" s="20"/>
      <c r="YW27" s="20"/>
      <c r="YX27" s="20"/>
      <c r="YY27" s="20"/>
      <c r="YZ27" s="21"/>
      <c r="ZA27" s="20"/>
      <c r="ZB27" s="20"/>
      <c r="ZC27" s="20"/>
      <c r="ZD27" s="20"/>
      <c r="ZE27" s="20"/>
      <c r="ZF27" s="20"/>
      <c r="ZG27" s="20"/>
      <c r="ZH27" s="20"/>
      <c r="ZI27" s="20"/>
      <c r="ZJ27" s="20"/>
      <c r="ZK27" s="20"/>
      <c r="ZL27" s="20"/>
      <c r="ZM27" s="20"/>
      <c r="ZN27" s="20"/>
      <c r="ZO27" s="20"/>
      <c r="ZP27" s="20"/>
      <c r="ZQ27" s="20"/>
      <c r="ZR27" s="20"/>
      <c r="ZS27" s="20"/>
      <c r="ZT27" s="20"/>
      <c r="ZU27" s="21"/>
      <c r="ZV27" s="21"/>
      <c r="ZW27" s="20"/>
      <c r="ZX27" s="20"/>
      <c r="ZY27" s="20"/>
      <c r="ZZ27" s="20"/>
      <c r="AAA27" s="20"/>
      <c r="AAB27" s="20"/>
      <c r="AAC27" s="20"/>
      <c r="AAD27" s="20"/>
      <c r="AAE27" s="20"/>
      <c r="AAF27" s="20"/>
      <c r="AAG27" s="20"/>
      <c r="AAH27" s="20"/>
      <c r="AAI27" s="20"/>
      <c r="AAJ27" s="20"/>
      <c r="AAK27" s="20"/>
      <c r="AAL27" s="20"/>
      <c r="AAM27" s="20"/>
      <c r="AAN27" s="20"/>
      <c r="AAO27" s="20"/>
      <c r="AAP27" s="20"/>
      <c r="AAQ27" s="20"/>
      <c r="AAR27" s="20"/>
      <c r="AAS27" s="20"/>
      <c r="AAT27" s="21"/>
      <c r="AAU27" s="20"/>
      <c r="AAV27" s="20"/>
      <c r="AAW27" s="20"/>
      <c r="AAX27" s="20"/>
      <c r="AAY27" s="20"/>
      <c r="AAZ27" s="20"/>
      <c r="ABA27" s="20"/>
      <c r="ABB27" s="20"/>
      <c r="ABC27" s="20"/>
      <c r="ABD27" s="20"/>
      <c r="ABE27" s="20"/>
      <c r="ABF27" s="20"/>
      <c r="ABG27" s="20"/>
      <c r="ABH27" s="20"/>
      <c r="ABI27" s="20"/>
      <c r="ABJ27" s="20"/>
      <c r="ABK27" s="20"/>
      <c r="ABL27" s="20"/>
      <c r="ABM27" s="20"/>
      <c r="ABN27" s="20"/>
      <c r="ABO27" s="21"/>
      <c r="ABP27" s="21"/>
      <c r="ABQ27" s="21"/>
      <c r="ABR27" s="20"/>
      <c r="ABS27" s="20"/>
      <c r="ABT27" s="20"/>
      <c r="ABU27" s="20"/>
      <c r="ABV27" s="20"/>
      <c r="ABW27" s="20"/>
      <c r="ABX27" s="20"/>
      <c r="ABY27" s="20"/>
      <c r="ABZ27" s="20"/>
      <c r="ACA27" s="20"/>
      <c r="ACB27" s="20"/>
      <c r="ACC27" s="20"/>
      <c r="ACD27" s="20"/>
      <c r="ACE27" s="20"/>
      <c r="ACF27" s="20"/>
      <c r="ACG27" s="20"/>
      <c r="ACH27" s="20"/>
      <c r="ACI27" s="20"/>
      <c r="ACJ27" s="20"/>
      <c r="ACK27" s="20"/>
      <c r="ACL27" s="20"/>
      <c r="ACM27" s="21"/>
      <c r="ACN27" s="20"/>
      <c r="ACO27" s="20"/>
      <c r="ACP27" s="20"/>
      <c r="ACQ27" s="20"/>
      <c r="ACR27" s="20"/>
      <c r="ACS27" s="21"/>
      <c r="ACT27" s="20"/>
      <c r="ACU27" s="20"/>
      <c r="ACV27" s="20"/>
      <c r="ACW27" s="20"/>
      <c r="ACX27" s="20"/>
      <c r="ACY27" s="20"/>
      <c r="ACZ27" s="20"/>
      <c r="ADA27" s="20"/>
      <c r="ADB27" s="20"/>
      <c r="ADC27" s="20"/>
      <c r="ADD27" s="20"/>
      <c r="ADE27" s="20"/>
      <c r="ADF27" s="20"/>
      <c r="ADG27" s="20"/>
      <c r="ADH27" s="20"/>
      <c r="ADI27" s="20"/>
      <c r="ADJ27" s="20"/>
      <c r="ADK27" s="20"/>
      <c r="ADL27" s="20"/>
      <c r="ADM27" s="20"/>
      <c r="ADN27" s="20"/>
      <c r="ADO27" s="20"/>
      <c r="ADP27" s="20"/>
      <c r="ADQ27" s="20"/>
      <c r="ADR27" s="21"/>
      <c r="ADS27" s="22"/>
      <c r="ADT27" s="20"/>
      <c r="ADU27" s="20"/>
      <c r="ADV27" s="20"/>
      <c r="ADW27" s="20"/>
      <c r="ADX27" s="20"/>
      <c r="ADY27" s="20"/>
      <c r="ADZ27" s="20"/>
      <c r="AEA27" s="20"/>
      <c r="AEB27" s="20"/>
      <c r="AEC27" s="20"/>
      <c r="AED27" s="20"/>
      <c r="AEE27" s="20"/>
      <c r="AEF27" s="20"/>
      <c r="AEG27" s="20"/>
      <c r="AEH27" s="20"/>
      <c r="AEI27" s="20"/>
      <c r="AEJ27" s="20"/>
      <c r="AEK27" s="20"/>
      <c r="AEL27" s="20"/>
      <c r="AEM27" s="20"/>
      <c r="AEN27" s="20"/>
      <c r="AEO27" s="20"/>
      <c r="AEP27" s="20"/>
      <c r="AEQ27" s="20"/>
      <c r="AER27" s="21"/>
      <c r="AES27" s="20"/>
      <c r="AET27" s="20"/>
      <c r="AEU27" s="20"/>
      <c r="AEV27" s="20"/>
      <c r="AEW27" s="21"/>
      <c r="AEX27" s="20"/>
      <c r="AEY27" s="20"/>
      <c r="AEZ27" s="20"/>
      <c r="AFA27" s="20"/>
      <c r="AFB27" s="20"/>
      <c r="AFC27" s="20"/>
      <c r="AFD27" s="21"/>
      <c r="AFE27" s="21"/>
      <c r="AFF27" s="20"/>
      <c r="AFG27" s="20"/>
      <c r="AFH27" s="20"/>
      <c r="AFI27" s="20"/>
      <c r="AFJ27" s="20"/>
      <c r="AFK27" s="20"/>
      <c r="AFL27" s="20"/>
      <c r="AFM27" s="20"/>
      <c r="AFN27" s="20"/>
      <c r="AFO27" s="20"/>
      <c r="AFP27" s="20"/>
      <c r="AFQ27" s="20"/>
      <c r="AFR27" s="20"/>
      <c r="AFS27" s="20"/>
      <c r="AFT27" s="20"/>
      <c r="AFU27" s="20"/>
      <c r="AFV27" s="20"/>
      <c r="AFW27" s="20"/>
      <c r="AFX27" s="21"/>
      <c r="AFY27" s="20"/>
      <c r="AFZ27" s="20"/>
      <c r="AGA27" s="20"/>
      <c r="AGB27" s="20"/>
      <c r="AGC27" s="20"/>
      <c r="AGD27" s="20"/>
      <c r="AGE27" s="20"/>
      <c r="AGF27" s="20"/>
      <c r="AGG27" s="20"/>
      <c r="AGH27" s="20"/>
      <c r="AGI27" s="21"/>
      <c r="AGJ27" s="20"/>
      <c r="AGK27" s="20"/>
      <c r="AGL27" s="20"/>
      <c r="AGM27" s="20"/>
      <c r="AGN27" s="20"/>
      <c r="AGO27" s="20"/>
      <c r="AGP27" s="20"/>
      <c r="AGQ27" s="20"/>
      <c r="AGR27" s="20"/>
      <c r="AGS27" s="20"/>
      <c r="AGT27" s="20"/>
      <c r="AGU27" s="21"/>
      <c r="AGV27" s="20"/>
      <c r="AGW27" s="20"/>
      <c r="AGX27" s="20"/>
      <c r="AGY27" s="20"/>
      <c r="AGZ27" s="20"/>
      <c r="AHA27" s="20"/>
      <c r="AHB27" s="20"/>
      <c r="AHC27" s="20"/>
      <c r="AHD27" s="20"/>
      <c r="AHE27" s="20"/>
      <c r="AHF27" s="20"/>
      <c r="AHG27" s="20"/>
      <c r="AHH27" s="20"/>
      <c r="AHI27" s="20"/>
      <c r="AHJ27" s="20"/>
      <c r="AHK27" s="20"/>
      <c r="AHL27" s="20"/>
      <c r="AHM27" s="20"/>
      <c r="AHN27" s="20"/>
      <c r="AHO27" s="20"/>
      <c r="AHP27" s="20"/>
      <c r="AHQ27" s="21"/>
      <c r="AHR27" s="20"/>
      <c r="AHS27" s="20"/>
    </row>
    <row r="28" spans="1:903" x14ac:dyDescent="0.25">
      <c r="A28">
        <v>1502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  <c r="AG28" s="21"/>
      <c r="AH28" s="21"/>
      <c r="AI28" s="21"/>
      <c r="AJ28" s="21"/>
      <c r="AK28" s="21"/>
      <c r="AL28" s="21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1"/>
      <c r="BN28" s="21"/>
      <c r="BO28" s="21"/>
      <c r="BP28" s="21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1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1"/>
      <c r="DL28" s="21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1"/>
      <c r="DX28" s="21"/>
      <c r="DY28" s="21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>
        <v>8.6999999999999993</v>
      </c>
      <c r="EL28" s="20"/>
      <c r="EM28" s="20"/>
      <c r="EN28" s="20"/>
      <c r="EO28" s="20"/>
      <c r="EP28" s="20"/>
      <c r="EQ28">
        <v>7.7</v>
      </c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1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>
        <v>52</v>
      </c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1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>
        <v>82</v>
      </c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1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>
        <v>112</v>
      </c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1"/>
      <c r="OB28" s="22"/>
      <c r="OC28" s="22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>
        <v>351</v>
      </c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1"/>
      <c r="PW28" s="20"/>
      <c r="PX28" s="20"/>
      <c r="PY28" s="20"/>
      <c r="PZ28" s="20"/>
      <c r="QA28" s="20"/>
      <c r="QB28">
        <v>12.6</v>
      </c>
      <c r="QD28" s="20"/>
      <c r="QE28" s="20"/>
      <c r="QF28" s="20"/>
      <c r="QG28" s="20"/>
      <c r="QH28" s="20"/>
      <c r="QI28" s="20"/>
      <c r="QJ28" s="21"/>
      <c r="QK28" s="21"/>
      <c r="QL28" s="21"/>
      <c r="QM28" s="21"/>
      <c r="QN28" s="21"/>
      <c r="QO28" s="21"/>
      <c r="QP28" s="21"/>
      <c r="QQ28" s="21"/>
      <c r="QR28" s="21"/>
      <c r="QS28" s="21"/>
      <c r="QT28" s="21"/>
      <c r="QU28" s="21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1"/>
      <c r="TE28" s="21"/>
      <c r="TF28" s="21"/>
      <c r="TG28" s="21"/>
      <c r="TH28" s="21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1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1"/>
      <c r="WL28" s="21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1"/>
      <c r="XR28" s="21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>
        <v>0.9</v>
      </c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1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1"/>
      <c r="ZV28" s="21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1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1"/>
      <c r="ABP28" s="21"/>
      <c r="ABQ28" s="21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1"/>
      <c r="ACN28" s="20"/>
      <c r="ACO28" s="20"/>
      <c r="ACP28" s="20"/>
      <c r="ACQ28" s="20"/>
      <c r="ACR28" s="20"/>
      <c r="ACS28" s="21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1"/>
      <c r="ADS28" s="22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1"/>
      <c r="AES28" s="20"/>
      <c r="AET28" s="20"/>
      <c r="AEU28" s="20"/>
      <c r="AEV28" s="20"/>
      <c r="AEW28" s="21"/>
      <c r="AEX28" s="20"/>
      <c r="AEY28" s="20"/>
      <c r="AEZ28" s="20"/>
      <c r="AFA28" s="20"/>
      <c r="AFB28" s="20"/>
      <c r="AFC28" s="20"/>
      <c r="AFD28" s="21"/>
      <c r="AFE28" s="21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1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1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1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1"/>
      <c r="AHR28" s="20"/>
      <c r="AHS28" s="20"/>
    </row>
    <row r="29" spans="1:903" x14ac:dyDescent="0.25">
      <c r="A29">
        <v>4003543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1"/>
      <c r="AG29" s="21"/>
      <c r="AH29" s="21"/>
      <c r="AI29" s="21"/>
      <c r="AJ29" s="21"/>
      <c r="AK29" s="21"/>
      <c r="AL29" s="21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1"/>
      <c r="BN29" s="21"/>
      <c r="BO29" s="21"/>
      <c r="BP29" s="21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1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1"/>
      <c r="DL29" s="21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1"/>
      <c r="DX29" s="21"/>
      <c r="DY29" s="21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L29" s="20"/>
      <c r="EM29" s="20"/>
      <c r="EN29" s="20"/>
      <c r="EO29" s="20"/>
      <c r="EP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1"/>
      <c r="FK29" s="20"/>
      <c r="FL29" s="20"/>
      <c r="FM29" s="20"/>
      <c r="FN29">
        <v>39</v>
      </c>
      <c r="FP29" s="20"/>
      <c r="FQ29">
        <v>25</v>
      </c>
      <c r="FS29" s="20"/>
      <c r="FT29" s="20"/>
      <c r="FU29" s="20"/>
      <c r="FV29" s="20"/>
      <c r="FW29" s="20"/>
      <c r="FX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1"/>
      <c r="II29" s="20"/>
      <c r="IJ29" s="20"/>
      <c r="IK29">
        <v>53</v>
      </c>
      <c r="IL29" s="20"/>
      <c r="IM29">
        <v>38</v>
      </c>
      <c r="IO29" s="20"/>
      <c r="IP29" s="20"/>
      <c r="IQ29" s="20"/>
      <c r="IR29" s="20"/>
      <c r="IS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1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1"/>
      <c r="OB29" s="22"/>
      <c r="OC29" s="22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1"/>
      <c r="PW29" s="20"/>
      <c r="PX29" s="20"/>
      <c r="PY29" s="20"/>
      <c r="PZ29" s="20"/>
      <c r="QA29" s="20"/>
      <c r="QD29" s="20"/>
      <c r="QE29" s="20"/>
      <c r="QF29" s="20"/>
      <c r="QG29" s="20"/>
      <c r="QH29" s="20"/>
      <c r="QI29" s="20"/>
      <c r="QJ29" s="21"/>
      <c r="QK29" s="21"/>
      <c r="QL29" s="21"/>
      <c r="QM29" s="21"/>
      <c r="QN29" s="21"/>
      <c r="QO29" s="21"/>
      <c r="QP29" s="21"/>
      <c r="QQ29" s="21"/>
      <c r="QR29" s="21"/>
      <c r="QS29" s="21"/>
      <c r="QT29" s="21"/>
      <c r="QU29" s="21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1"/>
      <c r="TE29" s="21"/>
      <c r="TF29" s="21"/>
      <c r="TG29" s="21"/>
      <c r="TH29" s="21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1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  <c r="VH29" s="20"/>
      <c r="VI29" s="20"/>
      <c r="VJ29" s="20"/>
      <c r="VK29" s="20"/>
      <c r="VL29" s="20"/>
      <c r="VM29" s="20"/>
      <c r="VN29" s="20"/>
      <c r="VO29" s="20"/>
      <c r="VP29" s="20"/>
      <c r="VQ29" s="20"/>
      <c r="VR29" s="20"/>
      <c r="VS29" s="20"/>
      <c r="VT29" s="20"/>
      <c r="VU29" s="20"/>
      <c r="VV29" s="20"/>
      <c r="VW29" s="20"/>
      <c r="VX29" s="20"/>
      <c r="VY29" s="20"/>
      <c r="VZ29" s="20"/>
      <c r="WA29" s="20"/>
      <c r="WB29" s="20"/>
      <c r="WC29" s="20"/>
      <c r="WD29" s="20"/>
      <c r="WE29" s="20"/>
      <c r="WF29" s="20"/>
      <c r="WG29" s="20"/>
      <c r="WH29" s="20"/>
      <c r="WI29" s="20"/>
      <c r="WJ29" s="20"/>
      <c r="WK29" s="21"/>
      <c r="WL29" s="21"/>
      <c r="WM29" s="20"/>
      <c r="WN29" s="20"/>
      <c r="WO29" s="20"/>
      <c r="WP29" s="20"/>
      <c r="WQ29" s="20"/>
      <c r="WR29" s="20"/>
      <c r="WS29" s="20"/>
      <c r="WT29" s="20"/>
      <c r="WU29" s="20"/>
      <c r="WV29" s="20"/>
      <c r="WW29" s="20"/>
      <c r="WX29" s="20"/>
      <c r="WY29" s="20"/>
      <c r="WZ29" s="20"/>
      <c r="XA29" s="20"/>
      <c r="XB29" s="20"/>
      <c r="XC29" s="20"/>
      <c r="XD29" s="20"/>
      <c r="XE29" s="20"/>
      <c r="XF29" s="20"/>
      <c r="XG29" s="20"/>
      <c r="XH29" s="20"/>
      <c r="XI29" s="20"/>
      <c r="XJ29" s="20"/>
      <c r="XK29" s="20"/>
      <c r="XL29" s="20"/>
      <c r="XM29" s="20"/>
      <c r="XN29" s="20"/>
      <c r="XO29" s="20"/>
      <c r="XP29" s="20"/>
      <c r="XQ29" s="21"/>
      <c r="XR29" s="21"/>
      <c r="XS29" s="20"/>
      <c r="XT29">
        <v>1.2</v>
      </c>
      <c r="XU29" s="20"/>
      <c r="XV29">
        <v>0.9</v>
      </c>
      <c r="XX29" s="20"/>
      <c r="XY29" s="20"/>
      <c r="XZ29" s="20"/>
      <c r="YA29" s="20"/>
      <c r="YB29" s="20"/>
      <c r="YC29" s="20"/>
      <c r="YD29" s="20"/>
      <c r="YE29" s="20"/>
      <c r="YF29" s="20"/>
      <c r="YG29" s="20"/>
      <c r="YI29" s="20"/>
      <c r="YJ29" s="20"/>
      <c r="YK29" s="20"/>
      <c r="YL29" s="20"/>
      <c r="YM29" s="20"/>
      <c r="YN29" s="20"/>
      <c r="YO29" s="20"/>
      <c r="YP29" s="20"/>
      <c r="YQ29" s="20"/>
      <c r="YR29" s="20"/>
      <c r="YS29" s="20"/>
      <c r="YT29" s="20"/>
      <c r="YU29" s="20"/>
      <c r="YV29" s="20"/>
      <c r="YW29" s="20"/>
      <c r="YX29" s="20"/>
      <c r="YY29" s="20"/>
      <c r="YZ29" s="21"/>
      <c r="ZA29" s="20"/>
      <c r="ZB29" s="20"/>
      <c r="ZC29" s="20"/>
      <c r="ZD29" s="20"/>
      <c r="ZE29" s="20"/>
      <c r="ZF29" s="20"/>
      <c r="ZG29" s="20"/>
      <c r="ZH29" s="20"/>
      <c r="ZI29" s="20"/>
      <c r="ZJ29" s="20"/>
      <c r="ZK29" s="20"/>
      <c r="ZL29" s="20"/>
      <c r="ZM29" s="20"/>
      <c r="ZN29" s="20"/>
      <c r="ZO29" s="20"/>
      <c r="ZP29" s="20"/>
      <c r="ZQ29" s="20"/>
      <c r="ZR29" s="20"/>
      <c r="ZS29" s="20"/>
      <c r="ZT29" s="20"/>
      <c r="ZU29" s="21"/>
      <c r="ZV29" s="21"/>
      <c r="ZW29" s="20"/>
      <c r="ZX29" s="20"/>
      <c r="ZY29" s="20"/>
      <c r="ZZ29" s="20"/>
      <c r="AAA29" s="20"/>
      <c r="AAB29" s="20"/>
      <c r="AAC29" s="20"/>
      <c r="AAD29" s="20"/>
      <c r="AAE29" s="20"/>
      <c r="AAF29" s="20"/>
      <c r="AAG29" s="20"/>
      <c r="AAH29" s="20"/>
      <c r="AAI29" s="20"/>
      <c r="AAJ29" s="20"/>
      <c r="AAK29" s="20"/>
      <c r="AAL29" s="20"/>
      <c r="AAM29" s="20"/>
      <c r="AAN29" s="20"/>
      <c r="AAO29" s="20"/>
      <c r="AAP29" s="20"/>
      <c r="AAQ29" s="20"/>
      <c r="AAR29" s="20"/>
      <c r="AAS29" s="20"/>
      <c r="AAT29" s="21"/>
      <c r="AAU29" s="20"/>
      <c r="AAV29" s="20"/>
      <c r="AAW29" s="20"/>
      <c r="AAX29" s="20"/>
      <c r="AAY29" s="20"/>
      <c r="AAZ29" s="20"/>
      <c r="ABA29" s="20"/>
      <c r="ABB29" s="20"/>
      <c r="ABC29" s="20"/>
      <c r="ABD29" s="20"/>
      <c r="ABE29" s="20"/>
      <c r="ABF29" s="20"/>
      <c r="ABG29" s="20"/>
      <c r="ABH29" s="20"/>
      <c r="ABI29" s="20"/>
      <c r="ABJ29" s="20"/>
      <c r="ABK29" s="20"/>
      <c r="ABL29" s="20"/>
      <c r="ABM29" s="20"/>
      <c r="ABN29" s="20"/>
      <c r="ABO29" s="21"/>
      <c r="ABP29" s="21"/>
      <c r="ABQ29" s="21"/>
      <c r="ABR29" s="20"/>
      <c r="ABS29" s="20"/>
      <c r="ABT29" s="20">
        <v>71.2</v>
      </c>
      <c r="ABU29" s="20">
        <v>10.3</v>
      </c>
      <c r="ABV29" s="20"/>
      <c r="ABW29" s="20"/>
      <c r="ABX29" s="20"/>
      <c r="ABY29" s="20"/>
      <c r="ABZ29" s="20"/>
      <c r="ACA29" s="20"/>
      <c r="ACB29" s="20"/>
      <c r="ACC29" s="20"/>
      <c r="ACD29" s="20"/>
      <c r="ACE29" s="20"/>
      <c r="ACF29" s="20"/>
      <c r="ACG29" s="20"/>
      <c r="ACH29" s="20"/>
      <c r="ACI29" s="20"/>
      <c r="ACJ29" s="20"/>
      <c r="ACK29" s="20"/>
      <c r="ACL29" s="20"/>
      <c r="ACM29" s="21"/>
      <c r="ACN29" s="20"/>
      <c r="ACO29" s="20"/>
      <c r="ACP29" s="20"/>
      <c r="ACQ29" s="20"/>
      <c r="ACR29" s="20"/>
      <c r="ACS29" s="21"/>
      <c r="ACT29" s="20"/>
      <c r="ACU29" s="20"/>
      <c r="ACV29" s="20"/>
      <c r="ACW29" s="20"/>
      <c r="ACX29" s="20"/>
      <c r="ACY29" s="20"/>
      <c r="ACZ29" s="20"/>
      <c r="ADA29" s="20"/>
      <c r="ADB29" s="20"/>
      <c r="ADC29" s="20"/>
      <c r="ADD29" s="20"/>
      <c r="ADE29" s="20"/>
      <c r="ADF29" s="20"/>
      <c r="ADG29" s="20"/>
      <c r="ADH29" s="20"/>
      <c r="ADI29" s="20"/>
      <c r="ADJ29" s="20"/>
      <c r="ADK29" s="20"/>
      <c r="ADL29" s="20"/>
      <c r="ADM29" s="20"/>
      <c r="ADN29" s="20"/>
      <c r="ADO29" s="20"/>
      <c r="ADP29" s="20"/>
      <c r="ADQ29" s="20"/>
      <c r="ADR29" s="21"/>
      <c r="ADS29" s="22"/>
      <c r="ADT29" s="20"/>
      <c r="ADU29" s="20"/>
      <c r="ADV29" s="20"/>
      <c r="ADW29" s="20"/>
      <c r="ADX29" s="20"/>
      <c r="ADY29" s="20"/>
      <c r="ADZ29" s="20"/>
      <c r="AEA29" s="20"/>
      <c r="AEB29" s="20"/>
      <c r="AEC29" s="20"/>
      <c r="AED29" s="20"/>
      <c r="AEE29" s="20"/>
      <c r="AEF29" s="20"/>
      <c r="AEG29" s="20"/>
      <c r="AEH29" s="20"/>
      <c r="AEI29" s="20"/>
      <c r="AEJ29" s="20"/>
      <c r="AEK29" s="20"/>
      <c r="AEL29" s="20"/>
      <c r="AEM29" s="20"/>
      <c r="AEN29" s="20"/>
      <c r="AEO29" s="20"/>
      <c r="AEP29" s="20"/>
      <c r="AEQ29" s="20"/>
      <c r="AER29" s="21"/>
      <c r="AES29" s="20"/>
      <c r="AET29" s="20"/>
      <c r="AEU29" s="20"/>
      <c r="AEV29" s="20"/>
      <c r="AEW29" s="21"/>
      <c r="AEX29" s="20"/>
      <c r="AEY29" s="20"/>
      <c r="AEZ29" s="20"/>
      <c r="AFA29" s="20"/>
      <c r="AFB29" s="20"/>
      <c r="AFC29" s="20"/>
      <c r="AFD29" s="21"/>
      <c r="AFE29" s="21"/>
      <c r="AFF29" s="20"/>
      <c r="AFG29" s="20"/>
      <c r="AFH29">
        <v>67</v>
      </c>
      <c r="AFI29" s="20"/>
      <c r="AFJ29" s="20"/>
      <c r="AFK29" s="20"/>
      <c r="AFL29" s="20"/>
      <c r="AFM29" s="20"/>
      <c r="AFN29" s="20"/>
      <c r="AFO29" s="20"/>
      <c r="AFP29" s="20"/>
      <c r="AFQ29" s="20"/>
      <c r="AFR29" s="20"/>
      <c r="AFS29" s="20"/>
      <c r="AFT29" s="20"/>
      <c r="AFU29" s="20"/>
      <c r="AFV29" s="20"/>
      <c r="AFW29" s="20"/>
      <c r="AFX29" s="21"/>
      <c r="AFY29" s="20"/>
      <c r="AFZ29" s="20"/>
      <c r="AGA29" s="20"/>
      <c r="AGB29" s="20"/>
      <c r="AGC29" s="20"/>
      <c r="AGD29" s="20"/>
      <c r="AGE29" s="20"/>
      <c r="AGF29" s="20"/>
      <c r="AGG29" s="20"/>
      <c r="AGH29" s="20"/>
      <c r="AGI29" s="21"/>
      <c r="AGJ29" s="20"/>
      <c r="AGK29" s="20"/>
      <c r="AGL29" s="20"/>
      <c r="AGM29" s="20"/>
      <c r="AGN29" s="20"/>
      <c r="AGO29" s="20"/>
      <c r="AGP29" s="20"/>
      <c r="AGQ29" s="20"/>
      <c r="AGR29" s="20"/>
      <c r="AGS29" s="20"/>
      <c r="AGT29" s="20"/>
      <c r="AGU29" s="21"/>
      <c r="AGV29" s="20"/>
      <c r="AGW29" s="20"/>
      <c r="AGX29" s="20"/>
      <c r="AGY29" s="20"/>
      <c r="AGZ29" s="20"/>
      <c r="AHA29" s="20"/>
      <c r="AHB29" s="20"/>
      <c r="AHC29" s="20"/>
      <c r="AHD29" s="20"/>
      <c r="AHE29" s="20"/>
      <c r="AHF29" s="20"/>
      <c r="AHG29" s="20"/>
      <c r="AHH29" s="20"/>
      <c r="AHI29" s="20"/>
      <c r="AHJ29" s="20"/>
      <c r="AHK29" s="20"/>
      <c r="AHL29" s="20"/>
      <c r="AHM29" s="20"/>
      <c r="AHN29" s="20"/>
      <c r="AHO29" s="20"/>
      <c r="AHP29" s="20"/>
      <c r="AHQ29" s="21"/>
      <c r="AHR29" s="20"/>
      <c r="AHS29" s="20"/>
    </row>
    <row r="30" spans="1:903" x14ac:dyDescent="0.25">
      <c r="A30" s="19">
        <v>4900261</v>
      </c>
      <c r="B30">
        <v>18000</v>
      </c>
      <c r="C30" s="20"/>
      <c r="D30" s="20"/>
      <c r="E30">
        <v>7207</v>
      </c>
      <c r="F30">
        <v>4544</v>
      </c>
      <c r="G30" s="20"/>
      <c r="H30" s="20"/>
      <c r="I30">
        <v>18973</v>
      </c>
      <c r="J30">
        <v>12480</v>
      </c>
      <c r="K30" s="20"/>
      <c r="L30">
        <v>341</v>
      </c>
      <c r="M30" s="20"/>
      <c r="N30">
        <v>13564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1"/>
      <c r="AG30">
        <v>258</v>
      </c>
      <c r="AH30">
        <v>165</v>
      </c>
      <c r="AI30">
        <v>132</v>
      </c>
      <c r="AJ30">
        <v>106</v>
      </c>
      <c r="AK30">
        <v>71</v>
      </c>
      <c r="AL30">
        <v>24</v>
      </c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1"/>
      <c r="BN30" s="21"/>
      <c r="BO30" s="21"/>
      <c r="BP30" s="21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1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1"/>
      <c r="DL30" s="21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1"/>
      <c r="DX30" s="21"/>
      <c r="DY30" s="21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L30" s="20"/>
      <c r="EM30" s="20"/>
      <c r="EN30" s="20"/>
      <c r="EO30" s="20"/>
      <c r="EP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1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>
        <v>668</v>
      </c>
      <c r="FZ30" s="20"/>
      <c r="GA30">
        <v>454</v>
      </c>
      <c r="GB30" s="20"/>
      <c r="GC30" s="20"/>
      <c r="GD30" s="20"/>
      <c r="GE30">
        <v>184</v>
      </c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1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1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1"/>
      <c r="OB30" s="22"/>
      <c r="OC30" s="22"/>
      <c r="OD30" s="20"/>
      <c r="OE30">
        <v>772</v>
      </c>
      <c r="OF30">
        <v>577</v>
      </c>
      <c r="OG30" s="20"/>
      <c r="OH30" s="20"/>
      <c r="OI30" s="20"/>
      <c r="OJ30" s="20"/>
      <c r="OK30" s="20"/>
      <c r="OL30">
        <v>1151</v>
      </c>
      <c r="OM30">
        <v>804</v>
      </c>
      <c r="ON30">
        <v>365</v>
      </c>
      <c r="OO30" s="20"/>
      <c r="OP30" s="20"/>
      <c r="OQ30">
        <v>847</v>
      </c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1"/>
      <c r="PW30" s="20"/>
      <c r="PX30" s="20"/>
      <c r="PY30" s="20"/>
      <c r="PZ30" s="20"/>
      <c r="QA30" s="20"/>
      <c r="QD30" s="20"/>
      <c r="QE30" s="20"/>
      <c r="QF30" s="20"/>
      <c r="QG30" s="20"/>
      <c r="QH30" s="20"/>
      <c r="QI30" s="20"/>
      <c r="QJ30" s="21"/>
      <c r="QK30" s="21"/>
      <c r="QL30" s="21"/>
      <c r="QM30" s="21"/>
      <c r="QN30" s="21"/>
      <c r="QO30" s="21"/>
      <c r="QP30" s="21"/>
      <c r="QQ30" s="21"/>
      <c r="QR30" s="21"/>
      <c r="QS30" s="21"/>
      <c r="QT30" s="21"/>
      <c r="QU30" s="21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1"/>
      <c r="TE30" s="21"/>
      <c r="TF30" s="21"/>
      <c r="TG30" s="21"/>
      <c r="TH30" s="21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1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  <c r="VH30" s="20"/>
      <c r="VI30" s="20"/>
      <c r="VJ30" s="20"/>
      <c r="VK30" s="20"/>
      <c r="VL30" s="20"/>
      <c r="VM30" s="20"/>
      <c r="VN30" s="20"/>
      <c r="VO30" s="20"/>
      <c r="VP30" s="20"/>
      <c r="VQ30" s="20"/>
      <c r="VR30" s="20"/>
      <c r="VS30" s="20"/>
      <c r="VT30" s="20"/>
      <c r="VU30" s="20"/>
      <c r="VV30" s="20"/>
      <c r="VW30" s="20"/>
      <c r="VX30" s="20"/>
      <c r="VY30" s="20"/>
      <c r="VZ30" s="20"/>
      <c r="WA30" s="20"/>
      <c r="WB30" s="20"/>
      <c r="WC30" s="20"/>
      <c r="WD30" s="20"/>
      <c r="WE30" s="20"/>
      <c r="WF30" s="20"/>
      <c r="WG30" s="20"/>
      <c r="WH30" s="20"/>
      <c r="WI30" s="20"/>
      <c r="WJ30" s="20"/>
      <c r="WK30" s="21"/>
      <c r="WL30" s="21"/>
      <c r="WM30" s="20"/>
      <c r="WN30" s="20"/>
      <c r="WO30" s="20"/>
      <c r="WP30" s="20"/>
      <c r="WQ30" s="20"/>
      <c r="WR30" s="20"/>
      <c r="WS30" s="20"/>
      <c r="WT30" s="20"/>
      <c r="WU30" s="20"/>
      <c r="WV30" s="20"/>
      <c r="WW30" s="20"/>
      <c r="WX30" s="20"/>
      <c r="WY30" s="20"/>
      <c r="WZ30" s="20"/>
      <c r="XA30" s="20"/>
      <c r="XB30" s="20"/>
      <c r="XC30" s="20"/>
      <c r="XD30" s="20"/>
      <c r="XE30" s="20"/>
      <c r="XF30" s="20"/>
      <c r="XG30" s="20"/>
      <c r="XH30" s="20"/>
      <c r="XI30" s="20"/>
      <c r="XJ30" s="20"/>
      <c r="XK30" s="20"/>
      <c r="XL30" s="20"/>
      <c r="XM30" s="20"/>
      <c r="XN30" s="20"/>
      <c r="XO30" s="20"/>
      <c r="XP30" s="20"/>
      <c r="XQ30" s="21"/>
      <c r="XR30" s="21"/>
      <c r="XS30" s="20"/>
      <c r="XT30">
        <v>0.71</v>
      </c>
      <c r="XU30" s="20"/>
      <c r="XV30" s="20"/>
      <c r="XW30">
        <v>0.79</v>
      </c>
      <c r="XX30" s="20"/>
      <c r="XY30" s="20"/>
      <c r="XZ30" s="20"/>
      <c r="YA30" s="20"/>
      <c r="YB30">
        <v>0.76</v>
      </c>
      <c r="YC30">
        <v>0.53</v>
      </c>
      <c r="YD30" s="20"/>
      <c r="YE30">
        <v>0.69</v>
      </c>
      <c r="YF30" s="20"/>
      <c r="YG30" s="20"/>
      <c r="YH30">
        <v>0.86</v>
      </c>
      <c r="YI30" s="20"/>
      <c r="YJ30" s="20"/>
      <c r="YK30" s="20"/>
      <c r="YL30" s="20"/>
      <c r="YM30" s="20"/>
      <c r="YN30" s="20"/>
      <c r="YO30" s="20"/>
      <c r="YP30" s="20"/>
      <c r="YQ30" s="20"/>
      <c r="YR30" s="20"/>
      <c r="YS30" s="20"/>
      <c r="YT30" s="20"/>
      <c r="YU30" s="20"/>
      <c r="YV30" s="20"/>
      <c r="YW30" s="20"/>
      <c r="YX30" s="20"/>
      <c r="YY30" s="20"/>
      <c r="YZ30" s="21"/>
      <c r="ZA30" s="20"/>
      <c r="ZB30" s="20"/>
      <c r="ZC30" s="20"/>
      <c r="ZD30" s="20"/>
      <c r="ZE30" s="20"/>
      <c r="ZF30" s="20"/>
      <c r="ZG30" s="20"/>
      <c r="ZH30" s="20"/>
      <c r="ZI30" s="20"/>
      <c r="ZJ30" s="20"/>
      <c r="ZK30" s="20"/>
      <c r="ZL30" s="20"/>
      <c r="ZM30" s="20"/>
      <c r="ZN30" s="20"/>
      <c r="ZO30" s="20"/>
      <c r="ZP30" s="20"/>
      <c r="ZQ30" s="20"/>
      <c r="ZR30" s="20"/>
      <c r="ZS30" s="20"/>
      <c r="ZT30" s="20"/>
      <c r="ZU30" s="21"/>
      <c r="ZV30" s="21"/>
      <c r="ZW30" s="20"/>
      <c r="ZX30" s="20"/>
      <c r="ZY30" s="20"/>
      <c r="ZZ30" s="20"/>
      <c r="AAA30" s="20"/>
      <c r="AAB30" s="20"/>
      <c r="AAC30" s="20"/>
      <c r="AAD30" s="20"/>
      <c r="AAE30" s="20"/>
      <c r="AAF30" s="20"/>
      <c r="AAG30" s="20"/>
      <c r="AAH30" s="20"/>
      <c r="AAI30" s="20"/>
      <c r="AAJ30" s="20"/>
      <c r="AAK30" s="20"/>
      <c r="AAL30" s="20"/>
      <c r="AAM30" s="20"/>
      <c r="AAN30" s="20"/>
      <c r="AAO30" s="20"/>
      <c r="AAP30" s="20"/>
      <c r="AAQ30" s="20"/>
      <c r="AAR30" s="20"/>
      <c r="AAS30" s="20"/>
      <c r="AAT30" s="21"/>
      <c r="AAU30" s="20"/>
      <c r="AAV30" s="20"/>
      <c r="AAW30" s="20"/>
      <c r="AAX30" s="20"/>
      <c r="AAY30" s="20"/>
      <c r="AAZ30" s="20"/>
      <c r="ABA30" s="20"/>
      <c r="ABB30" s="20"/>
      <c r="ABC30" s="20"/>
      <c r="ABD30" s="20"/>
      <c r="ABE30" s="20"/>
      <c r="ABF30" s="20"/>
      <c r="ABG30" s="20"/>
      <c r="ABH30" s="20"/>
      <c r="ABI30" s="20"/>
      <c r="ABJ30" s="20"/>
      <c r="ABK30" s="20"/>
      <c r="ABL30" s="20"/>
      <c r="ABM30" s="20"/>
      <c r="ABN30" s="20"/>
      <c r="ABO30" s="21"/>
      <c r="ABP30" s="21"/>
      <c r="ABQ30" s="21"/>
      <c r="ABR30" s="20"/>
      <c r="ABS30" s="20"/>
      <c r="ABT30" s="20"/>
      <c r="ABU30" s="20"/>
      <c r="ABV30" s="20"/>
      <c r="ABW30" s="20"/>
      <c r="ABX30" s="20"/>
      <c r="ABY30" s="20"/>
      <c r="ABZ30" s="20"/>
      <c r="ACA30" s="20"/>
      <c r="ACB30" s="20"/>
      <c r="ACC30" s="20"/>
      <c r="ACD30" s="20"/>
      <c r="ACE30" s="20"/>
      <c r="ACF30" s="20"/>
      <c r="ACG30" s="20"/>
      <c r="ACH30" s="20"/>
      <c r="ACI30" s="20"/>
      <c r="ACJ30" s="20"/>
      <c r="ACK30" s="20"/>
      <c r="ACL30" s="20"/>
      <c r="ACM30" s="21"/>
      <c r="ACN30" s="20"/>
      <c r="ACO30" s="20"/>
      <c r="ACP30" s="20"/>
      <c r="ACQ30" s="20"/>
      <c r="ACR30" s="20"/>
      <c r="ACS30" s="21"/>
      <c r="ACT30" s="20"/>
      <c r="ACU30" s="20"/>
      <c r="ACV30" s="20"/>
      <c r="ACW30" s="20"/>
      <c r="ACX30" s="20"/>
      <c r="ACY30" s="20"/>
      <c r="ACZ30" s="20"/>
      <c r="ADA30" s="20"/>
      <c r="ADB30" s="20"/>
      <c r="ADC30" s="20"/>
      <c r="ADD30" s="20"/>
      <c r="ADE30" s="20"/>
      <c r="ADF30" s="20"/>
      <c r="ADG30" s="20"/>
      <c r="ADH30" s="20"/>
      <c r="ADI30" s="20"/>
      <c r="ADJ30" s="20"/>
      <c r="ADK30" s="20"/>
      <c r="ADL30" s="20"/>
      <c r="ADM30" s="20"/>
      <c r="ADN30" s="20"/>
      <c r="ADO30" s="20"/>
      <c r="ADP30" s="20"/>
      <c r="ADQ30" s="20"/>
      <c r="ADR30" s="21"/>
      <c r="ADS30" s="22"/>
      <c r="ADT30" s="20"/>
      <c r="ADU30" s="20"/>
      <c r="ADV30" s="20"/>
      <c r="ADW30" s="20"/>
      <c r="ADX30" s="20"/>
      <c r="ADY30" s="20"/>
      <c r="ADZ30" s="20"/>
      <c r="AEA30" s="20"/>
      <c r="AEB30" s="20"/>
      <c r="AEC30" s="20"/>
      <c r="AED30" s="20"/>
      <c r="AEE30" s="20"/>
      <c r="AEF30" s="20"/>
      <c r="AEG30" s="20"/>
      <c r="AEH30" s="20"/>
      <c r="AEI30" s="20"/>
      <c r="AEJ30" s="20"/>
      <c r="AEK30" s="20"/>
      <c r="AEL30" s="20"/>
      <c r="AEM30" s="20"/>
      <c r="AEN30" s="20"/>
      <c r="AEO30" s="20"/>
      <c r="AEP30" s="20"/>
      <c r="AEQ30" s="20"/>
      <c r="AER30" s="21"/>
      <c r="AES30" s="20"/>
      <c r="AET30" s="20"/>
      <c r="AEU30" s="20"/>
      <c r="AEV30" s="20"/>
      <c r="AEW30" s="21"/>
      <c r="AEX30" s="20"/>
      <c r="AEY30" s="20"/>
      <c r="AEZ30" s="20"/>
      <c r="AFA30" s="20"/>
      <c r="AFB30" s="20"/>
      <c r="AFC30" s="20"/>
      <c r="AFD30" s="21"/>
      <c r="AFE30" s="21"/>
      <c r="AFF30" s="20"/>
      <c r="AFG30" s="20"/>
      <c r="AFH30" s="20"/>
      <c r="AFI30" s="20"/>
      <c r="AFJ30" s="20"/>
      <c r="AFK30" s="20"/>
      <c r="AFL30" s="20"/>
      <c r="AFM30" s="20"/>
      <c r="AFN30" s="20"/>
      <c r="AFO30" s="20"/>
      <c r="AFP30" s="20"/>
      <c r="AFQ30" s="20"/>
      <c r="AFR30" s="20"/>
      <c r="AFS30" s="20"/>
      <c r="AFT30" s="20"/>
      <c r="AFU30" s="20"/>
      <c r="AFV30" s="20"/>
      <c r="AFW30" s="20"/>
      <c r="AFX30" s="21"/>
      <c r="AFY30" s="20"/>
      <c r="AFZ30" s="20"/>
      <c r="AGA30" s="20"/>
      <c r="AGB30" s="20"/>
      <c r="AGC30" s="20"/>
      <c r="AGD30" s="20"/>
      <c r="AGE30" s="20"/>
      <c r="AGF30" s="20"/>
      <c r="AGG30" s="20"/>
      <c r="AGH30" s="20"/>
      <c r="AGI30" s="21"/>
      <c r="AGJ30" s="20"/>
      <c r="AGK30" s="20"/>
      <c r="AGL30" s="20"/>
      <c r="AGM30" s="20"/>
      <c r="AGN30" s="20"/>
      <c r="AGO30" s="20"/>
      <c r="AGP30" s="20"/>
      <c r="AGQ30" s="20"/>
      <c r="AGR30" s="20"/>
      <c r="AGS30" s="20"/>
      <c r="AGT30" s="20"/>
      <c r="AGU30" s="21"/>
      <c r="AGV30" s="20"/>
      <c r="AGW30" s="20"/>
      <c r="AGX30" s="20"/>
      <c r="AGY30" s="20"/>
      <c r="AGZ30" s="20"/>
      <c r="AHA30" s="20"/>
      <c r="AHB30" s="20"/>
      <c r="AHC30" s="20"/>
      <c r="AHD30" s="20"/>
      <c r="AHE30" s="20"/>
      <c r="AHF30" s="20"/>
      <c r="AHG30" s="20"/>
      <c r="AHH30" s="20"/>
      <c r="AHI30" s="20"/>
      <c r="AHJ30" s="20"/>
      <c r="AHK30" s="20"/>
      <c r="AHL30" s="20"/>
      <c r="AHM30" s="20"/>
      <c r="AHN30" s="20"/>
      <c r="AHO30" s="20"/>
      <c r="AHP30" s="20"/>
      <c r="AHQ30" s="21"/>
      <c r="AHR30" s="20"/>
      <c r="AHS30" s="20"/>
    </row>
    <row r="31" spans="1:903" x14ac:dyDescent="0.25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1"/>
      <c r="AG31" s="21"/>
      <c r="AH31" s="21"/>
      <c r="AI31" s="21"/>
      <c r="AJ31" s="21"/>
      <c r="AK31" s="21"/>
      <c r="AL31" s="21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1"/>
      <c r="BN31" s="21"/>
      <c r="BO31" s="21"/>
      <c r="BP31" s="21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1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1"/>
      <c r="DL31" s="21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1"/>
      <c r="DX31" s="21"/>
      <c r="DY31" s="21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L31" s="20"/>
      <c r="EM31" s="20"/>
      <c r="EN31" s="20"/>
      <c r="EO31" s="20"/>
      <c r="EP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1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1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1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1"/>
      <c r="OB31" s="22"/>
      <c r="OC31" s="22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1"/>
      <c r="PW31" s="20"/>
      <c r="PX31" s="20"/>
      <c r="PY31" s="20"/>
      <c r="PZ31" s="20"/>
      <c r="QA31" s="20"/>
      <c r="QD31" s="20"/>
      <c r="QE31" s="20"/>
      <c r="QF31" s="20"/>
      <c r="QG31" s="20"/>
      <c r="QH31" s="20"/>
      <c r="QI31" s="20"/>
      <c r="QJ31" s="21"/>
      <c r="QK31" s="21"/>
      <c r="QL31" s="21"/>
      <c r="QM31" s="21"/>
      <c r="QN31" s="21"/>
      <c r="QO31" s="21"/>
      <c r="QP31" s="21"/>
      <c r="QQ31" s="21"/>
      <c r="QR31" s="21"/>
      <c r="QS31" s="21"/>
      <c r="QT31" s="21"/>
      <c r="QU31" s="21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  <c r="SG31" s="20"/>
      <c r="SH31" s="20"/>
      <c r="SI31" s="20"/>
      <c r="SJ31" s="20"/>
      <c r="SK31" s="20"/>
      <c r="SL31" s="20"/>
      <c r="SM31" s="20"/>
      <c r="SN31" s="20"/>
      <c r="SO31" s="20"/>
      <c r="SP31" s="20"/>
      <c r="SQ31" s="20"/>
      <c r="SR31" s="20"/>
      <c r="SS31" s="20"/>
      <c r="ST31" s="20"/>
      <c r="SU31" s="20"/>
      <c r="SV31" s="20"/>
      <c r="SW31" s="20"/>
      <c r="SX31" s="20"/>
      <c r="SY31" s="20"/>
      <c r="SZ31" s="20"/>
      <c r="TA31" s="20"/>
      <c r="TB31" s="20"/>
      <c r="TC31" s="20"/>
      <c r="TD31" s="21"/>
      <c r="TE31" s="21"/>
      <c r="TF31" s="21"/>
      <c r="TG31" s="21"/>
      <c r="TH31" s="21"/>
      <c r="TI31" s="20"/>
      <c r="TJ31" s="20"/>
      <c r="TK31" s="20"/>
      <c r="TL31" s="20"/>
      <c r="TM31" s="20"/>
      <c r="TN31" s="20"/>
      <c r="TO31" s="20"/>
      <c r="TP31" s="20"/>
      <c r="TQ31" s="20"/>
      <c r="TR31" s="20"/>
      <c r="TS31" s="20"/>
      <c r="TT31" s="20"/>
      <c r="TU31" s="20"/>
      <c r="TV31" s="20"/>
      <c r="TW31" s="20"/>
      <c r="TX31" s="20"/>
      <c r="TY31" s="21"/>
      <c r="TZ31" s="20"/>
      <c r="UA31" s="20"/>
      <c r="UB31" s="20"/>
      <c r="UC31" s="20"/>
      <c r="UD31" s="20"/>
      <c r="UE31" s="20"/>
      <c r="UF31" s="20"/>
      <c r="UG31" s="20"/>
      <c r="UH31" s="20"/>
      <c r="UI31" s="20"/>
      <c r="UJ31" s="20"/>
      <c r="UK31" s="20"/>
      <c r="UL31" s="20"/>
      <c r="UM31" s="20"/>
      <c r="UN31" s="20"/>
      <c r="UO31" s="20"/>
      <c r="UP31" s="20"/>
      <c r="UQ31" s="20"/>
      <c r="UR31" s="20"/>
      <c r="US31" s="20"/>
      <c r="UT31" s="20"/>
      <c r="UU31" s="20"/>
      <c r="UV31" s="20"/>
      <c r="UW31" s="20"/>
      <c r="UX31" s="20"/>
      <c r="UY31" s="20"/>
      <c r="UZ31" s="20"/>
      <c r="VA31" s="20"/>
      <c r="VB31" s="20"/>
      <c r="VC31" s="20"/>
      <c r="VD31" s="20"/>
      <c r="VE31" s="20"/>
      <c r="VF31" s="20"/>
      <c r="VG31" s="20"/>
      <c r="VH31" s="20"/>
      <c r="VI31" s="20"/>
      <c r="VJ31" s="20"/>
      <c r="VK31" s="20"/>
      <c r="VL31" s="20"/>
      <c r="VM31" s="20"/>
      <c r="VN31" s="20"/>
      <c r="VO31" s="20"/>
      <c r="VP31" s="20"/>
      <c r="VQ31" s="20"/>
      <c r="VR31" s="20"/>
      <c r="VS31" s="20"/>
      <c r="VT31" s="20"/>
      <c r="VU31" s="20"/>
      <c r="VV31" s="20"/>
      <c r="VW31" s="20"/>
      <c r="VX31" s="20"/>
      <c r="VY31" s="20"/>
      <c r="VZ31" s="20"/>
      <c r="WA31" s="20"/>
      <c r="WB31" s="20"/>
      <c r="WC31" s="20"/>
      <c r="WD31" s="20"/>
      <c r="WE31" s="20"/>
      <c r="WF31" s="20"/>
      <c r="WG31" s="20"/>
      <c r="WH31" s="20"/>
      <c r="WI31" s="20"/>
      <c r="WJ31" s="20"/>
      <c r="WK31" s="21"/>
      <c r="WL31" s="21"/>
      <c r="WM31" s="20"/>
      <c r="WN31" s="20"/>
      <c r="WO31" s="20"/>
      <c r="WP31" s="20"/>
      <c r="WQ31" s="20"/>
      <c r="WR31" s="20"/>
      <c r="WS31" s="20"/>
      <c r="WT31" s="20"/>
      <c r="WU31" s="20"/>
      <c r="WV31" s="20"/>
      <c r="WW31" s="20"/>
      <c r="WX31" s="20"/>
      <c r="WY31" s="20"/>
      <c r="WZ31" s="20"/>
      <c r="XA31" s="20"/>
      <c r="XB31" s="20"/>
      <c r="XC31" s="20"/>
      <c r="XD31" s="20"/>
      <c r="XE31" s="20"/>
      <c r="XF31" s="20"/>
      <c r="XG31" s="20"/>
      <c r="XH31" s="20"/>
      <c r="XI31" s="20"/>
      <c r="XJ31" s="20"/>
      <c r="XK31" s="20"/>
      <c r="XL31" s="20"/>
      <c r="XM31" s="20"/>
      <c r="XN31" s="20"/>
      <c r="XO31" s="20"/>
      <c r="XP31" s="20"/>
      <c r="XQ31" s="21"/>
      <c r="XR31" s="21"/>
      <c r="XS31" s="20"/>
      <c r="XT31" s="20"/>
      <c r="XU31" s="20"/>
      <c r="XV31" s="20"/>
      <c r="XW31" s="20"/>
      <c r="XX31" s="20"/>
      <c r="XY31" s="20"/>
      <c r="XZ31" s="20"/>
      <c r="YA31" s="20"/>
      <c r="YB31" s="20"/>
      <c r="YC31" s="20"/>
      <c r="YD31" s="20"/>
      <c r="YE31" s="20"/>
      <c r="YF31" s="20"/>
      <c r="YG31" s="20"/>
      <c r="YI31" s="20"/>
      <c r="YJ31" s="20"/>
      <c r="YK31" s="20"/>
      <c r="YL31" s="20"/>
      <c r="YM31" s="20"/>
      <c r="YN31" s="20"/>
      <c r="YO31" s="20"/>
      <c r="YP31" s="20"/>
      <c r="YQ31" s="20"/>
      <c r="YR31" s="20"/>
      <c r="YS31" s="20"/>
      <c r="YT31" s="20"/>
      <c r="YU31" s="20"/>
      <c r="YV31" s="20"/>
      <c r="YW31" s="20"/>
      <c r="YX31" s="20"/>
      <c r="YY31" s="20"/>
      <c r="YZ31" s="21"/>
      <c r="ZA31" s="20"/>
      <c r="ZB31" s="20"/>
      <c r="ZC31" s="20"/>
      <c r="ZD31" s="20"/>
      <c r="ZE31" s="20"/>
      <c r="ZF31" s="20"/>
      <c r="ZG31" s="20"/>
      <c r="ZH31" s="20"/>
      <c r="ZI31" s="20"/>
      <c r="ZJ31" s="20"/>
      <c r="ZK31" s="20"/>
      <c r="ZL31" s="20"/>
      <c r="ZM31" s="20"/>
      <c r="ZN31" s="20"/>
      <c r="ZO31" s="20"/>
      <c r="ZP31" s="20"/>
      <c r="ZQ31" s="20"/>
      <c r="ZR31" s="20"/>
      <c r="ZS31" s="20"/>
      <c r="ZT31" s="20"/>
      <c r="ZU31" s="21"/>
      <c r="ZV31" s="21"/>
      <c r="ZW31" s="20"/>
      <c r="ZX31" s="20"/>
      <c r="ZY31" s="20"/>
      <c r="ZZ31" s="20"/>
      <c r="AAA31" s="20"/>
      <c r="AAB31" s="20"/>
      <c r="AAC31" s="20"/>
      <c r="AAD31" s="20"/>
      <c r="AAE31" s="20"/>
      <c r="AAF31" s="20"/>
      <c r="AAG31" s="20"/>
      <c r="AAH31" s="20"/>
      <c r="AAI31" s="20"/>
      <c r="AAJ31" s="20"/>
      <c r="AAK31" s="20"/>
      <c r="AAL31" s="20"/>
      <c r="AAM31" s="20"/>
      <c r="AAN31" s="20"/>
      <c r="AAO31" s="20"/>
      <c r="AAP31" s="20"/>
      <c r="AAQ31" s="20"/>
      <c r="AAR31" s="20"/>
      <c r="AAS31" s="20"/>
      <c r="AAT31" s="21"/>
      <c r="AAU31" s="20"/>
      <c r="AAV31" s="20"/>
      <c r="AAW31" s="20"/>
      <c r="AAX31" s="20"/>
      <c r="AAY31" s="20"/>
      <c r="AAZ31" s="20"/>
      <c r="ABA31" s="20"/>
      <c r="ABB31" s="20"/>
      <c r="ABC31" s="20"/>
      <c r="ABD31" s="20"/>
      <c r="ABE31" s="20"/>
      <c r="ABF31" s="20"/>
      <c r="ABG31" s="20"/>
      <c r="ABH31" s="20"/>
      <c r="ABI31" s="20"/>
      <c r="ABJ31" s="20"/>
      <c r="ABK31" s="20"/>
      <c r="ABL31" s="20"/>
      <c r="ABM31" s="20"/>
      <c r="ABN31" s="20"/>
      <c r="ABO31" s="21"/>
      <c r="ABP31" s="21"/>
      <c r="ABQ31" s="21"/>
      <c r="ABR31" s="20"/>
      <c r="ABS31" s="20"/>
      <c r="ABT31" s="20"/>
      <c r="ABU31" s="20"/>
      <c r="ABV31" s="20"/>
      <c r="ABW31" s="20"/>
      <c r="ABX31" s="20"/>
      <c r="ABY31" s="20"/>
      <c r="ABZ31" s="20"/>
      <c r="ACA31" s="20"/>
      <c r="ACB31" s="20"/>
      <c r="ACC31" s="20"/>
      <c r="ACD31" s="20"/>
      <c r="ACE31" s="20"/>
      <c r="ACF31" s="20"/>
      <c r="ACG31" s="20"/>
      <c r="ACH31" s="20"/>
      <c r="ACI31" s="20"/>
      <c r="ACJ31" s="20"/>
      <c r="ACK31" s="20"/>
      <c r="ACL31" s="20"/>
      <c r="ACM31" s="21"/>
      <c r="ACN31" s="20"/>
      <c r="ACO31" s="20"/>
      <c r="ACP31" s="20"/>
      <c r="ACQ31" s="20"/>
      <c r="ACR31" s="20"/>
      <c r="ACS31" s="21"/>
      <c r="ACT31" s="20"/>
      <c r="ACU31" s="20"/>
      <c r="ACV31" s="20"/>
      <c r="ACW31" s="20"/>
      <c r="ACX31" s="20"/>
      <c r="ACY31" s="20"/>
      <c r="ACZ31" s="20"/>
      <c r="ADA31" s="20"/>
      <c r="ADB31" s="20"/>
      <c r="ADC31" s="20"/>
      <c r="ADD31" s="20"/>
      <c r="ADE31" s="20"/>
      <c r="ADF31" s="20"/>
      <c r="ADG31" s="20"/>
      <c r="ADH31" s="20"/>
      <c r="ADI31" s="20"/>
      <c r="ADJ31" s="20"/>
      <c r="ADK31" s="20"/>
      <c r="ADL31" s="20"/>
      <c r="ADM31" s="20"/>
      <c r="ADN31" s="20"/>
      <c r="ADO31" s="20"/>
      <c r="ADP31" s="20"/>
      <c r="ADQ31" s="20"/>
      <c r="ADR31" s="21"/>
      <c r="ADS31" s="22"/>
      <c r="ADT31" s="20"/>
      <c r="ADU31" s="20"/>
      <c r="ADV31" s="20"/>
      <c r="ADW31" s="20"/>
      <c r="ADX31" s="20"/>
      <c r="ADY31" s="20"/>
      <c r="ADZ31" s="20"/>
      <c r="AEA31" s="20"/>
      <c r="AEB31" s="20"/>
      <c r="AEC31" s="20"/>
      <c r="AED31" s="20"/>
      <c r="AEE31" s="20"/>
      <c r="AEF31" s="20"/>
      <c r="AEG31" s="20"/>
      <c r="AEH31" s="20"/>
      <c r="AEI31" s="20"/>
      <c r="AEJ31" s="20"/>
      <c r="AEK31" s="20"/>
      <c r="AEL31" s="20"/>
      <c r="AEM31" s="20"/>
      <c r="AEN31" s="20"/>
      <c r="AEO31" s="20"/>
      <c r="AEP31" s="20"/>
      <c r="AEQ31" s="20"/>
      <c r="AER31" s="21"/>
      <c r="AES31" s="20"/>
      <c r="AET31" s="20"/>
      <c r="AEU31" s="20"/>
      <c r="AEV31" s="20"/>
      <c r="AEW31" s="21"/>
      <c r="AEX31" s="20"/>
      <c r="AEY31" s="20"/>
      <c r="AEZ31" s="20"/>
      <c r="AFA31" s="20"/>
      <c r="AFB31" s="20"/>
      <c r="AFC31" s="20"/>
      <c r="AFD31" s="21"/>
      <c r="AFE31" s="21"/>
      <c r="AFF31" s="20"/>
      <c r="AFG31" s="20"/>
      <c r="AFH31" s="20"/>
      <c r="AFI31" s="20"/>
      <c r="AFJ31" s="20"/>
      <c r="AFK31" s="20"/>
      <c r="AFL31" s="20"/>
      <c r="AFM31" s="20"/>
      <c r="AFN31" s="20"/>
      <c r="AFO31" s="20"/>
      <c r="AFP31" s="20"/>
      <c r="AFQ31" s="20"/>
      <c r="AFR31" s="20"/>
      <c r="AFS31" s="20"/>
      <c r="AFT31" s="20"/>
      <c r="AFU31" s="20"/>
      <c r="AFV31" s="20"/>
      <c r="AFW31" s="20"/>
      <c r="AFX31" s="21"/>
      <c r="AFY31" s="20"/>
      <c r="AFZ31" s="20"/>
      <c r="AGA31" s="20"/>
      <c r="AGB31" s="20"/>
      <c r="AGC31" s="20"/>
      <c r="AGD31" s="20"/>
      <c r="AGE31" s="20"/>
      <c r="AGF31" s="20"/>
      <c r="AGG31" s="20"/>
      <c r="AGH31" s="20"/>
      <c r="AGI31" s="21"/>
      <c r="AGJ31" s="20"/>
      <c r="AGK31" s="20"/>
      <c r="AGL31" s="20"/>
      <c r="AGM31" s="20"/>
      <c r="AGN31" s="20"/>
      <c r="AGO31" s="20"/>
      <c r="AGP31" s="20"/>
      <c r="AGQ31" s="20"/>
      <c r="AGR31" s="20"/>
      <c r="AGS31" s="20"/>
      <c r="AGT31" s="20"/>
      <c r="AGU31" s="21"/>
      <c r="AGV31" s="20"/>
      <c r="AGW31" s="20"/>
      <c r="AGX31" s="20"/>
      <c r="AGY31" s="20"/>
      <c r="AGZ31" s="20"/>
      <c r="AHA31" s="20"/>
      <c r="AHB31" s="20"/>
      <c r="AHC31" s="20"/>
      <c r="AHD31" s="20"/>
      <c r="AHE31" s="20"/>
      <c r="AHF31" s="20"/>
      <c r="AHG31" s="20"/>
      <c r="AHH31" s="20"/>
      <c r="AHI31" s="20"/>
      <c r="AHJ31" s="20"/>
      <c r="AHK31" s="20"/>
      <c r="AHL31" s="20"/>
      <c r="AHM31" s="20"/>
      <c r="AHN31" s="20"/>
      <c r="AHO31" s="20"/>
      <c r="AHP31" s="20"/>
      <c r="AHQ31" s="21"/>
      <c r="AHR31" s="20"/>
      <c r="AHS31" s="20"/>
    </row>
    <row r="32" spans="1:903" x14ac:dyDescent="0.25">
      <c r="A32" s="28" t="s">
        <v>1150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1"/>
      <c r="AG32" s="21"/>
      <c r="AH32" s="21"/>
      <c r="AI32" s="21"/>
      <c r="AJ32" s="21"/>
      <c r="AK32" s="21"/>
      <c r="AL32" s="21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1"/>
      <c r="BN32" s="21"/>
      <c r="BO32" s="21"/>
      <c r="BP32" s="21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1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1"/>
      <c r="DL32" s="21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1"/>
      <c r="DX32" s="21"/>
      <c r="DY32" s="21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1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1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1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1"/>
      <c r="OB32" s="22"/>
      <c r="OC32" s="22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1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1"/>
      <c r="QK32" s="21"/>
      <c r="QL32" s="21"/>
      <c r="QM32" s="21"/>
      <c r="QN32" s="21"/>
      <c r="QO32" s="21"/>
      <c r="QP32" s="21"/>
      <c r="QQ32" s="21"/>
      <c r="QR32" s="21"/>
      <c r="QS32" s="21"/>
      <c r="QT32" s="21"/>
      <c r="QU32" s="21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  <c r="SG32" s="20"/>
      <c r="SH32" s="20"/>
      <c r="SI32" s="20"/>
      <c r="SJ32" s="20"/>
      <c r="SK32" s="20"/>
      <c r="SL32" s="20"/>
      <c r="SM32" s="20"/>
      <c r="SN32" s="20"/>
      <c r="SO32" s="20"/>
      <c r="SP32" s="20"/>
      <c r="SQ32" s="20"/>
      <c r="SR32" s="20"/>
      <c r="SS32" s="20"/>
      <c r="ST32" s="20"/>
      <c r="SU32" s="20"/>
      <c r="SV32" s="20"/>
      <c r="SW32" s="20"/>
      <c r="SX32" s="20"/>
      <c r="SY32" s="20"/>
      <c r="SZ32" s="20"/>
      <c r="TA32" s="20"/>
      <c r="TB32" s="20"/>
      <c r="TC32" s="20"/>
      <c r="TD32" s="21"/>
      <c r="TE32" s="21"/>
      <c r="TF32" s="21"/>
      <c r="TG32" s="21"/>
      <c r="TH32" s="21"/>
      <c r="TI32" s="20"/>
      <c r="TJ32" s="20"/>
      <c r="TK32" s="20"/>
      <c r="TL32" s="20"/>
      <c r="TM32" s="20"/>
      <c r="TN32" s="20"/>
      <c r="TO32" s="20"/>
      <c r="TP32" s="20"/>
      <c r="TQ32" s="20"/>
      <c r="TR32" s="20"/>
      <c r="TS32" s="20"/>
      <c r="TT32" s="20"/>
      <c r="TU32" s="20"/>
      <c r="TV32" s="20"/>
      <c r="TW32" s="20"/>
      <c r="TX32" s="20"/>
      <c r="TY32" s="21"/>
      <c r="TZ32" s="20"/>
      <c r="UA32" s="20"/>
      <c r="UB32" s="20"/>
      <c r="UC32" s="20"/>
      <c r="UD32" s="20"/>
      <c r="UE32" s="20"/>
      <c r="UF32" s="20"/>
      <c r="UG32" s="20"/>
      <c r="UH32" s="20"/>
      <c r="UI32" s="20"/>
      <c r="UJ32" s="20"/>
      <c r="UK32" s="20"/>
      <c r="UL32" s="20"/>
      <c r="UM32" s="20"/>
      <c r="UN32" s="20"/>
      <c r="UO32" s="20"/>
      <c r="UP32" s="20"/>
      <c r="UQ32" s="20"/>
      <c r="UR32" s="20"/>
      <c r="US32" s="20"/>
      <c r="UT32" s="20"/>
      <c r="UU32" s="20"/>
      <c r="UV32" s="20"/>
      <c r="UW32" s="20"/>
      <c r="UX32" s="20"/>
      <c r="UY32" s="20"/>
      <c r="UZ32" s="20"/>
      <c r="VA32" s="20"/>
      <c r="VB32" s="20"/>
      <c r="VC32" s="20"/>
      <c r="VD32" s="20"/>
      <c r="VE32" s="20"/>
      <c r="VF32" s="20"/>
      <c r="VG32" s="20"/>
      <c r="VH32" s="20"/>
      <c r="VI32" s="20"/>
      <c r="VJ32" s="20"/>
      <c r="VK32" s="20"/>
      <c r="VL32" s="20"/>
      <c r="VM32" s="20"/>
      <c r="VN32" s="20"/>
      <c r="VO32" s="20"/>
      <c r="VP32" s="20"/>
      <c r="VQ32" s="20"/>
      <c r="VR32" s="20"/>
      <c r="VS32" s="20"/>
      <c r="VT32" s="20"/>
      <c r="VU32" s="20"/>
      <c r="VV32" s="20"/>
      <c r="VW32" s="20"/>
      <c r="VX32" s="20"/>
      <c r="VY32" s="20"/>
      <c r="VZ32" s="20"/>
      <c r="WA32" s="20"/>
      <c r="WB32" s="20"/>
      <c r="WC32" s="20"/>
      <c r="WD32" s="20"/>
      <c r="WE32" s="20"/>
      <c r="WF32" s="20"/>
      <c r="WG32" s="20"/>
      <c r="WH32" s="20"/>
      <c r="WI32" s="20"/>
      <c r="WJ32" s="20"/>
      <c r="WK32" s="21"/>
      <c r="WL32" s="21"/>
      <c r="WM32" s="20"/>
      <c r="WN32" s="20"/>
      <c r="WO32" s="20"/>
      <c r="WP32" s="20"/>
      <c r="WQ32" s="20"/>
      <c r="WR32" s="20"/>
      <c r="WS32" s="20"/>
      <c r="WT32" s="20"/>
      <c r="WU32" s="20"/>
      <c r="WV32" s="20"/>
      <c r="WW32" s="20"/>
      <c r="WX32" s="20"/>
      <c r="WY32" s="20"/>
      <c r="WZ32" s="20"/>
      <c r="XA32" s="20"/>
      <c r="XB32" s="20"/>
      <c r="XC32" s="20"/>
      <c r="XD32" s="20"/>
      <c r="XE32" s="20"/>
      <c r="XF32" s="20"/>
      <c r="XG32" s="20"/>
      <c r="XH32" s="20"/>
      <c r="XI32" s="20"/>
      <c r="XJ32" s="20"/>
      <c r="XK32" s="20"/>
      <c r="XL32" s="20"/>
      <c r="XM32" s="20"/>
      <c r="XN32" s="20"/>
      <c r="XO32" s="20"/>
      <c r="XP32" s="20"/>
      <c r="XQ32" s="21"/>
      <c r="XR32" s="21"/>
      <c r="XS32" s="20"/>
      <c r="XT32" s="20"/>
      <c r="XU32" s="20"/>
      <c r="XV32" s="20"/>
      <c r="XW32" s="20"/>
      <c r="XX32" s="20"/>
      <c r="XY32" s="20"/>
      <c r="XZ32" s="20"/>
      <c r="YA32" s="20"/>
      <c r="YB32" s="20"/>
      <c r="YC32" s="20"/>
      <c r="YD32" s="20"/>
      <c r="YE32" s="20"/>
      <c r="YF32" s="20"/>
      <c r="YG32" s="20"/>
      <c r="YH32" s="20"/>
      <c r="YI32" s="20"/>
      <c r="YJ32" s="20"/>
      <c r="YK32" s="20"/>
      <c r="YL32" s="20"/>
      <c r="YM32" s="20"/>
      <c r="YN32" s="20"/>
      <c r="YO32" s="20"/>
      <c r="YP32" s="20"/>
      <c r="YQ32" s="20"/>
      <c r="YR32" s="20"/>
      <c r="YS32" s="20"/>
      <c r="YT32" s="20"/>
      <c r="YU32" s="20"/>
      <c r="YV32" s="20"/>
      <c r="YW32" s="20"/>
      <c r="YX32" s="20"/>
      <c r="YY32" s="20"/>
      <c r="YZ32" s="21"/>
      <c r="ZA32" s="20"/>
      <c r="ZB32" s="20"/>
      <c r="ZC32" s="20"/>
      <c r="ZD32" s="20"/>
      <c r="ZE32" s="20"/>
      <c r="ZF32" s="20"/>
      <c r="ZG32" s="20"/>
      <c r="ZH32" s="20"/>
      <c r="ZI32" s="20"/>
      <c r="ZJ32" s="20"/>
      <c r="ZK32" s="20"/>
      <c r="ZL32" s="20"/>
      <c r="ZM32" s="20"/>
      <c r="ZN32" s="20"/>
      <c r="ZO32" s="20"/>
      <c r="ZP32" s="20"/>
      <c r="ZQ32" s="20"/>
      <c r="ZR32" s="20"/>
      <c r="ZS32" s="20"/>
      <c r="ZT32" s="20"/>
      <c r="ZU32" s="21"/>
      <c r="ZV32" s="21"/>
      <c r="ZW32" s="20"/>
      <c r="ZX32" s="20"/>
      <c r="ZY32" s="20"/>
      <c r="ZZ32" s="20"/>
      <c r="AAA32" s="20"/>
      <c r="AAB32" s="20"/>
      <c r="AAC32" s="20"/>
      <c r="AAD32" s="20"/>
      <c r="AAE32" s="20"/>
      <c r="AAF32" s="20"/>
      <c r="AAG32" s="20"/>
      <c r="AAH32" s="20"/>
      <c r="AAI32" s="20"/>
      <c r="AAJ32" s="20"/>
      <c r="AAK32" s="20"/>
      <c r="AAL32" s="20"/>
      <c r="AAM32" s="20"/>
      <c r="AAN32" s="20"/>
      <c r="AAO32" s="20"/>
      <c r="AAP32" s="20"/>
      <c r="AAQ32" s="20"/>
      <c r="AAR32" s="20"/>
      <c r="AAS32" s="20"/>
      <c r="AAT32" s="21"/>
      <c r="AAU32" s="20"/>
      <c r="AAV32" s="20"/>
      <c r="AAW32" s="20"/>
      <c r="AAX32" s="20"/>
      <c r="AAY32" s="20"/>
      <c r="AAZ32" s="20"/>
      <c r="ABA32" s="20"/>
      <c r="ABB32" s="20"/>
      <c r="ABC32" s="20"/>
      <c r="ABD32" s="20"/>
      <c r="ABE32" s="20"/>
      <c r="ABF32" s="20"/>
      <c r="ABG32" s="20"/>
      <c r="ABH32" s="20"/>
      <c r="ABI32" s="20"/>
      <c r="ABJ32" s="20"/>
      <c r="ABK32" s="20"/>
      <c r="ABL32" s="20"/>
      <c r="ABM32" s="20"/>
      <c r="ABN32" s="20"/>
      <c r="ABO32" s="21"/>
      <c r="ABP32" s="21"/>
      <c r="ABQ32" s="21"/>
      <c r="ABR32" s="20"/>
      <c r="ABS32" s="20"/>
      <c r="ABT32" s="20"/>
      <c r="ABU32" s="20"/>
      <c r="ABV32" s="20"/>
      <c r="ABW32" s="20"/>
      <c r="ABX32" s="20"/>
      <c r="ABY32" s="20"/>
      <c r="ABZ32" s="20"/>
      <c r="ACA32" s="20"/>
      <c r="ACB32" s="20"/>
      <c r="ACC32" s="20"/>
      <c r="ACD32" s="20"/>
      <c r="ACE32" s="20"/>
      <c r="ACF32" s="20"/>
      <c r="ACG32" s="20"/>
      <c r="ACH32" s="20"/>
      <c r="ACI32" s="20"/>
      <c r="ACJ32" s="20"/>
      <c r="ACK32" s="20"/>
      <c r="ACL32" s="20"/>
      <c r="ACM32" s="21"/>
      <c r="ACN32" s="20"/>
      <c r="ACO32" s="20"/>
      <c r="ACP32" s="20"/>
      <c r="ACQ32" s="20"/>
      <c r="ACR32" s="20"/>
      <c r="ACS32" s="21"/>
      <c r="ACT32" s="20"/>
      <c r="ACU32" s="20"/>
      <c r="ACV32" s="20"/>
      <c r="ACW32" s="20"/>
      <c r="ACX32" s="20"/>
      <c r="ACY32" s="20"/>
      <c r="ACZ32" s="20"/>
      <c r="ADA32" s="20"/>
      <c r="ADB32" s="20"/>
      <c r="ADC32" s="20"/>
      <c r="ADD32" s="20"/>
      <c r="ADE32" s="20"/>
      <c r="ADF32" s="20"/>
      <c r="ADG32" s="20"/>
      <c r="ADH32" s="20"/>
      <c r="ADI32" s="20"/>
      <c r="ADJ32" s="20"/>
      <c r="ADK32" s="20"/>
      <c r="ADL32" s="20"/>
      <c r="ADM32" s="20"/>
      <c r="ADN32" s="20"/>
      <c r="ADO32" s="20"/>
      <c r="ADP32" s="20"/>
      <c r="ADQ32" s="20"/>
      <c r="ADR32" s="21"/>
      <c r="ADS32" s="22"/>
      <c r="ADT32" s="20"/>
      <c r="ADU32" s="20"/>
      <c r="ADV32" s="20"/>
      <c r="ADW32" s="20"/>
      <c r="ADX32" s="20"/>
      <c r="ADY32" s="20"/>
      <c r="ADZ32" s="20"/>
      <c r="AEA32" s="20"/>
      <c r="AEB32" s="20"/>
      <c r="AEC32" s="20"/>
      <c r="AED32" s="20"/>
      <c r="AEE32" s="20"/>
      <c r="AEF32" s="20"/>
      <c r="AEG32" s="20"/>
      <c r="AEH32" s="20"/>
      <c r="AEI32" s="20"/>
      <c r="AEJ32" s="20"/>
      <c r="AEK32" s="20"/>
      <c r="AEL32" s="20"/>
      <c r="AEM32" s="20"/>
      <c r="AEN32" s="20"/>
      <c r="AEO32" s="20"/>
      <c r="AEP32" s="20"/>
      <c r="AEQ32" s="20"/>
      <c r="AER32" s="21"/>
      <c r="AES32" s="20"/>
      <c r="AET32" s="20"/>
      <c r="AEU32" s="20"/>
      <c r="AEV32" s="20"/>
      <c r="AEW32" s="21"/>
      <c r="AEX32" s="20"/>
      <c r="AEY32" s="20"/>
      <c r="AEZ32" s="20"/>
      <c r="AFA32" s="20"/>
      <c r="AFB32" s="20"/>
      <c r="AFC32" s="20"/>
      <c r="AFD32" s="21"/>
      <c r="AFE32" s="21"/>
      <c r="AFF32" s="20"/>
      <c r="AFG32" s="20"/>
      <c r="AFH32" s="20"/>
      <c r="AFI32" s="20"/>
      <c r="AFJ32" s="20"/>
      <c r="AFK32" s="20"/>
      <c r="AFL32" s="20"/>
      <c r="AFM32" s="20"/>
      <c r="AFN32" s="20"/>
      <c r="AFO32" s="20"/>
      <c r="AFP32" s="20"/>
      <c r="AFQ32" s="20"/>
      <c r="AFR32" s="20"/>
      <c r="AFS32" s="20"/>
      <c r="AFT32" s="20"/>
      <c r="AFU32" s="20"/>
      <c r="AFV32" s="20"/>
      <c r="AFW32" s="20"/>
      <c r="AFX32" s="21"/>
      <c r="AFY32" s="20"/>
      <c r="AFZ32" s="20"/>
      <c r="AGA32" s="20"/>
      <c r="AGB32" s="20"/>
      <c r="AGC32" s="20"/>
      <c r="AGD32" s="20"/>
      <c r="AGE32" s="20"/>
      <c r="AGF32" s="20"/>
      <c r="AGG32" s="20"/>
      <c r="AGH32" s="20"/>
      <c r="AGI32" s="21"/>
      <c r="AGJ32" s="20"/>
      <c r="AGK32" s="20"/>
      <c r="AGL32" s="20"/>
      <c r="AGM32" s="20"/>
      <c r="AGN32" s="20"/>
      <c r="AGO32" s="20"/>
      <c r="AGP32" s="20"/>
      <c r="AGQ32" s="20"/>
      <c r="AGR32" s="20"/>
      <c r="AGS32" s="20"/>
      <c r="AGT32" s="20"/>
      <c r="AGU32" s="21"/>
      <c r="AGV32" s="20"/>
      <c r="AGW32" s="20"/>
      <c r="AGX32" s="20"/>
      <c r="AGY32" s="20"/>
      <c r="AGZ32" s="20"/>
      <c r="AHA32" s="20"/>
      <c r="AHB32" s="20"/>
      <c r="AHC32" s="20"/>
      <c r="AHD32" s="20"/>
      <c r="AHE32" s="20"/>
      <c r="AHF32" s="20"/>
      <c r="AHG32" s="20"/>
      <c r="AHH32" s="20"/>
      <c r="AHI32" s="20"/>
      <c r="AHJ32" s="20"/>
      <c r="AHK32" s="20"/>
      <c r="AHL32" s="20"/>
      <c r="AHM32" s="20"/>
      <c r="AHN32" s="20"/>
      <c r="AHO32" s="20"/>
      <c r="AHP32" s="20"/>
      <c r="AHQ32" s="21"/>
      <c r="AHR32" s="20"/>
      <c r="AHS32" s="20"/>
    </row>
    <row r="33" spans="1:931" x14ac:dyDescent="0.25">
      <c r="A33">
        <v>1505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1"/>
      <c r="AG33" s="21"/>
      <c r="AH33" s="21"/>
      <c r="AI33" s="21"/>
      <c r="AJ33" s="21"/>
      <c r="AK33" s="21"/>
      <c r="AL33" s="21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1"/>
      <c r="BN33" s="21"/>
      <c r="BO33" s="21"/>
      <c r="BP33" s="21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1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1"/>
      <c r="DL33" s="21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1"/>
      <c r="DX33" s="21"/>
      <c r="DY33" s="21"/>
      <c r="DZ33" s="20"/>
      <c r="EA33" s="20"/>
      <c r="EB33" s="20"/>
      <c r="EC33" s="20"/>
      <c r="ED33">
        <v>20</v>
      </c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>
        <v>12</v>
      </c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1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>
        <v>28</v>
      </c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1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>
        <v>32</v>
      </c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1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1"/>
      <c r="OB33" s="22"/>
      <c r="OC33" s="22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>
        <v>249</v>
      </c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1"/>
      <c r="PW33" s="20"/>
      <c r="PX33" s="20"/>
      <c r="PY33" s="20"/>
      <c r="PZ33" s="20"/>
      <c r="QA33" s="20"/>
      <c r="QB33" s="20"/>
      <c r="QC33">
        <v>9.9</v>
      </c>
      <c r="QD33" s="20"/>
      <c r="QE33" s="20"/>
      <c r="QF33" s="20"/>
      <c r="QG33" s="20"/>
      <c r="QH33" s="20"/>
      <c r="QI33" s="20"/>
      <c r="QJ33" s="21"/>
      <c r="QK33" s="21"/>
      <c r="QL33" s="21"/>
      <c r="QM33" s="21"/>
      <c r="QN33" s="21"/>
      <c r="QO33" s="21"/>
      <c r="QP33" s="21"/>
      <c r="QQ33" s="21"/>
      <c r="QR33" s="21"/>
      <c r="QS33" s="21"/>
      <c r="QT33" s="21"/>
      <c r="QU33" s="21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0"/>
      <c r="SC33" s="20"/>
      <c r="SD33" s="20"/>
      <c r="SE33" s="20"/>
      <c r="SF33" s="20"/>
      <c r="SG33" s="20"/>
      <c r="SH33" s="20"/>
      <c r="SI33" s="20"/>
      <c r="SJ33" s="20"/>
      <c r="SK33" s="20"/>
      <c r="SL33" s="20"/>
      <c r="SM33" s="20"/>
      <c r="SN33" s="20"/>
      <c r="SO33" s="20"/>
      <c r="SP33" s="20"/>
      <c r="SQ33" s="20"/>
      <c r="SR33" s="20"/>
      <c r="SS33" s="20"/>
      <c r="ST33" s="20"/>
      <c r="SU33" s="20"/>
      <c r="SV33" s="20"/>
      <c r="SW33" s="20"/>
      <c r="SX33" s="20"/>
      <c r="SY33" s="20"/>
      <c r="SZ33" s="20"/>
      <c r="TA33" s="20"/>
      <c r="TB33" s="20"/>
      <c r="TC33" s="20"/>
      <c r="TD33" s="21"/>
      <c r="TE33" s="21"/>
      <c r="TF33" s="21"/>
      <c r="TG33" s="21"/>
      <c r="TH33" s="21"/>
      <c r="TI33" s="20"/>
      <c r="TJ33" s="20"/>
      <c r="TK33" s="20"/>
      <c r="TL33" s="20"/>
      <c r="TM33" s="20"/>
      <c r="TN33" s="20"/>
      <c r="TO33" s="20"/>
      <c r="TP33" s="20"/>
      <c r="TQ33" s="20"/>
      <c r="TR33" s="20"/>
      <c r="TS33" s="20"/>
      <c r="TT33" s="20"/>
      <c r="TU33" s="20"/>
      <c r="TV33" s="20"/>
      <c r="TW33" s="20"/>
      <c r="TX33" s="20"/>
      <c r="TY33" s="21"/>
      <c r="TZ33" s="20"/>
      <c r="UA33" s="20"/>
      <c r="UB33" s="20"/>
      <c r="UC33" s="20"/>
      <c r="UD33" s="20"/>
      <c r="UE33" s="20"/>
      <c r="UF33" s="20"/>
      <c r="UG33" s="20"/>
      <c r="UH33" s="20"/>
      <c r="UI33" s="20"/>
      <c r="UJ33" s="20"/>
      <c r="UK33" s="20"/>
      <c r="UL33" s="20"/>
      <c r="UM33" s="20"/>
      <c r="UN33" s="20"/>
      <c r="UO33" s="20"/>
      <c r="UP33" s="20"/>
      <c r="UQ33" s="20"/>
      <c r="UR33" s="20"/>
      <c r="US33" s="20"/>
      <c r="UT33" s="20"/>
      <c r="UU33" s="20"/>
      <c r="UV33" s="20"/>
      <c r="UW33" s="20"/>
      <c r="UX33" s="20"/>
      <c r="UY33" s="20"/>
      <c r="UZ33" s="20"/>
      <c r="VA33" s="20"/>
      <c r="VB33" s="20"/>
      <c r="VC33" s="20"/>
      <c r="VD33" s="20"/>
      <c r="VE33" s="20"/>
      <c r="VF33" s="20"/>
      <c r="VG33" s="20"/>
      <c r="VH33" s="20"/>
      <c r="VI33" s="20"/>
      <c r="VJ33" s="20"/>
      <c r="VK33" s="20"/>
      <c r="VL33" s="20"/>
      <c r="VM33" s="20"/>
      <c r="VN33" s="20"/>
      <c r="VO33" s="20"/>
      <c r="VP33" s="20"/>
      <c r="VQ33" s="20"/>
      <c r="VR33" s="20"/>
      <c r="VS33" s="20"/>
      <c r="VT33" s="20"/>
      <c r="VU33" s="20"/>
      <c r="VV33" s="20"/>
      <c r="VW33" s="20"/>
      <c r="VX33" s="20"/>
      <c r="VY33" s="20"/>
      <c r="VZ33" s="20"/>
      <c r="WA33" s="20"/>
      <c r="WB33" s="20"/>
      <c r="WC33" s="20"/>
      <c r="WD33" s="20"/>
      <c r="WE33" s="20"/>
      <c r="WF33" s="20"/>
      <c r="WG33" s="20"/>
      <c r="WH33" s="20"/>
      <c r="WI33" s="20"/>
      <c r="WJ33" s="20"/>
      <c r="WK33" s="21"/>
      <c r="WL33" s="21"/>
      <c r="WM33" s="20"/>
      <c r="WN33" s="20"/>
      <c r="WO33" s="20"/>
      <c r="WP33" s="20"/>
      <c r="WQ33" s="20"/>
      <c r="WR33" s="20"/>
      <c r="WS33" s="20"/>
      <c r="WT33" s="20"/>
      <c r="WU33" s="20"/>
      <c r="WV33" s="20"/>
      <c r="WW33" s="20"/>
      <c r="WX33" s="20"/>
      <c r="WY33" s="20"/>
      <c r="WZ33" s="20"/>
      <c r="XA33" s="20"/>
      <c r="XB33" s="20"/>
      <c r="XC33" s="20"/>
      <c r="XD33" s="20"/>
      <c r="XE33" s="20"/>
      <c r="XF33" s="20"/>
      <c r="XG33" s="20"/>
      <c r="XH33" s="20"/>
      <c r="XI33" s="20"/>
      <c r="XJ33" s="20"/>
      <c r="XK33" s="20"/>
      <c r="XL33" s="20"/>
      <c r="XM33" s="20"/>
      <c r="XN33" s="20"/>
      <c r="XO33" s="20"/>
      <c r="XP33" s="20"/>
      <c r="XQ33" s="21"/>
      <c r="XR33" s="21"/>
      <c r="XS33" s="20"/>
      <c r="XT33" s="20"/>
      <c r="XU33" s="20"/>
      <c r="XV33" s="20"/>
      <c r="XW33" s="20"/>
      <c r="XX33" s="20"/>
      <c r="XY33" s="20"/>
      <c r="XZ33" s="20"/>
      <c r="YA33" s="20"/>
      <c r="YB33" s="20"/>
      <c r="YC33" s="20"/>
      <c r="YD33" s="20"/>
      <c r="YE33" s="20"/>
      <c r="YF33" s="20"/>
      <c r="YG33" s="20"/>
      <c r="YH33" s="20"/>
      <c r="YI33" s="20"/>
      <c r="YJ33" s="20"/>
      <c r="YK33" s="20"/>
      <c r="YL33" s="20"/>
      <c r="YM33" s="20"/>
      <c r="YN33" s="20"/>
      <c r="YO33" s="20"/>
      <c r="YP33" s="20"/>
      <c r="YQ33" s="20"/>
      <c r="YR33" s="20"/>
      <c r="YS33" s="20"/>
      <c r="YT33" s="20"/>
      <c r="YU33" s="20"/>
      <c r="YV33" s="20"/>
      <c r="YW33" s="20"/>
      <c r="YX33" s="20"/>
      <c r="YY33" s="20"/>
      <c r="YZ33" s="21"/>
      <c r="ZA33" s="20"/>
      <c r="ZB33" s="20"/>
      <c r="ZC33" s="20"/>
      <c r="ZD33" s="20"/>
      <c r="ZE33" s="20"/>
      <c r="ZF33" s="20"/>
      <c r="ZG33" s="20"/>
      <c r="ZH33" s="20"/>
      <c r="ZI33" s="20"/>
      <c r="ZJ33" s="20"/>
      <c r="ZK33" s="20"/>
      <c r="ZL33" s="20"/>
      <c r="ZM33" s="20"/>
      <c r="ZN33" s="20"/>
      <c r="ZO33" s="20"/>
      <c r="ZP33" s="20"/>
      <c r="ZQ33" s="20"/>
      <c r="ZR33" s="20"/>
      <c r="ZS33" s="20"/>
      <c r="ZT33" s="20"/>
      <c r="ZU33" s="21"/>
      <c r="ZV33" s="21"/>
      <c r="ZW33" s="20"/>
      <c r="ZX33" s="20"/>
      <c r="ZY33" s="20"/>
      <c r="ZZ33" s="20"/>
      <c r="AAA33" s="20"/>
      <c r="AAB33" s="20"/>
      <c r="AAC33" s="20"/>
      <c r="AAD33" s="20"/>
      <c r="AAE33" s="20"/>
      <c r="AAF33" s="20"/>
      <c r="AAG33" s="20"/>
      <c r="AAH33" s="20"/>
      <c r="AAI33" s="20"/>
      <c r="AAJ33" s="20"/>
      <c r="AAK33" s="20"/>
      <c r="AAL33" s="20"/>
      <c r="AAM33" s="20"/>
      <c r="AAN33" s="20"/>
      <c r="AAO33" s="20"/>
      <c r="AAP33" s="20"/>
      <c r="AAQ33" s="20"/>
      <c r="AAR33" s="20"/>
      <c r="AAS33" s="20"/>
      <c r="AAT33" s="21"/>
      <c r="AAU33" s="20"/>
      <c r="AAV33" s="20"/>
      <c r="AAW33" s="20"/>
      <c r="AAX33" s="20"/>
      <c r="AAY33" s="20"/>
      <c r="AAZ33" s="20"/>
      <c r="ABA33" s="20"/>
      <c r="ABB33" s="20"/>
      <c r="ABC33" s="20"/>
      <c r="ABD33" s="20"/>
      <c r="ABE33" s="20"/>
      <c r="ABF33" s="20"/>
      <c r="ABG33" s="20"/>
      <c r="ABH33" s="20"/>
      <c r="ABI33" s="20"/>
      <c r="ABJ33" s="20"/>
      <c r="ABK33" s="20"/>
      <c r="ABL33" s="20"/>
      <c r="ABM33" s="20"/>
      <c r="ABN33" s="20"/>
      <c r="ABO33" s="21"/>
      <c r="ABP33" s="21"/>
      <c r="ABQ33" s="21"/>
      <c r="ABR33" s="20"/>
      <c r="ABS33" s="20"/>
      <c r="ABT33" s="20"/>
      <c r="ABU33" s="20"/>
      <c r="ABV33" s="20"/>
      <c r="ABW33" s="20"/>
      <c r="ABX33" s="20"/>
      <c r="ABY33" s="20"/>
      <c r="ABZ33" s="20"/>
      <c r="ACA33" s="20"/>
      <c r="ACB33" s="20"/>
      <c r="ACC33" s="20"/>
      <c r="ACD33" s="20"/>
      <c r="ACE33" s="20"/>
      <c r="ACF33" s="20"/>
      <c r="ACG33" s="20"/>
      <c r="ACH33" s="20"/>
      <c r="ACI33" s="20"/>
      <c r="ACJ33" s="20"/>
      <c r="ACK33" s="20"/>
      <c r="ACL33" s="20"/>
      <c r="ACM33" s="21"/>
      <c r="ACN33" s="20"/>
      <c r="ACO33" s="20"/>
      <c r="ACP33" s="20"/>
      <c r="ACQ33" s="20"/>
      <c r="ACR33" s="20"/>
      <c r="ACS33" s="21"/>
      <c r="ACT33" s="20"/>
      <c r="ACU33" s="20"/>
      <c r="ACV33" s="20"/>
      <c r="ACW33" s="20"/>
      <c r="ACX33" s="20"/>
      <c r="ACY33" s="20"/>
      <c r="ACZ33" s="20"/>
      <c r="ADA33" s="20"/>
      <c r="ADB33" s="20"/>
      <c r="ADC33" s="20"/>
      <c r="ADD33" s="20"/>
      <c r="ADE33" s="20"/>
      <c r="ADF33" s="20"/>
      <c r="ADG33" s="20"/>
      <c r="ADH33" s="20"/>
      <c r="ADI33" s="20"/>
      <c r="ADJ33" s="20"/>
      <c r="ADK33" s="20"/>
      <c r="ADL33" s="20"/>
      <c r="ADM33" s="20"/>
      <c r="ADN33" s="20"/>
      <c r="ADO33" s="20"/>
      <c r="ADP33" s="20"/>
      <c r="ADQ33" s="20"/>
      <c r="ADR33" s="21"/>
      <c r="ADS33" s="22"/>
      <c r="ADT33" s="20"/>
      <c r="ADU33" s="20"/>
      <c r="ADV33" s="20"/>
      <c r="ADW33" s="20"/>
      <c r="ADX33" s="20"/>
      <c r="ADY33" s="20"/>
      <c r="ADZ33" s="20"/>
      <c r="AEA33" s="20"/>
      <c r="AEB33" s="20"/>
      <c r="AEC33" s="20"/>
      <c r="AED33" s="20"/>
      <c r="AEE33" s="20"/>
      <c r="AEF33" s="20"/>
      <c r="AEG33" s="20"/>
      <c r="AEH33" s="20"/>
      <c r="AEI33" s="20"/>
      <c r="AEJ33" s="20"/>
      <c r="AEK33" s="20"/>
      <c r="AEL33" s="20"/>
      <c r="AEM33" s="20"/>
      <c r="AEN33" s="20"/>
      <c r="AEO33" s="20"/>
      <c r="AEP33" s="20"/>
      <c r="AEQ33" s="20"/>
      <c r="AER33" s="21"/>
      <c r="AES33" s="20"/>
      <c r="AET33" s="20"/>
      <c r="AEU33" s="20"/>
      <c r="AEV33" s="20"/>
      <c r="AEW33" s="21"/>
      <c r="AEX33" s="20"/>
      <c r="AEY33" s="20"/>
      <c r="AEZ33" s="20"/>
      <c r="AFA33" s="20"/>
      <c r="AFB33" s="20"/>
      <c r="AFC33" s="20"/>
      <c r="AFD33" s="21"/>
      <c r="AFE33" s="21"/>
      <c r="AFF33" s="20"/>
      <c r="AFG33" s="20"/>
      <c r="AFH33" s="20"/>
      <c r="AFI33" s="20"/>
      <c r="AFJ33" s="20"/>
      <c r="AFK33" s="20"/>
      <c r="AFL33" s="20"/>
      <c r="AFM33" s="20"/>
      <c r="AFN33" s="20"/>
      <c r="AFO33" s="20"/>
      <c r="AFP33" s="20"/>
      <c r="AFQ33" s="20"/>
      <c r="AFR33" s="20"/>
      <c r="AFS33" s="20"/>
      <c r="AFT33" s="20"/>
      <c r="AFU33" s="20"/>
      <c r="AFV33" s="20"/>
      <c r="AFW33" s="20"/>
      <c r="AFX33" s="21"/>
      <c r="AFY33" s="20"/>
      <c r="AFZ33" s="20"/>
      <c r="AGA33" s="20"/>
      <c r="AGB33" s="20"/>
      <c r="AGC33" s="20"/>
      <c r="AGD33" s="20"/>
      <c r="AGE33" s="20"/>
      <c r="AGF33" s="20"/>
      <c r="AGG33" s="20"/>
      <c r="AGH33" s="20"/>
      <c r="AGI33" s="21"/>
      <c r="AGJ33" s="20"/>
      <c r="AGK33" s="20"/>
      <c r="AGL33" s="20"/>
      <c r="AGM33" s="20"/>
      <c r="AGN33" s="20"/>
      <c r="AGO33" s="20"/>
      <c r="AGP33" s="20"/>
      <c r="AGQ33" s="20"/>
      <c r="AGR33" s="20"/>
      <c r="AGS33" s="20"/>
      <c r="AGT33" s="20"/>
      <c r="AGU33" s="21"/>
      <c r="AGV33" s="20"/>
      <c r="AGW33" s="20"/>
      <c r="AGX33" s="20"/>
      <c r="AGY33" s="20"/>
      <c r="AGZ33" s="20"/>
      <c r="AHA33" s="20"/>
      <c r="AHB33" s="20"/>
      <c r="AHC33" s="20"/>
      <c r="AHD33" s="20"/>
      <c r="AHE33" s="20"/>
      <c r="AHF33" s="20"/>
      <c r="AHG33" s="20"/>
      <c r="AHH33" s="20"/>
      <c r="AHI33" s="20"/>
      <c r="AHJ33" s="20"/>
      <c r="AHK33" s="20"/>
      <c r="AHL33" s="20"/>
      <c r="AHM33" s="20"/>
      <c r="AHN33" s="20"/>
      <c r="AHO33" s="20"/>
      <c r="AHP33" s="20"/>
      <c r="AHQ33" s="21"/>
      <c r="AHR33" s="20"/>
      <c r="AHS33" s="20"/>
    </row>
    <row r="34" spans="1:931" x14ac:dyDescent="0.25">
      <c r="A34">
        <v>1506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1"/>
      <c r="AG34" s="21"/>
      <c r="AH34" s="21"/>
      <c r="AI34" s="21"/>
      <c r="AJ34" s="21"/>
      <c r="AK34" s="21"/>
      <c r="AL34" s="21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1"/>
      <c r="BN34" s="21"/>
      <c r="BO34" s="21"/>
      <c r="BP34" s="21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1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1"/>
      <c r="DL34" s="21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1"/>
      <c r="DX34" s="21"/>
      <c r="DY34" s="21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>
        <v>11.64</v>
      </c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1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>
        <v>15</v>
      </c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1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>
        <v>28</v>
      </c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1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>
        <v>45</v>
      </c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1"/>
      <c r="OB34" s="22"/>
      <c r="OC34" s="22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>
        <v>144</v>
      </c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1"/>
      <c r="PW34" s="20"/>
      <c r="PX34" s="20"/>
      <c r="PY34" s="20"/>
      <c r="PZ34">
        <v>6.8</v>
      </c>
      <c r="QB34" s="20"/>
      <c r="QC34" s="20"/>
      <c r="QD34" s="20"/>
      <c r="QE34" s="20"/>
      <c r="QF34" s="20"/>
      <c r="QG34" s="20"/>
      <c r="QH34" s="20"/>
      <c r="QI34" s="20"/>
      <c r="QJ34" s="21"/>
      <c r="QK34" s="21"/>
      <c r="QL34" s="21"/>
      <c r="QM34" s="21"/>
      <c r="QN34" s="21"/>
      <c r="QO34" s="21"/>
      <c r="QP34" s="21"/>
      <c r="QQ34" s="21"/>
      <c r="QR34" s="21"/>
      <c r="QS34" s="21"/>
      <c r="QT34" s="21"/>
      <c r="QU34" s="21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  <c r="SG34" s="20"/>
      <c r="SH34" s="20"/>
      <c r="SI34" s="20"/>
      <c r="SJ34" s="20"/>
      <c r="SK34" s="20"/>
      <c r="SL34" s="20"/>
      <c r="SM34" s="20"/>
      <c r="SN34" s="20"/>
      <c r="SO34" s="20"/>
      <c r="SP34" s="20"/>
      <c r="SQ34" s="20"/>
      <c r="SR34" s="20"/>
      <c r="SS34" s="20"/>
      <c r="ST34" s="20"/>
      <c r="SU34" s="20"/>
      <c r="SV34" s="20"/>
      <c r="SW34" s="20"/>
      <c r="SX34" s="20"/>
      <c r="SY34" s="20"/>
      <c r="SZ34" s="20"/>
      <c r="TA34" s="20"/>
      <c r="TB34" s="20"/>
      <c r="TC34" s="20"/>
      <c r="TD34" s="21"/>
      <c r="TE34" s="21"/>
      <c r="TF34" s="21"/>
      <c r="TG34" s="21"/>
      <c r="TH34" s="21"/>
      <c r="TI34" s="20"/>
      <c r="TJ34" s="20"/>
      <c r="TK34" s="20"/>
      <c r="TL34" s="20"/>
      <c r="TM34" s="20"/>
      <c r="TN34" s="20"/>
      <c r="TO34" s="20"/>
      <c r="TP34" s="20"/>
      <c r="TQ34" s="20"/>
      <c r="TR34" s="20"/>
      <c r="TS34" s="20"/>
      <c r="TT34" s="20"/>
      <c r="TU34" s="20"/>
      <c r="TV34" s="20"/>
      <c r="TW34" s="20"/>
      <c r="TX34" s="20"/>
      <c r="TY34" s="21"/>
      <c r="TZ34" s="20"/>
      <c r="UA34" s="20"/>
      <c r="UB34" s="20"/>
      <c r="UC34" s="20"/>
      <c r="UD34" s="20"/>
      <c r="UE34" s="20"/>
      <c r="UF34" s="20"/>
      <c r="UG34" s="20"/>
      <c r="UH34" s="20"/>
      <c r="UI34" s="20"/>
      <c r="UJ34" s="20"/>
      <c r="UK34" s="20"/>
      <c r="UL34" s="20"/>
      <c r="UM34" s="20"/>
      <c r="UN34" s="20"/>
      <c r="UO34" s="20"/>
      <c r="UP34" s="20"/>
      <c r="UQ34" s="20"/>
      <c r="UR34" s="20"/>
      <c r="US34" s="20"/>
      <c r="UT34" s="20"/>
      <c r="UU34" s="20"/>
      <c r="UV34" s="20"/>
      <c r="UW34" s="20"/>
      <c r="UX34" s="20"/>
      <c r="UY34" s="20"/>
      <c r="UZ34" s="20"/>
      <c r="VA34" s="20"/>
      <c r="VB34" s="20"/>
      <c r="VC34" s="20"/>
      <c r="VD34" s="20"/>
      <c r="VE34" s="20"/>
      <c r="VF34" s="20"/>
      <c r="VG34" s="20"/>
      <c r="VH34" s="20"/>
      <c r="VI34" s="20"/>
      <c r="VJ34" s="20"/>
      <c r="VK34" s="20"/>
      <c r="VL34" s="20"/>
      <c r="VM34" s="20"/>
      <c r="VN34" s="20"/>
      <c r="VO34" s="20"/>
      <c r="VP34" s="20"/>
      <c r="VQ34" s="20"/>
      <c r="VR34" s="20"/>
      <c r="VS34" s="20"/>
      <c r="VT34" s="20"/>
      <c r="VU34" s="20"/>
      <c r="VV34" s="20"/>
      <c r="VW34" s="20"/>
      <c r="VX34" s="20"/>
      <c r="VY34" s="20"/>
      <c r="VZ34" s="20"/>
      <c r="WA34" s="20"/>
      <c r="WB34" s="20"/>
      <c r="WC34" s="20"/>
      <c r="WD34" s="20"/>
      <c r="WE34" s="20"/>
      <c r="WF34" s="20"/>
      <c r="WG34" s="20"/>
      <c r="WH34" s="20"/>
      <c r="WI34" s="20"/>
      <c r="WJ34" s="20"/>
      <c r="WK34" s="21"/>
      <c r="WL34" s="21"/>
      <c r="WM34" s="20"/>
      <c r="WN34" s="20"/>
      <c r="WO34" s="20"/>
      <c r="WP34" s="20"/>
      <c r="WQ34" s="20"/>
      <c r="WR34" s="20"/>
      <c r="WS34" s="20"/>
      <c r="WT34" s="20"/>
      <c r="WU34" s="20"/>
      <c r="WV34" s="20"/>
      <c r="WW34" s="20"/>
      <c r="WX34" s="20"/>
      <c r="WY34" s="20"/>
      <c r="WZ34" s="20"/>
      <c r="XA34" s="20"/>
      <c r="XB34" s="20"/>
      <c r="XC34" s="20"/>
      <c r="XD34" s="20"/>
      <c r="XE34" s="20"/>
      <c r="XF34" s="20"/>
      <c r="XG34" s="20"/>
      <c r="XH34" s="20"/>
      <c r="XI34" s="20"/>
      <c r="XJ34" s="20"/>
      <c r="XK34" s="20"/>
      <c r="XL34" s="20"/>
      <c r="XM34" s="20"/>
      <c r="XN34" s="20"/>
      <c r="XO34" s="20"/>
      <c r="XP34" s="20"/>
      <c r="XQ34" s="21"/>
      <c r="XR34" s="21"/>
      <c r="XS34" s="20"/>
      <c r="XT34" s="20"/>
      <c r="XU34" s="20"/>
      <c r="XV34" s="20"/>
      <c r="XW34" s="20"/>
      <c r="XX34" s="20"/>
      <c r="XY34" s="20"/>
      <c r="XZ34" s="20"/>
      <c r="YA34" s="20"/>
      <c r="YB34" s="20"/>
      <c r="YC34" s="20"/>
      <c r="YD34" s="20"/>
      <c r="YE34" s="20"/>
      <c r="YF34" s="20"/>
      <c r="YG34" s="20"/>
      <c r="YH34" s="20"/>
      <c r="YI34" s="20"/>
      <c r="YJ34" s="20"/>
      <c r="YK34" s="20"/>
      <c r="YL34" s="20"/>
      <c r="YM34" s="20"/>
      <c r="YN34" s="20"/>
      <c r="YO34" s="20"/>
      <c r="YP34" s="20"/>
      <c r="YQ34" s="20"/>
      <c r="YR34" s="20"/>
      <c r="YS34" s="20"/>
      <c r="YT34" s="20"/>
      <c r="YU34" s="20"/>
      <c r="YV34" s="20"/>
      <c r="YW34" s="20"/>
      <c r="YX34" s="20"/>
      <c r="YY34" s="20"/>
      <c r="YZ34" s="21"/>
      <c r="ZA34" s="20"/>
      <c r="ZB34" s="20"/>
      <c r="ZC34" s="20"/>
      <c r="ZD34" s="20"/>
      <c r="ZE34" s="20"/>
      <c r="ZF34" s="20"/>
      <c r="ZG34" s="20"/>
      <c r="ZH34" s="20"/>
      <c r="ZI34" s="20"/>
      <c r="ZJ34" s="20"/>
      <c r="ZK34" s="20"/>
      <c r="ZL34" s="20"/>
      <c r="ZM34" s="20"/>
      <c r="ZN34" s="20"/>
      <c r="ZO34" s="20"/>
      <c r="ZP34" s="20"/>
      <c r="ZQ34" s="20"/>
      <c r="ZR34" s="20"/>
      <c r="ZS34" s="20"/>
      <c r="ZT34" s="20"/>
      <c r="ZU34" s="21"/>
      <c r="ZV34" s="21"/>
      <c r="ZW34" s="20"/>
      <c r="ZX34" s="20"/>
      <c r="ZY34" s="20"/>
      <c r="ZZ34" s="20"/>
      <c r="AAA34" s="20"/>
      <c r="AAB34" s="20"/>
      <c r="AAC34" s="20"/>
      <c r="AAD34" s="20"/>
      <c r="AAE34" s="20"/>
      <c r="AAF34" s="20"/>
      <c r="AAG34" s="20"/>
      <c r="AAH34" s="20"/>
      <c r="AAI34" s="20"/>
      <c r="AAJ34" s="20"/>
      <c r="AAK34" s="20"/>
      <c r="AAL34" s="20"/>
      <c r="AAM34" s="20"/>
      <c r="AAN34" s="20"/>
      <c r="AAO34" s="20"/>
      <c r="AAP34" s="20"/>
      <c r="AAQ34" s="20"/>
      <c r="AAR34" s="20"/>
      <c r="AAS34" s="20"/>
      <c r="AAT34" s="21"/>
      <c r="AAU34" s="20"/>
      <c r="AAV34" s="20"/>
      <c r="AAW34" s="20"/>
      <c r="AAX34" s="20"/>
      <c r="AAY34" s="20"/>
      <c r="AAZ34" s="20"/>
      <c r="ABA34" s="20"/>
      <c r="ABB34" s="20"/>
      <c r="ABC34" s="20"/>
      <c r="ABD34" s="20"/>
      <c r="ABE34" s="20"/>
      <c r="ABF34" s="20"/>
      <c r="ABG34" s="20"/>
      <c r="ABH34" s="20"/>
      <c r="ABI34" s="20"/>
      <c r="ABJ34" s="20"/>
      <c r="ABK34" s="20"/>
      <c r="ABL34" s="20"/>
      <c r="ABM34" s="20"/>
      <c r="ABN34" s="20"/>
      <c r="ABO34" s="21"/>
      <c r="ABP34" s="21"/>
      <c r="ABQ34" s="21"/>
      <c r="ABR34" s="20"/>
      <c r="ABS34" s="20"/>
      <c r="ABT34" s="20"/>
      <c r="ABU34" s="20"/>
      <c r="ABV34" s="20"/>
      <c r="ABW34" s="20"/>
      <c r="ABX34" s="20"/>
      <c r="ABY34" s="20"/>
      <c r="ABZ34" s="20"/>
      <c r="ACA34" s="20"/>
      <c r="ACB34" s="20"/>
      <c r="ACC34" s="20"/>
      <c r="ACD34" s="20"/>
      <c r="ACE34" s="20"/>
      <c r="ACF34" s="20"/>
      <c r="ACG34" s="20"/>
      <c r="ACH34" s="20"/>
      <c r="ACI34" s="20"/>
      <c r="ACJ34" s="20"/>
      <c r="ACK34" s="20"/>
      <c r="ACL34" s="20"/>
      <c r="ACM34" s="21"/>
      <c r="ACN34" s="20"/>
      <c r="ACO34" s="20"/>
      <c r="ACP34" s="20"/>
      <c r="ACQ34" s="20"/>
      <c r="ACR34" s="20"/>
      <c r="ACS34" s="21"/>
      <c r="ACT34" s="20"/>
      <c r="ACU34" s="20"/>
      <c r="ACV34" s="20"/>
      <c r="ACW34" s="20"/>
      <c r="ACX34" s="20"/>
      <c r="ACY34" s="20"/>
      <c r="ACZ34" s="20"/>
      <c r="ADA34" s="20"/>
      <c r="ADB34" s="20"/>
      <c r="ADC34" s="20"/>
      <c r="ADD34" s="20"/>
      <c r="ADE34" s="20"/>
      <c r="ADF34" s="20"/>
      <c r="ADG34" s="20"/>
      <c r="ADH34" s="20"/>
      <c r="ADI34" s="20"/>
      <c r="ADJ34" s="20"/>
      <c r="ADK34" s="20"/>
      <c r="ADL34" s="20"/>
      <c r="ADM34" s="20"/>
      <c r="ADN34" s="20"/>
      <c r="ADO34" s="20"/>
      <c r="ADP34" s="20"/>
      <c r="ADQ34" s="20"/>
      <c r="ADR34" s="21"/>
      <c r="ADS34" s="22"/>
      <c r="ADT34" s="20"/>
      <c r="ADU34" s="20"/>
      <c r="ADV34" s="20"/>
      <c r="ADW34" s="20"/>
      <c r="ADX34" s="20"/>
      <c r="ADY34" s="20"/>
      <c r="ADZ34" s="20"/>
      <c r="AEA34" s="20"/>
      <c r="AEB34" s="20"/>
      <c r="AEC34" s="20"/>
      <c r="AED34" s="20"/>
      <c r="AEE34" s="20"/>
      <c r="AEF34" s="20"/>
      <c r="AEG34" s="20"/>
      <c r="AEH34" s="20"/>
      <c r="AEI34" s="20"/>
      <c r="AEJ34" s="20"/>
      <c r="AEK34" s="20"/>
      <c r="AEL34" s="20"/>
      <c r="AEM34" s="20"/>
      <c r="AEN34" s="20"/>
      <c r="AEO34" s="20"/>
      <c r="AEP34" s="20"/>
      <c r="AEQ34" s="20"/>
      <c r="AER34" s="21"/>
      <c r="AES34" s="20"/>
      <c r="AET34" s="20"/>
      <c r="AEU34" s="20"/>
      <c r="AEV34" s="20"/>
      <c r="AEW34" s="21"/>
      <c r="AEX34" s="20"/>
      <c r="AEY34" s="20"/>
      <c r="AEZ34" s="20"/>
      <c r="AFA34" s="20"/>
      <c r="AFB34" s="20"/>
      <c r="AFC34" s="20"/>
      <c r="AFD34" s="21"/>
      <c r="AFE34" s="21"/>
      <c r="AFF34" s="20"/>
      <c r="AFG34" s="20"/>
      <c r="AFH34" s="20"/>
      <c r="AFI34" s="20"/>
      <c r="AFJ34" s="20"/>
      <c r="AFK34" s="20"/>
      <c r="AFL34" s="20"/>
      <c r="AFM34" s="20"/>
      <c r="AFN34" s="20"/>
      <c r="AFO34" s="20"/>
      <c r="AFP34" s="20"/>
      <c r="AFQ34" s="20"/>
      <c r="AFR34" s="20"/>
      <c r="AFS34" s="20"/>
      <c r="AFT34" s="20"/>
      <c r="AFU34" s="20"/>
      <c r="AFV34" s="20"/>
      <c r="AFW34" s="20"/>
      <c r="AFX34" s="21"/>
      <c r="AFY34" s="20"/>
      <c r="AFZ34" s="20"/>
      <c r="AGA34" s="20"/>
      <c r="AGB34" s="20"/>
      <c r="AGC34" s="20"/>
      <c r="AGD34" s="20"/>
      <c r="AGE34" s="20"/>
      <c r="AGF34" s="20"/>
      <c r="AGG34" s="20"/>
      <c r="AGH34" s="20"/>
      <c r="AGI34" s="21"/>
      <c r="AGJ34" s="20"/>
      <c r="AGK34" s="20"/>
      <c r="AGL34" s="20"/>
      <c r="AGM34" s="20"/>
      <c r="AGN34" s="20"/>
      <c r="AGO34" s="20"/>
      <c r="AGP34" s="20"/>
      <c r="AGQ34" s="20"/>
      <c r="AGR34" s="20"/>
      <c r="AGS34" s="20"/>
      <c r="AGT34" s="20"/>
      <c r="AGU34" s="21"/>
      <c r="AGV34" s="20"/>
      <c r="AGW34" s="20"/>
      <c r="AGX34" s="20"/>
      <c r="AGY34" s="20"/>
      <c r="AGZ34" s="20"/>
      <c r="AHA34" s="20"/>
      <c r="AHB34" s="20"/>
      <c r="AHC34" s="20"/>
      <c r="AHD34" s="20"/>
      <c r="AHE34" s="20"/>
      <c r="AHF34" s="20"/>
      <c r="AHG34" s="20"/>
      <c r="AHH34" s="20"/>
      <c r="AHI34" s="20"/>
      <c r="AHJ34" s="20"/>
      <c r="AHK34" s="20"/>
      <c r="AHL34" s="20"/>
      <c r="AHM34" s="20"/>
      <c r="AHN34" s="20"/>
      <c r="AHO34" s="20"/>
      <c r="AHP34" s="20"/>
      <c r="AHQ34" s="21"/>
      <c r="AHR34" s="20"/>
      <c r="AHS34" s="20"/>
    </row>
    <row r="35" spans="1:931" x14ac:dyDescent="0.25">
      <c r="A35" s="7">
        <v>1000197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1"/>
      <c r="AG35" s="21"/>
      <c r="AH35" s="21"/>
      <c r="AI35" s="21"/>
      <c r="AJ35" s="21"/>
      <c r="AK35" s="21"/>
      <c r="AL35" s="21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1"/>
      <c r="BN35" s="21"/>
      <c r="BO35" s="21"/>
      <c r="BP35" s="21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1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1"/>
      <c r="DL35" s="21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1"/>
      <c r="DX35" s="21"/>
      <c r="DY35" s="21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L35" s="20"/>
      <c r="EM35" s="20"/>
      <c r="EN35" s="20"/>
      <c r="EO35" s="20"/>
      <c r="EP35" s="20"/>
      <c r="EQ35" s="20"/>
      <c r="ER35" s="20"/>
      <c r="ES35">
        <v>8900</v>
      </c>
      <c r="ET35" s="20"/>
      <c r="EU35" s="20"/>
      <c r="EV35" s="20"/>
      <c r="EW35">
        <v>10600</v>
      </c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1"/>
      <c r="FK35" s="20"/>
      <c r="FL35" s="20"/>
      <c r="FM35" s="20"/>
      <c r="FN35" s="20"/>
      <c r="FO35">
        <v>25</v>
      </c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1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C35" s="20"/>
      <c r="JD35" s="20"/>
      <c r="JE35" s="20"/>
      <c r="JF35" s="20"/>
      <c r="JG35">
        <v>64</v>
      </c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1"/>
      <c r="LE35" s="20"/>
      <c r="LF35" s="20"/>
      <c r="LG35" s="20"/>
      <c r="LH35" s="20"/>
      <c r="LI35">
        <v>51</v>
      </c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1"/>
      <c r="OB35" s="22"/>
      <c r="OC35" s="22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1"/>
      <c r="PW35" s="20"/>
      <c r="PX35" s="20"/>
      <c r="PY35" s="20"/>
      <c r="QB35" s="7" t="s">
        <v>73</v>
      </c>
      <c r="QC35" s="20"/>
      <c r="QD35" s="20"/>
      <c r="QE35" s="20"/>
      <c r="QF35" s="20"/>
      <c r="QG35" s="20"/>
      <c r="QH35" s="20"/>
      <c r="QI35" s="20"/>
      <c r="QJ35" s="21"/>
      <c r="QK35" s="21"/>
      <c r="QL35" s="21"/>
      <c r="QM35" s="21"/>
      <c r="QN35" s="21"/>
      <c r="QO35" s="21"/>
      <c r="QP35" s="21"/>
      <c r="QQ35" s="21"/>
      <c r="QR35" s="21"/>
      <c r="QS35" s="21"/>
      <c r="QT35" s="21"/>
      <c r="QU35" s="21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0"/>
      <c r="SC35" s="20"/>
      <c r="SD35" s="20"/>
      <c r="SE35" s="20"/>
      <c r="SF35" s="20"/>
      <c r="SG35" s="20"/>
      <c r="SH35" s="20"/>
      <c r="SI35" s="20"/>
      <c r="SJ35" s="20"/>
      <c r="SK35" s="20"/>
      <c r="SL35" s="20"/>
      <c r="SM35" s="20"/>
      <c r="SN35" s="20"/>
      <c r="SO35" s="20"/>
      <c r="SP35" s="20"/>
      <c r="SQ35" s="20"/>
      <c r="SR35" s="20"/>
      <c r="SS35" s="20"/>
      <c r="ST35" s="20"/>
      <c r="SU35" s="20"/>
      <c r="SV35" s="20"/>
      <c r="SW35" s="20"/>
      <c r="SX35" s="20"/>
      <c r="SY35" s="20"/>
      <c r="SZ35" s="20"/>
      <c r="TA35" s="20"/>
      <c r="TB35" s="20"/>
      <c r="TC35" s="20"/>
      <c r="TD35" s="21"/>
      <c r="TE35" s="21"/>
      <c r="TF35" s="21"/>
      <c r="TG35" s="21"/>
      <c r="TH35" s="21"/>
      <c r="TI35" s="20"/>
      <c r="TJ35" s="20"/>
      <c r="TK35" s="20"/>
      <c r="TL35" s="20"/>
      <c r="TM35" s="20"/>
      <c r="TN35" s="20"/>
      <c r="TO35" s="20"/>
      <c r="TP35" s="20"/>
      <c r="TQ35" s="20"/>
      <c r="TR35" s="20"/>
      <c r="TS35" s="20"/>
      <c r="TT35" s="20"/>
      <c r="TU35" s="20"/>
      <c r="TV35" s="20"/>
      <c r="TW35" s="20"/>
      <c r="TX35" s="20"/>
      <c r="TY35" s="21"/>
      <c r="TZ35" s="20"/>
      <c r="UA35" s="20"/>
      <c r="UB35" s="20"/>
      <c r="UC35" s="20"/>
      <c r="UD35" s="20"/>
      <c r="UE35" s="20"/>
      <c r="UF35" s="20"/>
      <c r="UG35" s="20"/>
      <c r="UH35" s="20"/>
      <c r="UI35" s="20"/>
      <c r="UJ35" s="20"/>
      <c r="UK35" s="20"/>
      <c r="UL35" s="20"/>
      <c r="UM35" s="20"/>
      <c r="UN35" s="20"/>
      <c r="UO35" s="20"/>
      <c r="UP35" s="20"/>
      <c r="UQ35" s="20"/>
      <c r="UR35" s="20"/>
      <c r="US35" s="20"/>
      <c r="UT35" s="20"/>
      <c r="UU35" s="20"/>
      <c r="UV35" s="20"/>
      <c r="UW35" s="20"/>
      <c r="UX35" s="20"/>
      <c r="UY35" s="20"/>
      <c r="UZ35" s="20"/>
      <c r="VA35" s="20"/>
      <c r="VB35" s="20"/>
      <c r="VC35" s="20"/>
      <c r="VD35" s="20"/>
      <c r="VE35" s="20"/>
      <c r="VF35" s="20"/>
      <c r="VG35" s="20"/>
      <c r="VH35" s="20"/>
      <c r="VI35" s="20"/>
      <c r="VJ35" s="20"/>
      <c r="VK35" s="20"/>
      <c r="VL35" s="20"/>
      <c r="VM35" s="20"/>
      <c r="VN35" s="20"/>
      <c r="VO35" s="20"/>
      <c r="VP35" s="20"/>
      <c r="VQ35" s="20"/>
      <c r="VR35" s="20"/>
      <c r="VS35" s="20"/>
      <c r="VT35" s="20"/>
      <c r="VU35" s="20"/>
      <c r="VV35" s="20"/>
      <c r="VW35" s="20"/>
      <c r="VX35" s="20"/>
      <c r="VY35" s="20"/>
      <c r="VZ35" s="20"/>
      <c r="WA35" s="20"/>
      <c r="WB35" s="20"/>
      <c r="WC35" s="20"/>
      <c r="WD35" s="20"/>
      <c r="WE35" s="20"/>
      <c r="WF35" s="20"/>
      <c r="WG35" s="20"/>
      <c r="WH35" s="20"/>
      <c r="WI35" s="20"/>
      <c r="WJ35" s="20"/>
      <c r="WK35" s="21"/>
      <c r="WL35" s="21"/>
      <c r="WM35" s="20"/>
      <c r="WN35" s="20"/>
      <c r="WO35" s="20"/>
      <c r="WP35" s="20"/>
      <c r="WQ35" s="20"/>
      <c r="WR35" s="20"/>
      <c r="WS35" s="20"/>
      <c r="WT35" s="20"/>
      <c r="WU35" s="20"/>
      <c r="WV35" s="20"/>
      <c r="WW35" s="20"/>
      <c r="WX35" s="20"/>
      <c r="WY35" s="20"/>
      <c r="WZ35" s="20"/>
      <c r="XA35" s="20"/>
      <c r="XB35" s="20"/>
      <c r="XC35" s="20"/>
      <c r="XD35" s="20"/>
      <c r="XE35" s="20"/>
      <c r="XF35" s="20"/>
      <c r="XG35" s="20"/>
      <c r="XH35" s="20"/>
      <c r="XI35" s="20"/>
      <c r="XJ35" s="20"/>
      <c r="XK35" s="20"/>
      <c r="XL35" s="20"/>
      <c r="XM35" s="20"/>
      <c r="XN35" s="20"/>
      <c r="XO35" s="20"/>
      <c r="XP35" s="20"/>
      <c r="XQ35" s="21"/>
      <c r="XR35" s="21"/>
      <c r="XS35" s="20"/>
      <c r="XT35" s="20"/>
      <c r="XU35" s="20"/>
      <c r="XV35" s="20"/>
      <c r="XW35" s="20"/>
      <c r="XX35" s="20"/>
      <c r="XY35" s="20"/>
      <c r="XZ35" s="20"/>
      <c r="YA35" s="20"/>
      <c r="YB35" s="20"/>
      <c r="YC35" s="20"/>
      <c r="YD35" s="20"/>
      <c r="YE35" s="20"/>
      <c r="YF35" s="20"/>
      <c r="YG35" s="20"/>
      <c r="YH35" s="20"/>
      <c r="YI35" s="20"/>
      <c r="YJ35" s="20"/>
      <c r="YK35" s="20"/>
      <c r="YL35" s="20"/>
      <c r="YM35" s="20"/>
      <c r="YN35" s="20"/>
      <c r="YO35" s="20"/>
      <c r="YP35" s="20"/>
      <c r="YQ35" s="20"/>
      <c r="YR35" s="20"/>
      <c r="YS35" s="20"/>
      <c r="YT35" s="20"/>
      <c r="YU35" s="20"/>
      <c r="YV35" s="20"/>
      <c r="YW35" s="20"/>
      <c r="YX35" s="20"/>
      <c r="YY35" s="20"/>
      <c r="YZ35" s="21"/>
      <c r="ZA35" s="20"/>
      <c r="ZB35" s="20"/>
      <c r="ZC35" s="20"/>
      <c r="ZD35" s="20"/>
      <c r="ZE35" s="20"/>
      <c r="ZF35" s="20"/>
      <c r="ZG35" s="20"/>
      <c r="ZH35" s="20"/>
      <c r="ZI35" s="20"/>
      <c r="ZJ35" s="20"/>
      <c r="ZK35" s="20"/>
      <c r="ZL35" s="20"/>
      <c r="ZM35" s="20"/>
      <c r="ZN35" s="20"/>
      <c r="ZO35" s="20"/>
      <c r="ZP35" s="20"/>
      <c r="ZQ35" s="20"/>
      <c r="ZR35" s="20"/>
      <c r="ZS35" s="20"/>
      <c r="ZT35" s="20"/>
      <c r="ZU35" s="21"/>
      <c r="ZV35" s="21"/>
      <c r="ZW35" s="20"/>
      <c r="ZX35" s="20"/>
      <c r="ZY35" s="20"/>
      <c r="ZZ35" s="20"/>
      <c r="AAA35" s="20"/>
      <c r="AAB35" s="20"/>
      <c r="AAC35" s="20"/>
      <c r="AAD35" s="20"/>
      <c r="AAE35" s="20"/>
      <c r="AAF35" s="20"/>
      <c r="AAG35" s="20"/>
      <c r="AAH35" s="20"/>
      <c r="AAI35" s="20"/>
      <c r="AAJ35" s="20"/>
      <c r="AAK35" s="20"/>
      <c r="AAL35" s="20"/>
      <c r="AAM35" s="20"/>
      <c r="AAN35" s="20"/>
      <c r="AAO35" s="20"/>
      <c r="AAP35" s="20"/>
      <c r="AAQ35" s="20"/>
      <c r="AAR35" s="20"/>
      <c r="AAS35" s="20"/>
      <c r="AAT35" s="21"/>
      <c r="AAU35" s="20"/>
      <c r="AAV35" s="20"/>
      <c r="AAW35" s="20"/>
      <c r="AAX35" s="20"/>
      <c r="AAY35" s="20"/>
      <c r="AAZ35" s="20"/>
      <c r="ABA35" s="20"/>
      <c r="ABB35" s="20"/>
      <c r="ABC35" s="20"/>
      <c r="ABD35" s="20"/>
      <c r="ABE35" s="20"/>
      <c r="ABF35" s="20"/>
      <c r="ABG35" s="20"/>
      <c r="ABH35" s="20"/>
      <c r="ABI35" s="20"/>
      <c r="ABJ35" s="20"/>
      <c r="ABK35" s="20"/>
      <c r="ABL35" s="20"/>
      <c r="ABM35" s="20"/>
      <c r="ABN35" s="20"/>
      <c r="ABO35" s="21"/>
      <c r="ABP35" s="21"/>
      <c r="ABQ35" s="21"/>
      <c r="ABR35" s="20"/>
      <c r="ABS35" s="20"/>
      <c r="ABT35" s="20"/>
      <c r="ABU35" s="20"/>
      <c r="ABV35" s="20"/>
      <c r="ABW35" s="20"/>
      <c r="ABX35" s="20"/>
      <c r="ABY35" s="20"/>
      <c r="ABZ35" s="20"/>
      <c r="ACA35" s="20"/>
      <c r="ACB35" s="20"/>
      <c r="ACC35" s="20"/>
      <c r="ACD35" s="20"/>
      <c r="ACE35" s="20"/>
      <c r="ACF35" s="20"/>
      <c r="ACG35" s="20"/>
      <c r="ACH35" s="20"/>
      <c r="ACI35" s="20"/>
      <c r="ACJ35" s="20"/>
      <c r="ACK35" s="20"/>
      <c r="ACL35" s="20"/>
      <c r="ACM35" s="21"/>
      <c r="ACN35" s="20"/>
      <c r="ACO35" s="20"/>
      <c r="ACP35" s="20"/>
      <c r="ACQ35" s="20"/>
      <c r="ACR35" s="20"/>
      <c r="ACS35" s="21"/>
      <c r="ACT35" s="20"/>
      <c r="ACU35" s="20"/>
      <c r="ACV35" s="20"/>
      <c r="ACW35" s="20"/>
      <c r="ACX35" s="20"/>
      <c r="ACY35" s="20"/>
      <c r="ACZ35" s="20"/>
      <c r="ADA35" s="20"/>
      <c r="ADB35" s="20"/>
      <c r="ADC35" s="20"/>
      <c r="ADD35" s="20"/>
      <c r="ADE35" s="20"/>
      <c r="ADF35" s="20"/>
      <c r="ADG35" s="20"/>
      <c r="ADH35" s="20"/>
      <c r="ADI35" s="20"/>
      <c r="ADJ35" s="20"/>
      <c r="ADK35" s="20"/>
      <c r="ADL35" s="20"/>
      <c r="ADM35" s="20"/>
      <c r="ADN35" s="20"/>
      <c r="ADO35" s="20"/>
      <c r="ADP35" s="20"/>
      <c r="ADQ35" s="20"/>
      <c r="ADR35" s="21"/>
      <c r="ADS35" s="22"/>
      <c r="ADT35" s="20"/>
      <c r="ADU35" s="20"/>
      <c r="ADV35" s="20"/>
      <c r="ADW35" s="20"/>
      <c r="ADX35" s="20"/>
      <c r="ADY35" s="20"/>
      <c r="ADZ35" s="20"/>
      <c r="AEA35" s="20"/>
      <c r="AEB35" s="20"/>
      <c r="AEC35" s="20"/>
      <c r="AED35" s="20"/>
      <c r="AEE35" s="20"/>
      <c r="AEF35" s="20"/>
      <c r="AEG35" s="20"/>
      <c r="AEH35" s="20"/>
      <c r="AEI35" s="20"/>
      <c r="AEJ35" s="20"/>
      <c r="AEK35" s="20"/>
      <c r="AEL35" s="20"/>
      <c r="AEM35" s="20"/>
      <c r="AEN35" s="20"/>
      <c r="AEO35" s="20"/>
      <c r="AEP35" s="20"/>
      <c r="AEQ35" s="20"/>
      <c r="AER35" s="21"/>
      <c r="AES35" s="20"/>
      <c r="AET35" s="20"/>
      <c r="AEU35" s="20"/>
      <c r="AEV35" s="20"/>
      <c r="AEW35" s="21"/>
      <c r="AEX35" s="20"/>
      <c r="AEY35" s="20"/>
      <c r="AEZ35" s="20"/>
      <c r="AFA35" s="20"/>
      <c r="AFB35" s="20"/>
      <c r="AFC35" s="20"/>
      <c r="AFD35" s="21"/>
      <c r="AFE35" s="21"/>
      <c r="AFF35" s="20"/>
      <c r="AFG35" s="20"/>
      <c r="AFH35" s="20"/>
      <c r="AFI35" s="20"/>
      <c r="AFJ35" s="20"/>
      <c r="AFK35" s="20"/>
      <c r="AFL35" s="20"/>
      <c r="AFM35" s="20"/>
      <c r="AFN35" s="20"/>
      <c r="AFO35" s="20"/>
      <c r="AFP35" s="20"/>
      <c r="AFQ35" s="20"/>
      <c r="AFR35" s="20"/>
      <c r="AFS35" s="20"/>
      <c r="AFT35" s="20"/>
      <c r="AFU35" s="20"/>
      <c r="AFV35" s="20"/>
      <c r="AFW35" s="20"/>
      <c r="AFX35" s="21"/>
      <c r="AFY35" s="20"/>
      <c r="AFZ35" s="20"/>
      <c r="AGA35" s="20"/>
      <c r="AGB35" s="20"/>
      <c r="AGC35" s="20"/>
      <c r="AGD35" s="20"/>
      <c r="AGE35" s="20"/>
      <c r="AGF35" s="20"/>
      <c r="AGG35" s="20"/>
      <c r="AGH35" s="20"/>
      <c r="AGI35" s="21"/>
      <c r="AGJ35" s="20"/>
      <c r="AGK35" s="20"/>
      <c r="AGL35" s="20"/>
      <c r="AGM35" s="20"/>
      <c r="AGN35" s="20"/>
      <c r="AGO35" s="20"/>
      <c r="AGP35" s="20"/>
      <c r="AGQ35" s="20"/>
      <c r="AGR35" s="20"/>
      <c r="AGS35" s="20"/>
      <c r="AGT35" s="20"/>
      <c r="AGU35" s="21"/>
      <c r="AGV35" s="20"/>
      <c r="AGW35" s="20"/>
      <c r="AGX35" s="20"/>
      <c r="AGY35" s="20"/>
      <c r="AGZ35" s="20"/>
      <c r="AHA35" s="20"/>
      <c r="AHB35" s="20"/>
      <c r="AHC35" s="20"/>
      <c r="AHD35" s="20"/>
      <c r="AHE35" s="20"/>
      <c r="AHF35" s="20"/>
      <c r="AHG35" s="20"/>
      <c r="AHH35" s="20"/>
      <c r="AHI35" s="20"/>
      <c r="AHJ35" s="20"/>
      <c r="AHK35" s="20"/>
      <c r="AHL35" s="20"/>
      <c r="AHM35" s="20"/>
      <c r="AHN35" s="20"/>
      <c r="AHO35" s="20"/>
      <c r="AHP35" s="20"/>
      <c r="AHQ35" s="21"/>
      <c r="AHR35" s="20"/>
      <c r="AHS35" s="20"/>
    </row>
    <row r="36" spans="1:931" x14ac:dyDescent="0.25">
      <c r="A36" s="7">
        <v>96018835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7" t="s">
        <v>108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1"/>
      <c r="AG36" s="21"/>
      <c r="AH36" s="21"/>
      <c r="AI36" s="21"/>
      <c r="AJ36" s="21"/>
      <c r="AK36" s="21"/>
      <c r="AL36" s="21"/>
      <c r="AM36" s="20"/>
      <c r="AN36" s="20"/>
      <c r="AO36">
        <v>67</v>
      </c>
      <c r="AP36" s="20"/>
      <c r="AQ36">
        <v>82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1"/>
      <c r="BN36" s="21"/>
      <c r="BO36" s="21"/>
      <c r="BP36" s="21"/>
      <c r="BQ36" s="20"/>
      <c r="BR36" s="20"/>
      <c r="BS36" s="20"/>
      <c r="BT36" s="20"/>
      <c r="BU36">
        <v>35</v>
      </c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1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1"/>
      <c r="DL36" s="21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1"/>
      <c r="DX36" s="36" t="s">
        <v>1203</v>
      </c>
      <c r="DY36" s="36"/>
      <c r="DZ36" s="33">
        <v>2E-3</v>
      </c>
      <c r="EA36" s="20"/>
      <c r="EB36" s="33">
        <v>2.8999999999999998E-3</v>
      </c>
      <c r="EC36" s="7" t="s">
        <v>1204</v>
      </c>
      <c r="ED36" s="20"/>
      <c r="EE36" s="20"/>
      <c r="EF36">
        <v>7.9</v>
      </c>
      <c r="EH36">
        <v>10.1</v>
      </c>
      <c r="EI36" s="20"/>
      <c r="EJ36" s="20"/>
      <c r="EK36">
        <v>3.8</v>
      </c>
      <c r="EL36">
        <v>7.5</v>
      </c>
      <c r="EM36">
        <v>2.1</v>
      </c>
      <c r="EN36" s="20"/>
      <c r="EO36" s="20"/>
      <c r="EP36" s="20"/>
      <c r="EQ36" s="20"/>
      <c r="ER36" s="20"/>
      <c r="ES36">
        <v>3</v>
      </c>
      <c r="ET36" s="20"/>
      <c r="EU36" s="20"/>
      <c r="EV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1"/>
      <c r="FK36" s="20"/>
      <c r="FL36" s="20"/>
      <c r="FM36" s="20"/>
      <c r="FN36" s="20"/>
      <c r="FO36">
        <v>19</v>
      </c>
      <c r="FP36" s="20"/>
      <c r="FQ36">
        <v>24</v>
      </c>
      <c r="FR36">
        <v>51</v>
      </c>
      <c r="FS36" s="20"/>
      <c r="FT36" s="20"/>
      <c r="FU36" s="20"/>
      <c r="FV36">
        <v>979</v>
      </c>
      <c r="FW36" s="20"/>
      <c r="FX36" s="20"/>
      <c r="FY36">
        <v>435</v>
      </c>
      <c r="FZ36">
        <v>175</v>
      </c>
      <c r="GA36">
        <v>155</v>
      </c>
      <c r="GB36" s="20"/>
      <c r="GC36" s="20"/>
      <c r="GD36" s="20"/>
      <c r="GE36" s="20"/>
      <c r="GF36" s="20"/>
      <c r="GG36">
        <v>68</v>
      </c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1"/>
      <c r="II36" s="20"/>
      <c r="IJ36" s="20"/>
      <c r="IK36" s="20"/>
      <c r="IL36" s="20"/>
      <c r="IM36">
        <v>18</v>
      </c>
      <c r="IN36">
        <v>19</v>
      </c>
      <c r="IO36" s="20"/>
      <c r="IP36" s="20"/>
      <c r="IQ36">
        <v>1496</v>
      </c>
      <c r="IR36" s="20"/>
      <c r="IS36" s="20"/>
      <c r="IT36">
        <v>1029</v>
      </c>
      <c r="IU36" s="20"/>
      <c r="IV36">
        <v>630</v>
      </c>
      <c r="IW36" s="20"/>
      <c r="IX36" s="20"/>
      <c r="IY36" s="20"/>
      <c r="IZ36" s="20"/>
      <c r="JA36" s="20"/>
      <c r="JB36">
        <v>356</v>
      </c>
      <c r="JC36" s="20"/>
      <c r="JD36" s="20"/>
      <c r="JE36" s="20"/>
      <c r="JF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1"/>
      <c r="LE36" s="20"/>
      <c r="LF36" s="20"/>
      <c r="LG36" s="20"/>
      <c r="LH36" s="20"/>
      <c r="LJ36" s="20"/>
      <c r="LK36">
        <v>41</v>
      </c>
      <c r="LM36">
        <v>70</v>
      </c>
      <c r="LN36" s="20"/>
      <c r="LO36">
        <v>201</v>
      </c>
      <c r="LP36" s="20"/>
      <c r="LQ36">
        <v>180</v>
      </c>
      <c r="LR36" s="20"/>
      <c r="LS36">
        <v>177</v>
      </c>
      <c r="LT36" s="20"/>
      <c r="LU36" s="20"/>
      <c r="LV36" s="20"/>
      <c r="LW36" s="20"/>
      <c r="LX36" s="20"/>
      <c r="LY36">
        <v>246</v>
      </c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1"/>
      <c r="OB36" s="22"/>
      <c r="OC36" s="22"/>
      <c r="OD36" s="20"/>
      <c r="OE36" s="20"/>
      <c r="OF36" s="20"/>
      <c r="OG36" s="20"/>
      <c r="OH36" s="20"/>
      <c r="OI36">
        <v>1694</v>
      </c>
      <c r="OJ36" s="20"/>
      <c r="OK36" s="20"/>
      <c r="OL36">
        <v>617</v>
      </c>
      <c r="OM36" s="20"/>
      <c r="ON36" s="20"/>
      <c r="OO36" s="20"/>
      <c r="OP36" s="20"/>
      <c r="OQ36" s="20"/>
      <c r="OR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1"/>
      <c r="PW36" s="20"/>
      <c r="PX36" s="20"/>
      <c r="PY36" s="20"/>
      <c r="QB36" s="19"/>
      <c r="QC36">
        <v>5</v>
      </c>
      <c r="QD36" s="20"/>
      <c r="QE36" s="20"/>
      <c r="QF36" s="20"/>
      <c r="QG36" s="20"/>
      <c r="QH36" s="20"/>
      <c r="QI36" s="20"/>
      <c r="QJ36" s="21"/>
      <c r="QK36" s="21"/>
      <c r="QL36">
        <v>15.2</v>
      </c>
      <c r="QM36">
        <v>14</v>
      </c>
      <c r="QN36">
        <v>13.4</v>
      </c>
      <c r="QO36" s="21"/>
      <c r="QP36">
        <v>11.8</v>
      </c>
      <c r="QQ36">
        <v>10.7</v>
      </c>
      <c r="QR36">
        <v>8.6</v>
      </c>
      <c r="QS36">
        <v>10.5</v>
      </c>
      <c r="QT36">
        <v>10</v>
      </c>
      <c r="QU36" s="21"/>
      <c r="QV36" s="20"/>
      <c r="QW36" s="20"/>
      <c r="QX36" s="20"/>
      <c r="QY36">
        <v>3.9</v>
      </c>
      <c r="QZ36">
        <v>8.4</v>
      </c>
      <c r="RA36">
        <v>7.2</v>
      </c>
      <c r="RB36">
        <v>8.3000000000000007</v>
      </c>
      <c r="RC36" s="20"/>
      <c r="RD36" s="7" t="s">
        <v>101</v>
      </c>
      <c r="RE36">
        <v>12.1</v>
      </c>
      <c r="RF36">
        <v>3.7</v>
      </c>
      <c r="RG36" s="20"/>
      <c r="RH36" s="20"/>
      <c r="RI36" s="20"/>
      <c r="RJ36" s="20"/>
      <c r="RK36" s="20"/>
      <c r="RL36">
        <v>3.9</v>
      </c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20"/>
      <c r="SC36" s="20"/>
      <c r="SD36" s="20"/>
      <c r="SE36" s="20"/>
      <c r="SF36" s="20"/>
      <c r="SG36" s="20"/>
      <c r="SH36" s="20"/>
      <c r="SI36" s="20"/>
      <c r="SJ36" s="20"/>
      <c r="SK36" s="20"/>
      <c r="SL36" s="20"/>
      <c r="SM36" s="20"/>
      <c r="SN36" s="20"/>
      <c r="SO36" s="20"/>
      <c r="SP36" s="20"/>
      <c r="SQ36" s="20"/>
      <c r="SR36" s="20"/>
      <c r="SS36" s="20"/>
      <c r="ST36" s="20"/>
      <c r="SU36" s="20"/>
      <c r="SV36" s="20"/>
      <c r="SW36" s="20"/>
      <c r="SX36" s="20"/>
      <c r="SY36" s="20"/>
      <c r="SZ36" s="20"/>
      <c r="TA36" s="20"/>
      <c r="TB36" s="20"/>
      <c r="TC36" s="20"/>
      <c r="TD36" s="21"/>
      <c r="TE36" s="21"/>
      <c r="TF36" s="21"/>
      <c r="TG36">
        <v>3.9</v>
      </c>
      <c r="TH36">
        <v>3.5</v>
      </c>
      <c r="TI36" s="20"/>
      <c r="TJ36" s="20"/>
      <c r="TK36" s="20"/>
      <c r="TL36" s="20"/>
      <c r="TM36" s="20"/>
      <c r="TN36" s="20"/>
      <c r="TO36" s="20"/>
      <c r="TP36" s="20"/>
      <c r="TQ36" s="20"/>
      <c r="TR36" s="20"/>
      <c r="TS36" s="20"/>
      <c r="TT36" s="20"/>
      <c r="TU36" s="20"/>
      <c r="TV36" s="20"/>
      <c r="TW36" s="20"/>
      <c r="TX36" s="20"/>
      <c r="TY36" s="21"/>
      <c r="TZ36" s="20"/>
      <c r="UA36" s="20"/>
      <c r="UB36" s="20"/>
      <c r="UC36">
        <v>515</v>
      </c>
      <c r="UD36" s="20"/>
      <c r="UE36" s="20"/>
      <c r="UF36">
        <v>311</v>
      </c>
      <c r="UG36">
        <v>288</v>
      </c>
      <c r="UH36" s="20"/>
      <c r="UI36" s="20"/>
      <c r="UJ36" s="20"/>
      <c r="UK36" s="20"/>
      <c r="UL36" s="20"/>
      <c r="UM36">
        <v>381</v>
      </c>
      <c r="UN36">
        <v>187</v>
      </c>
      <c r="UO36">
        <v>326</v>
      </c>
      <c r="UP36" s="20"/>
      <c r="UQ36" s="20"/>
      <c r="UR36" s="20"/>
      <c r="US36" s="20"/>
      <c r="UT36" s="20"/>
      <c r="UU36" s="20"/>
      <c r="UV36" s="20"/>
      <c r="UW36" s="20"/>
      <c r="UX36" s="20"/>
      <c r="UY36" s="20"/>
      <c r="UZ36" s="20"/>
      <c r="VA36" s="20"/>
      <c r="VB36" s="20"/>
      <c r="VC36" s="20"/>
      <c r="VD36" s="20"/>
      <c r="VE36" s="20"/>
      <c r="VF36" s="20"/>
      <c r="VG36" s="20"/>
      <c r="VH36" s="20"/>
      <c r="VI36" s="20"/>
      <c r="VJ36" s="20"/>
      <c r="VK36" s="20"/>
      <c r="VL36" s="20"/>
      <c r="VM36" s="20"/>
      <c r="VN36" s="20"/>
      <c r="VO36" s="20"/>
      <c r="VP36" s="20"/>
      <c r="VQ36" s="20"/>
      <c r="VR36" s="20"/>
      <c r="VS36" s="20"/>
      <c r="VT36" s="20"/>
      <c r="VU36" s="20"/>
      <c r="VV36" s="20"/>
      <c r="VW36" s="20"/>
      <c r="VX36" s="20"/>
      <c r="VY36" s="20"/>
      <c r="VZ36" s="20"/>
      <c r="WA36" s="20"/>
      <c r="WB36" s="20"/>
      <c r="WC36" s="20"/>
      <c r="WD36" s="20"/>
      <c r="WE36" s="20"/>
      <c r="WF36" s="20"/>
      <c r="WG36" s="20"/>
      <c r="WH36" s="20"/>
      <c r="WI36" s="20"/>
      <c r="WJ36" s="20"/>
      <c r="WK36" s="21"/>
      <c r="WL36" s="21"/>
      <c r="WM36" s="20"/>
      <c r="WN36" s="20"/>
      <c r="WO36" s="20"/>
      <c r="WP36" s="20"/>
      <c r="WQ36" s="20"/>
      <c r="WR36">
        <v>2082</v>
      </c>
      <c r="WS36" s="20"/>
      <c r="WT36" s="20"/>
      <c r="WU36" s="20"/>
      <c r="WV36" s="20"/>
      <c r="WW36" s="20"/>
      <c r="WX36" s="20"/>
      <c r="WY36" s="20"/>
      <c r="WZ36" s="20"/>
      <c r="XA36" s="20"/>
      <c r="XB36" s="20"/>
      <c r="XC36" s="20"/>
      <c r="XD36" s="20"/>
      <c r="XE36" s="20"/>
      <c r="XF36" s="20"/>
      <c r="XG36" s="20"/>
      <c r="XH36" s="20"/>
      <c r="XI36" s="20"/>
      <c r="XJ36" s="20"/>
      <c r="XK36" s="20"/>
      <c r="XL36" s="20"/>
      <c r="XM36" s="20"/>
      <c r="XN36" s="20"/>
      <c r="XO36" s="20"/>
      <c r="XP36" s="20"/>
      <c r="XQ36" s="21"/>
      <c r="XR36" s="21"/>
      <c r="XS36" s="20"/>
      <c r="XT36" s="20"/>
      <c r="XU36" s="20"/>
      <c r="XV36" s="20"/>
      <c r="XW36" s="20"/>
      <c r="XX36" s="20"/>
      <c r="XY36" s="20"/>
      <c r="XZ36" s="20"/>
      <c r="YA36" s="20"/>
      <c r="YB36" s="20"/>
      <c r="YC36" s="20"/>
      <c r="YD36" s="20"/>
      <c r="YE36" s="20"/>
      <c r="YF36" s="20"/>
      <c r="YG36" s="20"/>
      <c r="YH36" s="20"/>
      <c r="YI36" s="20"/>
      <c r="YJ36" s="33" t="s">
        <v>108</v>
      </c>
      <c r="YK36" s="20"/>
      <c r="YL36" s="20"/>
      <c r="YM36" s="20"/>
      <c r="YN36" s="20"/>
      <c r="YO36" s="20"/>
      <c r="YP36" s="20"/>
      <c r="YQ36" s="20"/>
      <c r="YR36" s="20"/>
      <c r="YS36" s="20"/>
      <c r="YT36" s="20"/>
      <c r="YU36" s="20"/>
      <c r="YV36" s="20"/>
      <c r="YW36" s="20"/>
      <c r="YX36" s="20"/>
      <c r="YY36" s="20"/>
      <c r="YZ36" s="21"/>
      <c r="ZA36" s="20"/>
      <c r="ZB36" s="20"/>
      <c r="ZC36" s="20"/>
      <c r="ZD36" s="20"/>
      <c r="ZE36" s="20"/>
      <c r="ZF36" s="20"/>
      <c r="ZG36" s="20"/>
      <c r="ZH36" s="20"/>
      <c r="ZI36" s="20"/>
      <c r="ZJ36" s="20"/>
      <c r="ZK36" s="20"/>
      <c r="ZL36" s="20"/>
      <c r="ZM36" s="20"/>
      <c r="ZN36" s="20"/>
      <c r="ZO36" s="20"/>
      <c r="ZP36" s="20"/>
      <c r="ZQ36" s="20"/>
      <c r="ZR36" s="20"/>
      <c r="ZS36" s="20"/>
      <c r="ZT36" s="20"/>
      <c r="ZU36" s="21"/>
      <c r="ZV36" s="21"/>
      <c r="ZW36" s="20"/>
      <c r="ZX36">
        <v>1400</v>
      </c>
      <c r="ZY36">
        <v>24</v>
      </c>
      <c r="ZZ36">
        <v>90</v>
      </c>
      <c r="AAA36">
        <v>99</v>
      </c>
      <c r="AAB36" s="20"/>
      <c r="AAC36">
        <v>1988</v>
      </c>
      <c r="AAD36">
        <v>1758</v>
      </c>
      <c r="AAE36" s="20"/>
      <c r="AAF36" s="20"/>
      <c r="AAG36" s="20"/>
      <c r="AAH36" s="20"/>
      <c r="AAI36" s="20"/>
      <c r="AAJ36">
        <v>332</v>
      </c>
      <c r="AAK36" s="20"/>
      <c r="AAL36" s="20"/>
      <c r="AAM36" s="20"/>
      <c r="AAN36" s="20"/>
      <c r="AAO36" s="20"/>
      <c r="AAP36" s="20"/>
      <c r="AAQ36" s="20"/>
      <c r="AAR36" s="20"/>
      <c r="AAS36" s="20"/>
      <c r="AAT36" s="21"/>
      <c r="AAU36" s="35" t="s">
        <v>1180</v>
      </c>
      <c r="AAV36" s="20"/>
      <c r="AAW36" s="20"/>
      <c r="AAX36" s="20"/>
      <c r="AAY36" s="20"/>
      <c r="AAZ36" s="20"/>
      <c r="ABA36" s="20"/>
      <c r="ABB36" s="20"/>
      <c r="ABC36" s="20"/>
      <c r="ABD36" s="20"/>
      <c r="ABE36" s="20"/>
      <c r="ABF36" s="20"/>
      <c r="ABG36" s="20"/>
      <c r="ABH36" s="20"/>
      <c r="ABI36" s="20"/>
      <c r="ABJ36" s="20"/>
      <c r="ABK36" s="20"/>
      <c r="ABL36" s="20"/>
      <c r="ABM36" s="20"/>
      <c r="ABN36" s="20"/>
      <c r="ABO36" s="21"/>
      <c r="ABP36" s="21"/>
      <c r="ABQ36" s="21"/>
      <c r="ABR36" s="20"/>
      <c r="ABS36" s="20"/>
      <c r="ABT36" s="20"/>
      <c r="ABU36" s="20"/>
      <c r="ABV36" s="20"/>
      <c r="ABW36" s="20"/>
      <c r="ABX36" s="20"/>
      <c r="ABY36" s="20"/>
      <c r="ABZ36" s="20"/>
      <c r="ACA36" s="20"/>
      <c r="ACB36" s="20"/>
      <c r="ACC36" s="20"/>
      <c r="ACD36" s="20"/>
      <c r="ACE36" s="20"/>
      <c r="ACF36" s="20"/>
      <c r="ACG36" s="20"/>
      <c r="ACH36" s="20"/>
      <c r="ACI36" s="20"/>
      <c r="ACJ36" s="20"/>
      <c r="ACK36" s="20"/>
      <c r="ACL36" s="20"/>
      <c r="ACM36" s="21"/>
      <c r="ACN36" s="20"/>
      <c r="ACO36" s="20"/>
      <c r="ACP36" s="20"/>
      <c r="ACQ36" s="20"/>
      <c r="ACR36" s="20"/>
      <c r="ACS36" s="21"/>
      <c r="ACT36" s="20"/>
      <c r="ACU36" s="20"/>
      <c r="ACV36" s="20"/>
      <c r="ACW36" s="20"/>
      <c r="ACX36" s="20"/>
      <c r="ACY36" s="20"/>
      <c r="ACZ36" s="20"/>
      <c r="ADA36" s="20"/>
      <c r="ADB36" s="20"/>
      <c r="ADC36" s="20"/>
      <c r="ADD36" s="20"/>
      <c r="ADE36" s="20"/>
      <c r="ADF36" s="20"/>
      <c r="ADG36" s="20"/>
      <c r="ADH36" s="7" t="s">
        <v>108</v>
      </c>
      <c r="ADI36" s="20"/>
      <c r="ADJ36" s="20"/>
      <c r="ADK36" s="20"/>
      <c r="ADL36" s="20"/>
      <c r="ADM36" s="20"/>
      <c r="ADN36" s="20"/>
      <c r="ADO36" s="20"/>
      <c r="ADP36" s="20"/>
      <c r="ADQ36" s="20"/>
      <c r="ADR36" s="21"/>
      <c r="ADS36" s="22"/>
      <c r="ADT36">
        <v>90</v>
      </c>
      <c r="ADU36" s="20"/>
      <c r="ADV36" s="7">
        <v>107000</v>
      </c>
      <c r="ADW36" s="20"/>
      <c r="ADX36" s="20"/>
      <c r="ADY36" s="20"/>
      <c r="ADZ36" s="33">
        <v>0.10100000000000001</v>
      </c>
      <c r="AEA36" s="20"/>
      <c r="AEB36" s="36" t="s">
        <v>1168</v>
      </c>
      <c r="AEC36" s="20"/>
      <c r="AED36" s="20"/>
      <c r="AEE36" s="20"/>
      <c r="AEF36" s="20"/>
      <c r="AEG36" s="20"/>
      <c r="AEH36" s="20"/>
      <c r="AEI36" s="20"/>
      <c r="AEJ36" s="20"/>
      <c r="AEK36" s="20"/>
      <c r="AEL36" s="20"/>
      <c r="AEM36" s="20"/>
      <c r="AEN36" s="20"/>
      <c r="AEO36" s="20"/>
      <c r="AEP36" s="20"/>
      <c r="AEQ36" s="20"/>
      <c r="AER36" s="21"/>
      <c r="AES36" s="20"/>
      <c r="AET36" s="20"/>
      <c r="AEU36" s="20"/>
      <c r="AEV36" s="20"/>
      <c r="AEW36" s="21"/>
      <c r="AEX36" s="20"/>
      <c r="AEY36" s="20"/>
      <c r="AEZ36" s="20"/>
      <c r="AFA36" s="20"/>
      <c r="AFB36" s="20"/>
      <c r="AFC36" s="20"/>
      <c r="AFD36" s="21"/>
      <c r="AFE36" s="21"/>
      <c r="AFF36" s="20"/>
      <c r="AFG36" s="20"/>
      <c r="AFH36" s="20"/>
      <c r="AFI36" s="20"/>
      <c r="AFJ36">
        <v>66</v>
      </c>
      <c r="AFK36" s="20"/>
      <c r="AFL36" s="20"/>
      <c r="AFM36" s="20"/>
      <c r="AFN36" s="20"/>
      <c r="AFO36" s="20"/>
      <c r="AFP36" s="20"/>
      <c r="AFQ36" s="20"/>
      <c r="AFR36" s="20">
        <v>25</v>
      </c>
      <c r="AFS36" s="20">
        <v>22</v>
      </c>
      <c r="AFT36" s="20"/>
      <c r="AFU36" s="20"/>
      <c r="AFV36" s="20"/>
      <c r="AFW36" s="20"/>
      <c r="AFX36" s="21"/>
      <c r="AFY36" s="20"/>
      <c r="AFZ36" s="20"/>
      <c r="AGA36" s="20"/>
      <c r="AGB36">
        <v>0.3</v>
      </c>
      <c r="AGC36">
        <v>0.3</v>
      </c>
      <c r="AGD36" s="20"/>
      <c r="AGE36" s="20"/>
      <c r="AGF36" s="20"/>
      <c r="AGG36" s="20"/>
      <c r="AGH36" s="20"/>
      <c r="AGI36" s="21"/>
      <c r="AGJ36" s="20"/>
      <c r="AGK36" s="20"/>
      <c r="AGL36" s="20"/>
      <c r="AGM36" s="20"/>
      <c r="AGN36" s="20"/>
      <c r="AGO36" s="20"/>
      <c r="AGP36" s="20"/>
      <c r="AGQ36" s="20"/>
      <c r="AGR36" s="20"/>
      <c r="AGS36" s="20"/>
      <c r="AGT36" s="20"/>
      <c r="AGU36" s="21"/>
      <c r="AGV36" s="20"/>
      <c r="AGW36" s="20"/>
      <c r="AGX36" s="20"/>
      <c r="AGY36" s="20"/>
      <c r="AGZ36" s="20"/>
      <c r="AHA36" s="20"/>
      <c r="AHB36" s="20"/>
      <c r="AHC36" s="20"/>
      <c r="AHD36" s="20"/>
      <c r="AHE36" s="20"/>
      <c r="AHF36" s="20"/>
      <c r="AHG36" s="20"/>
      <c r="AHH36" s="20"/>
      <c r="AHI36" s="20"/>
      <c r="AHJ36" s="20"/>
      <c r="AHK36" s="20"/>
      <c r="AHL36" s="20"/>
      <c r="AHM36" s="20"/>
      <c r="AHN36" s="20"/>
      <c r="AHO36" s="20"/>
      <c r="AHP36" s="20"/>
      <c r="AHQ36" s="21"/>
      <c r="AHR36" s="20"/>
      <c r="AHS36" s="20"/>
      <c r="AIH36" s="7" t="s">
        <v>108</v>
      </c>
      <c r="AII36" s="7" t="s">
        <v>108</v>
      </c>
      <c r="AIJ36" s="7" t="s">
        <v>108</v>
      </c>
      <c r="AIK36" s="7" t="s">
        <v>108</v>
      </c>
      <c r="AIL36" s="7" t="s">
        <v>108</v>
      </c>
      <c r="AIM36" s="7" t="s">
        <v>108</v>
      </c>
      <c r="AIN36" s="7" t="s">
        <v>86</v>
      </c>
      <c r="AIO36">
        <v>39.5</v>
      </c>
      <c r="AIP36">
        <v>38.700000000000003</v>
      </c>
      <c r="AIQ36">
        <v>200</v>
      </c>
      <c r="AIR36">
        <v>30</v>
      </c>
      <c r="AIS36">
        <v>0.2</v>
      </c>
      <c r="AIT36" s="7" t="s">
        <v>30</v>
      </c>
      <c r="AIU36">
        <v>290</v>
      </c>
    </row>
    <row r="37" spans="1:931" x14ac:dyDescent="0.25">
      <c r="A37" s="19">
        <v>98008326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1"/>
      <c r="AG37" s="21"/>
      <c r="AH37" s="21"/>
      <c r="AI37" s="21"/>
      <c r="AJ37" s="21"/>
      <c r="AK37" s="21"/>
      <c r="AL37" s="21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1"/>
      <c r="BN37" s="21"/>
      <c r="BO37" s="21"/>
      <c r="BP37" s="21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1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1"/>
      <c r="DL37" s="21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1"/>
      <c r="DX37" s="21"/>
      <c r="DY37">
        <v>6000</v>
      </c>
      <c r="DZ37">
        <v>11400</v>
      </c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1"/>
      <c r="FK37" s="20"/>
      <c r="FL37">
        <v>28</v>
      </c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1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1"/>
      <c r="LE37" s="20"/>
      <c r="LF37">
        <v>27</v>
      </c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20"/>
      <c r="NI37" s="20"/>
      <c r="NJ37" s="20"/>
      <c r="NK37" s="20"/>
      <c r="NL37" s="20"/>
      <c r="NM37" s="20"/>
      <c r="NN37" s="20"/>
      <c r="NO37" s="20"/>
      <c r="NP37" s="20"/>
      <c r="NQ37" s="20"/>
      <c r="NR37" s="20"/>
      <c r="NS37" s="20"/>
      <c r="NT37" s="20"/>
      <c r="NU37" s="20"/>
      <c r="NV37" s="20"/>
      <c r="NW37" s="20"/>
      <c r="NX37" s="20"/>
      <c r="NY37" s="20"/>
      <c r="NZ37" s="20"/>
      <c r="OA37" s="21"/>
      <c r="OB37" s="22"/>
      <c r="OC37">
        <v>249</v>
      </c>
      <c r="OD37" s="20"/>
      <c r="OE37" s="20"/>
      <c r="OF37" s="20"/>
      <c r="OG37" s="20"/>
      <c r="OH37" s="20"/>
      <c r="OI37" s="20"/>
      <c r="OJ37" s="20"/>
      <c r="OK37" s="20"/>
      <c r="OL37" s="20"/>
      <c r="OM37" s="20"/>
      <c r="ON37" s="20"/>
      <c r="OO37" s="20"/>
      <c r="OP37" s="20"/>
      <c r="OQ37" s="20"/>
      <c r="OR37" s="20"/>
      <c r="OS37" s="20"/>
      <c r="OT37" s="20"/>
      <c r="OU37" s="20"/>
      <c r="OV37" s="20"/>
      <c r="OW37" s="20"/>
      <c r="OX37" s="20"/>
      <c r="OY37" s="20"/>
      <c r="OZ37" s="20"/>
      <c r="PA37" s="20"/>
      <c r="PB37" s="20"/>
      <c r="PC37" s="20"/>
      <c r="PD37" s="20"/>
      <c r="PE37" s="20"/>
      <c r="PF37" s="20"/>
      <c r="PG37" s="20"/>
      <c r="PH37" s="20"/>
      <c r="PI37" s="20"/>
      <c r="PJ37" s="20"/>
      <c r="PK37" s="20"/>
      <c r="PL37" s="20"/>
      <c r="PM37" s="20"/>
      <c r="PN37" s="20"/>
      <c r="PO37" s="20"/>
      <c r="PP37" s="20"/>
      <c r="PQ37" s="20"/>
      <c r="PR37" s="20"/>
      <c r="PS37" s="20"/>
      <c r="PT37" s="20"/>
      <c r="PU37" s="20"/>
      <c r="PV37" s="21"/>
      <c r="PW37" s="20"/>
      <c r="PX37">
        <v>10</v>
      </c>
      <c r="PY37" s="20"/>
      <c r="PZ37" s="20"/>
      <c r="QA37" s="20"/>
      <c r="QB37" s="20"/>
      <c r="QC37" s="20"/>
      <c r="QD37" s="20"/>
      <c r="QE37" s="20"/>
      <c r="QF37" s="20"/>
      <c r="QG37" s="20"/>
      <c r="QH37" s="20"/>
      <c r="QI37" s="20"/>
      <c r="QJ37" s="21"/>
      <c r="QK37" s="21"/>
      <c r="QL37" s="21"/>
      <c r="QM37" s="21"/>
      <c r="QN37" s="21"/>
      <c r="QO37" s="21"/>
      <c r="QP37" s="21"/>
      <c r="QQ37" s="21"/>
      <c r="QR37" s="21"/>
      <c r="QS37" s="21"/>
      <c r="QT37" s="21"/>
      <c r="QU37" s="21"/>
      <c r="QV37" s="20"/>
      <c r="QW37" s="20"/>
      <c r="QX37" s="20"/>
      <c r="QY37" s="20"/>
      <c r="QZ37" s="20"/>
      <c r="RA37" s="20"/>
      <c r="RB37" s="20"/>
      <c r="RC37" s="20"/>
      <c r="RD37" s="20"/>
      <c r="RE37" s="20"/>
      <c r="RF37" s="20"/>
      <c r="RG37" s="20"/>
      <c r="RH37" s="20"/>
      <c r="RI37" s="20"/>
      <c r="RJ37" s="20"/>
      <c r="RK37" s="20"/>
      <c r="RL37" s="20"/>
      <c r="RM37" s="20"/>
      <c r="RN37" s="20"/>
      <c r="RO37" s="20"/>
      <c r="RP37" s="20"/>
      <c r="RQ37" s="20"/>
      <c r="RR37" s="20"/>
      <c r="RS37" s="20"/>
      <c r="RT37" s="20"/>
      <c r="RU37" s="20"/>
      <c r="RV37" s="20"/>
      <c r="RW37" s="20"/>
      <c r="RX37" s="20"/>
      <c r="RY37" s="20"/>
      <c r="RZ37" s="20"/>
      <c r="SA37" s="20"/>
      <c r="SB37" s="20"/>
      <c r="SC37" s="20"/>
      <c r="SD37" s="20"/>
      <c r="SE37" s="20"/>
      <c r="SF37" s="20"/>
      <c r="SG37" s="20"/>
      <c r="SH37" s="20"/>
      <c r="SI37" s="20"/>
      <c r="SJ37" s="20"/>
      <c r="SK37" s="20"/>
      <c r="SL37" s="20"/>
      <c r="SM37" s="20"/>
      <c r="SN37" s="20"/>
      <c r="SO37" s="20"/>
      <c r="SP37" s="20"/>
      <c r="SQ37" s="20"/>
      <c r="SR37" s="20"/>
      <c r="SS37" s="20"/>
      <c r="ST37" s="20"/>
      <c r="SU37" s="20"/>
      <c r="SV37" s="20"/>
      <c r="SW37" s="20"/>
      <c r="SX37" s="20"/>
      <c r="SY37" s="20"/>
      <c r="SZ37" s="20"/>
      <c r="TA37" s="20"/>
      <c r="TB37" s="20"/>
      <c r="TC37" s="20"/>
      <c r="TD37" s="21"/>
      <c r="TE37" s="21"/>
      <c r="TF37" s="21"/>
      <c r="TG37" s="21"/>
      <c r="TH37" s="21"/>
      <c r="TI37" s="20"/>
      <c r="TJ37" s="20"/>
      <c r="TK37" s="20"/>
      <c r="TL37" s="20"/>
      <c r="TM37" s="20"/>
      <c r="TN37" s="20"/>
      <c r="TO37" s="20"/>
      <c r="TP37" s="20"/>
      <c r="TQ37" s="20"/>
      <c r="TR37" s="20"/>
      <c r="TS37" s="20"/>
      <c r="TT37" s="20"/>
      <c r="TU37" s="20"/>
      <c r="TV37" s="20"/>
      <c r="TW37" s="20"/>
      <c r="TX37" s="20"/>
      <c r="TY37" s="21"/>
      <c r="TZ37" s="20"/>
      <c r="UA37" s="20"/>
      <c r="UB37" s="20"/>
      <c r="UC37" s="20"/>
      <c r="UD37" s="20"/>
      <c r="UE37" s="20"/>
      <c r="UF37" s="20"/>
      <c r="UG37" s="20"/>
      <c r="UH37" s="20"/>
      <c r="UI37" s="20"/>
      <c r="UJ37" s="20"/>
      <c r="UK37" s="20"/>
      <c r="UL37" s="20"/>
      <c r="UM37" s="20"/>
      <c r="UN37" s="20"/>
      <c r="UO37" s="20"/>
      <c r="UP37" s="20"/>
      <c r="UQ37" s="20"/>
      <c r="UR37" s="20"/>
      <c r="US37" s="20"/>
      <c r="UT37" s="20"/>
      <c r="UU37" s="20"/>
      <c r="UV37" s="20"/>
      <c r="UW37" s="20"/>
      <c r="UX37" s="20"/>
      <c r="UY37" s="20"/>
      <c r="UZ37" s="20"/>
      <c r="VA37" s="20"/>
      <c r="VB37" s="20"/>
      <c r="VC37" s="20"/>
      <c r="VD37" s="20"/>
      <c r="VE37" s="20"/>
      <c r="VF37" s="20"/>
      <c r="VG37" s="20"/>
      <c r="VH37" s="20"/>
      <c r="VI37" s="20"/>
      <c r="VJ37" s="20"/>
      <c r="VK37" s="20"/>
      <c r="VL37" s="20"/>
      <c r="VM37" s="20"/>
      <c r="VN37" s="20"/>
      <c r="VO37" s="20"/>
      <c r="VP37" s="20"/>
      <c r="VQ37" s="20"/>
      <c r="VR37" s="20"/>
      <c r="VS37" s="20"/>
      <c r="VT37" s="20"/>
      <c r="VU37" s="20"/>
      <c r="VV37" s="20"/>
      <c r="VW37" s="20"/>
      <c r="VX37" s="20"/>
      <c r="VY37" s="20"/>
      <c r="VZ37" s="20"/>
      <c r="WA37" s="20"/>
      <c r="WB37" s="20"/>
      <c r="WC37" s="20"/>
      <c r="WD37" s="20"/>
      <c r="WE37" s="20"/>
      <c r="WF37" s="20"/>
      <c r="WG37" s="20"/>
      <c r="WH37" s="20"/>
      <c r="WI37" s="20"/>
      <c r="WJ37" s="20"/>
      <c r="WK37" s="21"/>
      <c r="WL37" s="21"/>
      <c r="WM37" s="20"/>
      <c r="WN37" s="20"/>
      <c r="WO37" s="20"/>
      <c r="WP37" s="20"/>
      <c r="WQ37" s="20"/>
      <c r="WR37" s="20"/>
      <c r="WS37" s="20"/>
      <c r="WT37" s="20"/>
      <c r="WU37" s="20"/>
      <c r="WV37" s="20"/>
      <c r="WW37" s="20"/>
      <c r="WX37" s="20"/>
      <c r="WY37" s="20"/>
      <c r="WZ37" s="20"/>
      <c r="XA37" s="20"/>
      <c r="XB37" s="20"/>
      <c r="XC37" s="20"/>
      <c r="XD37" s="20"/>
      <c r="XE37" s="20"/>
      <c r="XF37" s="20"/>
      <c r="XG37" s="20"/>
      <c r="XH37" s="20"/>
      <c r="XI37" s="20"/>
      <c r="XJ37" s="20"/>
      <c r="XK37" s="20"/>
      <c r="XL37" s="20"/>
      <c r="XM37" s="20"/>
      <c r="XN37" s="20"/>
      <c r="XO37" s="20"/>
      <c r="XP37" s="20"/>
      <c r="XQ37" s="21"/>
      <c r="XR37" s="21"/>
      <c r="XS37" s="20"/>
      <c r="XT37" s="20"/>
      <c r="XU37" s="20"/>
      <c r="XV37" s="20"/>
      <c r="XW37" s="20"/>
      <c r="XX37" s="20"/>
      <c r="XY37" s="20"/>
      <c r="XZ37" s="20"/>
      <c r="YA37" s="20"/>
      <c r="YB37" s="20"/>
      <c r="YC37" s="20"/>
      <c r="YD37" s="20"/>
      <c r="YE37" s="20"/>
      <c r="YF37" s="20"/>
      <c r="YG37" s="20"/>
      <c r="YH37" s="20"/>
      <c r="YI37" s="20"/>
      <c r="YJ37" s="20"/>
      <c r="YK37" s="20"/>
      <c r="YL37" s="20"/>
      <c r="YM37" s="20"/>
      <c r="YN37" s="20"/>
      <c r="YO37" s="20"/>
      <c r="YP37" s="20"/>
      <c r="YQ37" s="20"/>
      <c r="YR37" s="20"/>
      <c r="YS37" s="20"/>
      <c r="YT37" s="20"/>
      <c r="YU37" s="20"/>
      <c r="YV37" s="20"/>
      <c r="YW37" s="20"/>
      <c r="YX37" s="20"/>
      <c r="YY37" s="20"/>
      <c r="YZ37" s="21"/>
      <c r="ZA37" s="20"/>
      <c r="ZB37" s="20"/>
      <c r="ZC37" s="20"/>
      <c r="ZD37" s="20"/>
      <c r="ZE37" s="20"/>
      <c r="ZF37" s="20"/>
      <c r="ZG37" s="20"/>
      <c r="ZH37" s="20"/>
      <c r="ZI37" s="20"/>
      <c r="ZJ37" s="20"/>
      <c r="ZK37" s="20"/>
      <c r="ZL37" s="20"/>
      <c r="ZM37" s="20"/>
      <c r="ZN37" s="20"/>
      <c r="ZO37" s="20"/>
      <c r="ZP37" s="20"/>
      <c r="ZQ37" s="20"/>
      <c r="ZR37" s="20"/>
      <c r="ZS37" s="20"/>
      <c r="ZT37" s="20"/>
      <c r="ZU37" s="21"/>
      <c r="ZV37" s="21"/>
      <c r="ZW37" s="20"/>
      <c r="ZX37" s="20"/>
      <c r="ZY37" s="20"/>
      <c r="ZZ37" s="20"/>
      <c r="AAA37" s="20"/>
      <c r="AAB37" s="20"/>
      <c r="AAC37" s="20"/>
      <c r="AAD37" s="20"/>
      <c r="AAE37" s="20"/>
      <c r="AAF37" s="20"/>
      <c r="AAG37" s="20"/>
      <c r="AAH37" s="20"/>
      <c r="AAI37" s="20"/>
      <c r="AAJ37" s="20"/>
      <c r="AAK37" s="20"/>
      <c r="AAL37" s="20"/>
      <c r="AAM37" s="20"/>
      <c r="AAN37" s="20"/>
      <c r="AAO37" s="20"/>
      <c r="AAP37" s="20"/>
      <c r="AAQ37" s="20"/>
      <c r="AAR37" s="20"/>
      <c r="AAS37" s="20"/>
      <c r="AAT37" s="21"/>
      <c r="AAU37" s="20"/>
      <c r="AAV37" s="20"/>
      <c r="AAW37" s="20"/>
      <c r="AAX37" s="20"/>
      <c r="AAY37" s="20"/>
      <c r="AAZ37" s="20"/>
      <c r="ABA37" s="20"/>
      <c r="ABB37" s="20"/>
      <c r="ABC37" s="20"/>
      <c r="ABD37" s="20"/>
      <c r="ABE37" s="20"/>
      <c r="ABF37" s="20"/>
      <c r="ABG37" s="20"/>
      <c r="ABH37" s="20"/>
      <c r="ABI37" s="20"/>
      <c r="ABJ37" s="20"/>
      <c r="ABK37" s="20"/>
      <c r="ABL37" s="20"/>
      <c r="ABM37" s="20"/>
      <c r="ABN37" s="20"/>
      <c r="ABO37" s="21"/>
      <c r="ABP37" s="21"/>
      <c r="ABQ37" s="21"/>
      <c r="ABR37" s="20"/>
      <c r="ABS37" s="20"/>
      <c r="ABT37" s="20"/>
      <c r="ABU37" s="20"/>
      <c r="ABV37" s="20"/>
      <c r="ABW37" s="20"/>
      <c r="ABX37" s="20"/>
      <c r="ABY37" s="20"/>
      <c r="ABZ37" s="20"/>
      <c r="ACA37" s="20"/>
      <c r="ACB37" s="20"/>
      <c r="ACC37" s="20"/>
      <c r="ACD37" s="20"/>
      <c r="ACE37" s="20"/>
      <c r="ACF37" s="20"/>
      <c r="ACG37" s="20"/>
      <c r="ACH37" s="20"/>
      <c r="ACI37" s="20"/>
      <c r="ACJ37" s="20"/>
      <c r="ACK37" s="20"/>
      <c r="ACL37" s="20"/>
      <c r="ACM37" s="21"/>
      <c r="ACN37" s="20"/>
      <c r="ACO37" s="20"/>
      <c r="ACP37" s="20"/>
      <c r="ACQ37" s="20"/>
      <c r="ACR37" s="20"/>
      <c r="ACS37" s="21"/>
      <c r="ACT37" s="20"/>
      <c r="ACU37">
        <v>25.4</v>
      </c>
      <c r="ACV37" s="20"/>
      <c r="ACW37" s="20"/>
      <c r="ACX37" s="20"/>
      <c r="ACY37" s="20"/>
      <c r="ACZ37" s="20"/>
      <c r="ADA37" s="20"/>
      <c r="ADB37" s="20"/>
      <c r="ADC37" s="20"/>
      <c r="ADD37" s="20"/>
      <c r="ADE37" s="20"/>
      <c r="ADF37" s="20"/>
      <c r="ADG37" s="20"/>
      <c r="ADH37" s="20"/>
      <c r="ADI37" s="20"/>
      <c r="ADJ37" s="20"/>
      <c r="ADK37" s="20"/>
      <c r="ADL37" s="20"/>
      <c r="ADM37" s="20"/>
      <c r="ADN37" s="20"/>
      <c r="ADO37" s="20"/>
      <c r="ADP37" s="20"/>
      <c r="ADQ37" s="20"/>
      <c r="ADR37" s="21"/>
      <c r="ADS37" s="22"/>
      <c r="ADT37" s="20"/>
      <c r="ADU37" s="20"/>
      <c r="ADV37" s="20"/>
      <c r="ADW37" s="20"/>
      <c r="ADX37" s="20"/>
      <c r="ADY37" s="20"/>
      <c r="ADZ37" s="20"/>
      <c r="AEA37" s="20"/>
      <c r="AEB37" s="20"/>
      <c r="AEC37" s="20"/>
      <c r="AED37" s="20"/>
      <c r="AEE37" s="20"/>
      <c r="AEF37" s="20"/>
      <c r="AEG37" s="20"/>
      <c r="AEH37" s="20"/>
      <c r="AEI37" s="20"/>
      <c r="AEJ37" s="20"/>
      <c r="AEK37" s="20"/>
      <c r="AEL37" s="20"/>
      <c r="AEM37" s="20"/>
      <c r="AEN37" s="20"/>
      <c r="AEO37" s="20"/>
      <c r="AEP37" s="20"/>
      <c r="AEQ37" s="20"/>
      <c r="AER37" s="21"/>
      <c r="AES37" s="20"/>
      <c r="AET37" s="20"/>
      <c r="AEU37" s="20"/>
      <c r="AEV37" s="20"/>
      <c r="AEW37" s="21"/>
      <c r="AEX37" s="20"/>
      <c r="AEY37" s="20"/>
      <c r="AEZ37" s="20"/>
      <c r="AFA37" s="20"/>
      <c r="AFB37" s="20"/>
      <c r="AFC37" s="20"/>
      <c r="AFD37" s="21"/>
      <c r="AFE37" s="21"/>
      <c r="AFF37" s="20"/>
      <c r="AFG37" s="20"/>
      <c r="AFH37" s="20"/>
      <c r="AFI37" s="20"/>
      <c r="AFJ37" s="20"/>
      <c r="AFK37" s="20"/>
      <c r="AFL37" s="20"/>
      <c r="AFM37" s="20"/>
      <c r="AFN37" s="20"/>
      <c r="AFO37" s="20"/>
      <c r="AFP37" s="20"/>
      <c r="AFQ37" s="20"/>
      <c r="AFR37" s="20"/>
      <c r="AFS37" s="20"/>
      <c r="AFT37" s="20"/>
      <c r="AFU37" s="20"/>
      <c r="AFV37" s="20"/>
      <c r="AFW37" s="20"/>
      <c r="AFX37" s="21"/>
      <c r="AFY37" s="20"/>
      <c r="AFZ37" s="20"/>
      <c r="AGA37" s="20"/>
      <c r="AGB37" s="20"/>
      <c r="AGC37" s="20"/>
      <c r="AGD37" s="20"/>
      <c r="AGE37" s="20"/>
      <c r="AGF37" s="20"/>
      <c r="AGG37" s="20"/>
      <c r="AGH37" s="20"/>
      <c r="AGI37" s="21"/>
      <c r="AGJ37" s="20"/>
      <c r="AGK37" s="20"/>
      <c r="AGL37" s="20"/>
      <c r="AGM37" s="20"/>
      <c r="AGN37" s="20"/>
      <c r="AGO37" s="20"/>
      <c r="AGP37" s="20"/>
      <c r="AGQ37" s="20"/>
      <c r="AGR37" s="20"/>
      <c r="AGS37" s="20"/>
      <c r="AGT37" s="20"/>
      <c r="AGU37" s="21"/>
      <c r="AGV37" s="20"/>
      <c r="AGW37" s="20"/>
      <c r="AGX37" s="20"/>
      <c r="AGY37" s="20"/>
      <c r="AGZ37" s="20"/>
      <c r="AHA37" s="20"/>
      <c r="AHB37" s="20"/>
      <c r="AHC37" s="20"/>
      <c r="AHD37" s="20"/>
      <c r="AHE37" s="20"/>
      <c r="AHF37" s="20"/>
      <c r="AHG37" s="20"/>
      <c r="AHH37" s="20"/>
      <c r="AHI37" s="20"/>
      <c r="AHJ37" s="20"/>
      <c r="AHK37" s="20"/>
      <c r="AHL37" s="20"/>
      <c r="AHM37" s="20"/>
      <c r="AHN37" s="20"/>
      <c r="AHO37" s="20"/>
      <c r="AHP37" s="20"/>
      <c r="AHQ37" s="21"/>
      <c r="AHR37" s="20"/>
      <c r="AHS37" s="20"/>
    </row>
    <row r="38" spans="1:931" x14ac:dyDescent="0.25">
      <c r="A38">
        <v>99000717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1"/>
      <c r="AG38" s="21"/>
      <c r="AH38" s="21"/>
      <c r="AI38" s="21"/>
      <c r="AJ38" s="21"/>
      <c r="AK38" s="21"/>
      <c r="AL38" s="21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1"/>
      <c r="BN38" s="21"/>
      <c r="BO38" s="21"/>
      <c r="BP38" s="21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1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1"/>
      <c r="DL38" s="21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1"/>
      <c r="DX38" s="21"/>
      <c r="EA38" s="20"/>
      <c r="EB38" s="20"/>
      <c r="EC38" s="20"/>
      <c r="ED38" s="20"/>
      <c r="EE38" s="20"/>
      <c r="EF38" s="20"/>
      <c r="EG38">
        <v>7700</v>
      </c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>
        <v>4300</v>
      </c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1"/>
      <c r="FK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>
        <v>31</v>
      </c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1"/>
      <c r="II38" s="20"/>
      <c r="IJ38" s="20"/>
      <c r="IK38" s="20"/>
      <c r="IL38" s="20"/>
      <c r="IM38" s="20"/>
      <c r="IN38" s="20"/>
      <c r="IO38" s="20"/>
      <c r="IP38" s="20"/>
      <c r="IQ38" s="20"/>
      <c r="IR38">
        <v>30</v>
      </c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1"/>
      <c r="LE38" s="20"/>
      <c r="LG38" s="20"/>
      <c r="LH38" s="20"/>
      <c r="LI38" s="20"/>
      <c r="LJ38" s="20"/>
      <c r="LK38" s="20"/>
      <c r="LL38">
        <v>75</v>
      </c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1"/>
      <c r="OB38" s="22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>
        <v>487</v>
      </c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1"/>
      <c r="PW38" s="20"/>
      <c r="PY38" s="20"/>
      <c r="PZ38" s="20"/>
      <c r="QA38" s="20"/>
      <c r="QB38" s="20"/>
      <c r="QC38" s="20"/>
      <c r="QD38" s="20"/>
      <c r="QE38" s="20"/>
      <c r="QF38">
        <v>11</v>
      </c>
      <c r="QG38" s="20"/>
      <c r="QH38" s="20"/>
      <c r="QI38" s="20"/>
      <c r="QJ38" s="21"/>
      <c r="QK38" s="21"/>
      <c r="QL38" s="21"/>
      <c r="QM38" s="21"/>
      <c r="QN38" s="21"/>
      <c r="QO38" s="21"/>
      <c r="QP38" s="21"/>
      <c r="QQ38" s="21"/>
      <c r="QR38" s="21"/>
      <c r="QS38" s="21"/>
      <c r="QT38" s="21"/>
      <c r="QU38" s="21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20"/>
      <c r="SC38" s="20"/>
      <c r="SD38" s="20"/>
      <c r="SE38" s="20"/>
      <c r="SF38" s="20"/>
      <c r="SG38" s="20"/>
      <c r="SH38" s="20"/>
      <c r="SI38" s="20"/>
      <c r="SJ38" s="20"/>
      <c r="SK38" s="20"/>
      <c r="SL38" s="20"/>
      <c r="SM38" s="20"/>
      <c r="SN38" s="20"/>
      <c r="SO38" s="20"/>
      <c r="SP38" s="20"/>
      <c r="SQ38" s="20"/>
      <c r="SR38" s="20"/>
      <c r="SS38" s="20"/>
      <c r="ST38" s="20"/>
      <c r="SU38" s="20"/>
      <c r="SV38" s="20"/>
      <c r="SW38" s="20"/>
      <c r="SX38" s="20"/>
      <c r="SY38" s="20"/>
      <c r="SZ38" s="20"/>
      <c r="TA38" s="20"/>
      <c r="TB38" s="20"/>
      <c r="TC38" s="20"/>
      <c r="TD38" s="21"/>
      <c r="TE38" s="21"/>
      <c r="TF38" s="21"/>
      <c r="TG38" s="21"/>
      <c r="TH38" s="21"/>
      <c r="TI38" s="20"/>
      <c r="TJ38" s="20"/>
      <c r="TK38" s="20"/>
      <c r="TL38" s="20"/>
      <c r="TM38" s="20"/>
      <c r="TN38" s="20"/>
      <c r="TO38" s="20"/>
      <c r="TP38" s="20"/>
      <c r="TQ38" s="20"/>
      <c r="TR38" s="20"/>
      <c r="TS38" s="20"/>
      <c r="TT38" s="20"/>
      <c r="TU38" s="20"/>
      <c r="TV38" s="20"/>
      <c r="TW38" s="20"/>
      <c r="TX38" s="20"/>
      <c r="TY38" s="21"/>
      <c r="TZ38" s="20"/>
      <c r="UA38" s="20"/>
      <c r="UB38" s="20"/>
      <c r="UC38" s="20"/>
      <c r="UD38" s="20"/>
      <c r="UE38" s="20"/>
      <c r="UF38" s="20"/>
      <c r="UG38" s="20"/>
      <c r="UH38" s="20"/>
      <c r="UI38" s="20"/>
      <c r="UJ38" s="20"/>
      <c r="UK38" s="20"/>
      <c r="UL38" s="20"/>
      <c r="UM38" s="20"/>
      <c r="UN38" s="20"/>
      <c r="UO38" s="20"/>
      <c r="UP38" s="20"/>
      <c r="UQ38" s="20"/>
      <c r="UR38" s="20"/>
      <c r="US38" s="20"/>
      <c r="UT38" s="20"/>
      <c r="UU38" s="20"/>
      <c r="UV38" s="20"/>
      <c r="UW38" s="20"/>
      <c r="UX38" s="20"/>
      <c r="UY38" s="20"/>
      <c r="UZ38" s="20"/>
      <c r="VA38" s="20"/>
      <c r="VB38" s="20"/>
      <c r="VC38" s="20"/>
      <c r="VD38" s="20"/>
      <c r="VE38" s="20"/>
      <c r="VF38" s="20"/>
      <c r="VG38" s="20"/>
      <c r="VH38" s="20"/>
      <c r="VI38" s="20"/>
      <c r="VJ38" s="20"/>
      <c r="VK38" s="20"/>
      <c r="VL38" s="20"/>
      <c r="VM38" s="20"/>
      <c r="VN38" s="20"/>
      <c r="VO38" s="20"/>
      <c r="VP38" s="20"/>
      <c r="VQ38" s="20"/>
      <c r="VR38" s="20"/>
      <c r="VS38" s="20"/>
      <c r="VT38" s="20"/>
      <c r="VU38" s="20"/>
      <c r="VV38" s="20"/>
      <c r="VW38" s="20"/>
      <c r="VX38" s="20"/>
      <c r="VY38" s="20"/>
      <c r="VZ38" s="20"/>
      <c r="WA38" s="20"/>
      <c r="WB38" s="20"/>
      <c r="WC38" s="20"/>
      <c r="WD38" s="20"/>
      <c r="WE38" s="20"/>
      <c r="WF38" s="20"/>
      <c r="WG38" s="20"/>
      <c r="WH38" s="20"/>
      <c r="WI38" s="20"/>
      <c r="WJ38" s="20"/>
      <c r="WK38" s="21"/>
      <c r="WL38" s="21"/>
      <c r="WM38" s="20"/>
      <c r="WN38" s="20"/>
      <c r="WO38" s="20"/>
      <c r="WP38" s="20"/>
      <c r="WQ38" s="20"/>
      <c r="WR38" s="20"/>
      <c r="WS38" s="20"/>
      <c r="WT38" s="20"/>
      <c r="WU38" s="20"/>
      <c r="WV38" s="20"/>
      <c r="WW38" s="20"/>
      <c r="WX38" s="20"/>
      <c r="WY38" s="20"/>
      <c r="WZ38" s="20"/>
      <c r="XA38" s="20"/>
      <c r="XB38" s="20"/>
      <c r="XC38" s="20"/>
      <c r="XD38" s="20"/>
      <c r="XE38" s="20"/>
      <c r="XF38" s="20"/>
      <c r="XG38" s="20"/>
      <c r="XH38" s="20"/>
      <c r="XI38" s="20"/>
      <c r="XJ38" s="20"/>
      <c r="XK38" s="20"/>
      <c r="XL38" s="20"/>
      <c r="XM38" s="20"/>
      <c r="XN38" s="20"/>
      <c r="XO38" s="20"/>
      <c r="XP38" s="20"/>
      <c r="XQ38" s="21"/>
      <c r="XR38" s="21"/>
      <c r="XS38" s="20"/>
      <c r="XT38" s="20"/>
      <c r="XU38" s="20"/>
      <c r="XV38" s="20"/>
      <c r="XW38" s="20"/>
      <c r="XX38" s="20"/>
      <c r="XY38" s="20"/>
      <c r="XZ38" s="20"/>
      <c r="YA38" s="20"/>
      <c r="YB38" s="20"/>
      <c r="YC38" s="20"/>
      <c r="YD38" s="20"/>
      <c r="YE38" s="20"/>
      <c r="YF38" s="20"/>
      <c r="YG38" s="20"/>
      <c r="YH38" s="20"/>
      <c r="YI38" s="20"/>
      <c r="YJ38" s="20"/>
      <c r="YK38" s="20"/>
      <c r="YL38" s="20"/>
      <c r="YM38" s="20"/>
      <c r="YN38" s="20"/>
      <c r="YO38" s="20"/>
      <c r="YP38" s="20"/>
      <c r="YQ38" s="20"/>
      <c r="YR38" s="20"/>
      <c r="YS38" s="20"/>
      <c r="YT38" s="20"/>
      <c r="YU38" s="20"/>
      <c r="YV38" s="20"/>
      <c r="YW38" s="20"/>
      <c r="YX38" s="20"/>
      <c r="YY38" s="20"/>
      <c r="YZ38" s="21"/>
      <c r="ZA38" s="20"/>
      <c r="ZB38" s="20"/>
      <c r="ZC38" s="20"/>
      <c r="ZD38" s="20"/>
      <c r="ZE38" s="20"/>
      <c r="ZF38" s="20"/>
      <c r="ZG38" s="20"/>
      <c r="ZH38" s="20"/>
      <c r="ZI38" s="20"/>
      <c r="ZJ38" s="20"/>
      <c r="ZK38" s="20"/>
      <c r="ZL38" s="20"/>
      <c r="ZM38" s="20"/>
      <c r="ZN38" s="20"/>
      <c r="ZO38" s="20"/>
      <c r="ZP38" s="20"/>
      <c r="ZQ38" s="20"/>
      <c r="ZR38" s="20"/>
      <c r="ZS38" s="20"/>
      <c r="ZT38" s="20"/>
      <c r="ZU38" s="21"/>
      <c r="ZV38" s="21"/>
      <c r="ZW38" s="20"/>
      <c r="ZX38" s="20"/>
      <c r="ZY38" s="20"/>
      <c r="ZZ38" s="20"/>
      <c r="AAA38" s="20"/>
      <c r="AAB38" s="20"/>
      <c r="AAC38" s="20"/>
      <c r="AAD38" s="20"/>
      <c r="AAE38" s="20"/>
      <c r="AAF38" s="20"/>
      <c r="AAG38" s="20"/>
      <c r="AAH38" s="20"/>
      <c r="AAI38" s="20"/>
      <c r="AAJ38" s="20"/>
      <c r="AAK38" s="20"/>
      <c r="AAL38" s="20"/>
      <c r="AAM38" s="20"/>
      <c r="AAN38" s="20"/>
      <c r="AAO38" s="20"/>
      <c r="AAP38" s="20"/>
      <c r="AAQ38" s="20"/>
      <c r="AAR38" s="20"/>
      <c r="AAS38" s="20"/>
      <c r="AAT38" s="21"/>
      <c r="AAU38" s="20"/>
      <c r="AAV38" s="20"/>
      <c r="AAW38" s="20"/>
      <c r="AAX38" s="20"/>
      <c r="AAY38" s="20"/>
      <c r="AAZ38" s="20"/>
      <c r="ABA38" s="20"/>
      <c r="ABB38" s="20"/>
      <c r="ABC38" s="20"/>
      <c r="ABD38" s="20"/>
      <c r="ABE38" s="20"/>
      <c r="ABF38" s="20"/>
      <c r="ABG38" s="20"/>
      <c r="ABH38" s="20"/>
      <c r="ABI38" s="20"/>
      <c r="ABJ38" s="20"/>
      <c r="ABK38" s="20"/>
      <c r="ABL38" s="20"/>
      <c r="ABM38" s="20"/>
      <c r="ABN38" s="20"/>
      <c r="ABO38" s="21"/>
      <c r="ABP38" s="21"/>
      <c r="ABQ38" s="21"/>
      <c r="ABR38" s="20"/>
      <c r="ABS38" s="20"/>
      <c r="ABT38" s="20"/>
      <c r="ABU38" s="20"/>
      <c r="ABV38" s="20"/>
      <c r="ABW38" s="20"/>
      <c r="ABX38" s="20"/>
      <c r="ABY38" s="20"/>
      <c r="ABZ38" s="20"/>
      <c r="ACA38" s="20"/>
      <c r="ACB38" s="20"/>
      <c r="ACC38" s="20"/>
      <c r="ACD38" s="20"/>
      <c r="ACE38" s="20"/>
      <c r="ACF38" s="20"/>
      <c r="ACG38" s="20"/>
      <c r="ACH38" s="20"/>
      <c r="ACI38" s="20"/>
      <c r="ACJ38" s="20"/>
      <c r="ACK38" s="20"/>
      <c r="ACL38" s="20"/>
      <c r="ACM38" s="21"/>
      <c r="ACN38" s="20"/>
      <c r="ACO38" s="20"/>
      <c r="ACP38" s="20"/>
      <c r="ACQ38" s="20"/>
      <c r="ACR38" s="20"/>
      <c r="ACS38" s="21"/>
      <c r="ACT38" s="20"/>
      <c r="ACV38" s="20"/>
      <c r="ACW38" s="20"/>
      <c r="ACX38" s="20"/>
      <c r="ACY38" s="20"/>
      <c r="ACZ38" s="20"/>
      <c r="ADA38" s="20"/>
      <c r="ADB38" s="20"/>
      <c r="ADC38" s="20"/>
      <c r="ADD38" s="20"/>
      <c r="ADE38" s="20"/>
      <c r="ADF38" s="20"/>
      <c r="ADG38" s="20"/>
      <c r="ADH38" s="20"/>
      <c r="ADI38" s="20"/>
      <c r="ADJ38" s="20"/>
      <c r="ADK38" s="20"/>
      <c r="ADL38" s="20"/>
      <c r="ADM38" s="20"/>
      <c r="ADN38" s="20"/>
      <c r="ADO38" s="20"/>
      <c r="ADP38" s="20"/>
      <c r="ADQ38" s="20"/>
      <c r="ADR38" s="21"/>
      <c r="ADS38" s="22"/>
      <c r="ADT38" s="20"/>
      <c r="ADU38" s="20"/>
      <c r="ADV38" s="20"/>
      <c r="ADW38" s="20"/>
      <c r="ADX38" s="20"/>
      <c r="ADY38" s="20"/>
      <c r="ADZ38" s="20"/>
      <c r="AEA38" s="20"/>
      <c r="AEB38" s="20"/>
      <c r="AEC38" s="20"/>
      <c r="AED38" s="20"/>
      <c r="AEE38" s="20"/>
      <c r="AEF38" s="20"/>
      <c r="AEG38" s="20"/>
      <c r="AEH38" s="20"/>
      <c r="AEI38" s="20"/>
      <c r="AEJ38" s="20"/>
      <c r="AEK38" s="20"/>
      <c r="AEL38" s="20"/>
      <c r="AEM38" s="20"/>
      <c r="AEN38" s="20"/>
      <c r="AEO38" s="20"/>
      <c r="AEP38" s="20"/>
      <c r="AEQ38" s="20"/>
      <c r="AER38" s="21"/>
      <c r="AES38" s="20"/>
      <c r="AET38" s="20"/>
      <c r="AEU38" s="20"/>
      <c r="AEV38" s="20"/>
      <c r="AEW38" s="21"/>
      <c r="AEX38" s="20"/>
      <c r="AEY38" s="20"/>
      <c r="AEZ38" s="20"/>
      <c r="AFA38" s="20"/>
      <c r="AFB38" s="20"/>
      <c r="AFC38" s="20"/>
      <c r="AFD38" s="21"/>
      <c r="AFE38" s="21"/>
      <c r="AFF38" s="20"/>
      <c r="AFG38" s="20"/>
      <c r="AFH38" s="20"/>
      <c r="AFI38" s="20"/>
      <c r="AFJ38" s="20"/>
      <c r="AFK38" s="20"/>
      <c r="AFL38" s="20"/>
      <c r="AFM38" s="20"/>
      <c r="AFN38" s="20"/>
      <c r="AFO38" s="20"/>
      <c r="AFP38" s="20"/>
      <c r="AFQ38" s="20"/>
      <c r="AFR38" s="20"/>
      <c r="AFS38" s="20"/>
      <c r="AFT38" s="20"/>
      <c r="AFU38" s="20"/>
      <c r="AFV38" s="20"/>
      <c r="AFW38" s="20"/>
      <c r="AFX38" s="21"/>
      <c r="AFY38" s="20"/>
      <c r="AFZ38" s="20"/>
      <c r="AGA38" s="20"/>
      <c r="AGB38" s="20"/>
      <c r="AGC38" s="20"/>
      <c r="AGD38" s="20"/>
      <c r="AGE38" s="20"/>
      <c r="AGF38" s="20"/>
      <c r="AGG38" s="20"/>
      <c r="AGH38" s="20"/>
      <c r="AGI38" s="21"/>
      <c r="AGJ38" s="20"/>
      <c r="AGK38" s="20"/>
      <c r="AGL38" s="20"/>
      <c r="AGM38" s="20"/>
      <c r="AGN38" s="20"/>
      <c r="AGO38" s="20"/>
      <c r="AGP38" s="20"/>
      <c r="AGQ38" s="20"/>
      <c r="AGR38" s="20"/>
      <c r="AGS38" s="20"/>
      <c r="AGT38" s="20"/>
      <c r="AGU38" s="21"/>
      <c r="AGV38" s="20"/>
      <c r="AGW38" s="20"/>
      <c r="AGX38" s="20"/>
      <c r="AGY38" s="20"/>
      <c r="AGZ38" s="20"/>
      <c r="AHA38" s="20"/>
      <c r="AHB38" s="20"/>
      <c r="AHC38" s="20"/>
      <c r="AHD38" s="20"/>
      <c r="AHE38" s="20"/>
      <c r="AHF38" s="20"/>
      <c r="AHG38" s="20"/>
      <c r="AHH38" s="20"/>
      <c r="AHI38" s="20"/>
      <c r="AHJ38" s="20"/>
      <c r="AHK38" s="20"/>
      <c r="AHL38" s="20"/>
      <c r="AHM38" s="20"/>
      <c r="AHN38" s="20"/>
      <c r="AHO38" s="20"/>
      <c r="AHP38" s="20"/>
      <c r="AHQ38" s="21"/>
      <c r="AHR38" s="20"/>
      <c r="AHS38" s="20"/>
    </row>
    <row r="39" spans="1:931" x14ac:dyDescent="0.25">
      <c r="A39">
        <v>99000894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1"/>
      <c r="AG39" s="21"/>
      <c r="AH39" s="21"/>
      <c r="AI39" s="21"/>
      <c r="AJ39" s="21"/>
      <c r="AK39" s="21"/>
      <c r="AL39" s="21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1"/>
      <c r="BN39" s="21"/>
      <c r="BO39" s="21"/>
      <c r="BP39" s="21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1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1"/>
      <c r="DL39" s="21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1"/>
      <c r="DX39" s="21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>
        <v>14100</v>
      </c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1"/>
      <c r="FK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1"/>
      <c r="II39" s="20"/>
      <c r="IJ39" s="20"/>
      <c r="IK39" s="20"/>
      <c r="IL39" s="20"/>
      <c r="IM39" s="20"/>
      <c r="IN39" s="20"/>
      <c r="IO39">
        <v>30</v>
      </c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1"/>
      <c r="LE39" s="20"/>
      <c r="LG39" s="20"/>
      <c r="LH39" s="20"/>
      <c r="LI39" s="20"/>
      <c r="LJ39" s="20"/>
      <c r="LK39" s="20"/>
      <c r="LL39" s="20"/>
      <c r="LM39" s="20"/>
      <c r="LN39">
        <v>72</v>
      </c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1"/>
      <c r="OB39" s="22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1"/>
      <c r="PW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1"/>
      <c r="QK39" s="21"/>
      <c r="QL39" s="21"/>
      <c r="QM39" s="21"/>
      <c r="QN39" s="21"/>
      <c r="QO39" s="21"/>
      <c r="QP39" s="21"/>
      <c r="QQ39" s="21"/>
      <c r="QR39" s="21"/>
      <c r="QS39" s="21"/>
      <c r="QT39" s="21"/>
      <c r="QU39" s="21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0"/>
      <c r="SC39" s="20"/>
      <c r="SD39" s="20"/>
      <c r="SE39" s="20"/>
      <c r="SF39" s="20"/>
      <c r="SG39" s="20"/>
      <c r="SH39" s="20"/>
      <c r="SI39" s="20"/>
      <c r="SJ39" s="20"/>
      <c r="SK39" s="20"/>
      <c r="SL39" s="20"/>
      <c r="SM39" s="20"/>
      <c r="SN39" s="20"/>
      <c r="SO39" s="20"/>
      <c r="SP39" s="20"/>
      <c r="SQ39" s="20"/>
      <c r="SR39" s="20"/>
      <c r="SS39" s="20"/>
      <c r="ST39" s="20"/>
      <c r="SU39" s="20"/>
      <c r="SV39" s="20"/>
      <c r="SW39" s="20"/>
      <c r="SX39" s="20"/>
      <c r="SY39" s="20"/>
      <c r="SZ39" s="20"/>
      <c r="TA39" s="20"/>
      <c r="TB39" s="20"/>
      <c r="TC39" s="20"/>
      <c r="TD39" s="21"/>
      <c r="TE39" s="21"/>
      <c r="TF39" s="21"/>
      <c r="TG39" s="21"/>
      <c r="TH39" s="21"/>
      <c r="TI39" s="20"/>
      <c r="TJ39" s="20"/>
      <c r="TK39" s="20"/>
      <c r="TL39" s="20"/>
      <c r="TM39" s="20"/>
      <c r="TN39" s="20"/>
      <c r="TO39" s="20"/>
      <c r="TP39" s="20"/>
      <c r="TQ39" s="20"/>
      <c r="TR39" s="20"/>
      <c r="TS39" s="20"/>
      <c r="TT39" s="20"/>
      <c r="TU39" s="20"/>
      <c r="TV39" s="20"/>
      <c r="TW39" s="20"/>
      <c r="TX39" s="20"/>
      <c r="TY39" s="21"/>
      <c r="TZ39" s="20"/>
      <c r="UA39" s="20"/>
      <c r="UB39" s="20"/>
      <c r="UC39" s="20"/>
      <c r="UD39" s="20"/>
      <c r="UE39" s="20"/>
      <c r="UF39" s="20"/>
      <c r="UG39" s="20"/>
      <c r="UH39" s="20"/>
      <c r="UI39" s="20"/>
      <c r="UJ39" s="20"/>
      <c r="UK39" s="20"/>
      <c r="UL39" s="20"/>
      <c r="UM39" s="20"/>
      <c r="UN39" s="20"/>
      <c r="UO39" s="20"/>
      <c r="UP39" s="20"/>
      <c r="UQ39" s="20"/>
      <c r="UR39" s="20"/>
      <c r="US39" s="20"/>
      <c r="UT39" s="20"/>
      <c r="UU39" s="20"/>
      <c r="UV39" s="20"/>
      <c r="UW39" s="20"/>
      <c r="UX39" s="20"/>
      <c r="UY39" s="20"/>
      <c r="UZ39" s="20"/>
      <c r="VA39" s="20"/>
      <c r="VB39" s="20"/>
      <c r="VC39" s="20"/>
      <c r="VD39" s="20"/>
      <c r="VE39" s="20"/>
      <c r="VF39" s="20"/>
      <c r="VG39" s="20"/>
      <c r="VH39" s="20"/>
      <c r="VI39" s="20"/>
      <c r="VJ39" s="20"/>
      <c r="VK39" s="20"/>
      <c r="VL39" s="20"/>
      <c r="VM39" s="20"/>
      <c r="VN39" s="20"/>
      <c r="VO39" s="20"/>
      <c r="VP39" s="20"/>
      <c r="VQ39" s="20"/>
      <c r="VR39" s="20"/>
      <c r="VS39" s="20"/>
      <c r="VT39" s="20"/>
      <c r="VU39" s="20"/>
      <c r="VV39" s="20"/>
      <c r="VW39" s="20"/>
      <c r="VX39" s="20"/>
      <c r="VY39" s="20"/>
      <c r="VZ39" s="20"/>
      <c r="WA39" s="20"/>
      <c r="WB39" s="20"/>
      <c r="WC39" s="20"/>
      <c r="WD39" s="20"/>
      <c r="WE39" s="20"/>
      <c r="WF39" s="20"/>
      <c r="WG39" s="20"/>
      <c r="WH39" s="20"/>
      <c r="WI39" s="20"/>
      <c r="WJ39" s="20"/>
      <c r="WK39" s="21"/>
      <c r="WL39" s="21"/>
      <c r="WM39" s="20"/>
      <c r="WN39" s="20"/>
      <c r="WO39" s="20"/>
      <c r="WP39" s="20"/>
      <c r="WQ39" s="20"/>
      <c r="WR39" s="20"/>
      <c r="WS39" s="20"/>
      <c r="WT39" s="20"/>
      <c r="WU39" s="20"/>
      <c r="WV39" s="20"/>
      <c r="WW39" s="20"/>
      <c r="WX39" s="20"/>
      <c r="WY39" s="20"/>
      <c r="WZ39" s="20"/>
      <c r="XA39" s="20"/>
      <c r="XB39" s="20"/>
      <c r="XC39" s="20"/>
      <c r="XD39" s="20"/>
      <c r="XE39" s="20"/>
      <c r="XF39" s="20"/>
      <c r="XG39" s="20"/>
      <c r="XH39" s="20"/>
      <c r="XI39" s="20"/>
      <c r="XJ39" s="20"/>
      <c r="XK39" s="20"/>
      <c r="XL39" s="20"/>
      <c r="XM39" s="20"/>
      <c r="XN39" s="20"/>
      <c r="XO39" s="20"/>
      <c r="XP39" s="20"/>
      <c r="XQ39" s="21"/>
      <c r="XR39" s="21"/>
      <c r="XS39" s="20"/>
      <c r="XT39" s="20"/>
      <c r="XU39" s="20"/>
      <c r="XV39" s="20"/>
      <c r="XW39" s="20"/>
      <c r="XX39" s="20"/>
      <c r="XY39" s="20"/>
      <c r="XZ39" s="20"/>
      <c r="YA39" s="20"/>
      <c r="YB39" s="20"/>
      <c r="YC39" s="20"/>
      <c r="YD39" s="20"/>
      <c r="YE39" s="20"/>
      <c r="YF39" s="20"/>
      <c r="YG39" s="20"/>
      <c r="YH39" s="20"/>
      <c r="YI39" s="20"/>
      <c r="YJ39" s="20"/>
      <c r="YK39" s="20"/>
      <c r="YL39" s="20"/>
      <c r="YM39" s="20"/>
      <c r="YN39" s="20"/>
      <c r="YO39" s="20"/>
      <c r="YP39" s="20"/>
      <c r="YQ39" s="20"/>
      <c r="YR39" s="20"/>
      <c r="YS39" s="20"/>
      <c r="YT39" s="20"/>
      <c r="YU39" s="20"/>
      <c r="YV39" s="20"/>
      <c r="YW39" s="20"/>
      <c r="YX39" s="20"/>
      <c r="YY39" s="20"/>
      <c r="YZ39" s="21"/>
      <c r="ZA39" s="20"/>
      <c r="ZB39" s="20"/>
      <c r="ZC39" s="20"/>
      <c r="ZD39" s="20"/>
      <c r="ZE39" s="20"/>
      <c r="ZF39" s="20"/>
      <c r="ZG39" s="20"/>
      <c r="ZH39" s="20"/>
      <c r="ZI39" s="20"/>
      <c r="ZJ39" s="20"/>
      <c r="ZK39" s="20"/>
      <c r="ZL39" s="20"/>
      <c r="ZM39" s="20"/>
      <c r="ZN39" s="20"/>
      <c r="ZO39" s="20"/>
      <c r="ZP39" s="20"/>
      <c r="ZQ39" s="20"/>
      <c r="ZR39" s="20"/>
      <c r="ZS39" s="20"/>
      <c r="ZT39" s="20"/>
      <c r="ZU39" s="21"/>
      <c r="ZV39" s="21"/>
      <c r="ZW39" s="20"/>
      <c r="ZX39" s="20"/>
      <c r="ZY39" s="20"/>
      <c r="ZZ39" s="20"/>
      <c r="AAA39" s="20"/>
      <c r="AAB39" s="20"/>
      <c r="AAC39" s="20"/>
      <c r="AAD39" s="20"/>
      <c r="AAE39" s="20"/>
      <c r="AAF39" s="20"/>
      <c r="AAG39" s="20"/>
      <c r="AAH39" s="20"/>
      <c r="AAI39" s="20"/>
      <c r="AAJ39" s="20"/>
      <c r="AAK39" s="20"/>
      <c r="AAL39" s="20"/>
      <c r="AAM39" s="20"/>
      <c r="AAN39" s="20"/>
      <c r="AAO39" s="20"/>
      <c r="AAP39" s="20"/>
      <c r="AAQ39" s="20"/>
      <c r="AAR39" s="20"/>
      <c r="AAS39" s="20"/>
      <c r="AAT39" s="21"/>
      <c r="AAU39" s="20"/>
      <c r="AAV39" s="20"/>
      <c r="AAW39" s="20"/>
      <c r="AAX39" s="20"/>
      <c r="AAY39" s="20"/>
      <c r="AAZ39" s="20"/>
      <c r="ABA39" s="20"/>
      <c r="ABB39" s="20"/>
      <c r="ABC39" s="20"/>
      <c r="ABD39" s="20"/>
      <c r="ABE39" s="20"/>
      <c r="ABF39" s="20"/>
      <c r="ABG39" s="20"/>
      <c r="ABH39" s="20"/>
      <c r="ABI39" s="20"/>
      <c r="ABJ39" s="20"/>
      <c r="ABK39" s="20"/>
      <c r="ABL39" s="20"/>
      <c r="ABM39" s="20"/>
      <c r="ABN39" s="20"/>
      <c r="ABO39" s="21"/>
      <c r="ABP39" s="21"/>
      <c r="ABQ39" s="21"/>
      <c r="ABR39" s="20"/>
      <c r="ABS39" s="20"/>
      <c r="ABT39" s="20"/>
      <c r="ABU39" s="20"/>
      <c r="ABV39" s="20"/>
      <c r="ABW39" s="20"/>
      <c r="ABX39" s="20"/>
      <c r="ABY39" s="20"/>
      <c r="ABZ39" s="20"/>
      <c r="ACA39" s="20"/>
      <c r="ACB39" s="20"/>
      <c r="ACC39" s="20"/>
      <c r="ACD39" s="20"/>
      <c r="ACE39" s="20"/>
      <c r="ACF39" s="20"/>
      <c r="ACG39" s="20"/>
      <c r="ACH39" s="20"/>
      <c r="ACI39" s="20"/>
      <c r="ACJ39" s="20"/>
      <c r="ACK39" s="20"/>
      <c r="ACL39" s="20"/>
      <c r="ACM39" s="21"/>
      <c r="ACN39" s="20"/>
      <c r="ACO39" s="20"/>
      <c r="ACP39" s="20"/>
      <c r="ACQ39" s="20"/>
      <c r="ACR39" s="20"/>
      <c r="ACS39" s="21"/>
      <c r="ACT39" s="20"/>
      <c r="ACV39" s="20"/>
      <c r="ACW39" s="20"/>
      <c r="ACX39" s="20"/>
      <c r="ACY39" s="20"/>
      <c r="ACZ39" s="20"/>
      <c r="ADA39" s="20"/>
      <c r="ADB39" s="20"/>
      <c r="ADC39" s="20"/>
      <c r="ADD39" s="20"/>
      <c r="ADE39" s="20"/>
      <c r="ADF39" s="20"/>
      <c r="ADG39" s="20"/>
      <c r="ADH39" s="20"/>
      <c r="ADI39" s="20"/>
      <c r="ADJ39" s="20"/>
      <c r="ADK39" s="20"/>
      <c r="ADL39" s="20"/>
      <c r="ADM39" s="20"/>
      <c r="ADN39" s="20"/>
      <c r="ADO39" s="20"/>
      <c r="ADP39" s="20"/>
      <c r="ADQ39" s="20"/>
      <c r="ADR39" s="21"/>
      <c r="ADS39" s="22"/>
      <c r="ADT39" s="20"/>
      <c r="ADU39" s="20"/>
      <c r="ADV39" s="20"/>
      <c r="ADW39" s="20"/>
      <c r="ADX39" s="20"/>
      <c r="ADY39" s="20"/>
      <c r="ADZ39" s="20"/>
      <c r="AEA39" s="20"/>
      <c r="AEB39" s="20"/>
      <c r="AEC39" s="20"/>
      <c r="AED39" s="20"/>
      <c r="AEE39" s="20"/>
      <c r="AEF39" s="20"/>
      <c r="AEG39" s="20"/>
      <c r="AEH39" s="20"/>
      <c r="AEI39" s="20"/>
      <c r="AEJ39" s="20"/>
      <c r="AEK39" s="20"/>
      <c r="AEL39" s="20"/>
      <c r="AEM39" s="20"/>
      <c r="AEN39" s="20"/>
      <c r="AEO39" s="20"/>
      <c r="AEP39" s="20"/>
      <c r="AEQ39" s="20"/>
      <c r="AER39" s="21"/>
      <c r="AES39" s="20"/>
      <c r="AET39" s="20"/>
      <c r="AEU39" s="20"/>
      <c r="AEV39" s="20"/>
      <c r="AEW39" s="21"/>
      <c r="AEX39" s="20"/>
      <c r="AEY39" s="20"/>
      <c r="AEZ39" s="20"/>
      <c r="AFA39" s="20"/>
      <c r="AFB39" s="20"/>
      <c r="AFC39" s="20"/>
      <c r="AFD39" s="21"/>
      <c r="AFE39" s="21"/>
      <c r="AFF39" s="20"/>
      <c r="AFG39" s="20"/>
      <c r="AFH39" s="20"/>
      <c r="AFI39" s="20"/>
      <c r="AFJ39" s="20"/>
      <c r="AFK39" s="20"/>
      <c r="AFL39" s="20"/>
      <c r="AFM39" s="20"/>
      <c r="AFN39" s="20"/>
      <c r="AFO39" s="20"/>
      <c r="AFP39" s="20"/>
      <c r="AFQ39" s="20"/>
      <c r="AFR39" s="20"/>
      <c r="AFS39" s="20"/>
      <c r="AFT39" s="20"/>
      <c r="AFU39" s="20"/>
      <c r="AFV39" s="20"/>
      <c r="AFW39" s="20"/>
      <c r="AFX39" s="21"/>
      <c r="AFY39" s="20"/>
      <c r="AFZ39" s="20"/>
      <c r="AGA39" s="20"/>
      <c r="AGB39" s="20"/>
      <c r="AGC39" s="20"/>
      <c r="AGD39" s="20"/>
      <c r="AGE39" s="20"/>
      <c r="AGF39" s="20"/>
      <c r="AGG39" s="20"/>
      <c r="AGH39" s="20"/>
      <c r="AGI39" s="21"/>
      <c r="AGJ39" s="20"/>
      <c r="AGK39" s="20"/>
      <c r="AGL39" s="20"/>
      <c r="AGM39" s="20"/>
      <c r="AGN39" s="20"/>
      <c r="AGO39" s="20"/>
      <c r="AGP39" s="20"/>
      <c r="AGQ39" s="20"/>
      <c r="AGR39" s="20"/>
      <c r="AGS39" s="20"/>
      <c r="AGT39" s="20"/>
      <c r="AGU39" s="21"/>
      <c r="AGV39" s="20"/>
      <c r="AGW39" s="20"/>
      <c r="AGX39" s="20"/>
      <c r="AGY39" s="20"/>
      <c r="AGZ39" s="20"/>
      <c r="AHA39" s="20"/>
      <c r="AHB39" s="20"/>
      <c r="AHC39" s="20"/>
      <c r="AHD39" s="20"/>
      <c r="AHE39" s="20"/>
      <c r="AHF39" s="20"/>
      <c r="AHG39" s="20"/>
      <c r="AHH39" s="20"/>
      <c r="AHI39" s="20"/>
      <c r="AHJ39" s="20"/>
      <c r="AHK39" s="20"/>
      <c r="AHL39" s="20"/>
      <c r="AHM39" s="20"/>
      <c r="AHN39" s="20"/>
      <c r="AHO39" s="20"/>
      <c r="AHP39" s="20"/>
      <c r="AHQ39" s="21"/>
      <c r="AHR39" s="20"/>
      <c r="AHS39" s="20"/>
    </row>
    <row r="40" spans="1:931" x14ac:dyDescent="0.2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1"/>
      <c r="AG40" s="21"/>
      <c r="AH40" s="21"/>
      <c r="AI40" s="21"/>
      <c r="AJ40" s="21"/>
      <c r="AK40" s="21"/>
      <c r="AL40" s="21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1"/>
      <c r="BN40" s="21"/>
      <c r="BO40" s="21"/>
      <c r="BP40" s="21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1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1"/>
      <c r="DL40" s="21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1"/>
      <c r="DX40" s="21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1"/>
      <c r="FK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1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1"/>
      <c r="LE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20"/>
      <c r="NI40" s="20"/>
      <c r="NJ40" s="20"/>
      <c r="NK40" s="20"/>
      <c r="NL40" s="20"/>
      <c r="NM40" s="20"/>
      <c r="NN40" s="20"/>
      <c r="NO40" s="20"/>
      <c r="NP40" s="20"/>
      <c r="NQ40" s="20"/>
      <c r="NR40" s="20"/>
      <c r="NS40" s="20"/>
      <c r="NT40" s="20"/>
      <c r="NU40" s="20"/>
      <c r="NV40" s="20"/>
      <c r="NW40" s="20"/>
      <c r="NX40" s="20"/>
      <c r="NY40" s="20"/>
      <c r="NZ40" s="20"/>
      <c r="OA40" s="21"/>
      <c r="OB40" s="22"/>
      <c r="OD40" s="20"/>
      <c r="OE40" s="20"/>
      <c r="OF40" s="20"/>
      <c r="OG40" s="20"/>
      <c r="OH40" s="20"/>
      <c r="OI40" s="20"/>
      <c r="OJ40" s="20"/>
      <c r="OK40" s="20"/>
      <c r="OL40" s="20"/>
      <c r="OM40" s="20"/>
      <c r="ON40" s="20"/>
      <c r="OO40" s="20"/>
      <c r="OP40" s="20"/>
      <c r="OQ40" s="20"/>
      <c r="OR40" s="20"/>
      <c r="OS40" s="20"/>
      <c r="OT40" s="20"/>
      <c r="OU40" s="20"/>
      <c r="OV40" s="20"/>
      <c r="OW40" s="20"/>
      <c r="OX40" s="20"/>
      <c r="OY40" s="20"/>
      <c r="OZ40" s="20"/>
      <c r="PA40" s="20"/>
      <c r="PB40" s="20"/>
      <c r="PC40" s="20"/>
      <c r="PD40" s="20"/>
      <c r="PE40" s="20"/>
      <c r="PF40" s="20"/>
      <c r="PG40" s="20"/>
      <c r="PH40" s="20"/>
      <c r="PI40" s="20"/>
      <c r="PJ40" s="20"/>
      <c r="PK40" s="20"/>
      <c r="PL40" s="20"/>
      <c r="PM40" s="20"/>
      <c r="PN40" s="20"/>
      <c r="PO40" s="20"/>
      <c r="PP40" s="20"/>
      <c r="PQ40" s="20"/>
      <c r="PR40" s="20"/>
      <c r="PS40" s="20"/>
      <c r="PT40" s="20"/>
      <c r="PU40" s="20"/>
      <c r="PV40" s="21"/>
      <c r="PW40" s="20"/>
      <c r="PY40" s="20"/>
      <c r="PZ40" s="20"/>
      <c r="QA40" s="20"/>
      <c r="QB40" s="20"/>
      <c r="QC40" s="20"/>
      <c r="QD40" s="20"/>
      <c r="QE40" s="20"/>
      <c r="QF40" s="20"/>
      <c r="QG40" s="20"/>
      <c r="QH40" s="20"/>
      <c r="QI40" s="20"/>
      <c r="QJ40" s="21"/>
      <c r="QK40" s="21"/>
      <c r="QL40" s="21"/>
      <c r="QM40" s="21"/>
      <c r="QN40" s="21"/>
      <c r="QO40" s="21"/>
      <c r="QP40" s="21"/>
      <c r="QQ40" s="21"/>
      <c r="QR40" s="21"/>
      <c r="QS40" s="21"/>
      <c r="QT40" s="21"/>
      <c r="QU40" s="21"/>
      <c r="QV40" s="20"/>
      <c r="QW40" s="20"/>
      <c r="QX40" s="20"/>
      <c r="QY40" s="20"/>
      <c r="QZ40" s="20"/>
      <c r="RA40" s="20"/>
      <c r="RB40" s="20"/>
      <c r="RC40" s="20"/>
      <c r="RD40" s="20"/>
      <c r="RE40" s="20"/>
      <c r="RF40" s="20"/>
      <c r="RG40" s="20"/>
      <c r="RH40" s="20"/>
      <c r="RI40" s="20"/>
      <c r="RJ40" s="20"/>
      <c r="RK40" s="20"/>
      <c r="RL40" s="20"/>
      <c r="RM40" s="20"/>
      <c r="RN40" s="20"/>
      <c r="RO40" s="20"/>
      <c r="RP40" s="20"/>
      <c r="RQ40" s="20"/>
      <c r="RR40" s="20"/>
      <c r="RS40" s="20"/>
      <c r="RT40" s="20"/>
      <c r="RU40" s="20"/>
      <c r="RV40" s="20"/>
      <c r="RW40" s="20"/>
      <c r="RX40" s="20"/>
      <c r="RY40" s="20"/>
      <c r="RZ40" s="20"/>
      <c r="SA40" s="20"/>
      <c r="SB40" s="20"/>
      <c r="SC40" s="20"/>
      <c r="SD40" s="20"/>
      <c r="SE40" s="20"/>
      <c r="SF40" s="20"/>
      <c r="SG40" s="20"/>
      <c r="SH40" s="20"/>
      <c r="SI40" s="20"/>
      <c r="SJ40" s="20"/>
      <c r="SK40" s="20"/>
      <c r="SL40" s="20"/>
      <c r="SM40" s="20"/>
      <c r="SN40" s="20"/>
      <c r="SO40" s="20"/>
      <c r="SP40" s="20"/>
      <c r="SQ40" s="20"/>
      <c r="SR40" s="20"/>
      <c r="SS40" s="20"/>
      <c r="ST40" s="20"/>
      <c r="SU40" s="20"/>
      <c r="SV40" s="20"/>
      <c r="SW40" s="20"/>
      <c r="SX40" s="20"/>
      <c r="SY40" s="20"/>
      <c r="SZ40" s="20"/>
      <c r="TA40" s="20"/>
      <c r="TB40" s="20"/>
      <c r="TC40" s="20"/>
      <c r="TD40" s="21"/>
      <c r="TE40" s="21"/>
      <c r="TF40" s="21"/>
      <c r="TG40" s="21"/>
      <c r="TH40" s="21"/>
      <c r="TI40" s="20"/>
      <c r="TJ40" s="20"/>
      <c r="TK40" s="20"/>
      <c r="TL40" s="20"/>
      <c r="TM40" s="20"/>
      <c r="TN40" s="20"/>
      <c r="TO40" s="20"/>
      <c r="TP40" s="20"/>
      <c r="TQ40" s="20"/>
      <c r="TR40" s="20"/>
      <c r="TS40" s="20"/>
      <c r="TT40" s="20"/>
      <c r="TU40" s="20"/>
      <c r="TV40" s="20"/>
      <c r="TW40" s="20"/>
      <c r="TX40" s="20"/>
      <c r="TY40" s="21"/>
      <c r="TZ40" s="20"/>
      <c r="UA40" s="20"/>
      <c r="UB40" s="20"/>
      <c r="UC40" s="20"/>
      <c r="UD40" s="20"/>
      <c r="UE40" s="20"/>
      <c r="UF40" s="20"/>
      <c r="UG40" s="20"/>
      <c r="UH40" s="20"/>
      <c r="UI40" s="20"/>
      <c r="UJ40" s="20"/>
      <c r="UK40" s="20"/>
      <c r="UL40" s="20"/>
      <c r="UM40" s="20"/>
      <c r="UN40" s="20"/>
      <c r="UO40" s="20"/>
      <c r="UP40" s="20"/>
      <c r="UQ40" s="20"/>
      <c r="UR40" s="20"/>
      <c r="US40" s="20"/>
      <c r="UT40" s="20"/>
      <c r="UU40" s="20"/>
      <c r="UV40" s="20"/>
      <c r="UW40" s="20"/>
      <c r="UX40" s="20"/>
      <c r="UY40" s="20"/>
      <c r="UZ40" s="20"/>
      <c r="VA40" s="20"/>
      <c r="VB40" s="20"/>
      <c r="VC40" s="20"/>
      <c r="VD40" s="20"/>
      <c r="VE40" s="20"/>
      <c r="VF40" s="20"/>
      <c r="VG40" s="20"/>
      <c r="VH40" s="20"/>
      <c r="VI40" s="20"/>
      <c r="VJ40" s="20"/>
      <c r="VK40" s="20"/>
      <c r="VL40" s="20"/>
      <c r="VM40" s="20"/>
      <c r="VN40" s="20"/>
      <c r="VO40" s="20"/>
      <c r="VP40" s="20"/>
      <c r="VQ40" s="20"/>
      <c r="VR40" s="20"/>
      <c r="VS40" s="20"/>
      <c r="VT40" s="20"/>
      <c r="VU40" s="20"/>
      <c r="VV40" s="20"/>
      <c r="VW40" s="20"/>
      <c r="VX40" s="20"/>
      <c r="VY40" s="20"/>
      <c r="VZ40" s="20"/>
      <c r="WA40" s="20"/>
      <c r="WB40" s="20"/>
      <c r="WC40" s="20"/>
      <c r="WD40" s="20"/>
      <c r="WE40" s="20"/>
      <c r="WF40" s="20"/>
      <c r="WG40" s="20"/>
      <c r="WH40" s="20"/>
      <c r="WI40" s="20"/>
      <c r="WJ40" s="20"/>
      <c r="WK40" s="21"/>
      <c r="WL40" s="21"/>
      <c r="WM40" s="20"/>
      <c r="WN40" s="20"/>
      <c r="WO40" s="20"/>
      <c r="WP40" s="20"/>
      <c r="WQ40" s="20"/>
      <c r="WR40" s="20"/>
      <c r="WS40" s="20"/>
      <c r="WT40" s="20"/>
      <c r="WU40" s="20"/>
      <c r="WV40" s="20"/>
      <c r="WW40" s="20"/>
      <c r="WX40" s="20"/>
      <c r="WY40" s="20"/>
      <c r="WZ40" s="20"/>
      <c r="XA40" s="20"/>
      <c r="XB40" s="20"/>
      <c r="XC40" s="20"/>
      <c r="XD40" s="20"/>
      <c r="XE40" s="20"/>
      <c r="XF40" s="20"/>
      <c r="XG40" s="20"/>
      <c r="XH40" s="20"/>
      <c r="XI40" s="20"/>
      <c r="XJ40" s="20"/>
      <c r="XK40" s="20"/>
      <c r="XL40" s="20"/>
      <c r="XM40" s="20"/>
      <c r="XN40" s="20"/>
      <c r="XO40" s="20"/>
      <c r="XP40" s="20"/>
      <c r="XQ40" s="21"/>
      <c r="XR40" s="21"/>
      <c r="XS40" s="20"/>
      <c r="XT40" s="20"/>
      <c r="XU40" s="20"/>
      <c r="XV40" s="20"/>
      <c r="XW40" s="20"/>
      <c r="XX40" s="20"/>
      <c r="XY40" s="20"/>
      <c r="XZ40" s="20"/>
      <c r="YA40" s="20"/>
      <c r="YB40" s="20"/>
      <c r="YC40" s="20"/>
      <c r="YD40" s="20"/>
      <c r="YE40" s="20"/>
      <c r="YF40" s="20"/>
      <c r="YG40" s="20"/>
      <c r="YH40" s="20"/>
      <c r="YI40" s="20"/>
      <c r="YJ40" s="20"/>
      <c r="YK40" s="20"/>
      <c r="YL40" s="20"/>
      <c r="YM40" s="20"/>
      <c r="YN40" s="20"/>
      <c r="YO40" s="20"/>
      <c r="YP40" s="20"/>
      <c r="YQ40" s="20"/>
      <c r="YR40" s="20"/>
      <c r="YS40" s="20"/>
      <c r="YT40" s="20"/>
      <c r="YU40" s="20"/>
      <c r="YV40" s="20"/>
      <c r="YW40" s="20"/>
      <c r="YX40" s="20"/>
      <c r="YY40" s="20"/>
      <c r="YZ40" s="21"/>
      <c r="ZA40" s="20"/>
      <c r="ZB40" s="20"/>
      <c r="ZC40" s="20"/>
      <c r="ZD40" s="20"/>
      <c r="ZE40" s="20"/>
      <c r="ZF40" s="20"/>
      <c r="ZG40" s="20"/>
      <c r="ZH40" s="20"/>
      <c r="ZI40" s="20"/>
      <c r="ZJ40" s="20"/>
      <c r="ZK40" s="20"/>
      <c r="ZL40" s="20"/>
      <c r="ZM40" s="20"/>
      <c r="ZN40" s="20"/>
      <c r="ZO40" s="20"/>
      <c r="ZP40" s="20"/>
      <c r="ZQ40" s="20"/>
      <c r="ZR40" s="20"/>
      <c r="ZS40" s="20"/>
      <c r="ZT40" s="20"/>
      <c r="ZU40" s="21"/>
      <c r="ZV40" s="21"/>
      <c r="ZW40" s="20"/>
      <c r="ZX40" s="20"/>
      <c r="ZY40" s="20"/>
      <c r="ZZ40" s="20"/>
      <c r="AAA40" s="20"/>
      <c r="AAB40" s="20"/>
      <c r="AAC40" s="20"/>
      <c r="AAD40" s="20"/>
      <c r="AAE40" s="20"/>
      <c r="AAF40" s="20"/>
      <c r="AAG40" s="20"/>
      <c r="AAH40" s="20"/>
      <c r="AAI40" s="20"/>
      <c r="AAJ40" s="20"/>
      <c r="AAK40" s="20"/>
      <c r="AAL40" s="20"/>
      <c r="AAM40" s="20"/>
      <c r="AAN40" s="20"/>
      <c r="AAO40" s="20"/>
      <c r="AAP40" s="20"/>
      <c r="AAQ40" s="20"/>
      <c r="AAR40" s="20"/>
      <c r="AAS40" s="20"/>
      <c r="AAT40" s="21"/>
      <c r="AAU40" s="20"/>
      <c r="AAV40" s="20"/>
      <c r="AAW40" s="20"/>
      <c r="AAX40" s="20"/>
      <c r="AAY40" s="20"/>
      <c r="AAZ40" s="20"/>
      <c r="ABA40" s="20"/>
      <c r="ABB40" s="20"/>
      <c r="ABC40" s="20"/>
      <c r="ABD40" s="20"/>
      <c r="ABE40" s="20"/>
      <c r="ABF40" s="20"/>
      <c r="ABG40" s="20"/>
      <c r="ABH40" s="20"/>
      <c r="ABI40" s="20"/>
      <c r="ABJ40" s="20"/>
      <c r="ABK40" s="20"/>
      <c r="ABL40" s="20"/>
      <c r="ABM40" s="20"/>
      <c r="ABN40" s="20"/>
      <c r="ABO40" s="21"/>
      <c r="ABP40" s="21"/>
      <c r="ABQ40" s="21"/>
      <c r="ABR40" s="20"/>
      <c r="ABS40" s="20"/>
      <c r="ABT40" s="20"/>
      <c r="ABU40" s="20"/>
      <c r="ABV40" s="20"/>
      <c r="ABW40" s="20"/>
      <c r="ABX40" s="20"/>
      <c r="ABY40" s="20"/>
      <c r="ABZ40" s="20"/>
      <c r="ACA40" s="20"/>
      <c r="ACB40" s="20"/>
      <c r="ACC40" s="20"/>
      <c r="ACD40" s="20"/>
      <c r="ACE40" s="20"/>
      <c r="ACF40" s="20"/>
      <c r="ACG40" s="20"/>
      <c r="ACH40" s="20"/>
      <c r="ACI40" s="20"/>
      <c r="ACJ40" s="20"/>
      <c r="ACK40" s="20"/>
      <c r="ACL40" s="20"/>
      <c r="ACM40" s="21"/>
      <c r="ACN40" s="20"/>
      <c r="ACO40" s="20"/>
      <c r="ACP40" s="20"/>
      <c r="ACQ40" s="20"/>
      <c r="ACR40" s="20"/>
      <c r="ACS40" s="21"/>
      <c r="ACT40" s="20"/>
      <c r="ACV40" s="20"/>
      <c r="ACW40" s="20"/>
      <c r="ACX40" s="20"/>
      <c r="ACY40" s="20"/>
      <c r="ACZ40" s="20"/>
      <c r="ADA40" s="20"/>
      <c r="ADB40" s="20"/>
      <c r="ADC40" s="20"/>
      <c r="ADD40" s="20"/>
      <c r="ADE40" s="20"/>
      <c r="ADF40" s="20"/>
      <c r="ADG40" s="20"/>
      <c r="ADH40" s="20"/>
      <c r="ADI40" s="20"/>
      <c r="ADJ40" s="20"/>
      <c r="ADK40" s="20"/>
      <c r="ADL40" s="20"/>
      <c r="ADM40" s="20"/>
      <c r="ADN40" s="20"/>
      <c r="ADO40" s="20"/>
      <c r="ADP40" s="20"/>
      <c r="ADQ40" s="20"/>
      <c r="ADR40" s="21"/>
      <c r="ADS40" s="22"/>
      <c r="ADT40" s="20"/>
      <c r="ADU40" s="20"/>
      <c r="ADV40" s="20"/>
      <c r="ADW40" s="20"/>
      <c r="ADX40" s="20"/>
      <c r="ADY40" s="20"/>
      <c r="ADZ40" s="20"/>
      <c r="AEA40" s="20"/>
      <c r="AEB40" s="20"/>
      <c r="AEC40" s="20"/>
      <c r="AED40" s="20"/>
      <c r="AEE40" s="20"/>
      <c r="AEF40" s="20"/>
      <c r="AEG40" s="20"/>
      <c r="AEH40" s="20"/>
      <c r="AEI40" s="20"/>
      <c r="AEJ40" s="20"/>
      <c r="AEK40" s="20"/>
      <c r="AEL40" s="20"/>
      <c r="AEM40" s="20"/>
      <c r="AEN40" s="20"/>
      <c r="AEO40" s="20"/>
      <c r="AEP40" s="20"/>
      <c r="AEQ40" s="20"/>
      <c r="AER40" s="21"/>
      <c r="AES40" s="20"/>
      <c r="AET40" s="20"/>
      <c r="AEU40" s="20"/>
      <c r="AEV40" s="20"/>
      <c r="AEW40" s="21"/>
      <c r="AEX40" s="20"/>
      <c r="AEY40" s="20"/>
      <c r="AEZ40" s="20"/>
      <c r="AFA40" s="20"/>
      <c r="AFB40" s="20"/>
      <c r="AFC40" s="20"/>
      <c r="AFD40" s="21"/>
      <c r="AFE40" s="21"/>
      <c r="AFF40" s="20"/>
      <c r="AFG40" s="20"/>
      <c r="AFH40" s="20"/>
      <c r="AFI40" s="20"/>
      <c r="AFJ40" s="20"/>
      <c r="AFK40" s="20"/>
      <c r="AFL40" s="20"/>
      <c r="AFM40" s="20"/>
      <c r="AFN40" s="20"/>
      <c r="AFO40" s="20"/>
      <c r="AFP40" s="20"/>
      <c r="AFQ40" s="20"/>
      <c r="AFR40" s="20"/>
      <c r="AFS40" s="20"/>
      <c r="AFT40" s="20"/>
      <c r="AFU40" s="20"/>
      <c r="AFV40" s="20"/>
      <c r="AFW40" s="20"/>
      <c r="AFX40" s="21"/>
      <c r="AFY40" s="20"/>
      <c r="AFZ40" s="20"/>
      <c r="AGA40" s="20"/>
      <c r="AGB40" s="20"/>
      <c r="AGC40" s="20"/>
      <c r="AGD40" s="20"/>
      <c r="AGE40" s="20"/>
      <c r="AGF40" s="20"/>
      <c r="AGG40" s="20"/>
      <c r="AGH40" s="20"/>
      <c r="AGI40" s="21"/>
      <c r="AGJ40" s="20"/>
      <c r="AGK40" s="20"/>
      <c r="AGL40" s="20"/>
      <c r="AGM40" s="20"/>
      <c r="AGN40" s="20"/>
      <c r="AGO40" s="20"/>
      <c r="AGP40" s="20"/>
      <c r="AGQ40" s="20"/>
      <c r="AGR40" s="20"/>
      <c r="AGS40" s="20"/>
      <c r="AGT40" s="20"/>
      <c r="AGU40" s="21"/>
      <c r="AGV40" s="20"/>
      <c r="AGW40" s="20"/>
      <c r="AGX40" s="20"/>
      <c r="AGY40" s="20"/>
      <c r="AGZ40" s="20"/>
      <c r="AHA40" s="20"/>
      <c r="AHB40" s="20"/>
      <c r="AHC40" s="20"/>
      <c r="AHD40" s="20"/>
      <c r="AHE40" s="20"/>
      <c r="AHF40" s="20"/>
      <c r="AHG40" s="20"/>
      <c r="AHH40" s="20"/>
      <c r="AHI40" s="20"/>
      <c r="AHJ40" s="20"/>
      <c r="AHK40" s="20"/>
      <c r="AHL40" s="20"/>
      <c r="AHM40" s="20"/>
      <c r="AHN40" s="20"/>
      <c r="AHO40" s="20"/>
      <c r="AHP40" s="20"/>
      <c r="AHQ40" s="21"/>
      <c r="AHR40" s="20"/>
      <c r="AHS40" s="20"/>
    </row>
    <row r="41" spans="1:931" x14ac:dyDescent="0.2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1"/>
      <c r="AG41" s="21"/>
      <c r="AH41" s="21"/>
      <c r="AI41" s="21"/>
      <c r="AJ41" s="21"/>
      <c r="AK41" s="21"/>
      <c r="AL41" s="21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1"/>
      <c r="BN41" s="21"/>
      <c r="BO41" s="21"/>
      <c r="BP41" s="21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1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1"/>
      <c r="DL41" s="21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1"/>
      <c r="DX41" s="21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1"/>
      <c r="FK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1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  <c r="KZ41" s="20"/>
      <c r="LA41" s="20"/>
      <c r="LB41" s="20"/>
      <c r="LC41" s="20"/>
      <c r="LD41" s="21"/>
      <c r="LE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20"/>
      <c r="MD41" s="20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20"/>
      <c r="NI41" s="20"/>
      <c r="NJ41" s="20"/>
      <c r="NK41" s="20"/>
      <c r="NL41" s="20"/>
      <c r="NM41" s="20"/>
      <c r="NN41" s="20"/>
      <c r="NO41" s="20"/>
      <c r="NP41" s="20"/>
      <c r="NQ41" s="20"/>
      <c r="NR41" s="20"/>
      <c r="NS41" s="20"/>
      <c r="NT41" s="20"/>
      <c r="NU41" s="20"/>
      <c r="NV41" s="20"/>
      <c r="NW41" s="20"/>
      <c r="NX41" s="20"/>
      <c r="NY41" s="20"/>
      <c r="NZ41" s="20"/>
      <c r="OA41" s="21"/>
      <c r="OB41" s="22"/>
      <c r="OD41" s="20"/>
      <c r="OE41" s="20"/>
      <c r="OF41" s="20"/>
      <c r="OG41" s="20"/>
      <c r="OH41" s="20"/>
      <c r="OI41" s="20"/>
      <c r="OJ41" s="20"/>
      <c r="OK41" s="20"/>
      <c r="OL41" s="20"/>
      <c r="OM41" s="20"/>
      <c r="ON41" s="20"/>
      <c r="OO41" s="20"/>
      <c r="OP41" s="20"/>
      <c r="OQ41" s="20"/>
      <c r="OR41" s="20"/>
      <c r="OS41" s="20"/>
      <c r="OT41" s="20"/>
      <c r="OU41" s="20"/>
      <c r="OV41" s="20"/>
      <c r="OW41" s="20"/>
      <c r="OX41" s="20"/>
      <c r="OY41" s="20"/>
      <c r="OZ41" s="20"/>
      <c r="PA41" s="20"/>
      <c r="PB41" s="20"/>
      <c r="PC41" s="20"/>
      <c r="PD41" s="20"/>
      <c r="PE41" s="20"/>
      <c r="PF41" s="20"/>
      <c r="PG41" s="20"/>
      <c r="PH41" s="20"/>
      <c r="PI41" s="20"/>
      <c r="PJ41" s="20"/>
      <c r="PK41" s="20"/>
      <c r="PL41" s="20"/>
      <c r="PM41" s="20"/>
      <c r="PN41" s="20"/>
      <c r="PO41" s="20"/>
      <c r="PP41" s="20"/>
      <c r="PQ41" s="20"/>
      <c r="PR41" s="20"/>
      <c r="PS41" s="20"/>
      <c r="PT41" s="20"/>
      <c r="PU41" s="20"/>
      <c r="PV41" s="21"/>
      <c r="PW41" s="20"/>
      <c r="PY41" s="20"/>
      <c r="PZ41" s="20"/>
      <c r="QA41" s="20"/>
      <c r="QB41" s="20"/>
      <c r="QC41" s="20"/>
      <c r="QD41" s="20"/>
      <c r="QE41" s="20"/>
      <c r="QF41" s="20"/>
      <c r="QG41" s="20"/>
      <c r="QH41" s="20"/>
      <c r="QI41" s="20"/>
      <c r="QJ41" s="21"/>
      <c r="QK41" s="21"/>
      <c r="QL41" s="21"/>
      <c r="QM41" s="21"/>
      <c r="QN41" s="21"/>
      <c r="QO41" s="21"/>
      <c r="QP41" s="21"/>
      <c r="QQ41" s="21"/>
      <c r="QR41" s="21"/>
      <c r="QS41" s="21"/>
      <c r="QT41" s="21"/>
      <c r="QU41" s="21"/>
      <c r="QV41" s="20"/>
      <c r="QW41" s="20"/>
      <c r="QX41" s="20"/>
      <c r="QY41" s="20"/>
      <c r="QZ41" s="20"/>
      <c r="RA41" s="20"/>
      <c r="RB41" s="20"/>
      <c r="RC41" s="20"/>
      <c r="RD41" s="20"/>
      <c r="RE41" s="20"/>
      <c r="RF41" s="20"/>
      <c r="RG41" s="20"/>
      <c r="RH41" s="20"/>
      <c r="RI41" s="20"/>
      <c r="RJ41" s="20"/>
      <c r="RK41" s="20"/>
      <c r="RL41" s="20"/>
      <c r="RM41" s="20"/>
      <c r="RN41" s="20"/>
      <c r="RO41" s="20"/>
      <c r="RP41" s="20"/>
      <c r="RQ41" s="20"/>
      <c r="RR41" s="20"/>
      <c r="RS41" s="20"/>
      <c r="RT41" s="20"/>
      <c r="RU41" s="20"/>
      <c r="RV41" s="20"/>
      <c r="RW41" s="20"/>
      <c r="RX41" s="20"/>
      <c r="RY41" s="20"/>
      <c r="RZ41" s="20"/>
      <c r="SA41" s="20"/>
      <c r="SB41" s="20"/>
      <c r="SC41" s="20"/>
      <c r="SD41" s="20"/>
      <c r="SE41" s="20"/>
      <c r="SF41" s="20"/>
      <c r="SG41" s="20"/>
      <c r="SH41" s="20"/>
      <c r="SI41" s="20"/>
      <c r="SJ41" s="20"/>
      <c r="SK41" s="20"/>
      <c r="SL41" s="20"/>
      <c r="SM41" s="20"/>
      <c r="SN41" s="20"/>
      <c r="SO41" s="20"/>
      <c r="SP41" s="20"/>
      <c r="SQ41" s="20"/>
      <c r="SR41" s="20"/>
      <c r="SS41" s="20"/>
      <c r="ST41" s="20"/>
      <c r="SU41" s="20"/>
      <c r="SV41" s="20"/>
      <c r="SW41" s="20"/>
      <c r="SX41" s="20"/>
      <c r="SY41" s="20"/>
      <c r="SZ41" s="20"/>
      <c r="TA41" s="20"/>
      <c r="TB41" s="20"/>
      <c r="TC41" s="20"/>
      <c r="TD41" s="21"/>
      <c r="TE41" s="21"/>
      <c r="TF41" s="21"/>
      <c r="TG41" s="21"/>
      <c r="TH41" s="21"/>
      <c r="TI41" s="20"/>
      <c r="TJ41" s="20"/>
      <c r="TK41" s="20"/>
      <c r="TL41" s="20"/>
      <c r="TM41" s="20"/>
      <c r="TN41" s="20"/>
      <c r="TO41" s="20"/>
      <c r="TP41" s="20"/>
      <c r="TQ41" s="20"/>
      <c r="TR41" s="20"/>
      <c r="TS41" s="20"/>
      <c r="TT41" s="20"/>
      <c r="TU41" s="20"/>
      <c r="TV41" s="20"/>
      <c r="TW41" s="20"/>
      <c r="TX41" s="20"/>
      <c r="TY41" s="21"/>
      <c r="TZ41" s="20"/>
      <c r="UA41" s="20"/>
      <c r="UB41" s="20"/>
      <c r="UC41" s="20"/>
      <c r="UD41" s="20"/>
      <c r="UE41" s="20"/>
      <c r="UF41" s="20"/>
      <c r="UG41" s="20"/>
      <c r="UH41" s="20"/>
      <c r="UI41" s="20"/>
      <c r="UJ41" s="20"/>
      <c r="UK41" s="20"/>
      <c r="UL41" s="20"/>
      <c r="UM41" s="20"/>
      <c r="UN41" s="20"/>
      <c r="UO41" s="20"/>
      <c r="UP41" s="20"/>
      <c r="UQ41" s="20"/>
      <c r="UR41" s="20"/>
      <c r="US41" s="20"/>
      <c r="UT41" s="20"/>
      <c r="UU41" s="20"/>
      <c r="UV41" s="20"/>
      <c r="UW41" s="20"/>
      <c r="UX41" s="20"/>
      <c r="UY41" s="20"/>
      <c r="UZ41" s="20"/>
      <c r="VA41" s="20"/>
      <c r="VB41" s="20"/>
      <c r="VC41" s="20"/>
      <c r="VD41" s="20"/>
      <c r="VE41" s="20"/>
      <c r="VF41" s="20"/>
      <c r="VG41" s="20"/>
      <c r="VH41" s="20"/>
      <c r="VI41" s="20"/>
      <c r="VJ41" s="20"/>
      <c r="VK41" s="20"/>
      <c r="VL41" s="20"/>
      <c r="VM41" s="20"/>
      <c r="VN41" s="20"/>
      <c r="VO41" s="20"/>
      <c r="VP41" s="20"/>
      <c r="VQ41" s="20"/>
      <c r="VR41" s="20"/>
      <c r="VS41" s="20"/>
      <c r="VT41" s="20"/>
      <c r="VU41" s="20"/>
      <c r="VV41" s="20"/>
      <c r="VW41" s="20"/>
      <c r="VX41" s="20"/>
      <c r="VY41" s="20"/>
      <c r="VZ41" s="20"/>
      <c r="WA41" s="20"/>
      <c r="WB41" s="20"/>
      <c r="WC41" s="20"/>
      <c r="WD41" s="20"/>
      <c r="WE41" s="20"/>
      <c r="WF41" s="20"/>
      <c r="WG41" s="20"/>
      <c r="WH41" s="20"/>
      <c r="WI41" s="20"/>
      <c r="WJ41" s="20"/>
      <c r="WK41" s="21"/>
      <c r="WL41" s="21"/>
      <c r="WM41" s="20"/>
      <c r="WN41" s="20"/>
      <c r="WO41" s="20"/>
      <c r="WP41" s="20"/>
      <c r="WQ41" s="20"/>
      <c r="WR41" s="20"/>
      <c r="WS41" s="20"/>
      <c r="WT41" s="20"/>
      <c r="WU41" s="20"/>
      <c r="WV41" s="20"/>
      <c r="WW41" s="20"/>
      <c r="WX41" s="20"/>
      <c r="WY41" s="20"/>
      <c r="WZ41" s="20"/>
      <c r="XA41" s="20"/>
      <c r="XB41" s="20"/>
      <c r="XC41" s="20"/>
      <c r="XD41" s="20"/>
      <c r="XE41" s="20"/>
      <c r="XF41" s="20"/>
      <c r="XG41" s="20"/>
      <c r="XH41" s="20"/>
      <c r="XI41" s="20"/>
      <c r="XJ41" s="20"/>
      <c r="XK41" s="20"/>
      <c r="XL41" s="20"/>
      <c r="XM41" s="20"/>
      <c r="XN41" s="20"/>
      <c r="XO41" s="20"/>
      <c r="XP41" s="20"/>
      <c r="XQ41" s="21"/>
      <c r="XR41" s="21"/>
      <c r="XS41" s="20"/>
      <c r="XT41" s="20"/>
      <c r="XU41" s="20"/>
      <c r="XV41" s="20"/>
      <c r="XW41" s="20"/>
      <c r="XX41" s="20"/>
      <c r="XY41" s="20"/>
      <c r="XZ41" s="20"/>
      <c r="YA41" s="20"/>
      <c r="YB41" s="20"/>
      <c r="YC41" s="20"/>
      <c r="YD41" s="20"/>
      <c r="YE41" s="20"/>
      <c r="YF41" s="20"/>
      <c r="YG41" s="20"/>
      <c r="YH41" s="20"/>
      <c r="YI41" s="20"/>
      <c r="YJ41" s="20"/>
      <c r="YK41" s="20"/>
      <c r="YL41" s="20"/>
      <c r="YM41" s="20"/>
      <c r="YN41" s="20"/>
      <c r="YO41" s="20"/>
      <c r="YP41" s="20"/>
      <c r="YQ41" s="20"/>
      <c r="YR41" s="20"/>
      <c r="YS41" s="20"/>
      <c r="YT41" s="20"/>
      <c r="YU41" s="20"/>
      <c r="YV41" s="20"/>
      <c r="YW41" s="20"/>
      <c r="YX41" s="20"/>
      <c r="YY41" s="20"/>
      <c r="YZ41" s="21"/>
      <c r="ZA41" s="20"/>
      <c r="ZB41" s="20"/>
      <c r="ZC41" s="20"/>
      <c r="ZD41" s="20"/>
      <c r="ZE41" s="20"/>
      <c r="ZF41" s="20"/>
      <c r="ZG41" s="20"/>
      <c r="ZH41" s="20"/>
      <c r="ZI41" s="20"/>
      <c r="ZJ41" s="20"/>
      <c r="ZK41" s="20"/>
      <c r="ZL41" s="20"/>
      <c r="ZM41" s="20"/>
      <c r="ZN41" s="20"/>
      <c r="ZO41" s="20"/>
      <c r="ZP41" s="20"/>
      <c r="ZQ41" s="20"/>
      <c r="ZR41" s="20"/>
      <c r="ZS41" s="20"/>
      <c r="ZT41" s="20"/>
      <c r="ZU41" s="21"/>
      <c r="ZV41" s="21"/>
      <c r="ZW41" s="20"/>
      <c r="ZX41" s="20"/>
      <c r="ZY41" s="20"/>
      <c r="ZZ41" s="20"/>
      <c r="AAA41" s="20"/>
      <c r="AAB41" s="20"/>
      <c r="AAC41" s="20"/>
      <c r="AAD41" s="20"/>
      <c r="AAE41" s="20"/>
      <c r="AAF41" s="20"/>
      <c r="AAG41" s="20"/>
      <c r="AAH41" s="20"/>
      <c r="AAI41" s="20"/>
      <c r="AAJ41" s="20"/>
      <c r="AAK41" s="20"/>
      <c r="AAL41" s="20"/>
      <c r="AAM41" s="20"/>
      <c r="AAN41" s="20"/>
      <c r="AAO41" s="20"/>
      <c r="AAP41" s="20"/>
      <c r="AAQ41" s="20"/>
      <c r="AAR41" s="20"/>
      <c r="AAS41" s="20"/>
      <c r="AAT41" s="21"/>
      <c r="AAU41" s="20"/>
      <c r="AAV41" s="20"/>
      <c r="AAW41" s="20"/>
      <c r="AAX41" s="20"/>
      <c r="AAY41" s="20"/>
      <c r="AAZ41" s="20"/>
      <c r="ABA41" s="20"/>
      <c r="ABB41" s="20"/>
      <c r="ABC41" s="20"/>
      <c r="ABD41" s="20"/>
      <c r="ABE41" s="20"/>
      <c r="ABF41" s="20"/>
      <c r="ABG41" s="20"/>
      <c r="ABH41" s="20"/>
      <c r="ABI41" s="20"/>
      <c r="ABJ41" s="20"/>
      <c r="ABK41" s="20"/>
      <c r="ABL41" s="20"/>
      <c r="ABM41" s="20"/>
      <c r="ABN41" s="20"/>
      <c r="ABO41" s="21"/>
      <c r="ABP41" s="21"/>
      <c r="ABQ41" s="21"/>
      <c r="ABR41" s="20"/>
      <c r="ABS41" s="20"/>
      <c r="ABT41" s="20"/>
      <c r="ABU41" s="20"/>
      <c r="ABV41" s="20"/>
      <c r="ABW41" s="20"/>
      <c r="ABX41" s="20"/>
      <c r="ABY41" s="20"/>
      <c r="ABZ41" s="20"/>
      <c r="ACA41" s="20"/>
      <c r="ACB41" s="20"/>
      <c r="ACC41" s="20"/>
      <c r="ACD41" s="20"/>
      <c r="ACE41" s="20"/>
      <c r="ACF41" s="20"/>
      <c r="ACG41" s="20"/>
      <c r="ACH41" s="20"/>
      <c r="ACI41" s="20"/>
      <c r="ACJ41" s="20"/>
      <c r="ACK41" s="20"/>
      <c r="ACL41" s="20"/>
      <c r="ACM41" s="21"/>
      <c r="ACN41" s="20"/>
      <c r="ACO41" s="20"/>
      <c r="ACP41" s="20"/>
      <c r="ACQ41" s="20"/>
      <c r="ACR41" s="20"/>
      <c r="ACS41" s="21"/>
      <c r="ACT41" s="20"/>
      <c r="ACV41" s="20"/>
      <c r="ACW41" s="20"/>
      <c r="ACX41" s="20"/>
      <c r="ACY41" s="20"/>
      <c r="ACZ41" s="20"/>
      <c r="ADA41" s="20"/>
      <c r="ADB41" s="20"/>
      <c r="ADC41" s="20"/>
      <c r="ADD41" s="20"/>
      <c r="ADE41" s="20"/>
      <c r="ADF41" s="20"/>
      <c r="ADG41" s="20"/>
      <c r="ADH41" s="20"/>
      <c r="ADI41" s="20"/>
      <c r="ADJ41" s="20"/>
      <c r="ADK41" s="20"/>
      <c r="ADL41" s="20"/>
      <c r="ADM41" s="20"/>
      <c r="ADN41" s="20"/>
      <c r="ADO41" s="20"/>
      <c r="ADP41" s="20"/>
      <c r="ADQ41" s="20"/>
      <c r="ADR41" s="21"/>
      <c r="ADS41" s="22"/>
      <c r="ADT41" s="20"/>
      <c r="ADU41" s="20"/>
      <c r="ADV41" s="20"/>
      <c r="ADW41" s="20"/>
      <c r="ADX41" s="20"/>
      <c r="ADY41" s="20"/>
      <c r="ADZ41" s="20"/>
      <c r="AEA41" s="20"/>
      <c r="AEB41" s="20"/>
      <c r="AEC41" s="20"/>
      <c r="AED41" s="20"/>
      <c r="AEE41" s="20"/>
      <c r="AEF41" s="20"/>
      <c r="AEG41" s="20"/>
      <c r="AEH41" s="20"/>
      <c r="AEI41" s="20"/>
      <c r="AEJ41" s="20"/>
      <c r="AEK41" s="20"/>
      <c r="AEL41" s="20"/>
      <c r="AEM41" s="20"/>
      <c r="AEN41" s="20"/>
      <c r="AEO41" s="20"/>
      <c r="AEP41" s="20"/>
      <c r="AEQ41" s="20"/>
      <c r="AER41" s="21"/>
      <c r="AES41" s="20"/>
      <c r="AET41" s="20"/>
      <c r="AEU41" s="20"/>
      <c r="AEV41" s="20"/>
      <c r="AEW41" s="21"/>
      <c r="AEX41" s="20"/>
      <c r="AEY41" s="20"/>
      <c r="AEZ41" s="20"/>
      <c r="AFA41" s="20"/>
      <c r="AFB41" s="20"/>
      <c r="AFC41" s="20"/>
      <c r="AFD41" s="21"/>
      <c r="AFE41" s="21"/>
      <c r="AFF41" s="20"/>
      <c r="AFG41" s="20"/>
      <c r="AFH41" s="20"/>
      <c r="AFI41" s="20"/>
      <c r="AFJ41" s="20"/>
      <c r="AFK41" s="20"/>
      <c r="AFL41" s="20"/>
      <c r="AFM41" s="20"/>
      <c r="AFN41" s="20"/>
      <c r="AFO41" s="20"/>
      <c r="AFP41" s="20"/>
      <c r="AFQ41" s="20"/>
      <c r="AFR41" s="20"/>
      <c r="AFS41" s="20"/>
      <c r="AFT41" s="20"/>
      <c r="AFU41" s="20"/>
      <c r="AFV41" s="20"/>
      <c r="AFW41" s="20"/>
      <c r="AFX41" s="21"/>
      <c r="AFY41" s="20"/>
      <c r="AFZ41" s="20"/>
      <c r="AGA41" s="20"/>
      <c r="AGB41" s="20"/>
      <c r="AGC41" s="20"/>
      <c r="AGD41" s="20"/>
      <c r="AGE41" s="20"/>
      <c r="AGF41" s="20"/>
      <c r="AGG41" s="20"/>
      <c r="AGH41" s="20"/>
      <c r="AGI41" s="21"/>
      <c r="AGJ41" s="20"/>
      <c r="AGK41" s="20"/>
      <c r="AGL41" s="20"/>
      <c r="AGM41" s="20"/>
      <c r="AGN41" s="20"/>
      <c r="AGO41" s="20"/>
      <c r="AGP41" s="20"/>
      <c r="AGQ41" s="20"/>
      <c r="AGR41" s="20"/>
      <c r="AGS41" s="20"/>
      <c r="AGT41" s="20"/>
      <c r="AGU41" s="21"/>
      <c r="AGV41" s="20"/>
      <c r="AGW41" s="20"/>
      <c r="AGX41" s="20"/>
      <c r="AGY41" s="20"/>
      <c r="AGZ41" s="20"/>
      <c r="AHA41" s="20"/>
      <c r="AHB41" s="20"/>
      <c r="AHC41" s="20"/>
      <c r="AHD41" s="20"/>
      <c r="AHE41" s="20"/>
      <c r="AHF41" s="20"/>
      <c r="AHG41" s="20"/>
      <c r="AHH41" s="20"/>
      <c r="AHI41" s="20"/>
      <c r="AHJ41" s="20"/>
      <c r="AHK41" s="20"/>
      <c r="AHL41" s="20"/>
      <c r="AHM41" s="20"/>
      <c r="AHN41" s="20"/>
      <c r="AHO41" s="20"/>
      <c r="AHP41" s="20"/>
      <c r="AHQ41" s="21"/>
      <c r="AHR41" s="20"/>
      <c r="AHS41" s="20"/>
    </row>
    <row r="42" spans="1:93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1"/>
      <c r="AG42" s="21"/>
      <c r="AH42" s="21"/>
      <c r="AI42" s="21"/>
      <c r="AJ42" s="21"/>
      <c r="AK42" s="21"/>
      <c r="AL42" s="21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1"/>
      <c r="BN42" s="21"/>
      <c r="BO42" s="21"/>
      <c r="BP42" s="21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1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1"/>
      <c r="DL42" s="21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1"/>
      <c r="DX42" s="21"/>
      <c r="DY42" s="21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1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1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1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1"/>
      <c r="OB42" s="22"/>
      <c r="OC42" s="22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1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1"/>
      <c r="QK42" s="21"/>
      <c r="QL42" s="21"/>
      <c r="QM42" s="21"/>
      <c r="QN42" s="21"/>
      <c r="QO42" s="21"/>
      <c r="QP42" s="21"/>
      <c r="QQ42" s="21"/>
      <c r="QR42" s="21"/>
      <c r="QS42" s="21"/>
      <c r="QT42" s="21"/>
      <c r="QU42" s="21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20"/>
      <c r="SC42" s="20"/>
      <c r="SD42" s="20"/>
      <c r="SE42" s="20"/>
      <c r="SF42" s="20"/>
      <c r="SG42" s="20"/>
      <c r="SH42" s="20"/>
      <c r="SI42" s="20"/>
      <c r="SJ42" s="20"/>
      <c r="SK42" s="20"/>
      <c r="SL42" s="20"/>
      <c r="SM42" s="20"/>
      <c r="SN42" s="20"/>
      <c r="SO42" s="20"/>
      <c r="SP42" s="20"/>
      <c r="SQ42" s="20"/>
      <c r="SR42" s="20"/>
      <c r="SS42" s="20"/>
      <c r="ST42" s="20"/>
      <c r="SU42" s="20"/>
      <c r="SV42" s="20"/>
      <c r="SW42" s="20"/>
      <c r="SX42" s="20"/>
      <c r="SY42" s="20"/>
      <c r="SZ42" s="20"/>
      <c r="TA42" s="20"/>
      <c r="TB42" s="20"/>
      <c r="TC42" s="20"/>
      <c r="TD42" s="21"/>
      <c r="TE42" s="21"/>
      <c r="TF42" s="21"/>
      <c r="TG42" s="21"/>
      <c r="TH42" s="21"/>
      <c r="TI42" s="20"/>
      <c r="TJ42" s="20"/>
      <c r="TK42" s="20"/>
      <c r="TL42" s="20"/>
      <c r="TM42" s="20"/>
      <c r="TN42" s="20"/>
      <c r="TO42" s="20"/>
      <c r="TP42" s="20"/>
      <c r="TQ42" s="20"/>
      <c r="TR42" s="20"/>
      <c r="TS42" s="20"/>
      <c r="TT42" s="20"/>
      <c r="TU42" s="20"/>
      <c r="TV42" s="20"/>
      <c r="TW42" s="20"/>
      <c r="TX42" s="20"/>
      <c r="TY42" s="21"/>
      <c r="TZ42" s="20"/>
      <c r="UA42" s="20"/>
      <c r="UB42" s="20"/>
      <c r="UC42" s="20"/>
      <c r="UD42" s="20"/>
      <c r="UE42" s="20"/>
      <c r="UF42" s="20"/>
      <c r="UG42" s="20"/>
      <c r="UH42" s="20"/>
      <c r="UI42" s="20"/>
      <c r="UJ42" s="20"/>
      <c r="UK42" s="20"/>
      <c r="UL42" s="20"/>
      <c r="UM42" s="20"/>
      <c r="UN42" s="20"/>
      <c r="UO42" s="20"/>
      <c r="UP42" s="20"/>
      <c r="UQ42" s="20"/>
      <c r="UR42" s="20"/>
      <c r="US42" s="20"/>
      <c r="UT42" s="20"/>
      <c r="UU42" s="20"/>
      <c r="UV42" s="20"/>
      <c r="UW42" s="20"/>
      <c r="UX42" s="20"/>
      <c r="UY42" s="20"/>
      <c r="UZ42" s="20"/>
      <c r="VA42" s="20"/>
      <c r="VB42" s="20"/>
      <c r="VC42" s="20"/>
      <c r="VD42" s="20"/>
      <c r="VE42" s="20"/>
      <c r="VF42" s="20"/>
      <c r="VG42" s="20"/>
      <c r="VH42" s="20"/>
      <c r="VI42" s="20"/>
      <c r="VJ42" s="20"/>
      <c r="VK42" s="20"/>
      <c r="VL42" s="20"/>
      <c r="VM42" s="20"/>
      <c r="VN42" s="20"/>
      <c r="VO42" s="20"/>
      <c r="VP42" s="20"/>
      <c r="VQ42" s="20"/>
      <c r="VR42" s="20"/>
      <c r="VS42" s="20"/>
      <c r="VT42" s="20"/>
      <c r="VU42" s="20"/>
      <c r="VV42" s="20"/>
      <c r="VW42" s="20"/>
      <c r="VX42" s="20"/>
      <c r="VY42" s="20"/>
      <c r="VZ42" s="20"/>
      <c r="WA42" s="20"/>
      <c r="WB42" s="20"/>
      <c r="WC42" s="20"/>
      <c r="WD42" s="20"/>
      <c r="WE42" s="20"/>
      <c r="WF42" s="20"/>
      <c r="WG42" s="20"/>
      <c r="WH42" s="20"/>
      <c r="WI42" s="20"/>
      <c r="WJ42" s="20"/>
      <c r="WK42" s="21"/>
      <c r="WL42" s="21"/>
      <c r="WM42" s="20"/>
      <c r="WN42" s="20"/>
      <c r="WO42" s="20"/>
      <c r="WP42" s="20"/>
      <c r="WQ42" s="20"/>
      <c r="WR42" s="20"/>
      <c r="WS42" s="20"/>
      <c r="WT42" s="20"/>
      <c r="WU42" s="20"/>
      <c r="WV42" s="20"/>
      <c r="WW42" s="20"/>
      <c r="WX42" s="20"/>
      <c r="WY42" s="20"/>
      <c r="WZ42" s="20"/>
      <c r="XA42" s="20"/>
      <c r="XB42" s="20"/>
      <c r="XC42" s="20"/>
      <c r="XD42" s="20"/>
      <c r="XE42" s="20"/>
      <c r="XF42" s="20"/>
      <c r="XG42" s="20"/>
      <c r="XH42" s="20"/>
      <c r="XI42" s="20"/>
      <c r="XJ42" s="20"/>
      <c r="XK42" s="20"/>
      <c r="XL42" s="20"/>
      <c r="XM42" s="20"/>
      <c r="XN42" s="20"/>
      <c r="XO42" s="20"/>
      <c r="XP42" s="20"/>
      <c r="XQ42" s="21"/>
      <c r="XR42" s="21"/>
      <c r="XS42" s="20"/>
      <c r="XT42" s="20"/>
      <c r="XU42" s="20"/>
      <c r="XV42" s="20"/>
      <c r="XW42" s="20"/>
      <c r="XX42" s="20"/>
      <c r="XY42" s="20"/>
      <c r="XZ42" s="20"/>
      <c r="YA42" s="20"/>
      <c r="YB42" s="20"/>
      <c r="YC42" s="20"/>
      <c r="YD42" s="20"/>
      <c r="YE42" s="20"/>
      <c r="YF42" s="20"/>
      <c r="YG42" s="20"/>
      <c r="YH42" s="20"/>
      <c r="YI42" s="20"/>
      <c r="YJ42" s="20"/>
      <c r="YK42" s="20"/>
      <c r="YL42" s="20"/>
      <c r="YM42" s="20"/>
      <c r="YN42" s="20"/>
      <c r="YO42" s="20"/>
      <c r="YP42" s="20"/>
      <c r="YQ42" s="20"/>
      <c r="YR42" s="20"/>
      <c r="YS42" s="20"/>
      <c r="YT42" s="20"/>
      <c r="YU42" s="20"/>
      <c r="YV42" s="20"/>
      <c r="YW42" s="20"/>
      <c r="YX42" s="20"/>
      <c r="YY42" s="20"/>
      <c r="YZ42" s="21"/>
      <c r="ZA42" s="20"/>
      <c r="ZB42" s="20"/>
      <c r="ZC42" s="20"/>
      <c r="ZD42" s="20"/>
      <c r="ZE42" s="20"/>
      <c r="ZF42" s="20"/>
      <c r="ZG42" s="20"/>
      <c r="ZH42" s="20"/>
      <c r="ZI42" s="20"/>
      <c r="ZJ42" s="20"/>
      <c r="ZK42" s="20"/>
      <c r="ZL42" s="20"/>
      <c r="ZM42" s="20"/>
      <c r="ZN42" s="20"/>
      <c r="ZO42" s="20"/>
      <c r="ZP42" s="20"/>
      <c r="ZQ42" s="20"/>
      <c r="ZR42" s="20"/>
      <c r="ZS42" s="20"/>
      <c r="ZT42" s="20"/>
      <c r="ZU42" s="21"/>
      <c r="ZV42" s="21"/>
      <c r="ZW42" s="20"/>
      <c r="ZX42" s="20"/>
      <c r="ZY42" s="20"/>
      <c r="ZZ42" s="20"/>
      <c r="AAA42" s="20"/>
      <c r="AAB42" s="20"/>
      <c r="AAC42" s="20"/>
      <c r="AAD42" s="20"/>
      <c r="AAE42" s="20"/>
      <c r="AAF42" s="20"/>
      <c r="AAG42" s="20"/>
      <c r="AAH42" s="20"/>
      <c r="AAI42" s="20"/>
      <c r="AAJ42" s="20"/>
      <c r="AAK42" s="20"/>
      <c r="AAL42" s="20"/>
      <c r="AAM42" s="20"/>
      <c r="AAN42" s="20"/>
      <c r="AAO42" s="20"/>
      <c r="AAP42" s="20"/>
      <c r="AAQ42" s="20"/>
      <c r="AAR42" s="20"/>
      <c r="AAS42" s="20"/>
      <c r="AAT42" s="21"/>
      <c r="AAU42" s="20"/>
      <c r="AAV42" s="20"/>
      <c r="AAW42" s="20"/>
      <c r="AAX42" s="20"/>
      <c r="AAY42" s="20"/>
      <c r="AAZ42" s="20"/>
      <c r="ABA42" s="20"/>
      <c r="ABB42" s="20"/>
      <c r="ABC42" s="20"/>
      <c r="ABD42" s="20"/>
      <c r="ABE42" s="20"/>
      <c r="ABF42" s="20"/>
      <c r="ABG42" s="20"/>
      <c r="ABH42" s="20"/>
      <c r="ABI42" s="20"/>
      <c r="ABJ42" s="20"/>
      <c r="ABK42" s="20"/>
      <c r="ABL42" s="20"/>
      <c r="ABM42" s="20"/>
      <c r="ABN42" s="20"/>
      <c r="ABO42" s="21"/>
      <c r="ABP42" s="21"/>
      <c r="ABQ42" s="21"/>
      <c r="ABR42" s="20"/>
      <c r="ABS42" s="20"/>
      <c r="ABT42" s="20"/>
      <c r="ABU42" s="20"/>
      <c r="ABV42" s="20"/>
      <c r="ABW42" s="20"/>
      <c r="ABX42" s="20"/>
      <c r="ABY42" s="20"/>
      <c r="ABZ42" s="20"/>
      <c r="ACA42" s="20"/>
      <c r="ACB42" s="20"/>
      <c r="ACC42" s="20"/>
      <c r="ACD42" s="20"/>
      <c r="ACE42" s="20"/>
      <c r="ACF42" s="20"/>
      <c r="ACG42" s="20"/>
      <c r="ACH42" s="20"/>
      <c r="ACI42" s="20"/>
      <c r="ACJ42" s="20"/>
      <c r="ACK42" s="20"/>
      <c r="ACL42" s="20"/>
      <c r="ACM42" s="21"/>
      <c r="ACN42" s="20"/>
      <c r="ACO42" s="20"/>
      <c r="ACP42" s="20"/>
      <c r="ACQ42" s="20"/>
      <c r="ACR42" s="20"/>
      <c r="ACS42" s="21"/>
      <c r="ACT42" s="20"/>
      <c r="ACU42" s="20"/>
      <c r="ACV42" s="20"/>
      <c r="ACW42" s="20"/>
      <c r="ACX42" s="20"/>
      <c r="ACY42" s="20"/>
      <c r="ACZ42" s="20"/>
      <c r="ADA42" s="20"/>
      <c r="ADB42" s="20"/>
      <c r="ADC42" s="20"/>
      <c r="ADD42" s="20"/>
      <c r="ADE42" s="20"/>
      <c r="ADF42" s="20"/>
      <c r="ADG42" s="20"/>
      <c r="ADH42" s="20"/>
      <c r="ADI42" s="20"/>
      <c r="ADJ42" s="20"/>
      <c r="ADK42" s="20"/>
      <c r="ADL42" s="20"/>
      <c r="ADM42" s="20"/>
      <c r="ADN42" s="20"/>
      <c r="ADO42" s="20"/>
      <c r="ADP42" s="20"/>
      <c r="ADQ42" s="20"/>
      <c r="ADR42" s="21"/>
      <c r="ADS42" s="22"/>
      <c r="ADT42" s="20"/>
      <c r="ADU42" s="20"/>
      <c r="ADV42" s="20"/>
      <c r="ADW42" s="20"/>
      <c r="ADX42" s="20"/>
      <c r="ADY42" s="20"/>
      <c r="ADZ42" s="20"/>
      <c r="AEA42" s="20"/>
      <c r="AEB42" s="20"/>
      <c r="AEC42" s="20"/>
      <c r="AED42" s="20"/>
      <c r="AEE42" s="20"/>
      <c r="AEF42" s="20"/>
      <c r="AEG42" s="20"/>
      <c r="AEH42" s="20"/>
      <c r="AEI42" s="20"/>
      <c r="AEJ42" s="20"/>
      <c r="AEK42" s="20"/>
      <c r="AEL42" s="20"/>
      <c r="AEM42" s="20"/>
      <c r="AEN42" s="20"/>
      <c r="AEO42" s="20"/>
      <c r="AEP42" s="20"/>
      <c r="AEQ42" s="20"/>
      <c r="AER42" s="21"/>
      <c r="AES42" s="20"/>
      <c r="AET42" s="20"/>
      <c r="AEU42" s="20"/>
      <c r="AEV42" s="20"/>
      <c r="AEW42" s="21"/>
      <c r="AEX42" s="20"/>
      <c r="AEY42" s="20"/>
      <c r="AEZ42" s="20"/>
      <c r="AFA42" s="20"/>
      <c r="AFB42" s="20"/>
      <c r="AFC42" s="20"/>
      <c r="AFD42" s="21"/>
      <c r="AFE42" s="21"/>
      <c r="AFF42" s="20"/>
      <c r="AFG42" s="20"/>
      <c r="AFH42" s="20"/>
      <c r="AFI42" s="20"/>
      <c r="AFJ42" s="20"/>
      <c r="AFK42" s="20"/>
      <c r="AFL42" s="20"/>
      <c r="AFM42" s="20"/>
      <c r="AFN42" s="20"/>
      <c r="AFO42" s="20"/>
      <c r="AFP42" s="20"/>
      <c r="AFQ42" s="20"/>
      <c r="AFR42" s="20"/>
      <c r="AFS42" s="20"/>
      <c r="AFT42" s="20"/>
      <c r="AFU42" s="20"/>
      <c r="AFV42" s="20"/>
      <c r="AFW42" s="20"/>
      <c r="AFX42" s="21"/>
      <c r="AFY42" s="20"/>
      <c r="AFZ42" s="20"/>
      <c r="AGA42" s="20"/>
      <c r="AGB42" s="20"/>
      <c r="AGC42" s="20"/>
      <c r="AGD42" s="20"/>
      <c r="AGE42" s="20"/>
      <c r="AGF42" s="20"/>
      <c r="AGG42" s="20"/>
      <c r="AGH42" s="20"/>
      <c r="AGI42" s="21"/>
      <c r="AGJ42" s="20"/>
      <c r="AGK42" s="20"/>
      <c r="AGL42" s="20"/>
      <c r="AGM42" s="20"/>
      <c r="AGN42" s="20"/>
      <c r="AGO42" s="20"/>
      <c r="AGP42" s="20"/>
      <c r="AGQ42" s="20"/>
      <c r="AGR42" s="20"/>
      <c r="AGS42" s="20"/>
      <c r="AGT42" s="20"/>
      <c r="AGU42" s="21"/>
      <c r="AGV42" s="20"/>
      <c r="AGW42" s="20"/>
      <c r="AGX42" s="20"/>
      <c r="AGY42" s="20"/>
      <c r="AGZ42" s="20"/>
      <c r="AHA42" s="20"/>
      <c r="AHB42" s="20"/>
      <c r="AHC42" s="20"/>
      <c r="AHD42" s="20"/>
      <c r="AHE42" s="20"/>
      <c r="AHF42" s="20"/>
      <c r="AHG42" s="20"/>
      <c r="AHH42" s="20"/>
      <c r="AHI42" s="20"/>
      <c r="AHJ42" s="20"/>
      <c r="AHK42" s="20"/>
      <c r="AHL42" s="20"/>
      <c r="AHM42" s="20"/>
      <c r="AHN42" s="20"/>
      <c r="AHO42" s="20"/>
      <c r="AHP42" s="20"/>
      <c r="AHQ42" s="21"/>
      <c r="AHR42" s="20"/>
      <c r="AHS42" s="20"/>
    </row>
    <row r="43" spans="1:931" x14ac:dyDescent="0.25">
      <c r="A43" s="7">
        <v>99000897</v>
      </c>
      <c r="B43" s="19"/>
      <c r="EL43" s="15">
        <v>14800</v>
      </c>
      <c r="OB43">
        <v>284</v>
      </c>
      <c r="PY43">
        <v>9</v>
      </c>
      <c r="ADS43" s="31" t="s">
        <v>1089</v>
      </c>
    </row>
    <row r="44" spans="1:931" x14ac:dyDescent="0.25">
      <c r="A44">
        <v>99001245</v>
      </c>
      <c r="B44" s="19"/>
      <c r="FY44">
        <v>31</v>
      </c>
      <c r="OL44">
        <v>681</v>
      </c>
      <c r="PZ44">
        <v>24.7</v>
      </c>
    </row>
    <row r="45" spans="1:931" x14ac:dyDescent="0.25">
      <c r="A45" s="7">
        <v>99001898</v>
      </c>
      <c r="B45" s="19"/>
    </row>
    <row r="46" spans="1:931" x14ac:dyDescent="0.25">
      <c r="A46">
        <v>99001902</v>
      </c>
      <c r="B46" s="19"/>
      <c r="EK46">
        <v>16500</v>
      </c>
      <c r="FY46">
        <v>50</v>
      </c>
      <c r="IT46">
        <v>29</v>
      </c>
      <c r="LQ46">
        <v>18</v>
      </c>
      <c r="PZ46">
        <v>29</v>
      </c>
    </row>
    <row r="47" spans="1:931" x14ac:dyDescent="0.25">
      <c r="A47" s="7">
        <v>99001912</v>
      </c>
      <c r="B47" s="19"/>
      <c r="EK47">
        <v>10900</v>
      </c>
      <c r="PZ47">
        <v>15</v>
      </c>
    </row>
    <row r="48" spans="1:931" x14ac:dyDescent="0.25">
      <c r="A48">
        <v>99001913</v>
      </c>
      <c r="B48" s="19"/>
      <c r="FY48">
        <v>28</v>
      </c>
      <c r="IT48">
        <v>24</v>
      </c>
      <c r="LQ48">
        <v>22</v>
      </c>
      <c r="PZ48">
        <v>9</v>
      </c>
    </row>
    <row r="49" spans="1:934" x14ac:dyDescent="0.25">
      <c r="A49" s="7">
        <v>99001927</v>
      </c>
      <c r="B49" s="19"/>
    </row>
    <row r="50" spans="1:934" x14ac:dyDescent="0.25">
      <c r="A50">
        <v>99001937</v>
      </c>
      <c r="B50" s="19"/>
      <c r="GK50">
        <v>21</v>
      </c>
      <c r="IK50">
        <v>48</v>
      </c>
      <c r="LH50">
        <v>53</v>
      </c>
      <c r="OV50">
        <v>226</v>
      </c>
    </row>
    <row r="51" spans="1:934" x14ac:dyDescent="0.25">
      <c r="A51" s="7">
        <v>99001943</v>
      </c>
      <c r="B51" s="19"/>
      <c r="FZ51">
        <v>21</v>
      </c>
      <c r="IU51">
        <v>27</v>
      </c>
      <c r="LR51">
        <v>162</v>
      </c>
    </row>
    <row r="52" spans="1:934" x14ac:dyDescent="0.25">
      <c r="A52">
        <v>95005911</v>
      </c>
      <c r="B52" s="19"/>
      <c r="II52">
        <v>40</v>
      </c>
      <c r="LE52">
        <v>70</v>
      </c>
      <c r="QB52">
        <v>16</v>
      </c>
      <c r="ABR52">
        <v>5.3</v>
      </c>
    </row>
    <row r="53" spans="1:934" x14ac:dyDescent="0.25">
      <c r="A53">
        <v>99001908</v>
      </c>
      <c r="B53" s="19"/>
      <c r="LE53">
        <v>25</v>
      </c>
      <c r="OB53">
        <v>253</v>
      </c>
    </row>
    <row r="54" spans="1:934" x14ac:dyDescent="0.25">
      <c r="A54">
        <v>99004067</v>
      </c>
      <c r="B54" s="19"/>
      <c r="FK54">
        <v>20</v>
      </c>
      <c r="II54">
        <v>22</v>
      </c>
      <c r="LE54">
        <v>106</v>
      </c>
      <c r="PW54">
        <v>21.5</v>
      </c>
      <c r="ACT54">
        <v>114.2</v>
      </c>
    </row>
    <row r="55" spans="1:934" x14ac:dyDescent="0.25">
      <c r="A55">
        <v>97002136</v>
      </c>
      <c r="B55" s="19"/>
      <c r="FK55">
        <v>189</v>
      </c>
      <c r="II55">
        <v>44</v>
      </c>
      <c r="LE55">
        <v>440</v>
      </c>
      <c r="OB55">
        <v>462</v>
      </c>
      <c r="AHR55" t="s">
        <v>30</v>
      </c>
      <c r="AHS55" t="s">
        <v>30</v>
      </c>
    </row>
    <row r="56" spans="1:934" x14ac:dyDescent="0.25">
      <c r="B56" s="19"/>
    </row>
    <row r="57" spans="1:934" x14ac:dyDescent="0.25">
      <c r="B57" s="19"/>
    </row>
    <row r="58" spans="1:934" x14ac:dyDescent="0.25">
      <c r="B58" s="19"/>
    </row>
    <row r="59" spans="1:934" x14ac:dyDescent="0.25">
      <c r="B59" s="19"/>
    </row>
    <row r="60" spans="1:934" x14ac:dyDescent="0.25">
      <c r="B60" s="19"/>
    </row>
    <row r="61" spans="1:934" x14ac:dyDescent="0.25">
      <c r="A61" t="s">
        <v>1078</v>
      </c>
      <c r="B61" s="19"/>
    </row>
    <row r="62" spans="1:934" x14ac:dyDescent="0.25">
      <c r="A62" s="11" t="s">
        <v>1221</v>
      </c>
      <c r="B62" s="27"/>
      <c r="C62">
        <v>124</v>
      </c>
      <c r="I62">
        <v>41</v>
      </c>
      <c r="AM62" t="s">
        <v>972</v>
      </c>
      <c r="AQ62">
        <v>20</v>
      </c>
      <c r="AV62">
        <v>75</v>
      </c>
      <c r="AX62">
        <v>74</v>
      </c>
      <c r="BQ62" t="s">
        <v>973</v>
      </c>
      <c r="BU62">
        <v>61</v>
      </c>
      <c r="CA62" t="s">
        <v>974</v>
      </c>
      <c r="CT62" t="s">
        <v>975</v>
      </c>
    </row>
    <row r="64" spans="1:934" x14ac:dyDescent="0.25">
      <c r="A64" s="27" t="s">
        <v>985</v>
      </c>
      <c r="B64" s="27" t="s">
        <v>1232</v>
      </c>
      <c r="EE64">
        <v>20</v>
      </c>
      <c r="ES64">
        <v>12</v>
      </c>
      <c r="GK64">
        <v>28</v>
      </c>
      <c r="JG64">
        <v>32</v>
      </c>
      <c r="OV64">
        <v>249</v>
      </c>
      <c r="QC64">
        <v>9.9</v>
      </c>
      <c r="AIX64" t="s">
        <v>1227</v>
      </c>
    </row>
    <row r="65" spans="1:799" x14ac:dyDescent="0.25">
      <c r="A65" s="27" t="s">
        <v>994</v>
      </c>
      <c r="B65" s="27" t="s">
        <v>1232</v>
      </c>
      <c r="EK65">
        <v>11.64</v>
      </c>
      <c r="GG65">
        <v>15</v>
      </c>
      <c r="JB65">
        <v>28</v>
      </c>
      <c r="LY65">
        <v>45</v>
      </c>
      <c r="OS65">
        <v>144</v>
      </c>
      <c r="PZ65">
        <v>6.8</v>
      </c>
    </row>
    <row r="66" spans="1:799" x14ac:dyDescent="0.25">
      <c r="A66" s="11" t="s">
        <v>1002</v>
      </c>
      <c r="B66" s="27" t="s">
        <v>1232</v>
      </c>
      <c r="EM66" s="7" t="s">
        <v>1230</v>
      </c>
      <c r="LS66">
        <v>240</v>
      </c>
      <c r="QA66" s="7" t="s">
        <v>1228</v>
      </c>
      <c r="ABX66" s="7" t="s">
        <v>1229</v>
      </c>
    </row>
    <row r="67" spans="1:799" x14ac:dyDescent="0.25">
      <c r="A67" s="11" t="s">
        <v>1014</v>
      </c>
      <c r="B67" s="27" t="s">
        <v>1232</v>
      </c>
      <c r="ES67">
        <v>8900</v>
      </c>
      <c r="EW67">
        <v>10600</v>
      </c>
      <c r="FO67">
        <v>25</v>
      </c>
      <c r="JG67">
        <v>64</v>
      </c>
      <c r="LI67">
        <v>51</v>
      </c>
      <c r="QB67" s="7" t="s">
        <v>1231</v>
      </c>
    </row>
    <row r="68" spans="1:799" x14ac:dyDescent="0.25">
      <c r="A68" s="27"/>
      <c r="B68" s="27"/>
      <c r="ADS68" s="19"/>
    </row>
    <row r="69" spans="1:799" x14ac:dyDescent="0.25">
      <c r="A69" s="27" t="s">
        <v>1033</v>
      </c>
      <c r="B69" s="27" t="s">
        <v>1232</v>
      </c>
      <c r="XT69">
        <v>1.2</v>
      </c>
    </row>
    <row r="70" spans="1:799" x14ac:dyDescent="0.25">
      <c r="A70" s="19"/>
      <c r="B70" s="19"/>
    </row>
    <row r="71" spans="1:799" x14ac:dyDescent="0.25">
      <c r="A71" s="19"/>
      <c r="B71" s="19"/>
    </row>
    <row r="76" spans="1:799" x14ac:dyDescent="0.25">
      <c r="B76" t="s">
        <v>1219</v>
      </c>
    </row>
    <row r="77" spans="1:799" x14ac:dyDescent="0.25">
      <c r="B77" t="s">
        <v>1218</v>
      </c>
    </row>
    <row r="78" spans="1:799" x14ac:dyDescent="0.25">
      <c r="B78" t="s">
        <v>1217</v>
      </c>
    </row>
    <row r="83" spans="2:2" x14ac:dyDescent="0.25">
      <c r="B83" t="s">
        <v>1223</v>
      </c>
    </row>
    <row r="84" spans="2:2" x14ac:dyDescent="0.25">
      <c r="B84" t="s">
        <v>1222</v>
      </c>
    </row>
  </sheetData>
  <conditionalFormatting sqref="A43:B43">
    <cfRule type="duplicateValues" dxfId="51" priority="52"/>
  </conditionalFormatting>
  <conditionalFormatting sqref="A43:B43">
    <cfRule type="duplicateValues" dxfId="50" priority="51"/>
  </conditionalFormatting>
  <conditionalFormatting sqref="A44:B44">
    <cfRule type="duplicateValues" dxfId="49" priority="50"/>
  </conditionalFormatting>
  <conditionalFormatting sqref="A44:B44">
    <cfRule type="duplicateValues" dxfId="48" priority="49"/>
  </conditionalFormatting>
  <conditionalFormatting sqref="A45:B45">
    <cfRule type="duplicateValues" dxfId="47" priority="48"/>
  </conditionalFormatting>
  <conditionalFormatting sqref="A45:B45">
    <cfRule type="duplicateValues" dxfId="46" priority="47"/>
  </conditionalFormatting>
  <conditionalFormatting sqref="A46:B46">
    <cfRule type="duplicateValues" dxfId="45" priority="46"/>
  </conditionalFormatting>
  <conditionalFormatting sqref="A46:B46">
    <cfRule type="duplicateValues" dxfId="44" priority="45"/>
  </conditionalFormatting>
  <conditionalFormatting sqref="A47:B47">
    <cfRule type="duplicateValues" dxfId="43" priority="44"/>
  </conditionalFormatting>
  <conditionalFormatting sqref="A47:B47">
    <cfRule type="duplicateValues" dxfId="42" priority="43"/>
  </conditionalFormatting>
  <conditionalFormatting sqref="A48:B48">
    <cfRule type="duplicateValues" dxfId="41" priority="42"/>
  </conditionalFormatting>
  <conditionalFormatting sqref="A48:B48">
    <cfRule type="duplicateValues" dxfId="40" priority="41"/>
  </conditionalFormatting>
  <conditionalFormatting sqref="A49:B49">
    <cfRule type="duplicateValues" dxfId="39" priority="40"/>
  </conditionalFormatting>
  <conditionalFormatting sqref="A49:B49">
    <cfRule type="duplicateValues" dxfId="38" priority="39"/>
  </conditionalFormatting>
  <conditionalFormatting sqref="A50:B50">
    <cfRule type="duplicateValues" dxfId="37" priority="38"/>
  </conditionalFormatting>
  <conditionalFormatting sqref="A50:B50">
    <cfRule type="duplicateValues" dxfId="36" priority="37"/>
  </conditionalFormatting>
  <conditionalFormatting sqref="A51:B51">
    <cfRule type="duplicateValues" dxfId="35" priority="36"/>
  </conditionalFormatting>
  <conditionalFormatting sqref="A51:B51">
    <cfRule type="duplicateValues" dxfId="34" priority="35"/>
  </conditionalFormatting>
  <conditionalFormatting sqref="A52:B52">
    <cfRule type="duplicateValues" dxfId="33" priority="34"/>
  </conditionalFormatting>
  <conditionalFormatting sqref="A52:B52">
    <cfRule type="duplicateValues" dxfId="32" priority="33"/>
  </conditionalFormatting>
  <conditionalFormatting sqref="A53:B53">
    <cfRule type="duplicateValues" dxfId="31" priority="32"/>
  </conditionalFormatting>
  <conditionalFormatting sqref="A53:B53">
    <cfRule type="duplicateValues" dxfId="30" priority="31"/>
  </conditionalFormatting>
  <conditionalFormatting sqref="A54:B54">
    <cfRule type="duplicateValues" dxfId="29" priority="30"/>
  </conditionalFormatting>
  <conditionalFormatting sqref="A54:B54">
    <cfRule type="duplicateValues" dxfId="28" priority="29"/>
  </conditionalFormatting>
  <conditionalFormatting sqref="A55:B55">
    <cfRule type="duplicateValues" dxfId="27" priority="28"/>
  </conditionalFormatting>
  <conditionalFormatting sqref="A55:B55">
    <cfRule type="duplicateValues" dxfId="26" priority="27"/>
  </conditionalFormatting>
  <conditionalFormatting sqref="A2:B3">
    <cfRule type="duplicateValues" dxfId="25" priority="26"/>
  </conditionalFormatting>
  <conditionalFormatting sqref="A2:B3">
    <cfRule type="duplicateValues" dxfId="24" priority="25"/>
  </conditionalFormatting>
  <conditionalFormatting sqref="A10">
    <cfRule type="duplicateValues" dxfId="23" priority="24"/>
  </conditionalFormatting>
  <conditionalFormatting sqref="A16">
    <cfRule type="duplicateValues" dxfId="22" priority="23"/>
  </conditionalFormatting>
  <conditionalFormatting sqref="A17">
    <cfRule type="duplicateValues" dxfId="21" priority="22"/>
  </conditionalFormatting>
  <conditionalFormatting sqref="A18">
    <cfRule type="duplicateValues" dxfId="20" priority="21"/>
  </conditionalFormatting>
  <conditionalFormatting sqref="A29">
    <cfRule type="duplicateValues" dxfId="19" priority="20"/>
  </conditionalFormatting>
  <conditionalFormatting sqref="A29">
    <cfRule type="duplicateValues" dxfId="18" priority="19"/>
  </conditionalFormatting>
  <conditionalFormatting sqref="A30">
    <cfRule type="duplicateValues" dxfId="17" priority="18"/>
  </conditionalFormatting>
  <conditionalFormatting sqref="A30">
    <cfRule type="duplicateValues" dxfId="16" priority="17"/>
  </conditionalFormatting>
  <conditionalFormatting sqref="A33">
    <cfRule type="duplicateValues" dxfId="15" priority="16"/>
  </conditionalFormatting>
  <conditionalFormatting sqref="A33">
    <cfRule type="duplicateValues" dxfId="14" priority="15"/>
  </conditionalFormatting>
  <conditionalFormatting sqref="A34">
    <cfRule type="duplicateValues" dxfId="13" priority="14"/>
  </conditionalFormatting>
  <conditionalFormatting sqref="A34">
    <cfRule type="duplicateValues" dxfId="12" priority="13"/>
  </conditionalFormatting>
  <conditionalFormatting sqref="A19">
    <cfRule type="duplicateValues" dxfId="11" priority="12"/>
  </conditionalFormatting>
  <conditionalFormatting sqref="A19">
    <cfRule type="duplicateValues" dxfId="10" priority="11"/>
  </conditionalFormatting>
  <conditionalFormatting sqref="A35">
    <cfRule type="duplicateValues" dxfId="9" priority="10"/>
  </conditionalFormatting>
  <conditionalFormatting sqref="A35">
    <cfRule type="duplicateValues" dxfId="8" priority="9"/>
  </conditionalFormatting>
  <conditionalFormatting sqref="A36">
    <cfRule type="duplicateValues" dxfId="7" priority="8"/>
  </conditionalFormatting>
  <conditionalFormatting sqref="A36">
    <cfRule type="duplicateValues" dxfId="6" priority="7"/>
  </conditionalFormatting>
  <conditionalFormatting sqref="A37 A40:A41">
    <cfRule type="duplicateValues" dxfId="5" priority="6"/>
  </conditionalFormatting>
  <conditionalFormatting sqref="A37">
    <cfRule type="duplicateValues" dxfId="4" priority="5"/>
  </conditionalFormatting>
  <conditionalFormatting sqref="A38">
    <cfRule type="duplicateValues" dxfId="3" priority="4"/>
  </conditionalFormatting>
  <conditionalFormatting sqref="A38">
    <cfRule type="duplicateValues" dxfId="2" priority="3"/>
  </conditionalFormatting>
  <conditionalFormatting sqref="A39">
    <cfRule type="duplicateValues" dxfId="1" priority="2"/>
  </conditionalFormatting>
  <conditionalFormatting sqref="A39">
    <cfRule type="duplicateValues" dxfId="0" priority="1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024A-FEF5-4952-8FA3-248E825E3707}">
  <dimension ref="A1:AEH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5" x14ac:dyDescent="0.25"/>
  <sheetData>
    <row r="1" spans="1:814" ht="60" x14ac:dyDescent="0.25">
      <c r="A1" s="14" t="s">
        <v>149</v>
      </c>
      <c r="B1" s="13" t="s">
        <v>150</v>
      </c>
      <c r="C1" s="13" t="s">
        <v>151</v>
      </c>
      <c r="D1" s="13" t="s">
        <v>152</v>
      </c>
      <c r="E1" s="13" t="s">
        <v>153</v>
      </c>
      <c r="F1" s="13" t="s">
        <v>154</v>
      </c>
      <c r="G1" s="13" t="s">
        <v>155</v>
      </c>
      <c r="H1" s="13" t="s">
        <v>156</v>
      </c>
      <c r="I1" s="13" t="s">
        <v>157</v>
      </c>
      <c r="J1" s="13" t="s">
        <v>158</v>
      </c>
      <c r="K1" s="13" t="s">
        <v>159</v>
      </c>
      <c r="L1" s="13" t="s">
        <v>160</v>
      </c>
      <c r="M1" s="13" t="s">
        <v>161</v>
      </c>
      <c r="N1" s="13" t="s">
        <v>162</v>
      </c>
      <c r="O1" s="13" t="s">
        <v>163</v>
      </c>
      <c r="P1" s="13" t="s">
        <v>164</v>
      </c>
      <c r="Q1" s="13" t="s">
        <v>165</v>
      </c>
      <c r="R1" s="13" t="s">
        <v>166</v>
      </c>
      <c r="S1" s="13" t="s">
        <v>167</v>
      </c>
      <c r="T1" s="13" t="s">
        <v>168</v>
      </c>
      <c r="U1" s="13" t="s">
        <v>169</v>
      </c>
      <c r="V1" s="13" t="s">
        <v>170</v>
      </c>
      <c r="W1" s="13" t="s">
        <v>171</v>
      </c>
      <c r="X1" s="13" t="s">
        <v>172</v>
      </c>
      <c r="Y1" s="13" t="s">
        <v>173</v>
      </c>
      <c r="Z1" s="13" t="s">
        <v>174</v>
      </c>
      <c r="AA1" s="13" t="s">
        <v>175</v>
      </c>
      <c r="AB1" s="13" t="s">
        <v>176</v>
      </c>
      <c r="AC1" s="13" t="s">
        <v>177</v>
      </c>
      <c r="AD1" s="13" t="s">
        <v>178</v>
      </c>
      <c r="AE1" s="13" t="s">
        <v>179</v>
      </c>
      <c r="AF1" s="13" t="s">
        <v>180</v>
      </c>
      <c r="AG1" s="13" t="s">
        <v>181</v>
      </c>
      <c r="AH1" s="13" t="s">
        <v>182</v>
      </c>
      <c r="AI1" s="13" t="s">
        <v>183</v>
      </c>
      <c r="AJ1" s="13" t="s">
        <v>184</v>
      </c>
      <c r="AK1" s="13" t="s">
        <v>185</v>
      </c>
      <c r="AL1" s="13" t="s">
        <v>186</v>
      </c>
      <c r="AM1" s="13" t="s">
        <v>187</v>
      </c>
      <c r="AN1" s="13" t="s">
        <v>188</v>
      </c>
      <c r="AO1" s="13" t="s">
        <v>189</v>
      </c>
      <c r="AP1" s="13" t="s">
        <v>190</v>
      </c>
      <c r="AQ1" s="13" t="s">
        <v>191</v>
      </c>
      <c r="AR1" s="13" t="s">
        <v>192</v>
      </c>
      <c r="AS1" s="13" t="s">
        <v>193</v>
      </c>
      <c r="AT1" s="13" t="s">
        <v>194</v>
      </c>
      <c r="AU1" s="13" t="s">
        <v>195</v>
      </c>
      <c r="AV1" s="13" t="s">
        <v>196</v>
      </c>
      <c r="AW1" s="13" t="s">
        <v>197</v>
      </c>
      <c r="AX1" s="13" t="s">
        <v>198</v>
      </c>
      <c r="AY1" s="13" t="s">
        <v>199</v>
      </c>
      <c r="AZ1" s="12" t="s">
        <v>200</v>
      </c>
      <c r="BA1" s="13" t="s">
        <v>201</v>
      </c>
      <c r="BB1" s="13" t="s">
        <v>202</v>
      </c>
      <c r="BC1" s="13" t="s">
        <v>203</v>
      </c>
      <c r="BD1" s="13" t="s">
        <v>204</v>
      </c>
      <c r="BE1" s="13" t="s">
        <v>205</v>
      </c>
      <c r="BF1" s="13" t="s">
        <v>206</v>
      </c>
      <c r="BG1" s="13" t="s">
        <v>207</v>
      </c>
      <c r="BH1" s="13" t="s">
        <v>208</v>
      </c>
      <c r="BI1" s="13" t="s">
        <v>209</v>
      </c>
      <c r="BJ1" s="13" t="s">
        <v>210</v>
      </c>
      <c r="BK1" s="13" t="s">
        <v>211</v>
      </c>
      <c r="BL1" s="13" t="s">
        <v>212</v>
      </c>
      <c r="BM1" s="13" t="s">
        <v>213</v>
      </c>
      <c r="BN1" s="13" t="s">
        <v>214</v>
      </c>
      <c r="BO1" s="13" t="s">
        <v>215</v>
      </c>
      <c r="BP1" s="13" t="s">
        <v>216</v>
      </c>
      <c r="BQ1" s="13" t="s">
        <v>217</v>
      </c>
      <c r="BR1" s="13" t="s">
        <v>218</v>
      </c>
      <c r="BS1" s="13" t="s">
        <v>219</v>
      </c>
      <c r="BT1" s="13" t="s">
        <v>220</v>
      </c>
      <c r="BU1" s="13" t="s">
        <v>221</v>
      </c>
      <c r="BV1" s="13" t="s">
        <v>222</v>
      </c>
      <c r="BW1" s="13" t="s">
        <v>223</v>
      </c>
      <c r="BX1" s="13" t="s">
        <v>224</v>
      </c>
      <c r="BY1" s="13" t="s">
        <v>225</v>
      </c>
      <c r="BZ1" s="13" t="s">
        <v>226</v>
      </c>
      <c r="CA1" s="12" t="s">
        <v>227</v>
      </c>
      <c r="CB1" s="13" t="s">
        <v>228</v>
      </c>
      <c r="CC1" s="13" t="s">
        <v>229</v>
      </c>
      <c r="CD1" s="13" t="s">
        <v>230</v>
      </c>
      <c r="CE1" s="13" t="s">
        <v>231</v>
      </c>
      <c r="CF1" s="13" t="s">
        <v>232</v>
      </c>
      <c r="CG1" s="13" t="s">
        <v>233</v>
      </c>
      <c r="CH1" s="13" t="s">
        <v>234</v>
      </c>
      <c r="CI1" s="13" t="s">
        <v>235</v>
      </c>
      <c r="CJ1" s="13" t="s">
        <v>236</v>
      </c>
      <c r="CK1" s="13" t="s">
        <v>237</v>
      </c>
      <c r="CL1" s="13" t="s">
        <v>238</v>
      </c>
      <c r="CM1" s="13" t="s">
        <v>239</v>
      </c>
      <c r="CN1" s="13" t="s">
        <v>240</v>
      </c>
      <c r="CO1" s="13" t="s">
        <v>241</v>
      </c>
      <c r="CP1" s="13" t="s">
        <v>242</v>
      </c>
      <c r="CQ1" s="13" t="s">
        <v>243</v>
      </c>
      <c r="CR1" s="13" t="s">
        <v>244</v>
      </c>
      <c r="CS1" s="13" t="s">
        <v>245</v>
      </c>
      <c r="CT1" s="13" t="s">
        <v>246</v>
      </c>
      <c r="CU1" s="13" t="s">
        <v>247</v>
      </c>
      <c r="CV1" s="13" t="s">
        <v>248</v>
      </c>
      <c r="CW1" s="13" t="s">
        <v>249</v>
      </c>
      <c r="CX1" s="13" t="s">
        <v>250</v>
      </c>
      <c r="CY1" s="13" t="s">
        <v>251</v>
      </c>
      <c r="CZ1" s="13" t="s">
        <v>252</v>
      </c>
      <c r="DA1" s="13" t="s">
        <v>253</v>
      </c>
      <c r="DB1" s="13" t="s">
        <v>254</v>
      </c>
      <c r="DC1" s="13" t="s">
        <v>255</v>
      </c>
      <c r="DD1" s="12" t="s">
        <v>256</v>
      </c>
      <c r="DE1" s="13" t="s">
        <v>257</v>
      </c>
      <c r="DF1" s="13" t="s">
        <v>258</v>
      </c>
      <c r="DG1" s="13" t="s">
        <v>259</v>
      </c>
      <c r="DH1" s="13" t="s">
        <v>260</v>
      </c>
      <c r="DI1" s="13" t="s">
        <v>261</v>
      </c>
      <c r="DJ1" s="13" t="s">
        <v>262</v>
      </c>
      <c r="DK1" s="13" t="s">
        <v>263</v>
      </c>
      <c r="DL1" s="13" t="s">
        <v>264</v>
      </c>
      <c r="DM1" s="13" t="s">
        <v>265</v>
      </c>
      <c r="DN1" s="13" t="s">
        <v>266</v>
      </c>
      <c r="DO1" s="13" t="s">
        <v>267</v>
      </c>
      <c r="DP1" s="13" t="s">
        <v>268</v>
      </c>
      <c r="DQ1" s="13" t="s">
        <v>269</v>
      </c>
      <c r="DR1" s="12" t="s">
        <v>270</v>
      </c>
      <c r="DS1" s="13" t="s">
        <v>271</v>
      </c>
      <c r="DT1" s="13"/>
      <c r="DU1" s="13"/>
      <c r="DV1" s="13" t="s">
        <v>272</v>
      </c>
      <c r="DW1" s="13" t="s">
        <v>273</v>
      </c>
      <c r="DX1" s="13" t="s">
        <v>274</v>
      </c>
      <c r="DY1" s="13" t="s">
        <v>275</v>
      </c>
      <c r="DZ1" s="13" t="s">
        <v>276</v>
      </c>
      <c r="EA1" s="13" t="s">
        <v>277</v>
      </c>
      <c r="EB1" s="13" t="s">
        <v>278</v>
      </c>
      <c r="EC1" s="13" t="s">
        <v>279</v>
      </c>
      <c r="ED1" s="13" t="s">
        <v>280</v>
      </c>
      <c r="EE1" s="12" t="s">
        <v>281</v>
      </c>
      <c r="EF1" s="13" t="s">
        <v>282</v>
      </c>
      <c r="EG1" s="13" t="s">
        <v>283</v>
      </c>
      <c r="EH1" s="13" t="s">
        <v>284</v>
      </c>
      <c r="EI1" s="13" t="s">
        <v>285</v>
      </c>
      <c r="EJ1" s="13" t="s">
        <v>286</v>
      </c>
      <c r="EK1" s="13" t="s">
        <v>287</v>
      </c>
      <c r="EL1" s="13" t="s">
        <v>288</v>
      </c>
      <c r="EM1" s="13" t="s">
        <v>289</v>
      </c>
      <c r="EN1" s="13" t="s">
        <v>290</v>
      </c>
      <c r="EO1" s="13" t="s">
        <v>291</v>
      </c>
      <c r="EP1" s="13" t="s">
        <v>292</v>
      </c>
      <c r="EQ1" s="13" t="s">
        <v>293</v>
      </c>
      <c r="ER1" s="13" t="s">
        <v>294</v>
      </c>
      <c r="ES1" s="13" t="s">
        <v>295</v>
      </c>
      <c r="ET1" s="13" t="s">
        <v>296</v>
      </c>
      <c r="EU1" s="13" t="s">
        <v>297</v>
      </c>
      <c r="EV1" s="13" t="s">
        <v>298</v>
      </c>
      <c r="EW1" s="13" t="s">
        <v>299</v>
      </c>
      <c r="EX1" s="13" t="s">
        <v>300</v>
      </c>
      <c r="EY1" s="13" t="s">
        <v>301</v>
      </c>
      <c r="EZ1" s="13" t="s">
        <v>302</v>
      </c>
      <c r="FA1" s="13" t="s">
        <v>303</v>
      </c>
      <c r="FB1" s="13" t="s">
        <v>304</v>
      </c>
      <c r="FC1" s="13" t="s">
        <v>305</v>
      </c>
      <c r="FD1" s="13" t="s">
        <v>306</v>
      </c>
      <c r="FE1" s="13" t="s">
        <v>307</v>
      </c>
      <c r="FF1" s="13" t="s">
        <v>308</v>
      </c>
      <c r="FG1" s="13" t="s">
        <v>309</v>
      </c>
      <c r="FH1" s="12" t="s">
        <v>310</v>
      </c>
      <c r="FI1" s="13" t="s">
        <v>311</v>
      </c>
      <c r="FJ1" s="13" t="s">
        <v>312</v>
      </c>
      <c r="FK1" s="13" t="s">
        <v>313</v>
      </c>
      <c r="FL1" s="13" t="s">
        <v>314</v>
      </c>
      <c r="FM1" s="13" t="s">
        <v>315</v>
      </c>
      <c r="FN1" s="13" t="s">
        <v>316</v>
      </c>
      <c r="FO1" s="13" t="s">
        <v>317</v>
      </c>
      <c r="FP1" s="13" t="s">
        <v>318</v>
      </c>
      <c r="FQ1" s="13" t="s">
        <v>319</v>
      </c>
      <c r="FR1" s="13" t="s">
        <v>320</v>
      </c>
      <c r="FS1" s="13" t="s">
        <v>321</v>
      </c>
      <c r="FT1" s="13" t="s">
        <v>322</v>
      </c>
      <c r="FU1" s="13" t="s">
        <v>323</v>
      </c>
      <c r="FV1" s="13" t="s">
        <v>324</v>
      </c>
      <c r="FW1" s="13" t="s">
        <v>325</v>
      </c>
      <c r="FX1" s="13" t="s">
        <v>326</v>
      </c>
      <c r="FY1" s="13" t="s">
        <v>327</v>
      </c>
      <c r="FZ1" s="13" t="s">
        <v>328</v>
      </c>
      <c r="GA1" s="13" t="s">
        <v>329</v>
      </c>
      <c r="GB1" s="13" t="s">
        <v>330</v>
      </c>
      <c r="GC1" s="13" t="s">
        <v>331</v>
      </c>
      <c r="GD1" s="13" t="s">
        <v>332</v>
      </c>
      <c r="GE1" s="13" t="s">
        <v>333</v>
      </c>
      <c r="GF1" s="13" t="s">
        <v>334</v>
      </c>
      <c r="GG1" s="13" t="s">
        <v>335</v>
      </c>
      <c r="GH1" s="13" t="s">
        <v>336</v>
      </c>
      <c r="GI1" s="13" t="s">
        <v>337</v>
      </c>
      <c r="GJ1" s="13" t="s">
        <v>338</v>
      </c>
      <c r="GK1" s="13" t="s">
        <v>339</v>
      </c>
      <c r="GL1" s="13" t="s">
        <v>340</v>
      </c>
      <c r="GM1" s="13" t="s">
        <v>341</v>
      </c>
      <c r="GN1" s="13" t="s">
        <v>342</v>
      </c>
      <c r="GO1" s="13" t="s">
        <v>343</v>
      </c>
      <c r="GP1" s="13" t="s">
        <v>344</v>
      </c>
      <c r="GQ1" s="13" t="s">
        <v>345</v>
      </c>
      <c r="GR1" s="13" t="s">
        <v>346</v>
      </c>
      <c r="GS1" s="13" t="s">
        <v>347</v>
      </c>
      <c r="GT1" s="13" t="s">
        <v>348</v>
      </c>
      <c r="GU1" s="13" t="s">
        <v>349</v>
      </c>
      <c r="GV1" s="13" t="s">
        <v>350</v>
      </c>
      <c r="GW1" s="13" t="s">
        <v>351</v>
      </c>
      <c r="GX1" s="13" t="s">
        <v>352</v>
      </c>
      <c r="GY1" s="13" t="s">
        <v>353</v>
      </c>
      <c r="GZ1" s="13" t="s">
        <v>354</v>
      </c>
      <c r="HA1" s="13" t="s">
        <v>355</v>
      </c>
      <c r="HB1" s="13" t="s">
        <v>356</v>
      </c>
      <c r="HC1" s="13"/>
      <c r="HD1" s="13" t="s">
        <v>357</v>
      </c>
      <c r="HE1" s="13" t="s">
        <v>358</v>
      </c>
      <c r="HF1" s="13" t="s">
        <v>359</v>
      </c>
      <c r="HG1" s="13" t="s">
        <v>360</v>
      </c>
      <c r="HH1" s="13" t="s">
        <v>361</v>
      </c>
      <c r="HI1" s="13" t="s">
        <v>362</v>
      </c>
      <c r="HJ1" s="13" t="s">
        <v>363</v>
      </c>
      <c r="HK1" s="13" t="s">
        <v>364</v>
      </c>
      <c r="HL1" s="13" t="s">
        <v>365</v>
      </c>
      <c r="HM1" s="13" t="s">
        <v>366</v>
      </c>
      <c r="HN1" s="13" t="s">
        <v>367</v>
      </c>
      <c r="HO1" s="13" t="s">
        <v>368</v>
      </c>
      <c r="HP1" s="13" t="s">
        <v>369</v>
      </c>
      <c r="HQ1" s="13" t="s">
        <v>370</v>
      </c>
      <c r="HR1" s="13" t="s">
        <v>371</v>
      </c>
      <c r="HS1" s="13" t="s">
        <v>372</v>
      </c>
      <c r="HT1" s="13" t="s">
        <v>373</v>
      </c>
      <c r="HU1" s="13" t="s">
        <v>374</v>
      </c>
      <c r="HV1" s="13" t="s">
        <v>375</v>
      </c>
      <c r="HW1" s="13" t="s">
        <v>376</v>
      </c>
      <c r="HX1" s="12" t="s">
        <v>377</v>
      </c>
      <c r="HY1" s="13" t="s">
        <v>378</v>
      </c>
      <c r="HZ1" s="13" t="s">
        <v>379</v>
      </c>
      <c r="IA1" s="13" t="s">
        <v>380</v>
      </c>
      <c r="IB1" s="13" t="s">
        <v>381</v>
      </c>
      <c r="IC1" s="13" t="s">
        <v>382</v>
      </c>
      <c r="ID1" s="13" t="s">
        <v>383</v>
      </c>
      <c r="IE1" s="13" t="s">
        <v>384</v>
      </c>
      <c r="IF1" s="13" t="s">
        <v>385</v>
      </c>
      <c r="IG1" s="13" t="s">
        <v>386</v>
      </c>
      <c r="IH1" s="13" t="s">
        <v>387</v>
      </c>
      <c r="II1" s="13" t="s">
        <v>388</v>
      </c>
      <c r="IJ1" s="13" t="s">
        <v>389</v>
      </c>
      <c r="IK1" s="13" t="s">
        <v>390</v>
      </c>
      <c r="IL1" s="13" t="s">
        <v>391</v>
      </c>
      <c r="IM1" s="13" t="s">
        <v>392</v>
      </c>
      <c r="IN1" s="13" t="s">
        <v>393</v>
      </c>
      <c r="IO1" s="13" t="s">
        <v>394</v>
      </c>
      <c r="IP1" s="13" t="s">
        <v>395</v>
      </c>
      <c r="IQ1" s="13" t="s">
        <v>396</v>
      </c>
      <c r="IR1" s="13" t="s">
        <v>397</v>
      </c>
      <c r="IS1" s="13" t="s">
        <v>398</v>
      </c>
      <c r="IT1" s="13" t="s">
        <v>399</v>
      </c>
      <c r="IU1" s="13" t="s">
        <v>400</v>
      </c>
      <c r="IV1" s="13" t="s">
        <v>401</v>
      </c>
      <c r="IW1" s="13" t="s">
        <v>402</v>
      </c>
      <c r="IX1" s="13" t="s">
        <v>403</v>
      </c>
      <c r="IY1" s="13" t="s">
        <v>404</v>
      </c>
      <c r="IZ1" s="13" t="s">
        <v>405</v>
      </c>
      <c r="JA1" s="13" t="s">
        <v>406</v>
      </c>
      <c r="JB1" s="13" t="s">
        <v>407</v>
      </c>
      <c r="JC1" s="13" t="s">
        <v>408</v>
      </c>
      <c r="JD1" s="13" t="s">
        <v>409</v>
      </c>
      <c r="JE1" s="13" t="s">
        <v>410</v>
      </c>
      <c r="JF1" s="13" t="s">
        <v>411</v>
      </c>
      <c r="JG1" s="13" t="s">
        <v>412</v>
      </c>
      <c r="JH1" s="13" t="s">
        <v>413</v>
      </c>
      <c r="JI1" s="13" t="s">
        <v>414</v>
      </c>
      <c r="JJ1" s="13" t="s">
        <v>415</v>
      </c>
      <c r="JK1" s="13" t="s">
        <v>416</v>
      </c>
      <c r="JL1" s="13" t="s">
        <v>417</v>
      </c>
      <c r="JM1" s="13" t="s">
        <v>418</v>
      </c>
      <c r="JN1" s="13" t="s">
        <v>419</v>
      </c>
      <c r="JO1" s="13" t="s">
        <v>420</v>
      </c>
      <c r="JP1" s="13" t="s">
        <v>421</v>
      </c>
      <c r="JQ1" s="13" t="s">
        <v>422</v>
      </c>
      <c r="JR1" s="13" t="s">
        <v>423</v>
      </c>
      <c r="JS1" s="13" t="s">
        <v>424</v>
      </c>
      <c r="JT1" s="13" t="s">
        <v>425</v>
      </c>
      <c r="JU1" s="13" t="s">
        <v>426</v>
      </c>
      <c r="JV1" s="13" t="s">
        <v>427</v>
      </c>
      <c r="JW1" s="13" t="s">
        <v>428</v>
      </c>
      <c r="JX1" s="13" t="s">
        <v>429</v>
      </c>
      <c r="JY1" s="13" t="s">
        <v>430</v>
      </c>
      <c r="JZ1" s="13" t="s">
        <v>431</v>
      </c>
      <c r="KA1" s="13" t="s">
        <v>432</v>
      </c>
      <c r="KB1" s="13" t="s">
        <v>433</v>
      </c>
      <c r="KC1" s="13" t="s">
        <v>434</v>
      </c>
      <c r="KD1" s="13" t="s">
        <v>435</v>
      </c>
      <c r="KE1" s="13" t="s">
        <v>436</v>
      </c>
      <c r="KF1" s="13" t="s">
        <v>437</v>
      </c>
      <c r="KG1" s="13" t="s">
        <v>438</v>
      </c>
      <c r="KH1" s="13" t="s">
        <v>439</v>
      </c>
      <c r="KI1" s="13" t="s">
        <v>440</v>
      </c>
      <c r="KJ1" s="13" t="s">
        <v>441</v>
      </c>
      <c r="KK1" s="13" t="s">
        <v>442</v>
      </c>
      <c r="KL1" s="12" t="s">
        <v>443</v>
      </c>
      <c r="KM1" s="13" t="s">
        <v>444</v>
      </c>
      <c r="KN1" s="13" t="s">
        <v>445</v>
      </c>
      <c r="KO1" s="13" t="s">
        <v>446</v>
      </c>
      <c r="KP1" s="13" t="s">
        <v>447</v>
      </c>
      <c r="KQ1" s="13" t="s">
        <v>448</v>
      </c>
      <c r="KR1" s="13" t="s">
        <v>449</v>
      </c>
      <c r="KS1" s="13" t="s">
        <v>450</v>
      </c>
      <c r="KT1" s="13" t="s">
        <v>451</v>
      </c>
      <c r="KU1" s="13" t="s">
        <v>452</v>
      </c>
      <c r="KV1" s="13" t="s">
        <v>453</v>
      </c>
      <c r="KW1" s="13" t="s">
        <v>454</v>
      </c>
      <c r="KX1" s="13" t="s">
        <v>455</v>
      </c>
      <c r="KY1" s="13" t="s">
        <v>456</v>
      </c>
      <c r="KZ1" s="13" t="s">
        <v>457</v>
      </c>
      <c r="LA1" s="13" t="s">
        <v>458</v>
      </c>
      <c r="LB1" s="13" t="s">
        <v>459</v>
      </c>
      <c r="LC1" s="13" t="s">
        <v>460</v>
      </c>
      <c r="LD1" s="13" t="s">
        <v>461</v>
      </c>
      <c r="LE1" s="13" t="s">
        <v>462</v>
      </c>
      <c r="LF1" s="13" t="s">
        <v>463</v>
      </c>
      <c r="LG1" s="13" t="s">
        <v>464</v>
      </c>
      <c r="LH1" s="13" t="s">
        <v>465</v>
      </c>
      <c r="LI1" s="13" t="s">
        <v>466</v>
      </c>
      <c r="LJ1" s="13" t="s">
        <v>467</v>
      </c>
      <c r="LK1" s="13" t="s">
        <v>468</v>
      </c>
      <c r="LL1" s="13" t="s">
        <v>469</v>
      </c>
      <c r="LM1" s="13" t="s">
        <v>470</v>
      </c>
      <c r="LN1" s="13" t="s">
        <v>471</v>
      </c>
      <c r="LO1" s="13" t="s">
        <v>472</v>
      </c>
      <c r="LP1" s="13" t="s">
        <v>473</v>
      </c>
      <c r="LQ1" s="13" t="s">
        <v>474</v>
      </c>
      <c r="LR1" s="13" t="s">
        <v>475</v>
      </c>
      <c r="LS1" s="13" t="s">
        <v>476</v>
      </c>
      <c r="LT1" s="13" t="s">
        <v>477</v>
      </c>
      <c r="LU1" s="13" t="s">
        <v>478</v>
      </c>
      <c r="LV1" s="13" t="s">
        <v>479</v>
      </c>
      <c r="LW1" s="13" t="s">
        <v>480</v>
      </c>
      <c r="LX1" s="13" t="s">
        <v>481</v>
      </c>
      <c r="LY1" s="13" t="s">
        <v>482</v>
      </c>
      <c r="LZ1" s="13" t="s">
        <v>483</v>
      </c>
      <c r="MA1" s="13" t="s">
        <v>484</v>
      </c>
      <c r="MB1" s="13" t="s">
        <v>485</v>
      </c>
      <c r="MC1" s="13" t="s">
        <v>486</v>
      </c>
      <c r="MD1" s="13" t="s">
        <v>487</v>
      </c>
      <c r="ME1" s="13" t="s">
        <v>488</v>
      </c>
      <c r="MF1" s="13" t="s">
        <v>489</v>
      </c>
      <c r="MG1" s="13" t="s">
        <v>490</v>
      </c>
      <c r="MH1" s="13" t="s">
        <v>491</v>
      </c>
      <c r="MI1" s="13" t="s">
        <v>492</v>
      </c>
      <c r="MJ1" s="13" t="s">
        <v>493</v>
      </c>
      <c r="MK1" s="13" t="s">
        <v>494</v>
      </c>
      <c r="ML1" s="13" t="s">
        <v>495</v>
      </c>
      <c r="MM1" s="13" t="s">
        <v>496</v>
      </c>
      <c r="MN1" s="13" t="s">
        <v>497</v>
      </c>
      <c r="MO1" s="13" t="s">
        <v>498</v>
      </c>
      <c r="MP1" s="13" t="s">
        <v>499</v>
      </c>
      <c r="MQ1" s="13" t="s">
        <v>500</v>
      </c>
      <c r="MR1" s="13" t="s">
        <v>501</v>
      </c>
      <c r="MS1" s="13" t="s">
        <v>502</v>
      </c>
      <c r="MT1" s="13" t="s">
        <v>503</v>
      </c>
      <c r="MU1" s="13" t="s">
        <v>504</v>
      </c>
      <c r="MV1" s="13" t="s">
        <v>505</v>
      </c>
      <c r="MW1" s="13" t="s">
        <v>506</v>
      </c>
      <c r="MX1" s="13" t="s">
        <v>507</v>
      </c>
      <c r="MY1" s="12" t="s">
        <v>508</v>
      </c>
      <c r="MZ1" s="13" t="s">
        <v>509</v>
      </c>
      <c r="NA1" s="13" t="s">
        <v>510</v>
      </c>
      <c r="NB1" s="13" t="s">
        <v>511</v>
      </c>
      <c r="NC1" s="13" t="s">
        <v>512</v>
      </c>
      <c r="ND1" s="13" t="s">
        <v>513</v>
      </c>
      <c r="NE1" s="13" t="s">
        <v>514</v>
      </c>
      <c r="NF1" s="13" t="s">
        <v>515</v>
      </c>
      <c r="NG1" s="13" t="s">
        <v>516</v>
      </c>
      <c r="NH1" s="13" t="s">
        <v>517</v>
      </c>
      <c r="NI1" s="13" t="s">
        <v>518</v>
      </c>
      <c r="NJ1" s="13" t="s">
        <v>519</v>
      </c>
      <c r="NK1" s="13" t="s">
        <v>520</v>
      </c>
      <c r="NL1" s="13" t="s">
        <v>521</v>
      </c>
      <c r="NM1" s="13" t="s">
        <v>522</v>
      </c>
      <c r="NN1" s="13" t="s">
        <v>523</v>
      </c>
      <c r="NO1" s="13" t="s">
        <v>524</v>
      </c>
      <c r="NP1" s="13" t="s">
        <v>525</v>
      </c>
      <c r="NQ1" s="13" t="s">
        <v>526</v>
      </c>
      <c r="NR1" s="13" t="s">
        <v>527</v>
      </c>
      <c r="NS1" s="13" t="s">
        <v>528</v>
      </c>
      <c r="NT1" s="13" t="s">
        <v>529</v>
      </c>
      <c r="NU1" s="13" t="s">
        <v>530</v>
      </c>
      <c r="NV1" s="13" t="s">
        <v>531</v>
      </c>
      <c r="NW1" s="13" t="s">
        <v>532</v>
      </c>
      <c r="NX1" s="13" t="s">
        <v>533</v>
      </c>
      <c r="NY1" s="13" t="s">
        <v>534</v>
      </c>
      <c r="NZ1" s="13" t="s">
        <v>535</v>
      </c>
      <c r="OA1" s="13" t="s">
        <v>536</v>
      </c>
      <c r="OB1" s="13" t="s">
        <v>537</v>
      </c>
      <c r="OC1" s="13" t="s">
        <v>538</v>
      </c>
      <c r="OD1" s="13" t="s">
        <v>539</v>
      </c>
      <c r="OE1" s="13" t="s">
        <v>540</v>
      </c>
      <c r="OF1" s="13" t="s">
        <v>541</v>
      </c>
      <c r="OG1" s="13" t="s">
        <v>542</v>
      </c>
      <c r="OH1" s="13" t="s">
        <v>543</v>
      </c>
      <c r="OI1" s="13" t="s">
        <v>544</v>
      </c>
      <c r="OJ1" s="13" t="s">
        <v>545</v>
      </c>
      <c r="OK1" s="13" t="s">
        <v>546</v>
      </c>
      <c r="OL1" s="13" t="s">
        <v>547</v>
      </c>
      <c r="OM1" s="13" t="s">
        <v>548</v>
      </c>
      <c r="ON1" s="13" t="s">
        <v>549</v>
      </c>
      <c r="OO1" s="13" t="s">
        <v>550</v>
      </c>
      <c r="OP1" s="12" t="s">
        <v>551</v>
      </c>
      <c r="OQ1" s="13" t="s">
        <v>552</v>
      </c>
      <c r="OR1" s="13" t="s">
        <v>553</v>
      </c>
      <c r="OS1" s="13" t="s">
        <v>554</v>
      </c>
      <c r="OT1" s="13" t="s">
        <v>555</v>
      </c>
      <c r="OU1" s="13" t="s">
        <v>556</v>
      </c>
      <c r="OV1" s="12" t="s">
        <v>557</v>
      </c>
      <c r="OW1" s="13" t="s">
        <v>558</v>
      </c>
      <c r="OX1" s="13" t="s">
        <v>559</v>
      </c>
      <c r="OY1" s="13" t="s">
        <v>560</v>
      </c>
      <c r="OZ1" s="13" t="s">
        <v>559</v>
      </c>
      <c r="PA1" s="13" t="s">
        <v>561</v>
      </c>
      <c r="PB1" s="13" t="s">
        <v>562</v>
      </c>
      <c r="PC1" s="13" t="s">
        <v>563</v>
      </c>
      <c r="PD1" s="13" t="s">
        <v>564</v>
      </c>
      <c r="PE1" s="13" t="s">
        <v>565</v>
      </c>
      <c r="PF1" s="13" t="s">
        <v>566</v>
      </c>
      <c r="PG1" s="13" t="s">
        <v>567</v>
      </c>
      <c r="PH1" s="13" t="s">
        <v>568</v>
      </c>
      <c r="PI1" s="13" t="s">
        <v>569</v>
      </c>
      <c r="PJ1" s="13" t="s">
        <v>570</v>
      </c>
      <c r="PK1" s="13" t="s">
        <v>571</v>
      </c>
      <c r="PL1" s="13" t="s">
        <v>572</v>
      </c>
      <c r="PM1" s="13" t="s">
        <v>573</v>
      </c>
      <c r="PN1" s="13" t="s">
        <v>574</v>
      </c>
      <c r="PO1" s="13" t="s">
        <v>575</v>
      </c>
      <c r="PP1" s="13" t="s">
        <v>576</v>
      </c>
      <c r="PQ1" s="13" t="s">
        <v>577</v>
      </c>
      <c r="PR1" s="13" t="s">
        <v>578</v>
      </c>
      <c r="PS1" s="13" t="s">
        <v>579</v>
      </c>
      <c r="PT1" s="13" t="s">
        <v>580</v>
      </c>
      <c r="PU1" s="13" t="s">
        <v>581</v>
      </c>
      <c r="PV1" s="13" t="s">
        <v>582</v>
      </c>
      <c r="PW1" s="13" t="s">
        <v>583</v>
      </c>
      <c r="PX1" s="13" t="s">
        <v>584</v>
      </c>
      <c r="PY1" s="13" t="s">
        <v>585</v>
      </c>
      <c r="PZ1" s="13" t="s">
        <v>586</v>
      </c>
      <c r="QA1" s="13" t="s">
        <v>587</v>
      </c>
      <c r="QB1" s="13" t="s">
        <v>588</v>
      </c>
      <c r="QC1" s="13" t="s">
        <v>589</v>
      </c>
      <c r="QD1" s="13" t="s">
        <v>590</v>
      </c>
      <c r="QE1" s="13" t="s">
        <v>591</v>
      </c>
      <c r="QF1" s="13" t="s">
        <v>592</v>
      </c>
      <c r="QG1" s="13" t="s">
        <v>593</v>
      </c>
      <c r="QH1" s="13" t="s">
        <v>594</v>
      </c>
      <c r="QI1" s="13" t="s">
        <v>595</v>
      </c>
      <c r="QJ1" s="13" t="s">
        <v>596</v>
      </c>
      <c r="QK1" s="13" t="s">
        <v>597</v>
      </c>
      <c r="QL1" s="13" t="s">
        <v>598</v>
      </c>
      <c r="QM1" s="13" t="s">
        <v>599</v>
      </c>
      <c r="QN1" s="13" t="s">
        <v>600</v>
      </c>
      <c r="QO1" s="13" t="s">
        <v>601</v>
      </c>
      <c r="QP1" s="13" t="s">
        <v>602</v>
      </c>
      <c r="QQ1" s="13" t="s">
        <v>603</v>
      </c>
      <c r="QR1" s="13" t="s">
        <v>604</v>
      </c>
      <c r="QS1" s="13" t="s">
        <v>605</v>
      </c>
      <c r="QT1" s="13" t="s">
        <v>606</v>
      </c>
      <c r="QU1" s="13" t="s">
        <v>607</v>
      </c>
      <c r="QV1" s="13" t="s">
        <v>608</v>
      </c>
      <c r="QW1" s="13" t="s">
        <v>609</v>
      </c>
      <c r="QX1" s="13" t="s">
        <v>610</v>
      </c>
      <c r="QY1" s="13" t="s">
        <v>611</v>
      </c>
      <c r="QZ1" s="13" t="s">
        <v>612</v>
      </c>
      <c r="RA1" s="13" t="s">
        <v>613</v>
      </c>
      <c r="RB1" s="13" t="s">
        <v>614</v>
      </c>
      <c r="RC1" s="12" t="s">
        <v>615</v>
      </c>
      <c r="RD1" s="13" t="s">
        <v>616</v>
      </c>
      <c r="RE1" s="13" t="s">
        <v>617</v>
      </c>
      <c r="RF1" s="13" t="s">
        <v>618</v>
      </c>
      <c r="RG1" s="13" t="s">
        <v>619</v>
      </c>
      <c r="RH1" s="13" t="s">
        <v>620</v>
      </c>
      <c r="RI1" s="13" t="s">
        <v>621</v>
      </c>
      <c r="RJ1" s="13" t="s">
        <v>622</v>
      </c>
      <c r="RK1" s="13" t="s">
        <v>623</v>
      </c>
      <c r="RL1" s="13" t="s">
        <v>624</v>
      </c>
      <c r="RM1" s="13" t="s">
        <v>625</v>
      </c>
      <c r="RN1" s="13" t="s">
        <v>626</v>
      </c>
      <c r="RO1" s="13" t="s">
        <v>627</v>
      </c>
      <c r="RP1" s="13" t="s">
        <v>628</v>
      </c>
      <c r="RQ1" s="13" t="s">
        <v>629</v>
      </c>
      <c r="RR1" s="13" t="s">
        <v>630</v>
      </c>
      <c r="RS1" s="13" t="s">
        <v>631</v>
      </c>
      <c r="RT1" s="12" t="s">
        <v>632</v>
      </c>
      <c r="RU1" s="13" t="s">
        <v>633</v>
      </c>
      <c r="RV1" s="13" t="s">
        <v>634</v>
      </c>
      <c r="RW1" s="13" t="s">
        <v>635</v>
      </c>
      <c r="RX1" s="13" t="s">
        <v>636</v>
      </c>
      <c r="RY1" s="13" t="s">
        <v>637</v>
      </c>
      <c r="RZ1" s="13" t="s">
        <v>638</v>
      </c>
      <c r="SA1" s="13" t="s">
        <v>639</v>
      </c>
      <c r="SB1" s="13" t="s">
        <v>640</v>
      </c>
      <c r="SC1" s="13" t="s">
        <v>641</v>
      </c>
      <c r="SD1" s="13" t="s">
        <v>642</v>
      </c>
      <c r="SE1" s="13" t="s">
        <v>643</v>
      </c>
      <c r="SF1" s="13" t="s">
        <v>644</v>
      </c>
      <c r="SG1" s="13" t="s">
        <v>645</v>
      </c>
      <c r="SH1" s="13" t="s">
        <v>646</v>
      </c>
      <c r="SI1" s="13" t="s">
        <v>647</v>
      </c>
      <c r="SJ1" s="13" t="s">
        <v>648</v>
      </c>
      <c r="SK1" s="13" t="s">
        <v>649</v>
      </c>
      <c r="SL1" s="13" t="s">
        <v>650</v>
      </c>
      <c r="SM1" s="13" t="s">
        <v>651</v>
      </c>
      <c r="SN1" s="13" t="s">
        <v>652</v>
      </c>
      <c r="SO1" s="13" t="s">
        <v>653</v>
      </c>
      <c r="SP1" s="13" t="s">
        <v>654</v>
      </c>
      <c r="SQ1" s="13" t="s">
        <v>655</v>
      </c>
      <c r="SR1" s="13" t="s">
        <v>656</v>
      </c>
      <c r="SS1" s="13" t="s">
        <v>657</v>
      </c>
      <c r="ST1" s="13" t="s">
        <v>658</v>
      </c>
      <c r="SU1" s="13" t="s">
        <v>659</v>
      </c>
      <c r="SV1" s="13" t="s">
        <v>660</v>
      </c>
      <c r="SW1" s="13" t="s">
        <v>661</v>
      </c>
      <c r="SX1" s="13" t="s">
        <v>662</v>
      </c>
      <c r="SY1" s="13" t="s">
        <v>663</v>
      </c>
      <c r="SZ1" s="13" t="s">
        <v>664</v>
      </c>
      <c r="TA1" s="13" t="s">
        <v>665</v>
      </c>
      <c r="TB1" s="13" t="s">
        <v>666</v>
      </c>
      <c r="TC1" s="13" t="s">
        <v>667</v>
      </c>
      <c r="TD1" s="13" t="s">
        <v>668</v>
      </c>
      <c r="TE1" s="13" t="s">
        <v>669</v>
      </c>
      <c r="TF1" s="13" t="s">
        <v>670</v>
      </c>
      <c r="TG1" s="13" t="s">
        <v>671</v>
      </c>
      <c r="TH1" s="13" t="s">
        <v>672</v>
      </c>
      <c r="TI1" s="13" t="s">
        <v>673</v>
      </c>
      <c r="TJ1" s="13" t="s">
        <v>674</v>
      </c>
      <c r="TK1" s="13" t="s">
        <v>675</v>
      </c>
      <c r="TL1" s="13" t="s">
        <v>676</v>
      </c>
      <c r="TM1" s="13" t="s">
        <v>677</v>
      </c>
      <c r="TN1" s="13" t="s">
        <v>678</v>
      </c>
      <c r="TO1" s="13" t="s">
        <v>679</v>
      </c>
      <c r="TP1" s="13" t="s">
        <v>680</v>
      </c>
      <c r="TQ1" s="13" t="s">
        <v>681</v>
      </c>
      <c r="TR1" s="13" t="s">
        <v>682</v>
      </c>
      <c r="TS1" s="13" t="s">
        <v>683</v>
      </c>
      <c r="TT1" s="13" t="s">
        <v>684</v>
      </c>
      <c r="TU1" s="13" t="s">
        <v>685</v>
      </c>
      <c r="TV1" s="13" t="s">
        <v>686</v>
      </c>
      <c r="TW1" s="13" t="s">
        <v>687</v>
      </c>
      <c r="TX1" s="13" t="s">
        <v>688</v>
      </c>
      <c r="TY1" s="13" t="s">
        <v>689</v>
      </c>
      <c r="TZ1" s="13" t="s">
        <v>690</v>
      </c>
      <c r="UA1" s="13" t="s">
        <v>691</v>
      </c>
      <c r="UB1" s="13" t="s">
        <v>692</v>
      </c>
      <c r="UC1" s="13" t="s">
        <v>693</v>
      </c>
      <c r="UD1" s="12" t="s">
        <v>694</v>
      </c>
      <c r="UE1" s="13" t="s">
        <v>695</v>
      </c>
      <c r="UF1" s="13" t="s">
        <v>696</v>
      </c>
      <c r="UG1" s="13" t="s">
        <v>697</v>
      </c>
      <c r="UH1" s="13" t="s">
        <v>698</v>
      </c>
      <c r="UI1" s="13" t="s">
        <v>699</v>
      </c>
      <c r="UJ1" s="13" t="s">
        <v>700</v>
      </c>
      <c r="UK1" s="13" t="s">
        <v>701</v>
      </c>
      <c r="UL1" s="13" t="s">
        <v>702</v>
      </c>
      <c r="UM1" s="13" t="s">
        <v>703</v>
      </c>
      <c r="UN1" s="13" t="s">
        <v>704</v>
      </c>
      <c r="UO1" s="13" t="s">
        <v>703</v>
      </c>
      <c r="UP1" s="13" t="s">
        <v>705</v>
      </c>
      <c r="UQ1" s="13" t="s">
        <v>706</v>
      </c>
      <c r="UR1" s="13" t="s">
        <v>707</v>
      </c>
      <c r="US1" s="13" t="s">
        <v>708</v>
      </c>
      <c r="UT1" s="13" t="s">
        <v>709</v>
      </c>
      <c r="UU1" s="13" t="s">
        <v>710</v>
      </c>
      <c r="UV1" s="13" t="s">
        <v>711</v>
      </c>
      <c r="UW1" s="13" t="s">
        <v>712</v>
      </c>
      <c r="UX1" s="13" t="s">
        <v>713</v>
      </c>
      <c r="UY1" s="13" t="s">
        <v>714</v>
      </c>
      <c r="UZ1" s="13" t="s">
        <v>715</v>
      </c>
      <c r="VA1" s="13" t="s">
        <v>716</v>
      </c>
      <c r="VB1" s="13" t="s">
        <v>717</v>
      </c>
      <c r="VC1" s="13" t="s">
        <v>718</v>
      </c>
      <c r="VD1" s="13" t="s">
        <v>719</v>
      </c>
      <c r="VE1" s="13" t="s">
        <v>720</v>
      </c>
      <c r="VF1" s="13" t="s">
        <v>721</v>
      </c>
      <c r="VG1" s="13" t="s">
        <v>722</v>
      </c>
      <c r="VH1" s="13" t="s">
        <v>723</v>
      </c>
      <c r="VI1" s="12" t="s">
        <v>724</v>
      </c>
      <c r="VJ1" s="13" t="s">
        <v>725</v>
      </c>
      <c r="VK1" s="13" t="s">
        <v>726</v>
      </c>
      <c r="VL1" s="13" t="s">
        <v>727</v>
      </c>
      <c r="VM1" s="13" t="s">
        <v>728</v>
      </c>
      <c r="VN1" s="13" t="s">
        <v>729</v>
      </c>
      <c r="VO1" s="13" t="s">
        <v>730</v>
      </c>
      <c r="VP1" s="13" t="s">
        <v>731</v>
      </c>
      <c r="VQ1" s="13" t="s">
        <v>732</v>
      </c>
      <c r="VR1" s="13" t="s">
        <v>733</v>
      </c>
      <c r="VS1" s="13" t="s">
        <v>734</v>
      </c>
      <c r="VT1" s="13" t="s">
        <v>735</v>
      </c>
      <c r="VU1" s="13" t="s">
        <v>736</v>
      </c>
      <c r="VV1" s="13" t="s">
        <v>737</v>
      </c>
      <c r="VW1" s="13" t="s">
        <v>738</v>
      </c>
      <c r="VX1" s="13" t="s">
        <v>739</v>
      </c>
      <c r="VY1" s="13" t="s">
        <v>740</v>
      </c>
      <c r="VZ1" s="13" t="s">
        <v>741</v>
      </c>
      <c r="WA1" s="13" t="s">
        <v>742</v>
      </c>
      <c r="WB1" s="13" t="s">
        <v>743</v>
      </c>
      <c r="WC1" s="13" t="s">
        <v>744</v>
      </c>
      <c r="WD1" s="13" t="s">
        <v>745</v>
      </c>
      <c r="WE1" s="13" t="s">
        <v>746</v>
      </c>
      <c r="WF1" s="13" t="s">
        <v>747</v>
      </c>
      <c r="WG1" s="13" t="s">
        <v>748</v>
      </c>
      <c r="WH1" s="13" t="s">
        <v>749</v>
      </c>
      <c r="WI1" s="13" t="s">
        <v>750</v>
      </c>
      <c r="WJ1" s="13" t="s">
        <v>751</v>
      </c>
      <c r="WK1" s="13" t="s">
        <v>752</v>
      </c>
      <c r="WL1" s="12" t="s">
        <v>753</v>
      </c>
      <c r="WM1" s="13" t="s">
        <v>754</v>
      </c>
      <c r="WN1" s="13" t="s">
        <v>755</v>
      </c>
      <c r="WO1" s="13" t="s">
        <v>756</v>
      </c>
      <c r="WP1" s="13" t="s">
        <v>757</v>
      </c>
      <c r="WQ1" s="13" t="s">
        <v>758</v>
      </c>
      <c r="WR1" s="13" t="s">
        <v>759</v>
      </c>
      <c r="WS1" s="13" t="s">
        <v>760</v>
      </c>
      <c r="WT1" s="13" t="s">
        <v>761</v>
      </c>
      <c r="WU1" s="13" t="s">
        <v>762</v>
      </c>
      <c r="WV1" s="13" t="s">
        <v>763</v>
      </c>
      <c r="WW1" s="13" t="s">
        <v>764</v>
      </c>
      <c r="WX1" s="13" t="s">
        <v>765</v>
      </c>
      <c r="WY1" s="13" t="s">
        <v>766</v>
      </c>
      <c r="WZ1" s="13" t="s">
        <v>767</v>
      </c>
      <c r="XA1" s="13" t="s">
        <v>768</v>
      </c>
      <c r="XB1" s="13" t="s">
        <v>769</v>
      </c>
      <c r="XC1" s="13" t="s">
        <v>770</v>
      </c>
      <c r="XD1" s="13" t="s">
        <v>771</v>
      </c>
      <c r="XE1" s="13" t="s">
        <v>772</v>
      </c>
      <c r="XF1" s="13" t="s">
        <v>773</v>
      </c>
      <c r="XG1" s="12" t="s">
        <v>774</v>
      </c>
      <c r="XH1" s="13" t="s">
        <v>775</v>
      </c>
      <c r="XI1" s="13" t="s">
        <v>776</v>
      </c>
      <c r="XJ1" s="13" t="s">
        <v>777</v>
      </c>
      <c r="XK1" s="13" t="s">
        <v>778</v>
      </c>
      <c r="XL1" s="13" t="s">
        <v>779</v>
      </c>
      <c r="XM1" s="13" t="s">
        <v>780</v>
      </c>
      <c r="XN1" s="13" t="s">
        <v>781</v>
      </c>
      <c r="XO1" s="13" t="s">
        <v>782</v>
      </c>
      <c r="XP1" s="13" t="s">
        <v>783</v>
      </c>
      <c r="XQ1" s="13" t="s">
        <v>784</v>
      </c>
      <c r="XR1" s="13" t="s">
        <v>785</v>
      </c>
      <c r="XS1" s="13" t="s">
        <v>786</v>
      </c>
      <c r="XT1" s="13" t="s">
        <v>787</v>
      </c>
      <c r="XU1" s="13" t="s">
        <v>788</v>
      </c>
      <c r="XV1" s="13" t="s">
        <v>789</v>
      </c>
      <c r="XW1" s="13" t="s">
        <v>790</v>
      </c>
      <c r="XX1" s="13" t="s">
        <v>791</v>
      </c>
      <c r="XY1" s="13" t="s">
        <v>792</v>
      </c>
      <c r="XZ1" s="13" t="s">
        <v>793</v>
      </c>
      <c r="YA1" s="13" t="s">
        <v>794</v>
      </c>
      <c r="YB1" s="13" t="s">
        <v>795</v>
      </c>
      <c r="YC1" s="12" t="s">
        <v>796</v>
      </c>
      <c r="YD1" s="13" t="s">
        <v>797</v>
      </c>
      <c r="YE1" s="13" t="s">
        <v>798</v>
      </c>
      <c r="YF1" s="13" t="s">
        <v>799</v>
      </c>
      <c r="YG1" s="13" t="s">
        <v>800</v>
      </c>
      <c r="YH1" s="13" t="s">
        <v>801</v>
      </c>
      <c r="YI1" s="13" t="s">
        <v>802</v>
      </c>
      <c r="YJ1" s="13" t="s">
        <v>803</v>
      </c>
      <c r="YK1" s="13" t="s">
        <v>804</v>
      </c>
      <c r="YL1" s="13" t="s">
        <v>805</v>
      </c>
      <c r="YM1" s="13" t="s">
        <v>806</v>
      </c>
      <c r="YN1" s="13" t="s">
        <v>807</v>
      </c>
      <c r="YO1" s="13" t="s">
        <v>808</v>
      </c>
      <c r="YP1" s="13" t="s">
        <v>809</v>
      </c>
      <c r="YQ1" s="13" t="s">
        <v>810</v>
      </c>
      <c r="YR1" s="13" t="s">
        <v>811</v>
      </c>
      <c r="YS1" s="13" t="s">
        <v>812</v>
      </c>
      <c r="YT1" s="13" t="s">
        <v>813</v>
      </c>
      <c r="YU1" s="13" t="s">
        <v>814</v>
      </c>
      <c r="YV1" s="13" t="s">
        <v>815</v>
      </c>
      <c r="YW1" s="12" t="s">
        <v>816</v>
      </c>
      <c r="YX1" s="13" t="s">
        <v>817</v>
      </c>
      <c r="YY1" s="13" t="s">
        <v>818</v>
      </c>
      <c r="YZ1" s="13" t="s">
        <v>819</v>
      </c>
      <c r="ZA1" s="13" t="s">
        <v>820</v>
      </c>
      <c r="ZB1" s="13" t="s">
        <v>821</v>
      </c>
      <c r="ZC1" s="13" t="s">
        <v>822</v>
      </c>
      <c r="ZD1" s="13" t="s">
        <v>823</v>
      </c>
      <c r="ZE1" s="13" t="s">
        <v>824</v>
      </c>
      <c r="ZF1" s="13" t="s">
        <v>825</v>
      </c>
      <c r="ZG1" s="13" t="s">
        <v>826</v>
      </c>
      <c r="ZH1" s="13" t="s">
        <v>827</v>
      </c>
      <c r="ZI1" s="13" t="s">
        <v>828</v>
      </c>
      <c r="ZJ1" s="13" t="s">
        <v>829</v>
      </c>
      <c r="ZK1" s="13" t="s">
        <v>830</v>
      </c>
      <c r="ZL1" s="13" t="s">
        <v>831</v>
      </c>
      <c r="ZM1" s="13" t="s">
        <v>832</v>
      </c>
      <c r="ZN1" s="13" t="s">
        <v>833</v>
      </c>
      <c r="ZO1" s="13" t="s">
        <v>834</v>
      </c>
      <c r="ZP1" s="13" t="s">
        <v>835</v>
      </c>
      <c r="ZQ1" s="12" t="s">
        <v>836</v>
      </c>
      <c r="ZR1" s="13" t="s">
        <v>837</v>
      </c>
      <c r="ZS1" s="13" t="s">
        <v>838</v>
      </c>
      <c r="ZT1" s="13" t="s">
        <v>839</v>
      </c>
      <c r="ZU1" s="13" t="s">
        <v>840</v>
      </c>
      <c r="ZV1" s="13" t="s">
        <v>841</v>
      </c>
      <c r="ZW1" s="12" t="s">
        <v>842</v>
      </c>
      <c r="ZX1" s="13" t="s">
        <v>843</v>
      </c>
      <c r="ZY1" s="13" t="s">
        <v>844</v>
      </c>
      <c r="ZZ1" s="13" t="s">
        <v>845</v>
      </c>
      <c r="AAA1" s="13" t="s">
        <v>846</v>
      </c>
      <c r="AAB1" s="13" t="s">
        <v>847</v>
      </c>
      <c r="AAC1" s="13" t="s">
        <v>848</v>
      </c>
      <c r="AAD1" s="13" t="s">
        <v>849</v>
      </c>
      <c r="AAE1" s="13" t="s">
        <v>850</v>
      </c>
      <c r="AAF1" s="13" t="s">
        <v>851</v>
      </c>
      <c r="AAG1" s="13" t="s">
        <v>852</v>
      </c>
      <c r="AAH1" s="13" t="s">
        <v>853</v>
      </c>
      <c r="AAI1" s="13" t="s">
        <v>854</v>
      </c>
      <c r="AAJ1" s="13" t="s">
        <v>855</v>
      </c>
      <c r="AAK1" s="13" t="s">
        <v>856</v>
      </c>
      <c r="AAL1" s="13" t="s">
        <v>857</v>
      </c>
      <c r="AAM1" s="13" t="s">
        <v>858</v>
      </c>
      <c r="AAN1" s="13" t="s">
        <v>859</v>
      </c>
      <c r="AAO1" s="13" t="s">
        <v>860</v>
      </c>
      <c r="AAP1" s="13" t="s">
        <v>861</v>
      </c>
      <c r="AAQ1" s="13" t="s">
        <v>862</v>
      </c>
      <c r="AAR1" s="13" t="s">
        <v>863</v>
      </c>
      <c r="AAS1" s="12" t="s">
        <v>864</v>
      </c>
      <c r="AAT1" s="13" t="s">
        <v>865</v>
      </c>
      <c r="AAU1" s="13" t="s">
        <v>866</v>
      </c>
      <c r="AAV1" s="13" t="s">
        <v>867</v>
      </c>
      <c r="AAW1" s="13" t="s">
        <v>868</v>
      </c>
      <c r="AAX1" s="13" t="s">
        <v>869</v>
      </c>
      <c r="AAY1" s="13" t="s">
        <v>870</v>
      </c>
      <c r="AAZ1" s="13" t="s">
        <v>871</v>
      </c>
      <c r="ABA1" s="13" t="s">
        <v>872</v>
      </c>
      <c r="ABB1" s="13" t="s">
        <v>873</v>
      </c>
      <c r="ABC1" s="13" t="s">
        <v>874</v>
      </c>
      <c r="ABD1" s="13" t="s">
        <v>875</v>
      </c>
      <c r="ABE1" s="13" t="s">
        <v>876</v>
      </c>
      <c r="ABF1" s="13" t="s">
        <v>877</v>
      </c>
      <c r="ABG1" s="13" t="s">
        <v>878</v>
      </c>
      <c r="ABH1" s="13" t="s">
        <v>879</v>
      </c>
      <c r="ABI1" s="13" t="s">
        <v>880</v>
      </c>
      <c r="ABJ1" s="13" t="s">
        <v>881</v>
      </c>
      <c r="ABK1" s="13" t="s">
        <v>882</v>
      </c>
      <c r="ABL1" s="13" t="s">
        <v>883</v>
      </c>
      <c r="ABM1" s="13" t="s">
        <v>884</v>
      </c>
      <c r="ABN1" s="13" t="s">
        <v>885</v>
      </c>
      <c r="ABO1" s="13" t="s">
        <v>886</v>
      </c>
      <c r="ABP1" s="12" t="s">
        <v>887</v>
      </c>
      <c r="ABQ1" s="13" t="s">
        <v>888</v>
      </c>
      <c r="ABR1" s="13" t="s">
        <v>889</v>
      </c>
      <c r="ABS1" s="13" t="s">
        <v>890</v>
      </c>
      <c r="ABT1" s="13" t="s">
        <v>891</v>
      </c>
      <c r="ABU1" s="12" t="s">
        <v>892</v>
      </c>
      <c r="ABV1" s="13" t="s">
        <v>893</v>
      </c>
      <c r="ABW1" s="13" t="s">
        <v>894</v>
      </c>
      <c r="ABX1" s="13" t="s">
        <v>895</v>
      </c>
      <c r="ABY1" s="13" t="s">
        <v>896</v>
      </c>
      <c r="ABZ1" s="13" t="s">
        <v>897</v>
      </c>
      <c r="ACA1" s="13" t="s">
        <v>898</v>
      </c>
      <c r="ACB1" s="12" t="s">
        <v>899</v>
      </c>
      <c r="ACC1" s="13" t="s">
        <v>900</v>
      </c>
      <c r="ACD1" s="13" t="s">
        <v>901</v>
      </c>
      <c r="ACE1" s="13" t="s">
        <v>902</v>
      </c>
      <c r="ACF1" s="13" t="s">
        <v>903</v>
      </c>
      <c r="ACG1" s="13" t="s">
        <v>904</v>
      </c>
      <c r="ACH1" s="13" t="s">
        <v>905</v>
      </c>
      <c r="ACI1" s="13" t="s">
        <v>906</v>
      </c>
      <c r="ACJ1" s="13" t="s">
        <v>907</v>
      </c>
      <c r="ACK1" s="13" t="s">
        <v>908</v>
      </c>
      <c r="ACL1" s="13" t="s">
        <v>909</v>
      </c>
      <c r="ACM1" s="13" t="s">
        <v>910</v>
      </c>
      <c r="ACN1" s="13" t="s">
        <v>911</v>
      </c>
      <c r="ACO1" s="13" t="s">
        <v>912</v>
      </c>
      <c r="ACP1" s="12" t="s">
        <v>913</v>
      </c>
      <c r="ACQ1" s="13" t="s">
        <v>914</v>
      </c>
      <c r="ACR1" s="13" t="s">
        <v>915</v>
      </c>
      <c r="ACS1" s="13" t="s">
        <v>916</v>
      </c>
      <c r="ACT1" s="13" t="s">
        <v>917</v>
      </c>
      <c r="ACU1" s="13" t="s">
        <v>918</v>
      </c>
      <c r="ACV1" s="13" t="s">
        <v>919</v>
      </c>
      <c r="ACW1" s="13" t="s">
        <v>920</v>
      </c>
      <c r="ACX1" s="13" t="s">
        <v>921</v>
      </c>
      <c r="ACY1" s="13" t="s">
        <v>922</v>
      </c>
      <c r="ACZ1" s="12" t="s">
        <v>923</v>
      </c>
      <c r="ADA1" s="13" t="s">
        <v>924</v>
      </c>
      <c r="ADB1" s="13" t="s">
        <v>925</v>
      </c>
      <c r="ADC1" s="13" t="s">
        <v>926</v>
      </c>
      <c r="ADD1" s="13" t="s">
        <v>927</v>
      </c>
      <c r="ADE1" s="13" t="s">
        <v>928</v>
      </c>
      <c r="ADF1" s="13" t="s">
        <v>929</v>
      </c>
      <c r="ADG1" s="13" t="s">
        <v>930</v>
      </c>
      <c r="ADH1" s="13" t="s">
        <v>931</v>
      </c>
      <c r="ADI1" s="13" t="s">
        <v>932</v>
      </c>
      <c r="ADJ1" s="13" t="s">
        <v>933</v>
      </c>
      <c r="ADK1" s="13" t="s">
        <v>934</v>
      </c>
      <c r="ADL1" s="12" t="s">
        <v>935</v>
      </c>
      <c r="ADM1" s="13" t="s">
        <v>936</v>
      </c>
      <c r="ADN1" s="13" t="s">
        <v>937</v>
      </c>
      <c r="ADO1" s="13" t="s">
        <v>938</v>
      </c>
      <c r="ADP1" s="13" t="s">
        <v>939</v>
      </c>
      <c r="ADQ1" s="13" t="s">
        <v>940</v>
      </c>
      <c r="ADR1" s="13" t="s">
        <v>941</v>
      </c>
      <c r="ADS1" s="13" t="s">
        <v>942</v>
      </c>
      <c r="ADT1" s="13" t="s">
        <v>943</v>
      </c>
      <c r="ADU1" s="13" t="s">
        <v>944</v>
      </c>
      <c r="ADV1" s="13" t="s">
        <v>945</v>
      </c>
      <c r="ADW1" s="13" t="s">
        <v>946</v>
      </c>
      <c r="ADX1" s="13" t="s">
        <v>947</v>
      </c>
      <c r="ADY1" s="13" t="s">
        <v>948</v>
      </c>
      <c r="ADZ1" s="13" t="s">
        <v>949</v>
      </c>
      <c r="AEA1" s="13" t="s">
        <v>950</v>
      </c>
      <c r="AEB1" s="13" t="s">
        <v>951</v>
      </c>
      <c r="AEC1" s="13" t="s">
        <v>952</v>
      </c>
      <c r="AED1" s="13" t="s">
        <v>953</v>
      </c>
      <c r="AEE1" s="13" t="s">
        <v>954</v>
      </c>
      <c r="AEF1" s="13" t="s">
        <v>955</v>
      </c>
      <c r="AEG1" s="13" t="s">
        <v>956</v>
      </c>
      <c r="AEH1" s="12" t="s">
        <v>957</v>
      </c>
    </row>
    <row r="2" spans="1:814" x14ac:dyDescent="0.25">
      <c r="A2" s="8" t="s">
        <v>958</v>
      </c>
      <c r="B2" t="s">
        <v>959</v>
      </c>
      <c r="C2">
        <v>70</v>
      </c>
      <c r="D2" t="s">
        <v>960</v>
      </c>
      <c r="E2" t="s">
        <v>961</v>
      </c>
      <c r="F2" t="s">
        <v>961</v>
      </c>
      <c r="H2" t="s">
        <v>962</v>
      </c>
      <c r="I2" t="s">
        <v>961</v>
      </c>
      <c r="J2" t="s">
        <v>963</v>
      </c>
      <c r="K2" t="s">
        <v>964</v>
      </c>
      <c r="L2">
        <v>47</v>
      </c>
      <c r="M2">
        <v>168</v>
      </c>
      <c r="N2" t="s">
        <v>965</v>
      </c>
      <c r="O2" s="9">
        <v>36615</v>
      </c>
      <c r="P2" s="9">
        <v>36622</v>
      </c>
      <c r="Q2" t="s">
        <v>966</v>
      </c>
      <c r="R2" t="s">
        <v>967</v>
      </c>
      <c r="S2" t="s">
        <v>968</v>
      </c>
      <c r="T2" t="s">
        <v>969</v>
      </c>
      <c r="U2" t="s">
        <v>970</v>
      </c>
      <c r="V2" t="s">
        <v>971</v>
      </c>
      <c r="Y2">
        <v>124</v>
      </c>
      <c r="AC2">
        <v>41</v>
      </c>
      <c r="AZ2" s="10">
        <f t="shared" ref="AZ2:AZ9" si="0">COUNTA(Y2:AY2)</f>
        <v>2</v>
      </c>
      <c r="BA2" t="s">
        <v>972</v>
      </c>
      <c r="BE2">
        <v>20</v>
      </c>
      <c r="BJ2">
        <v>75</v>
      </c>
      <c r="BL2">
        <v>74</v>
      </c>
      <c r="CA2" s="10">
        <f t="shared" ref="CA2:CA9" si="1">COUNTA(BA2:BZ2)</f>
        <v>4</v>
      </c>
      <c r="CB2" t="s">
        <v>973</v>
      </c>
      <c r="CF2">
        <v>61</v>
      </c>
      <c r="CL2" t="s">
        <v>974</v>
      </c>
      <c r="DD2" s="10">
        <f t="shared" ref="DD2:DD9" si="2">COUNTA(CB2:DC2)</f>
        <v>3</v>
      </c>
      <c r="DE2" t="s">
        <v>975</v>
      </c>
      <c r="DR2" s="10">
        <f t="shared" ref="DR2:DR9" si="3">COUNTA(DF2:DQ2)</f>
        <v>0</v>
      </c>
      <c r="EE2" s="10">
        <f t="shared" ref="EE2:EE9" si="4">COUNTA(DS2:ED2)</f>
        <v>0</v>
      </c>
      <c r="FH2" s="10">
        <f t="shared" ref="FH2:FH9" si="5">COUNTA(EF2:FG2)</f>
        <v>0</v>
      </c>
      <c r="HX2" s="10">
        <f t="shared" ref="HX2:HX9" si="6">COUNTA(FI2:HW2)</f>
        <v>0</v>
      </c>
      <c r="KL2" s="10">
        <f t="shared" ref="KL2:KL9" si="7">COUNTA(HY2:KK2)</f>
        <v>0</v>
      </c>
      <c r="MY2" s="10">
        <f t="shared" ref="MY2:MY9" si="8">COUNTA(KM2:MX2)</f>
        <v>0</v>
      </c>
      <c r="OP2" s="10">
        <f t="shared" ref="OP2:OP9" si="9">COUNTA(MZ2:OO2)</f>
        <v>0</v>
      </c>
      <c r="OV2" s="10">
        <f t="shared" ref="OV2:OV9" si="10">COUNTA(OQ2:OU2)</f>
        <v>0</v>
      </c>
      <c r="RC2" s="10">
        <f t="shared" ref="RC2:RC9" si="11">COUNTA(OW2:RB2)</f>
        <v>0</v>
      </c>
      <c r="RT2" s="10">
        <f t="shared" ref="RT2:RT9" si="12">COUNTA(RD2:RS2)</f>
        <v>0</v>
      </c>
      <c r="UD2" s="10">
        <f t="shared" ref="UD2:UD9" si="13">COUNTA(RU2:UC2)</f>
        <v>0</v>
      </c>
      <c r="VI2" s="10">
        <f t="shared" ref="VI2:VI9" si="14">COUNTA(UE2:VH2)</f>
        <v>0</v>
      </c>
      <c r="WL2" s="10">
        <f t="shared" ref="WL2:WL9" si="15">COUNTA(VJ2:WK2)</f>
        <v>0</v>
      </c>
      <c r="XG2" s="10">
        <f t="shared" ref="XG2:XG9" si="16">COUNTA(WM2:XF2)</f>
        <v>0</v>
      </c>
      <c r="YC2" s="10">
        <f t="shared" ref="YC2:YC9" si="17">COUNTA(XH2:YB2)</f>
        <v>0</v>
      </c>
      <c r="YW2" s="10">
        <f t="shared" ref="YW2:YW9" si="18">COUNTA(YD2:YV2)</f>
        <v>0</v>
      </c>
      <c r="ZQ2" s="10">
        <f t="shared" ref="ZQ2:ZQ9" si="19">COUNTA(YX2:ZP2)</f>
        <v>0</v>
      </c>
      <c r="ZW2" s="10">
        <f t="shared" ref="ZW2:ZW9" si="20">COUNTA(ZR2:ZV2)</f>
        <v>0</v>
      </c>
      <c r="AAS2" s="10">
        <f t="shared" ref="AAS2:AAS9" si="21">COUNTA(ZX2:AAR2)</f>
        <v>0</v>
      </c>
      <c r="ABP2" s="10">
        <f t="shared" ref="ABP2:ABP9" si="22">COUNTA(AAT2,ABO2)</f>
        <v>0</v>
      </c>
      <c r="ABU2" s="10">
        <f t="shared" ref="ABU2:ABU9" si="23">COUNTA(ABQ2:ABT2)</f>
        <v>0</v>
      </c>
      <c r="ACB2" s="10">
        <f t="shared" ref="ACB2:ACB9" si="24">COUNTA(ABV2:ACA2)</f>
        <v>0</v>
      </c>
      <c r="ACP2" s="10">
        <f t="shared" ref="ACP2:ACP9" si="25">COUNTA(ACG2:ACO2)</f>
        <v>0</v>
      </c>
      <c r="ACZ2" s="10">
        <f t="shared" ref="ACZ2:ACZ9" si="26">COUNTA(ACU2:ACY2)</f>
        <v>0</v>
      </c>
      <c r="ADL2" s="10">
        <f t="shared" ref="ADL2:ADL9" si="27">COUNTA(ADA2:ADK2)</f>
        <v>0</v>
      </c>
      <c r="AEH2" s="10">
        <f t="shared" ref="AEH2:AEH9" si="28">COUNTA(ADM2:AEG2)</f>
        <v>0</v>
      </c>
    </row>
    <row r="3" spans="1:814" x14ac:dyDescent="0.25">
      <c r="A3" s="8" t="s">
        <v>976</v>
      </c>
      <c r="B3" t="s">
        <v>977</v>
      </c>
      <c r="C3">
        <v>58</v>
      </c>
      <c r="D3" t="s">
        <v>960</v>
      </c>
      <c r="E3" t="s">
        <v>978</v>
      </c>
      <c r="F3" t="s">
        <v>961</v>
      </c>
      <c r="G3" t="s">
        <v>979</v>
      </c>
      <c r="H3" t="s">
        <v>962</v>
      </c>
      <c r="I3" t="s">
        <v>961</v>
      </c>
      <c r="K3" t="s">
        <v>964</v>
      </c>
      <c r="L3">
        <v>65</v>
      </c>
      <c r="M3">
        <v>150</v>
      </c>
      <c r="N3" t="s">
        <v>980</v>
      </c>
      <c r="S3" t="s">
        <v>981</v>
      </c>
      <c r="T3" t="s">
        <v>982</v>
      </c>
      <c r="U3" t="s">
        <v>983</v>
      </c>
      <c r="V3" t="s">
        <v>984</v>
      </c>
      <c r="AZ3" s="10">
        <f t="shared" si="0"/>
        <v>0</v>
      </c>
      <c r="CA3" s="10">
        <f t="shared" si="1"/>
        <v>0</v>
      </c>
      <c r="DD3" s="10">
        <f t="shared" si="2"/>
        <v>0</v>
      </c>
      <c r="DR3" s="10">
        <f t="shared" si="3"/>
        <v>0</v>
      </c>
      <c r="EE3" s="10">
        <f t="shared" si="4"/>
        <v>0</v>
      </c>
      <c r="FH3" s="10">
        <f t="shared" si="5"/>
        <v>0</v>
      </c>
      <c r="FI3">
        <v>13</v>
      </c>
      <c r="HX3" s="10">
        <f t="shared" si="6"/>
        <v>1</v>
      </c>
      <c r="HY3">
        <v>24</v>
      </c>
      <c r="KL3" s="10">
        <f t="shared" si="7"/>
        <v>1</v>
      </c>
      <c r="KM3">
        <v>49</v>
      </c>
      <c r="MY3" s="10">
        <f t="shared" si="8"/>
        <v>1</v>
      </c>
      <c r="MZ3">
        <v>222</v>
      </c>
      <c r="OP3" s="10">
        <f t="shared" si="9"/>
        <v>1</v>
      </c>
      <c r="OV3" s="10">
        <f t="shared" si="10"/>
        <v>0</v>
      </c>
      <c r="RC3" s="10">
        <f t="shared" si="11"/>
        <v>0</v>
      </c>
      <c r="RT3" s="10">
        <f t="shared" si="12"/>
        <v>0</v>
      </c>
      <c r="UD3" s="10">
        <f t="shared" si="13"/>
        <v>0</v>
      </c>
      <c r="VI3" s="10">
        <f t="shared" si="14"/>
        <v>0</v>
      </c>
      <c r="WL3" s="10">
        <f t="shared" si="15"/>
        <v>0</v>
      </c>
      <c r="XG3" s="10">
        <f t="shared" si="16"/>
        <v>0</v>
      </c>
      <c r="YC3" s="10">
        <f t="shared" si="17"/>
        <v>0</v>
      </c>
      <c r="YW3" s="10">
        <f t="shared" si="18"/>
        <v>0</v>
      </c>
      <c r="ZQ3" s="10">
        <f t="shared" si="19"/>
        <v>0</v>
      </c>
      <c r="ZW3" s="10">
        <f t="shared" si="20"/>
        <v>0</v>
      </c>
      <c r="AAS3" s="10">
        <f t="shared" si="21"/>
        <v>0</v>
      </c>
      <c r="ABP3" s="10">
        <f t="shared" si="22"/>
        <v>0</v>
      </c>
      <c r="ABU3" s="10">
        <f t="shared" si="23"/>
        <v>0</v>
      </c>
      <c r="ACB3" s="10">
        <f t="shared" si="24"/>
        <v>0</v>
      </c>
      <c r="ACP3" s="10">
        <f t="shared" si="25"/>
        <v>0</v>
      </c>
      <c r="ACZ3" s="10">
        <f t="shared" si="26"/>
        <v>0</v>
      </c>
      <c r="ADL3" s="10">
        <f t="shared" si="27"/>
        <v>0</v>
      </c>
      <c r="AEH3" s="10">
        <f t="shared" si="28"/>
        <v>0</v>
      </c>
    </row>
    <row r="4" spans="1:814" x14ac:dyDescent="0.25">
      <c r="A4" s="8" t="s">
        <v>985</v>
      </c>
      <c r="B4" t="s">
        <v>986</v>
      </c>
      <c r="C4">
        <v>15</v>
      </c>
      <c r="D4" t="s">
        <v>987</v>
      </c>
      <c r="E4" t="s">
        <v>961</v>
      </c>
      <c r="F4" t="s">
        <v>961</v>
      </c>
      <c r="G4" t="s">
        <v>988</v>
      </c>
      <c r="H4" t="s">
        <v>962</v>
      </c>
      <c r="I4" t="s">
        <v>961</v>
      </c>
      <c r="K4" t="s">
        <v>964</v>
      </c>
      <c r="L4">
        <v>78</v>
      </c>
      <c r="M4">
        <v>173</v>
      </c>
      <c r="N4" t="s">
        <v>989</v>
      </c>
      <c r="S4" t="s">
        <v>990</v>
      </c>
      <c r="U4" t="s">
        <v>991</v>
      </c>
      <c r="V4" t="s">
        <v>992</v>
      </c>
      <c r="AZ4" s="10">
        <f t="shared" si="0"/>
        <v>0</v>
      </c>
      <c r="CA4" s="10">
        <f t="shared" si="1"/>
        <v>0</v>
      </c>
      <c r="DD4" s="10">
        <f t="shared" si="2"/>
        <v>0</v>
      </c>
      <c r="DR4" s="10">
        <f t="shared" si="3"/>
        <v>0</v>
      </c>
      <c r="EE4" s="10">
        <f t="shared" si="4"/>
        <v>0</v>
      </c>
      <c r="EQ4">
        <v>200</v>
      </c>
      <c r="FH4" s="10">
        <f t="shared" si="5"/>
        <v>1</v>
      </c>
      <c r="FM4">
        <v>28</v>
      </c>
      <c r="HX4" s="10">
        <f t="shared" si="6"/>
        <v>1</v>
      </c>
      <c r="IB4">
        <v>32</v>
      </c>
      <c r="KL4" s="10">
        <f t="shared" si="7"/>
        <v>1</v>
      </c>
      <c r="MY4" s="10">
        <f t="shared" si="8"/>
        <v>0</v>
      </c>
      <c r="NC4">
        <v>249</v>
      </c>
      <c r="OP4" s="10">
        <f t="shared" si="9"/>
        <v>1</v>
      </c>
      <c r="OQ4" t="s">
        <v>993</v>
      </c>
      <c r="OV4" s="10">
        <f t="shared" si="10"/>
        <v>1</v>
      </c>
      <c r="RC4" s="10">
        <f t="shared" si="11"/>
        <v>0</v>
      </c>
      <c r="RT4" s="10">
        <f t="shared" si="12"/>
        <v>0</v>
      </c>
      <c r="UD4" s="10">
        <f t="shared" si="13"/>
        <v>0</v>
      </c>
      <c r="VI4" s="10">
        <f t="shared" si="14"/>
        <v>0</v>
      </c>
      <c r="WL4" s="10">
        <f t="shared" si="15"/>
        <v>0</v>
      </c>
      <c r="XG4" s="10">
        <f t="shared" si="16"/>
        <v>0</v>
      </c>
      <c r="YC4" s="10">
        <f t="shared" si="17"/>
        <v>0</v>
      </c>
      <c r="YW4" s="10">
        <f t="shared" si="18"/>
        <v>0</v>
      </c>
      <c r="ZQ4" s="10">
        <f t="shared" si="19"/>
        <v>0</v>
      </c>
      <c r="ZW4" s="10">
        <f t="shared" si="20"/>
        <v>0</v>
      </c>
      <c r="AAS4" s="10">
        <f t="shared" si="21"/>
        <v>0</v>
      </c>
      <c r="ABP4" s="10">
        <f t="shared" si="22"/>
        <v>0</v>
      </c>
      <c r="ABU4" s="10">
        <f t="shared" si="23"/>
        <v>0</v>
      </c>
      <c r="ACB4" s="10">
        <f t="shared" si="24"/>
        <v>0</v>
      </c>
      <c r="ACP4" s="10">
        <f t="shared" si="25"/>
        <v>0</v>
      </c>
      <c r="ACZ4" s="10">
        <f t="shared" si="26"/>
        <v>0</v>
      </c>
      <c r="ADL4" s="10">
        <f t="shared" si="27"/>
        <v>0</v>
      </c>
      <c r="AEH4" s="10">
        <f t="shared" si="28"/>
        <v>0</v>
      </c>
    </row>
    <row r="5" spans="1:814" x14ac:dyDescent="0.25">
      <c r="A5" s="8" t="s">
        <v>994</v>
      </c>
      <c r="B5" t="s">
        <v>995</v>
      </c>
      <c r="C5">
        <v>36</v>
      </c>
      <c r="D5" t="s">
        <v>960</v>
      </c>
      <c r="E5" t="s">
        <v>978</v>
      </c>
      <c r="F5" t="s">
        <v>961</v>
      </c>
      <c r="G5" t="s">
        <v>996</v>
      </c>
      <c r="H5" t="s">
        <v>962</v>
      </c>
      <c r="I5" t="s">
        <v>961</v>
      </c>
      <c r="K5" t="s">
        <v>964</v>
      </c>
      <c r="L5">
        <v>62</v>
      </c>
      <c r="M5">
        <v>155</v>
      </c>
      <c r="N5" t="s">
        <v>997</v>
      </c>
      <c r="S5" t="s">
        <v>998</v>
      </c>
      <c r="T5" t="s">
        <v>999</v>
      </c>
      <c r="U5" t="s">
        <v>1000</v>
      </c>
      <c r="V5" t="s">
        <v>1001</v>
      </c>
      <c r="AZ5" s="10">
        <f t="shared" si="0"/>
        <v>0</v>
      </c>
      <c r="CA5" s="10">
        <f t="shared" si="1"/>
        <v>0</v>
      </c>
      <c r="DD5" s="10">
        <f t="shared" si="2"/>
        <v>0</v>
      </c>
      <c r="DR5" s="10">
        <f t="shared" si="3"/>
        <v>0</v>
      </c>
      <c r="EE5" s="10">
        <f t="shared" si="4"/>
        <v>0</v>
      </c>
      <c r="EH5">
        <v>11.64</v>
      </c>
      <c r="FH5" s="10">
        <f t="shared" si="5"/>
        <v>1</v>
      </c>
      <c r="FI5">
        <v>15</v>
      </c>
      <c r="HX5" s="10">
        <f t="shared" si="6"/>
        <v>1</v>
      </c>
      <c r="HY5">
        <v>28</v>
      </c>
      <c r="KL5" s="10">
        <f t="shared" si="7"/>
        <v>1</v>
      </c>
      <c r="KM5">
        <v>45</v>
      </c>
      <c r="MY5" s="10">
        <f t="shared" si="8"/>
        <v>1</v>
      </c>
      <c r="MZ5">
        <v>144</v>
      </c>
      <c r="OP5" s="10">
        <f t="shared" si="9"/>
        <v>1</v>
      </c>
      <c r="OR5">
        <v>6.8</v>
      </c>
      <c r="OV5" s="10">
        <f t="shared" si="10"/>
        <v>1</v>
      </c>
      <c r="RC5" s="10">
        <f t="shared" si="11"/>
        <v>0</v>
      </c>
      <c r="RT5" s="10">
        <f t="shared" si="12"/>
        <v>0</v>
      </c>
      <c r="UD5" s="10">
        <f t="shared" si="13"/>
        <v>0</v>
      </c>
      <c r="VI5" s="10">
        <f t="shared" si="14"/>
        <v>0</v>
      </c>
      <c r="WL5" s="10">
        <f t="shared" si="15"/>
        <v>0</v>
      </c>
      <c r="XG5" s="10">
        <f t="shared" si="16"/>
        <v>0</v>
      </c>
      <c r="YC5" s="10">
        <f t="shared" si="17"/>
        <v>0</v>
      </c>
      <c r="YW5" s="10">
        <f t="shared" si="18"/>
        <v>0</v>
      </c>
      <c r="ZQ5" s="10">
        <f t="shared" si="19"/>
        <v>0</v>
      </c>
      <c r="ZW5" s="10">
        <f t="shared" si="20"/>
        <v>0</v>
      </c>
      <c r="AAS5" s="10">
        <f t="shared" si="21"/>
        <v>0</v>
      </c>
      <c r="ABP5" s="10">
        <f t="shared" si="22"/>
        <v>0</v>
      </c>
      <c r="ABU5" s="10">
        <f t="shared" si="23"/>
        <v>0</v>
      </c>
      <c r="ACB5" s="10">
        <f t="shared" si="24"/>
        <v>0</v>
      </c>
      <c r="ACP5" s="10">
        <f t="shared" si="25"/>
        <v>0</v>
      </c>
      <c r="ACZ5" s="10">
        <f t="shared" si="26"/>
        <v>0</v>
      </c>
      <c r="ADL5" s="10">
        <f t="shared" si="27"/>
        <v>0</v>
      </c>
      <c r="AEH5" s="10">
        <f t="shared" si="28"/>
        <v>0</v>
      </c>
    </row>
    <row r="6" spans="1:814" x14ac:dyDescent="0.25">
      <c r="A6" s="8" t="s">
        <v>1002</v>
      </c>
      <c r="B6" t="s">
        <v>1003</v>
      </c>
      <c r="C6">
        <v>59</v>
      </c>
      <c r="D6" t="s">
        <v>960</v>
      </c>
      <c r="E6" t="s">
        <v>961</v>
      </c>
      <c r="F6" t="s">
        <v>961</v>
      </c>
      <c r="G6" t="s">
        <v>1004</v>
      </c>
      <c r="H6" t="s">
        <v>978</v>
      </c>
      <c r="I6" t="s">
        <v>961</v>
      </c>
      <c r="K6" t="s">
        <v>964</v>
      </c>
      <c r="L6">
        <v>77</v>
      </c>
      <c r="M6">
        <v>170</v>
      </c>
      <c r="N6" t="s">
        <v>1005</v>
      </c>
      <c r="O6" s="3" t="s">
        <v>1006</v>
      </c>
      <c r="P6" s="3" t="s">
        <v>1006</v>
      </c>
      <c r="Q6" t="s">
        <v>1007</v>
      </c>
      <c r="R6" t="s">
        <v>1008</v>
      </c>
      <c r="S6" t="s">
        <v>1009</v>
      </c>
      <c r="T6" t="s">
        <v>1010</v>
      </c>
      <c r="U6" t="s">
        <v>1011</v>
      </c>
      <c r="V6" t="s">
        <v>1012</v>
      </c>
      <c r="AZ6" s="10">
        <f t="shared" si="0"/>
        <v>0</v>
      </c>
      <c r="CA6" s="10">
        <f t="shared" si="1"/>
        <v>0</v>
      </c>
      <c r="DD6" s="10">
        <f t="shared" si="2"/>
        <v>0</v>
      </c>
      <c r="DR6" s="10">
        <f t="shared" si="3"/>
        <v>0</v>
      </c>
      <c r="EE6" s="10">
        <f t="shared" si="4"/>
        <v>0</v>
      </c>
      <c r="EF6">
        <v>4000</v>
      </c>
      <c r="FH6" s="10">
        <f t="shared" si="5"/>
        <v>1</v>
      </c>
      <c r="HX6" s="10">
        <f t="shared" si="6"/>
        <v>0</v>
      </c>
      <c r="KL6" s="10">
        <f t="shared" si="7"/>
        <v>0</v>
      </c>
      <c r="KM6">
        <v>240</v>
      </c>
      <c r="MY6" s="10">
        <f t="shared" si="8"/>
        <v>1</v>
      </c>
      <c r="OP6" s="10">
        <f t="shared" si="9"/>
        <v>0</v>
      </c>
      <c r="OQ6" t="s">
        <v>1013</v>
      </c>
      <c r="OV6" s="10">
        <f t="shared" si="10"/>
        <v>1</v>
      </c>
      <c r="RC6" s="10">
        <f t="shared" si="11"/>
        <v>0</v>
      </c>
      <c r="RT6" s="10">
        <f t="shared" si="12"/>
        <v>0</v>
      </c>
      <c r="UD6" s="10">
        <f t="shared" si="13"/>
        <v>0</v>
      </c>
      <c r="VI6" s="10">
        <f t="shared" si="14"/>
        <v>0</v>
      </c>
      <c r="WL6" s="10">
        <f t="shared" si="15"/>
        <v>0</v>
      </c>
      <c r="XG6" s="10">
        <f t="shared" si="16"/>
        <v>0</v>
      </c>
      <c r="YC6" s="10">
        <f t="shared" si="17"/>
        <v>0</v>
      </c>
      <c r="YW6" s="10">
        <f t="shared" si="18"/>
        <v>0</v>
      </c>
      <c r="YX6">
        <v>11</v>
      </c>
      <c r="ZQ6" s="10">
        <f t="shared" si="19"/>
        <v>1</v>
      </c>
      <c r="ZW6" s="10">
        <f t="shared" si="20"/>
        <v>0</v>
      </c>
      <c r="AAS6" s="10">
        <f t="shared" si="21"/>
        <v>0</v>
      </c>
      <c r="ABP6" s="10">
        <f t="shared" si="22"/>
        <v>0</v>
      </c>
      <c r="ABU6" s="10">
        <f t="shared" si="23"/>
        <v>0</v>
      </c>
      <c r="ACB6" s="10">
        <f t="shared" si="24"/>
        <v>0</v>
      </c>
      <c r="ACP6" s="10">
        <f t="shared" si="25"/>
        <v>0</v>
      </c>
      <c r="ACZ6" s="10">
        <f t="shared" si="26"/>
        <v>0</v>
      </c>
      <c r="ADL6" s="10">
        <f t="shared" si="27"/>
        <v>0</v>
      </c>
      <c r="AEH6" s="10">
        <f t="shared" si="28"/>
        <v>0</v>
      </c>
    </row>
    <row r="7" spans="1:814" x14ac:dyDescent="0.25">
      <c r="A7" s="8" t="s">
        <v>1014</v>
      </c>
      <c r="B7" t="s">
        <v>1015</v>
      </c>
      <c r="C7">
        <v>53</v>
      </c>
      <c r="D7" t="s">
        <v>960</v>
      </c>
      <c r="E7" t="s">
        <v>961</v>
      </c>
      <c r="F7" t="s">
        <v>961</v>
      </c>
      <c r="G7" t="s">
        <v>1016</v>
      </c>
      <c r="H7" t="s">
        <v>978</v>
      </c>
      <c r="I7" t="s">
        <v>978</v>
      </c>
      <c r="K7" t="s">
        <v>964</v>
      </c>
      <c r="L7">
        <v>78</v>
      </c>
      <c r="M7">
        <v>158</v>
      </c>
      <c r="N7" t="s">
        <v>1017</v>
      </c>
      <c r="O7" s="3">
        <v>36536</v>
      </c>
      <c r="P7" s="3">
        <v>36537</v>
      </c>
      <c r="Q7" t="s">
        <v>1018</v>
      </c>
      <c r="R7" t="s">
        <v>1019</v>
      </c>
      <c r="S7" t="s">
        <v>1020</v>
      </c>
      <c r="T7" t="s">
        <v>1021</v>
      </c>
      <c r="U7" t="s">
        <v>1022</v>
      </c>
      <c r="V7" t="s">
        <v>1023</v>
      </c>
      <c r="AZ7" s="10">
        <f t="shared" si="0"/>
        <v>0</v>
      </c>
      <c r="CA7" s="10">
        <f t="shared" si="1"/>
        <v>0</v>
      </c>
      <c r="DD7" s="10">
        <f t="shared" si="2"/>
        <v>0</v>
      </c>
      <c r="DR7" s="10">
        <f t="shared" si="3"/>
        <v>0</v>
      </c>
      <c r="EE7" s="10">
        <f t="shared" si="4"/>
        <v>0</v>
      </c>
      <c r="EH7">
        <v>8900</v>
      </c>
      <c r="EK7">
        <v>10600</v>
      </c>
      <c r="FH7" s="10">
        <f t="shared" si="5"/>
        <v>2</v>
      </c>
      <c r="FU7">
        <v>25</v>
      </c>
      <c r="HX7" s="10">
        <f t="shared" si="6"/>
        <v>1</v>
      </c>
      <c r="IJ7">
        <v>64</v>
      </c>
      <c r="KL7" s="10">
        <f t="shared" si="7"/>
        <v>1</v>
      </c>
      <c r="KQ7">
        <v>51</v>
      </c>
      <c r="MY7" s="10">
        <f t="shared" si="8"/>
        <v>1</v>
      </c>
      <c r="OP7" s="10">
        <f t="shared" si="9"/>
        <v>0</v>
      </c>
      <c r="OQ7" t="s">
        <v>1024</v>
      </c>
      <c r="OV7" s="10">
        <f t="shared" si="10"/>
        <v>1</v>
      </c>
      <c r="RC7" s="10">
        <f t="shared" si="11"/>
        <v>0</v>
      </c>
      <c r="RT7" s="10">
        <f t="shared" si="12"/>
        <v>0</v>
      </c>
      <c r="UD7" s="10">
        <f t="shared" si="13"/>
        <v>0</v>
      </c>
      <c r="VI7" s="10">
        <f t="shared" si="14"/>
        <v>0</v>
      </c>
      <c r="WL7" s="10">
        <f t="shared" si="15"/>
        <v>0</v>
      </c>
      <c r="XG7" s="10">
        <f t="shared" si="16"/>
        <v>0</v>
      </c>
      <c r="YC7" s="10">
        <f t="shared" si="17"/>
        <v>0</v>
      </c>
      <c r="YW7" s="10">
        <f t="shared" si="18"/>
        <v>0</v>
      </c>
      <c r="ZQ7" s="10">
        <f t="shared" si="19"/>
        <v>0</v>
      </c>
      <c r="ZW7" s="10">
        <f t="shared" si="20"/>
        <v>0</v>
      </c>
      <c r="AAS7" s="10">
        <f t="shared" si="21"/>
        <v>0</v>
      </c>
      <c r="ABP7" s="10">
        <f t="shared" si="22"/>
        <v>0</v>
      </c>
      <c r="ABU7" s="10">
        <f t="shared" si="23"/>
        <v>0</v>
      </c>
      <c r="ACB7" s="10">
        <f t="shared" si="24"/>
        <v>0</v>
      </c>
      <c r="ACP7" s="10">
        <f t="shared" si="25"/>
        <v>0</v>
      </c>
      <c r="ACZ7" s="10">
        <f t="shared" si="26"/>
        <v>0</v>
      </c>
      <c r="ADL7" s="10">
        <f t="shared" si="27"/>
        <v>0</v>
      </c>
      <c r="AEH7" s="10">
        <f t="shared" si="28"/>
        <v>0</v>
      </c>
    </row>
    <row r="8" spans="1:814" x14ac:dyDescent="0.25">
      <c r="A8" s="11" t="s">
        <v>1025</v>
      </c>
      <c r="B8" t="s">
        <v>1026</v>
      </c>
      <c r="C8">
        <v>28</v>
      </c>
      <c r="D8" t="s">
        <v>960</v>
      </c>
      <c r="E8" t="s">
        <v>961</v>
      </c>
      <c r="F8" t="s">
        <v>961</v>
      </c>
      <c r="G8" t="s">
        <v>1027</v>
      </c>
      <c r="H8" t="s">
        <v>978</v>
      </c>
      <c r="I8" t="s">
        <v>961</v>
      </c>
      <c r="J8" t="s">
        <v>1028</v>
      </c>
      <c r="K8" t="s">
        <v>964</v>
      </c>
      <c r="P8" s="3">
        <v>36958</v>
      </c>
      <c r="S8" t="s">
        <v>1029</v>
      </c>
      <c r="U8" t="s">
        <v>1030</v>
      </c>
      <c r="V8" t="s">
        <v>1031</v>
      </c>
      <c r="AZ8" s="10">
        <f t="shared" si="0"/>
        <v>0</v>
      </c>
      <c r="CA8" s="10">
        <f t="shared" si="1"/>
        <v>0</v>
      </c>
      <c r="DD8" s="10">
        <f t="shared" si="2"/>
        <v>0</v>
      </c>
      <c r="DR8" s="10">
        <f t="shared" si="3"/>
        <v>0</v>
      </c>
      <c r="EE8" s="10">
        <f t="shared" si="4"/>
        <v>0</v>
      </c>
      <c r="FH8" s="10">
        <f t="shared" si="5"/>
        <v>0</v>
      </c>
      <c r="FI8">
        <v>20</v>
      </c>
      <c r="HX8" s="10">
        <f t="shared" si="6"/>
        <v>1</v>
      </c>
      <c r="HY8">
        <v>27</v>
      </c>
      <c r="KL8" s="10">
        <f t="shared" si="7"/>
        <v>1</v>
      </c>
      <c r="MY8" s="10">
        <f t="shared" si="8"/>
        <v>0</v>
      </c>
      <c r="MZ8">
        <v>248</v>
      </c>
      <c r="OP8" s="10">
        <f t="shared" si="9"/>
        <v>1</v>
      </c>
      <c r="OV8" s="10">
        <f t="shared" si="10"/>
        <v>0</v>
      </c>
      <c r="RC8" s="10">
        <f t="shared" si="11"/>
        <v>0</v>
      </c>
      <c r="RT8" s="10">
        <f t="shared" si="12"/>
        <v>0</v>
      </c>
      <c r="UD8" s="10">
        <f t="shared" si="13"/>
        <v>0</v>
      </c>
      <c r="UE8">
        <v>2.9</v>
      </c>
      <c r="VI8" s="10">
        <f t="shared" si="14"/>
        <v>1</v>
      </c>
      <c r="WL8" s="10">
        <f t="shared" si="15"/>
        <v>0</v>
      </c>
      <c r="XG8" s="10">
        <f t="shared" si="16"/>
        <v>0</v>
      </c>
      <c r="XH8">
        <v>196</v>
      </c>
      <c r="YC8" s="10">
        <f t="shared" si="17"/>
        <v>1</v>
      </c>
      <c r="YW8" s="10">
        <f t="shared" si="18"/>
        <v>0</v>
      </c>
      <c r="YX8">
        <v>22.5</v>
      </c>
      <c r="ZQ8" s="10">
        <f t="shared" si="19"/>
        <v>1</v>
      </c>
      <c r="ZW8" s="10">
        <f t="shared" si="20"/>
        <v>0</v>
      </c>
      <c r="AAS8" s="10">
        <f t="shared" si="21"/>
        <v>0</v>
      </c>
      <c r="ABP8" s="10">
        <f t="shared" si="22"/>
        <v>0</v>
      </c>
      <c r="ABU8" s="10">
        <f t="shared" si="23"/>
        <v>0</v>
      </c>
      <c r="ACB8" s="10">
        <f t="shared" si="24"/>
        <v>0</v>
      </c>
      <c r="ACC8" t="s">
        <v>1032</v>
      </c>
      <c r="ACD8">
        <v>61</v>
      </c>
      <c r="ACE8">
        <v>22.4</v>
      </c>
      <c r="ACF8">
        <v>8.1999999999999993</v>
      </c>
      <c r="ACP8" s="10">
        <f t="shared" si="25"/>
        <v>0</v>
      </c>
      <c r="ACZ8" s="10">
        <f t="shared" si="26"/>
        <v>0</v>
      </c>
      <c r="ADL8" s="10">
        <f t="shared" si="27"/>
        <v>0</v>
      </c>
      <c r="AEH8" s="10">
        <f t="shared" si="28"/>
        <v>0</v>
      </c>
    </row>
    <row r="9" spans="1:814" x14ac:dyDescent="0.25">
      <c r="A9" s="8" t="s">
        <v>1033</v>
      </c>
      <c r="B9" t="s">
        <v>1034</v>
      </c>
      <c r="C9">
        <v>62</v>
      </c>
      <c r="D9" t="s">
        <v>960</v>
      </c>
      <c r="E9" t="s">
        <v>961</v>
      </c>
      <c r="F9" t="s">
        <v>961</v>
      </c>
      <c r="G9" t="s">
        <v>1035</v>
      </c>
      <c r="H9" t="s">
        <v>962</v>
      </c>
      <c r="I9" t="s">
        <v>125</v>
      </c>
      <c r="K9" t="s">
        <v>1036</v>
      </c>
      <c r="L9">
        <v>94</v>
      </c>
      <c r="S9" t="s">
        <v>1037</v>
      </c>
      <c r="U9" t="s">
        <v>1038</v>
      </c>
      <c r="V9" t="s">
        <v>1039</v>
      </c>
      <c r="AZ9" s="10">
        <f t="shared" si="0"/>
        <v>0</v>
      </c>
      <c r="CA9" s="10">
        <f t="shared" si="1"/>
        <v>0</v>
      </c>
      <c r="DD9" s="10">
        <f t="shared" si="2"/>
        <v>0</v>
      </c>
      <c r="DR9" s="10">
        <f t="shared" si="3"/>
        <v>0</v>
      </c>
      <c r="EE9" s="10">
        <f t="shared" si="4"/>
        <v>0</v>
      </c>
      <c r="FH9" s="10">
        <f t="shared" si="5"/>
        <v>0</v>
      </c>
      <c r="FI9">
        <v>39</v>
      </c>
      <c r="FU9">
        <v>25</v>
      </c>
      <c r="HX9" s="10">
        <f t="shared" si="6"/>
        <v>2</v>
      </c>
      <c r="HY9">
        <v>53</v>
      </c>
      <c r="IJ9">
        <v>38</v>
      </c>
      <c r="KL9" s="10">
        <f t="shared" si="7"/>
        <v>2</v>
      </c>
      <c r="MY9" s="10">
        <f t="shared" si="8"/>
        <v>0</v>
      </c>
      <c r="OP9" s="10">
        <f t="shared" si="9"/>
        <v>0</v>
      </c>
      <c r="OV9" s="10">
        <f t="shared" si="10"/>
        <v>0</v>
      </c>
      <c r="RC9" s="10">
        <f t="shared" si="11"/>
        <v>0</v>
      </c>
      <c r="RT9" s="10">
        <f t="shared" si="12"/>
        <v>0</v>
      </c>
      <c r="UD9" s="10">
        <f t="shared" si="13"/>
        <v>0</v>
      </c>
      <c r="VI9" s="10">
        <f t="shared" si="14"/>
        <v>0</v>
      </c>
      <c r="VJ9" t="s">
        <v>1040</v>
      </c>
      <c r="VT9" t="s">
        <v>1041</v>
      </c>
      <c r="WL9" s="10">
        <f t="shared" si="15"/>
        <v>2</v>
      </c>
      <c r="XG9" s="10">
        <f t="shared" si="16"/>
        <v>0</v>
      </c>
      <c r="YC9" s="10">
        <f t="shared" si="17"/>
        <v>0</v>
      </c>
      <c r="YW9" s="10">
        <f t="shared" si="18"/>
        <v>0</v>
      </c>
      <c r="YX9">
        <v>71.2</v>
      </c>
      <c r="ZF9">
        <v>10.3</v>
      </c>
      <c r="ZQ9" s="10">
        <f t="shared" si="19"/>
        <v>2</v>
      </c>
      <c r="ZW9" s="10">
        <f t="shared" si="20"/>
        <v>0</v>
      </c>
      <c r="AAS9" s="10">
        <f t="shared" si="21"/>
        <v>0</v>
      </c>
      <c r="ABP9" s="10">
        <f t="shared" si="22"/>
        <v>0</v>
      </c>
      <c r="ABU9" s="10">
        <f t="shared" si="23"/>
        <v>0</v>
      </c>
      <c r="ACB9" s="10">
        <f t="shared" si="24"/>
        <v>0</v>
      </c>
      <c r="ACP9" s="10">
        <f t="shared" si="25"/>
        <v>0</v>
      </c>
      <c r="ACZ9" s="10">
        <f t="shared" si="26"/>
        <v>0</v>
      </c>
      <c r="ADL9" s="10">
        <f t="shared" si="27"/>
        <v>0</v>
      </c>
      <c r="AEH9" s="10">
        <f t="shared" si="28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 Literaturfälle</vt:lpstr>
      <vt:lpstr>Arbeitsmaterial Literaturfälle</vt:lpstr>
      <vt:lpstr>Paracetamol Fälle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2022-09-04T21:43:04Z</dcterms:modified>
</cp:coreProperties>
</file>