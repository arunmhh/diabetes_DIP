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E:\Daten(x)\Daten(lw-r)\Abc\Doktorarbeit SJS\Exceltabellen\"/>
    </mc:Choice>
  </mc:AlternateContent>
  <xr:revisionPtr revIDLastSave="0" documentId="13_ncr:1_{E697AB4C-2F91-4308-9503-1F94D3874060}" xr6:coauthVersionLast="47" xr6:coauthVersionMax="47" xr10:uidLastSave="{00000000-0000-0000-0000-000000000000}"/>
  <bookViews>
    <workbookView xWindow="-14820" yWindow="7260" windowWidth="21600" windowHeight="11385" tabRatio="0" firstSheet="1" activeTab="1" xr2:uid="{F98F23A4-6A22-4D6A-BAC1-275AB8407745}"/>
  </bookViews>
  <sheets>
    <sheet name="Übersicht Literaturfälle" sheetId="1" r:id="rId1"/>
    <sheet name="Arbeitsmaterial Literaturfälle" sheetId="4" r:id="rId2"/>
    <sheet name="Kontrollgruppe (mit Duplikaten)" sheetId="6" r:id="rId3"/>
    <sheet name="Paracetamol Fälle" sheetId="5" r:id="rId4"/>
  </sheets>
  <definedNames>
    <definedName name="Farbe">ZELLE:ZUORDNEN(63,INDIRECT("ZS(-1)",))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AZ2" i="5" l="1"/>
  <c r="CA2" i="5"/>
  <c r="DD2" i="5"/>
  <c r="DR2" i="5"/>
  <c r="EE2" i="5"/>
  <c r="FH2" i="5"/>
  <c r="HX2" i="5"/>
  <c r="KL2" i="5"/>
  <c r="MY2" i="5"/>
  <c r="OP2" i="5"/>
  <c r="OV2" i="5"/>
  <c r="RC2" i="5"/>
  <c r="RT2" i="5"/>
  <c r="UD2" i="5"/>
  <c r="VI2" i="5"/>
  <c r="WL2" i="5"/>
  <c r="XG2" i="5"/>
  <c r="YC2" i="5"/>
  <c r="YW2" i="5"/>
  <c r="ZQ2" i="5"/>
  <c r="ZW2" i="5"/>
  <c r="AAS2" i="5"/>
  <c r="ABP2" i="5"/>
  <c r="ABU2" i="5"/>
  <c r="ACB2" i="5"/>
  <c r="ACP2" i="5"/>
  <c r="ACZ2" i="5"/>
  <c r="ADL2" i="5"/>
  <c r="AEH2" i="5"/>
  <c r="AZ3" i="5"/>
  <c r="CA3" i="5"/>
  <c r="DD3" i="5"/>
  <c r="DR3" i="5"/>
  <c r="EE3" i="5"/>
  <c r="FH3" i="5"/>
  <c r="HX3" i="5"/>
  <c r="KL3" i="5"/>
  <c r="MY3" i="5"/>
  <c r="OP3" i="5"/>
  <c r="OV3" i="5"/>
  <c r="RC3" i="5"/>
  <c r="RT3" i="5"/>
  <c r="UD3" i="5"/>
  <c r="VI3" i="5"/>
  <c r="WL3" i="5"/>
  <c r="XG3" i="5"/>
  <c r="YC3" i="5"/>
  <c r="YW3" i="5"/>
  <c r="ZQ3" i="5"/>
  <c r="ZW3" i="5"/>
  <c r="AAS3" i="5"/>
  <c r="ABP3" i="5"/>
  <c r="ABU3" i="5"/>
  <c r="ACB3" i="5"/>
  <c r="ACP3" i="5"/>
  <c r="ACZ3" i="5"/>
  <c r="ADL3" i="5"/>
  <c r="AEH3" i="5"/>
  <c r="AZ4" i="5"/>
  <c r="CA4" i="5"/>
  <c r="DD4" i="5"/>
  <c r="DR4" i="5"/>
  <c r="EE4" i="5"/>
  <c r="FH4" i="5"/>
  <c r="HX4" i="5"/>
  <c r="KL4" i="5"/>
  <c r="MY4" i="5"/>
  <c r="OP4" i="5"/>
  <c r="OV4" i="5"/>
  <c r="RC4" i="5"/>
  <c r="RT4" i="5"/>
  <c r="UD4" i="5"/>
  <c r="VI4" i="5"/>
  <c r="WL4" i="5"/>
  <c r="XG4" i="5"/>
  <c r="YC4" i="5"/>
  <c r="YW4" i="5"/>
  <c r="ZQ4" i="5"/>
  <c r="ZW4" i="5"/>
  <c r="AAS4" i="5"/>
  <c r="ABP4" i="5"/>
  <c r="ABU4" i="5"/>
  <c r="ACB4" i="5"/>
  <c r="ACP4" i="5"/>
  <c r="ACZ4" i="5"/>
  <c r="ADL4" i="5"/>
  <c r="AEH4" i="5"/>
  <c r="AZ5" i="5"/>
  <c r="CA5" i="5"/>
  <c r="DD5" i="5"/>
  <c r="DR5" i="5"/>
  <c r="EE5" i="5"/>
  <c r="FH5" i="5"/>
  <c r="HX5" i="5"/>
  <c r="KL5" i="5"/>
  <c r="MY5" i="5"/>
  <c r="OP5" i="5"/>
  <c r="OV5" i="5"/>
  <c r="RC5" i="5"/>
  <c r="RT5" i="5"/>
  <c r="UD5" i="5"/>
  <c r="VI5" i="5"/>
  <c r="WL5" i="5"/>
  <c r="XG5" i="5"/>
  <c r="YC5" i="5"/>
  <c r="YW5" i="5"/>
  <c r="ZQ5" i="5"/>
  <c r="ZW5" i="5"/>
  <c r="AAS5" i="5"/>
  <c r="ABP5" i="5"/>
  <c r="ABU5" i="5"/>
  <c r="ACB5" i="5"/>
  <c r="ACP5" i="5"/>
  <c r="ACZ5" i="5"/>
  <c r="ADL5" i="5"/>
  <c r="AEH5" i="5"/>
  <c r="AZ6" i="5"/>
  <c r="CA6" i="5"/>
  <c r="DD6" i="5"/>
  <c r="DR6" i="5"/>
  <c r="EE6" i="5"/>
  <c r="FH6" i="5"/>
  <c r="HX6" i="5"/>
  <c r="KL6" i="5"/>
  <c r="MY6" i="5"/>
  <c r="OP6" i="5"/>
  <c r="OV6" i="5"/>
  <c r="RC6" i="5"/>
  <c r="RT6" i="5"/>
  <c r="UD6" i="5"/>
  <c r="VI6" i="5"/>
  <c r="WL6" i="5"/>
  <c r="XG6" i="5"/>
  <c r="YC6" i="5"/>
  <c r="YW6" i="5"/>
  <c r="ZQ6" i="5"/>
  <c r="ZW6" i="5"/>
  <c r="AAS6" i="5"/>
  <c r="ABP6" i="5"/>
  <c r="ABU6" i="5"/>
  <c r="ACB6" i="5"/>
  <c r="ACP6" i="5"/>
  <c r="ACZ6" i="5"/>
  <c r="ADL6" i="5"/>
  <c r="AEH6" i="5"/>
  <c r="AZ7" i="5"/>
  <c r="CA7" i="5"/>
  <c r="DD7" i="5"/>
  <c r="DR7" i="5"/>
  <c r="EE7" i="5"/>
  <c r="FH7" i="5"/>
  <c r="HX7" i="5"/>
  <c r="KL7" i="5"/>
  <c r="MY7" i="5"/>
  <c r="OP7" i="5"/>
  <c r="OV7" i="5"/>
  <c r="RC7" i="5"/>
  <c r="RT7" i="5"/>
  <c r="UD7" i="5"/>
  <c r="VI7" i="5"/>
  <c r="WL7" i="5"/>
  <c r="XG7" i="5"/>
  <c r="YC7" i="5"/>
  <c r="YW7" i="5"/>
  <c r="ZQ7" i="5"/>
  <c r="ZW7" i="5"/>
  <c r="AAS7" i="5"/>
  <c r="ABP7" i="5"/>
  <c r="ABU7" i="5"/>
  <c r="ACB7" i="5"/>
  <c r="ACP7" i="5"/>
  <c r="ACZ7" i="5"/>
  <c r="ADL7" i="5"/>
  <c r="AEH7" i="5"/>
  <c r="AZ8" i="5"/>
  <c r="CA8" i="5"/>
  <c r="DD8" i="5"/>
  <c r="DR8" i="5"/>
  <c r="EE8" i="5"/>
  <c r="FH8" i="5"/>
  <c r="HX8" i="5"/>
  <c r="KL8" i="5"/>
  <c r="MY8" i="5"/>
  <c r="OP8" i="5"/>
  <c r="OV8" i="5"/>
  <c r="RC8" i="5"/>
  <c r="RT8" i="5"/>
  <c r="UD8" i="5"/>
  <c r="VI8" i="5"/>
  <c r="WL8" i="5"/>
  <c r="XG8" i="5"/>
  <c r="YC8" i="5"/>
  <c r="YW8" i="5"/>
  <c r="ZQ8" i="5"/>
  <c r="ZW8" i="5"/>
  <c r="AAS8" i="5"/>
  <c r="ABP8" i="5"/>
  <c r="ABU8" i="5"/>
  <c r="ACB8" i="5"/>
  <c r="ACP8" i="5"/>
  <c r="ACZ8" i="5"/>
  <c r="ADL8" i="5"/>
  <c r="AEH8" i="5"/>
  <c r="AZ9" i="5"/>
  <c r="CA9" i="5"/>
  <c r="DD9" i="5"/>
  <c r="DR9" i="5"/>
  <c r="EE9" i="5"/>
  <c r="FH9" i="5"/>
  <c r="HX9" i="5"/>
  <c r="KL9" i="5"/>
  <c r="MY9" i="5"/>
  <c r="OP9" i="5"/>
  <c r="OV9" i="5"/>
  <c r="RC9" i="5"/>
  <c r="RT9" i="5"/>
  <c r="UD9" i="5"/>
  <c r="VI9" i="5"/>
  <c r="WL9" i="5"/>
  <c r="XG9" i="5"/>
  <c r="YC9" i="5"/>
  <c r="YW9" i="5"/>
  <c r="ZQ9" i="5"/>
  <c r="ZW9" i="5"/>
  <c r="AAS9" i="5"/>
  <c r="ABP9" i="5"/>
  <c r="ABU9" i="5"/>
  <c r="ACB9" i="5"/>
  <c r="ACP9" i="5"/>
  <c r="ACZ9" i="5"/>
  <c r="ADL9" i="5"/>
  <c r="AEH9" i="5"/>
</calcChain>
</file>

<file path=xl/sharedStrings.xml><?xml version="1.0" encoding="utf-8"?>
<sst xmlns="http://schemas.openxmlformats.org/spreadsheetml/2006/main" count="3820" uniqueCount="1755">
  <si>
    <t>Gesamt</t>
  </si>
  <si>
    <t>Übersicht über die Laborwerte</t>
  </si>
  <si>
    <r>
      <t xml:space="preserve">Laborwerte </t>
    </r>
    <r>
      <rPr>
        <b/>
        <u/>
        <sz val="11"/>
        <color theme="1"/>
        <rFont val="Calibri"/>
        <family val="2"/>
        <scheme val="minor"/>
      </rPr>
      <t>ohne</t>
    </r>
    <r>
      <rPr>
        <sz val="11"/>
        <color theme="1"/>
        <rFont val="Calibri"/>
        <family val="2"/>
        <scheme val="minor"/>
      </rPr>
      <t xml:space="preserve"> zeitlichen Verlauf</t>
    </r>
  </si>
  <si>
    <t xml:space="preserve">BfArM Nummer </t>
  </si>
  <si>
    <r>
      <t xml:space="preserve">Häufigkeit </t>
    </r>
    <r>
      <rPr>
        <b/>
        <u/>
        <sz val="11"/>
        <color theme="1"/>
        <rFont val="Calibri"/>
        <family val="2"/>
        <scheme val="minor"/>
      </rPr>
      <t>mit</t>
    </r>
    <r>
      <rPr>
        <sz val="11"/>
        <color theme="1"/>
        <rFont val="Calibri"/>
        <family val="2"/>
        <scheme val="minor"/>
      </rPr>
      <t xml:space="preserve"> zeitlichem Verlauf</t>
    </r>
  </si>
  <si>
    <t>39.6/nL</t>
  </si>
  <si>
    <t>23/nL</t>
  </si>
  <si>
    <t xml:space="preserve"> 53.7 mg/dL</t>
  </si>
  <si>
    <t>Troponin</t>
  </si>
  <si>
    <t>Prothrombin</t>
  </si>
  <si>
    <t xml:space="preserve"> 2,466 microgram/L</t>
  </si>
  <si>
    <t>D-Dimer</t>
  </si>
  <si>
    <t xml:space="preserve"> 17.0 microgram/L</t>
  </si>
  <si>
    <t>CH-50</t>
  </si>
  <si>
    <t xml:space="preserve"> 282 mU/mL</t>
  </si>
  <si>
    <t>Fibrinogen</t>
  </si>
  <si>
    <t xml:space="preserve"> 415 mg%</t>
  </si>
  <si>
    <t>Leukozyten (WBC)</t>
  </si>
  <si>
    <t xml:space="preserve"> 2,9 mg/dL</t>
  </si>
  <si>
    <t>Serummyoglobin</t>
  </si>
  <si>
    <t xml:space="preserve"> 193 mg/L</t>
  </si>
  <si>
    <t>ANA (Antinukleäre Antikörper)</t>
  </si>
  <si>
    <t xml:space="preserve"> 1: 1280</t>
  </si>
  <si>
    <t>Anti-Ro (SSA(Ro)-Antikörper)</t>
  </si>
  <si>
    <t xml:space="preserve"> 1412.7 (positive)</t>
  </si>
  <si>
    <t>Anti-La (SSB(La)-Antikörper)</t>
  </si>
  <si>
    <t xml:space="preserve"> 154.6 (borderline)</t>
  </si>
  <si>
    <t>Antihistonantikörper</t>
  </si>
  <si>
    <t xml:space="preserve"> 43.5 (positive)</t>
  </si>
  <si>
    <t>DsDNA-Antikörper</t>
  </si>
  <si>
    <t>positiv</t>
  </si>
  <si>
    <t>Thrombozyten</t>
  </si>
  <si>
    <t>121000/MCL</t>
  </si>
  <si>
    <t>7900/MCL</t>
  </si>
  <si>
    <t>Zeitpunkt der Laboruntersuchung</t>
  </si>
  <si>
    <t>14.01.2003 (bei Einlieferung)</t>
  </si>
  <si>
    <t>15.01.2003 (Datum nicht sicher zuordbar)</t>
  </si>
  <si>
    <t>&lt; 10000/MCL</t>
  </si>
  <si>
    <t>Serum-Lipase</t>
  </si>
  <si>
    <t xml:space="preserve"> 632 U/L</t>
  </si>
  <si>
    <t>10.02.2003 (während Erhohlung)</t>
  </si>
  <si>
    <t>396000/MCL</t>
  </si>
  <si>
    <t xml:space="preserve"> 8000/MCL</t>
  </si>
  <si>
    <t>162U/L</t>
  </si>
  <si>
    <t xml:space="preserve"> 250/n</t>
  </si>
  <si>
    <t xml:space="preserve"> 60/nI</t>
  </si>
  <si>
    <t>6.77×109/L</t>
  </si>
  <si>
    <t xml:space="preserve"> 466×109/L</t>
  </si>
  <si>
    <t>330 mg/L</t>
  </si>
  <si>
    <t>Albumin</t>
  </si>
  <si>
    <t>22 g/L</t>
  </si>
  <si>
    <t xml:space="preserve"> 6.6 mg/dL</t>
  </si>
  <si>
    <t>7,7/ul</t>
  </si>
  <si>
    <t>Lymphozyten 
[%]</t>
  </si>
  <si>
    <t>GOT/ASAT/AST 
[U/L]</t>
  </si>
  <si>
    <t>GPT/ALAT/ALT
[U/L]</t>
  </si>
  <si>
    <t>GGT (Gamma-Glutamyltranferase) 
[U/L]</t>
  </si>
  <si>
    <t>LDH 
[U/L]</t>
  </si>
  <si>
    <t>Serumharnstoff 
[mg/dl]</t>
  </si>
  <si>
    <t xml:space="preserve"> 8,7/ul</t>
  </si>
  <si>
    <t>Kreatinin 
[mg/dl]</t>
  </si>
  <si>
    <t>CRP 
[mg/dl]</t>
  </si>
  <si>
    <t>CK (creatine phosphokinase)
[U/L]</t>
  </si>
  <si>
    <t>unbekanntes Datum</t>
  </si>
  <si>
    <t>CK-MB (creatine kinase MB)
[U/L]</t>
  </si>
  <si>
    <t>11.600/ul</t>
  </si>
  <si>
    <t>12,0/ul</t>
  </si>
  <si>
    <t>20,0/ul</t>
  </si>
  <si>
    <t>11,64/ul</t>
  </si>
  <si>
    <t>normal</t>
  </si>
  <si>
    <t>4000/ul</t>
  </si>
  <si>
    <t>8900/ul</t>
  </si>
  <si>
    <t>10600/ul</t>
  </si>
  <si>
    <t>9000/ul</t>
  </si>
  <si>
    <t>12000/ul</t>
  </si>
  <si>
    <t>ChE (Cholinesterase)
[U/L]</t>
  </si>
  <si>
    <t>Amylase
[U/L]</t>
  </si>
  <si>
    <t>378000/ul</t>
  </si>
  <si>
    <t>ESR, BSG (Erythrozytensedimentationsrate)
[mm/h]</t>
  </si>
  <si>
    <t xml:space="preserve">Eosinophile
[%] </t>
  </si>
  <si>
    <t>Monozyten
[%]</t>
  </si>
  <si>
    <t>Neutrophile
[%]</t>
  </si>
  <si>
    <t>IgG</t>
  </si>
  <si>
    <t>HIV</t>
  </si>
  <si>
    <t>1+2 negativ</t>
  </si>
  <si>
    <t>Herpes simplex Virus IgM</t>
  </si>
  <si>
    <t>negativ</t>
  </si>
  <si>
    <t>Mycoplasmatische Antikörper</t>
  </si>
  <si>
    <t>ECHO-Virus</t>
  </si>
  <si>
    <t>HBs-Antikörper</t>
  </si>
  <si>
    <t>HBc antikörper</t>
  </si>
  <si>
    <t>HBsAg</t>
  </si>
  <si>
    <t>Coxackie-Virus-Antikörper</t>
  </si>
  <si>
    <t>Hepatitis C-Antikörper</t>
  </si>
  <si>
    <t>90/ul</t>
  </si>
  <si>
    <t>Billirubin [mg/dl]</t>
  </si>
  <si>
    <t>Quick-Wert [%]</t>
  </si>
  <si>
    <t>107/ml</t>
  </si>
  <si>
    <t>2,5g/dl</t>
  </si>
  <si>
    <t>Gamma-Globulin 
[g/dl]</t>
  </si>
  <si>
    <t>Fieber 
[°C]</t>
  </si>
  <si>
    <t>4,1 (direktes: 3,1)</t>
  </si>
  <si>
    <t>PTT
[sec.]</t>
  </si>
  <si>
    <t>AT III 
[%]</t>
  </si>
  <si>
    <t>2,9/nl</t>
  </si>
  <si>
    <t>Hb (Hämoglobin)
[g/dl]</t>
  </si>
  <si>
    <t>&lt; 8</t>
  </si>
  <si>
    <t>101/nl</t>
  </si>
  <si>
    <t>unauffällig</t>
  </si>
  <si>
    <t>Natrium</t>
  </si>
  <si>
    <t>Kalium</t>
  </si>
  <si>
    <t>THS (Thyreoidea-stimulierendes Hormon)</t>
  </si>
  <si>
    <t>T3</t>
  </si>
  <si>
    <t>T4</t>
  </si>
  <si>
    <t>TBK (Thyroxinbindungskapazität)</t>
  </si>
  <si>
    <t>Erythrozyten
[Erys/ul]</t>
  </si>
  <si>
    <t>Urinstatus</t>
  </si>
  <si>
    <t>Protein
[mg/dl]</t>
  </si>
  <si>
    <t>Urobilinogen
[mg/dl]</t>
  </si>
  <si>
    <t>Nitrit</t>
  </si>
  <si>
    <t>Leukozyten
[Leukos/ul]</t>
  </si>
  <si>
    <t>Immunstatus</t>
  </si>
  <si>
    <t>IgE
[U/ml]</t>
  </si>
  <si>
    <t>Mikrobiologische Befunde vorhanden</t>
  </si>
  <si>
    <t>24h-Sammelurin vorhanden</t>
  </si>
  <si>
    <t>ja</t>
  </si>
  <si>
    <t>Gesamteiweiß
[g/dl]</t>
  </si>
  <si>
    <t>2,2g/dl</t>
  </si>
  <si>
    <t>Koagulase</t>
  </si>
  <si>
    <t>2/nl</t>
  </si>
  <si>
    <t>99 (keine Einheit)</t>
  </si>
  <si>
    <t>156 (keine Einheit)</t>
  </si>
  <si>
    <t>239 (keine Einheit)</t>
  </si>
  <si>
    <t>86 (keine Einheit)</t>
  </si>
  <si>
    <t>61 (keine Einheit)</t>
  </si>
  <si>
    <t>97 (keine Einheit)</t>
  </si>
  <si>
    <t>alkalische Phosphatase
[U/L]</t>
  </si>
  <si>
    <t>&gt;1000</t>
  </si>
  <si>
    <t>6000/ul</t>
  </si>
  <si>
    <t>11400/ul</t>
  </si>
  <si>
    <t>7700/mcl</t>
  </si>
  <si>
    <t>4300/mcl</t>
  </si>
  <si>
    <t>8,7/ul</t>
  </si>
  <si>
    <t>6,4/ul</t>
  </si>
  <si>
    <t>14:10 Uhr</t>
  </si>
  <si>
    <t>20:11 Uhr</t>
  </si>
  <si>
    <t>um 1,3 gestiegen</t>
  </si>
  <si>
    <t>um 3,18 gestiegen</t>
  </si>
  <si>
    <t>14100/mcl</t>
  </si>
  <si>
    <t>Patienten-ID</t>
  </si>
  <si>
    <t>Initialien</t>
  </si>
  <si>
    <t>Alter</t>
  </si>
  <si>
    <t>Geschlecht</t>
  </si>
  <si>
    <t>Arztbrief</t>
  </si>
  <si>
    <t>Laborwerte</t>
  </si>
  <si>
    <t>Indikation</t>
  </si>
  <si>
    <t>Suizid</t>
  </si>
  <si>
    <t>Leben</t>
  </si>
  <si>
    <t>Intervention</t>
  </si>
  <si>
    <t>Wirkung</t>
  </si>
  <si>
    <t>Gewicht (kg)</t>
  </si>
  <si>
    <t>Groesse (cm)</t>
  </si>
  <si>
    <t>BMI</t>
  </si>
  <si>
    <t>Paracetamol Start</t>
  </si>
  <si>
    <t>Paracetamol Stop</t>
  </si>
  <si>
    <t>Dauer der Paracetamol Einnahme</t>
  </si>
  <si>
    <t>Paracetamol-Dosis</t>
  </si>
  <si>
    <t>Grunderkrankung</t>
  </si>
  <si>
    <t>Nebendiagnosen</t>
  </si>
  <si>
    <t>Symptome bei Aufnahme</t>
  </si>
  <si>
    <t>Zusätzliche Medikation</t>
  </si>
  <si>
    <t>Entlassungsmedikation</t>
  </si>
  <si>
    <t>Dauermedikation</t>
  </si>
  <si>
    <t>CK-d1 (U\l)</t>
  </si>
  <si>
    <t>Ck-d2</t>
  </si>
  <si>
    <t>Ck-d2w2</t>
  </si>
  <si>
    <t>Ck-d2w3</t>
  </si>
  <si>
    <t>Ck-d3</t>
  </si>
  <si>
    <t>Ck-d4</t>
  </si>
  <si>
    <t>Ck-d4w2</t>
  </si>
  <si>
    <t>Ck-d4w3</t>
  </si>
  <si>
    <t>Ck-d4w4</t>
  </si>
  <si>
    <t>Ck-d5</t>
  </si>
  <si>
    <t>Ck-d5w2</t>
  </si>
  <si>
    <t>Ck-d6</t>
  </si>
  <si>
    <t>Ck-d6w2</t>
  </si>
  <si>
    <t>Ck-d6w3</t>
  </si>
  <si>
    <t>Ck-d7</t>
  </si>
  <si>
    <t>Ck-d8</t>
  </si>
  <si>
    <t>Ck-d10</t>
  </si>
  <si>
    <t>Ck-d13</t>
  </si>
  <si>
    <t>Ck-d14</t>
  </si>
  <si>
    <t>Ck-d15</t>
  </si>
  <si>
    <t>Ck-d19</t>
  </si>
  <si>
    <t>Ck-d20</t>
  </si>
  <si>
    <t>Ck-d21</t>
  </si>
  <si>
    <t>Ck-d23</t>
  </si>
  <si>
    <t>Ck-d28</t>
  </si>
  <si>
    <t>Ck-m20d28</t>
  </si>
  <si>
    <t>Ck-m21/2</t>
  </si>
  <si>
    <t>Anzahl CK Daten</t>
  </si>
  <si>
    <t>Quick-d1 (%)</t>
  </si>
  <si>
    <t>Quick-d1w2</t>
  </si>
  <si>
    <t xml:space="preserve">Quick-d2 </t>
  </si>
  <si>
    <t>Quick-d2w2</t>
  </si>
  <si>
    <t>Quick-d3</t>
  </si>
  <si>
    <t>Quick-d4</t>
  </si>
  <si>
    <t>Quick-d4w2</t>
  </si>
  <si>
    <t>Quick-d4w3</t>
  </si>
  <si>
    <t>Quick-d5</t>
  </si>
  <si>
    <t>Quick-d6</t>
  </si>
  <si>
    <t>Quick-d7</t>
  </si>
  <si>
    <t>Quick-d8</t>
  </si>
  <si>
    <t>Quick-d9</t>
  </si>
  <si>
    <t>Quick-d11</t>
  </si>
  <si>
    <t>Quick-d12</t>
  </si>
  <si>
    <t>Quick-d13</t>
  </si>
  <si>
    <t>Quick-d14</t>
  </si>
  <si>
    <t>Quick-d15</t>
  </si>
  <si>
    <t>Quick-d18</t>
  </si>
  <si>
    <t>Quick-d20</t>
  </si>
  <si>
    <t>Quick-23</t>
  </si>
  <si>
    <t>Quick-25</t>
  </si>
  <si>
    <t>Quick-d27</t>
  </si>
  <si>
    <t>Quick-29</t>
  </si>
  <si>
    <t>Quick-d32</t>
  </si>
  <si>
    <t>Quick-m20d28</t>
  </si>
  <si>
    <t>Anzahl Quick Daten</t>
  </si>
  <si>
    <t>PTT-d1 (sec)</t>
  </si>
  <si>
    <t>PTT-d1w2</t>
  </si>
  <si>
    <t>PTT-d2</t>
  </si>
  <si>
    <t>PTT-d2w2</t>
  </si>
  <si>
    <t>PTT-d3</t>
  </si>
  <si>
    <t>PTT-d4</t>
  </si>
  <si>
    <t>PTT-d4w1</t>
  </si>
  <si>
    <t>PTT-d4w2</t>
  </si>
  <si>
    <t>PTT-d4w3</t>
  </si>
  <si>
    <t>PTT-d5</t>
  </si>
  <si>
    <t>PTT-d6</t>
  </si>
  <si>
    <t>PTT-d7</t>
  </si>
  <si>
    <t>PTT-d8</t>
  </si>
  <si>
    <t>PTT-d9</t>
  </si>
  <si>
    <t>PTT-d10</t>
  </si>
  <si>
    <t>PTT-d11</t>
  </si>
  <si>
    <t>PTT-d12</t>
  </si>
  <si>
    <t>PTT-d13</t>
  </si>
  <si>
    <t>PTT-d14</t>
  </si>
  <si>
    <t>PTT-d15</t>
  </si>
  <si>
    <t>PTT-d18</t>
  </si>
  <si>
    <t>PTT-d20</t>
  </si>
  <si>
    <t>PTT-d23</t>
  </si>
  <si>
    <t>PTT-d25</t>
  </si>
  <si>
    <t>PTT-d27</t>
  </si>
  <si>
    <t>PTT-d29</t>
  </si>
  <si>
    <t>PTT-d32</t>
  </si>
  <si>
    <t>PTT-m20d28</t>
  </si>
  <si>
    <t>Anzahl PTT Daten</t>
  </si>
  <si>
    <t>TZ-d1</t>
  </si>
  <si>
    <t>Fibrinogen(mg/dl)-d1</t>
  </si>
  <si>
    <t>Fibrinogen-d2</t>
  </si>
  <si>
    <t>Fibrinogen-d3</t>
  </si>
  <si>
    <t>Fibrinogen-d4</t>
  </si>
  <si>
    <t>Fibrinogen-d4w1</t>
  </si>
  <si>
    <t>Fibrinogen-d4w2</t>
  </si>
  <si>
    <t>Fibrinogen-d5</t>
  </si>
  <si>
    <t>Fibrinogen-d7</t>
  </si>
  <si>
    <t>Fibrinogen-d8</t>
  </si>
  <si>
    <t>Fibrinogen-d12</t>
  </si>
  <si>
    <t>Fibrinogen-d13</t>
  </si>
  <si>
    <t>Fibrinogen-d14</t>
  </si>
  <si>
    <t>Anzahl Fibrinogen Daten</t>
  </si>
  <si>
    <t>AT III -d1</t>
  </si>
  <si>
    <t>AT III-d1w2</t>
  </si>
  <si>
    <t>ATIII-d2</t>
  </si>
  <si>
    <t>ATIII-d3</t>
  </si>
  <si>
    <t>ATII-d5</t>
  </si>
  <si>
    <t>ATIII-d6</t>
  </si>
  <si>
    <t>AT III-d7</t>
  </si>
  <si>
    <t>At III-d13</t>
  </si>
  <si>
    <t>AT III-d32</t>
  </si>
  <si>
    <t>AT III-d33</t>
  </si>
  <si>
    <t>Anzahl AT Daten</t>
  </si>
  <si>
    <t>Leukozyten-d1 (\mikrol)</t>
  </si>
  <si>
    <t>Leukozyten-d1w2</t>
  </si>
  <si>
    <t>Leukozyten-d2</t>
  </si>
  <si>
    <t>Leukozyten-d2w2</t>
  </si>
  <si>
    <t>Leukozyten-d2w3</t>
  </si>
  <si>
    <t>Leukozyten-d3</t>
  </si>
  <si>
    <t>Leukozyten-d3w2</t>
  </si>
  <si>
    <t>Leukozyten-d4</t>
  </si>
  <si>
    <t>Leukozyten-d4w2</t>
  </si>
  <si>
    <t>Leukozyten-d4w3</t>
  </si>
  <si>
    <t>Leukozyten-d4w4</t>
  </si>
  <si>
    <t>Leukozyten-d5</t>
  </si>
  <si>
    <t>Leukozyten-d5w2</t>
  </si>
  <si>
    <t>Leukozyten-d6</t>
  </si>
  <si>
    <t>Leukozyten-d6w2</t>
  </si>
  <si>
    <t>Leukozyten-d6w3</t>
  </si>
  <si>
    <t>Leukozyten-d7</t>
  </si>
  <si>
    <t>Leukozyten-d8</t>
  </si>
  <si>
    <t>Leukozyten-d9</t>
  </si>
  <si>
    <t>Leukozyten-d11</t>
  </si>
  <si>
    <t>Leukozyten-d12</t>
  </si>
  <si>
    <t>Leukozyten-d13</t>
  </si>
  <si>
    <t>Leukozyten-d14</t>
  </si>
  <si>
    <t>Leukozyten-d15</t>
  </si>
  <si>
    <t>Leukozyten-d16</t>
  </si>
  <si>
    <t>Leukozyten/d17</t>
  </si>
  <si>
    <t>Leukozyten-d19</t>
  </si>
  <si>
    <t>Leukozyten-d20</t>
  </si>
  <si>
    <t>Anzahl Leukozyten Daten</t>
  </si>
  <si>
    <t>GOT-d1 (u\l)</t>
  </si>
  <si>
    <t>GOT-d1w2</t>
  </si>
  <si>
    <t>GOT-d1w3</t>
  </si>
  <si>
    <t>GOT-d1w4</t>
  </si>
  <si>
    <t>GOT-d2</t>
  </si>
  <si>
    <t>GOT-d2w2</t>
  </si>
  <si>
    <t>GOT-d2w3</t>
  </si>
  <si>
    <t>GOT-d3</t>
  </si>
  <si>
    <t>GOT-d4</t>
  </si>
  <si>
    <t>GOT-d4w2</t>
  </si>
  <si>
    <t>GOT-d4w3</t>
  </si>
  <si>
    <t>GOT-d4w4</t>
  </si>
  <si>
    <t>GOT-d5</t>
  </si>
  <si>
    <t>GOT-d5w2</t>
  </si>
  <si>
    <t>GOT-d6</t>
  </si>
  <si>
    <t>GOT-d6w2</t>
  </si>
  <si>
    <t>GOTd6w3</t>
  </si>
  <si>
    <t>GOT-d7</t>
  </si>
  <si>
    <t>GOT-d8</t>
  </si>
  <si>
    <t>GOT-d9</t>
  </si>
  <si>
    <t>GOT-d10</t>
  </si>
  <si>
    <t>GOT-d11</t>
  </si>
  <si>
    <t>GOT-d12</t>
  </si>
  <si>
    <t>GOT-d13</t>
  </si>
  <si>
    <t>GOT-d14</t>
  </si>
  <si>
    <t>GOT-d15</t>
  </si>
  <si>
    <t>GOT-d16</t>
  </si>
  <si>
    <t>GOT-d17</t>
  </si>
  <si>
    <t>GOT-d18</t>
  </si>
  <si>
    <t>GOT-d19</t>
  </si>
  <si>
    <t>GOT-d20</t>
  </si>
  <si>
    <t>GOT-d21</t>
  </si>
  <si>
    <t>GOT-d23</t>
  </si>
  <si>
    <t>GOT-d25</t>
  </si>
  <si>
    <t>GOT-d26</t>
  </si>
  <si>
    <t>GOT-d27</t>
  </si>
  <si>
    <t>GOT-d28</t>
  </si>
  <si>
    <t>GOT-d29</t>
  </si>
  <si>
    <t>GOT-d31</t>
  </si>
  <si>
    <t>GOT-d32</t>
  </si>
  <si>
    <t>Got-d33</t>
  </si>
  <si>
    <t>GOT-d35</t>
  </si>
  <si>
    <t>GOT-d36</t>
  </si>
  <si>
    <t>GOT-d37</t>
  </si>
  <si>
    <t>GOT-d38</t>
  </si>
  <si>
    <t>GOT-d39</t>
  </si>
  <si>
    <t>GOT-d40</t>
  </si>
  <si>
    <t>GOT-d42</t>
  </si>
  <si>
    <t>GOT-d54</t>
  </si>
  <si>
    <t>GOT-m2d2</t>
  </si>
  <si>
    <t>GOT-m4d6</t>
  </si>
  <si>
    <t>GOT-m5d21</t>
  </si>
  <si>
    <t>GOT-m5d26</t>
  </si>
  <si>
    <t>GOT-m5d29</t>
  </si>
  <si>
    <t>GOT-m6d7</t>
  </si>
  <si>
    <t>GOT-m6d4</t>
  </si>
  <si>
    <t>GOT-m7d6</t>
  </si>
  <si>
    <t>GOT-m10d6</t>
  </si>
  <si>
    <t>GOT-m11d10</t>
  </si>
  <si>
    <t>GOT-m11d30</t>
  </si>
  <si>
    <t>GOT-m20d28</t>
  </si>
  <si>
    <t>GOT-m21d1</t>
  </si>
  <si>
    <t>GOT-m21d2</t>
  </si>
  <si>
    <t>GOTm21/d5</t>
  </si>
  <si>
    <t>GOTm21/d9</t>
  </si>
  <si>
    <t>GOT Therapieende</t>
  </si>
  <si>
    <t>Anzahl GOT Daten</t>
  </si>
  <si>
    <t>GPT-d1 (u\l)</t>
  </si>
  <si>
    <t>GPT-d1w2</t>
  </si>
  <si>
    <t>GPT-d1w3</t>
  </si>
  <si>
    <t>GPT-d2</t>
  </si>
  <si>
    <t>GPT-d2w2</t>
  </si>
  <si>
    <t>Gpt-d2w3</t>
  </si>
  <si>
    <t>GPT-d3</t>
  </si>
  <si>
    <t>GPT-d4</t>
  </si>
  <si>
    <t>GPT-d4w2</t>
  </si>
  <si>
    <t>GPT-d4w3</t>
  </si>
  <si>
    <t>GPT-d4w4</t>
  </si>
  <si>
    <t>GPT-d5</t>
  </si>
  <si>
    <t>GPT-d5w2</t>
  </si>
  <si>
    <t>GPT-d6</t>
  </si>
  <si>
    <t>GPT-d6w2</t>
  </si>
  <si>
    <t>GPT-d6w3</t>
  </si>
  <si>
    <t>GPT-d7</t>
  </si>
  <si>
    <t>GPT-d8</t>
  </si>
  <si>
    <t>GPT-d9</t>
  </si>
  <si>
    <t>GPT-d10</t>
  </si>
  <si>
    <t>GPT-d11</t>
  </si>
  <si>
    <t>GPT-d12</t>
  </si>
  <si>
    <t>GPT-d13</t>
  </si>
  <si>
    <t>GPT-d14</t>
  </si>
  <si>
    <t>GPT-d15</t>
  </si>
  <si>
    <t>GPT-d16</t>
  </si>
  <si>
    <t>GPT-d17</t>
  </si>
  <si>
    <t>GPT-d18</t>
  </si>
  <si>
    <t>GPT-d19</t>
  </si>
  <si>
    <t>GPT-d20</t>
  </si>
  <si>
    <t>GPT-d21</t>
  </si>
  <si>
    <t>GPT-d23</t>
  </si>
  <si>
    <t>GPT-d25</t>
  </si>
  <si>
    <t>GPT-d26</t>
  </si>
  <si>
    <t>GPT-d27</t>
  </si>
  <si>
    <t>GPT-d28</t>
  </si>
  <si>
    <t>GPT-d29</t>
  </si>
  <si>
    <t>GPT-d31</t>
  </si>
  <si>
    <t>GPT-d32</t>
  </si>
  <si>
    <t>GPT-d33</t>
  </si>
  <si>
    <t>GPT-d35</t>
  </si>
  <si>
    <t>GPT-d36</t>
  </si>
  <si>
    <t>GPT-d37</t>
  </si>
  <si>
    <t>GPT-d38</t>
  </si>
  <si>
    <t>GPT-d39</t>
  </si>
  <si>
    <t>GPT-d40</t>
  </si>
  <si>
    <t>GPT-d42</t>
  </si>
  <si>
    <t>GPT-d54</t>
  </si>
  <si>
    <t>GPT-m2d2</t>
  </si>
  <si>
    <t>GPT-m4d6</t>
  </si>
  <si>
    <t>GPT-m5d21</t>
  </si>
  <si>
    <t>GPT-m5d26</t>
  </si>
  <si>
    <t>GPT-m5d29</t>
  </si>
  <si>
    <t>GPT-m6d7</t>
  </si>
  <si>
    <t>GPT-m6d14</t>
  </si>
  <si>
    <t>GPT-m7d16</t>
  </si>
  <si>
    <t>GPT-m10d6</t>
  </si>
  <si>
    <t>GPT-m11d10</t>
  </si>
  <si>
    <t>GPT-m11d30</t>
  </si>
  <si>
    <t>GPT-m20d28</t>
  </si>
  <si>
    <t>GPT-m21/d1</t>
  </si>
  <si>
    <t>GPTm21d2</t>
  </si>
  <si>
    <t>GPTm21d5</t>
  </si>
  <si>
    <t>GPTm21d9</t>
  </si>
  <si>
    <t>GPT-Therapieende</t>
  </si>
  <si>
    <t>Anzahl GP Daten</t>
  </si>
  <si>
    <t>GGT-d1 (u\l)</t>
  </si>
  <si>
    <t>GGT-d1w2</t>
  </si>
  <si>
    <t>GGT-d2</t>
  </si>
  <si>
    <t>GGT-d2w2</t>
  </si>
  <si>
    <t>GGT-d3</t>
  </si>
  <si>
    <t>GGT-d4</t>
  </si>
  <si>
    <t>GGT-d4w2</t>
  </si>
  <si>
    <t>GGT-d4w3</t>
  </si>
  <si>
    <t>GGT-d4w4</t>
  </si>
  <si>
    <t>GGT-d5</t>
  </si>
  <si>
    <t>GGT-d5w2</t>
  </si>
  <si>
    <t>GGT-d6</t>
  </si>
  <si>
    <t>GGT-d6w2</t>
  </si>
  <si>
    <t>GGT-d6w3</t>
  </si>
  <si>
    <t>GGT-d7</t>
  </si>
  <si>
    <t>GGT-d8</t>
  </si>
  <si>
    <t>GGT-d9</t>
  </si>
  <si>
    <t>GGT-d10</t>
  </si>
  <si>
    <t>GGT-d11</t>
  </si>
  <si>
    <t>GGT-d12</t>
  </si>
  <si>
    <t>GGT-d13</t>
  </si>
  <si>
    <t>GGT-d14</t>
  </si>
  <si>
    <t>GGT-d15</t>
  </si>
  <si>
    <t>GGT-d16</t>
  </si>
  <si>
    <t>GGT-d17</t>
  </si>
  <si>
    <t>GGT-d18</t>
  </si>
  <si>
    <t>GGT-d19</t>
  </si>
  <si>
    <t>GGT-d20</t>
  </si>
  <si>
    <t>GGT-d21</t>
  </si>
  <si>
    <t>GGT-d23</t>
  </si>
  <si>
    <t>GGT-d25</t>
  </si>
  <si>
    <t>GGT-d26</t>
  </si>
  <si>
    <t>GGT-d27</t>
  </si>
  <si>
    <t>GGT-d28</t>
  </si>
  <si>
    <t>GGT-d29</t>
  </si>
  <si>
    <t>GGT-d31</t>
  </si>
  <si>
    <t>GGT-d32</t>
  </si>
  <si>
    <t>GGT-d33</t>
  </si>
  <si>
    <t>GGT-d35</t>
  </si>
  <si>
    <t>GGT-d36</t>
  </si>
  <si>
    <t>GGT-d37</t>
  </si>
  <si>
    <t>GGT-d38</t>
  </si>
  <si>
    <t>GGT-d39</t>
  </si>
  <si>
    <t>GGT-d40</t>
  </si>
  <si>
    <t>GGT-d42</t>
  </si>
  <si>
    <t>GGT-d54</t>
  </si>
  <si>
    <t>GGT-m2d2</t>
  </si>
  <si>
    <t>GGT-m4d6</t>
  </si>
  <si>
    <t>GGT-m5d21</t>
  </si>
  <si>
    <t>GGT-m5d26</t>
  </si>
  <si>
    <t>GGT-m5d29</t>
  </si>
  <si>
    <t>GGT-m6d7</t>
  </si>
  <si>
    <t>GGT-m6d14</t>
  </si>
  <si>
    <t>GGT-m7d16</t>
  </si>
  <si>
    <t>GGT-m10d6</t>
  </si>
  <si>
    <t>GGT-m11d10</t>
  </si>
  <si>
    <t>GGT-m11d30</t>
  </si>
  <si>
    <t>GGT-m7</t>
  </si>
  <si>
    <t>GGT-m20d28</t>
  </si>
  <si>
    <t>GGTm21d1</t>
  </si>
  <si>
    <t>GGTm21d2</t>
  </si>
  <si>
    <t>GGTm21d5</t>
  </si>
  <si>
    <t>GGTm21d9</t>
  </si>
  <si>
    <t>GGT-Verlauf/Therapieende</t>
  </si>
  <si>
    <t>Anzahl GGT Daten</t>
  </si>
  <si>
    <t>LDH-d1 (u\l)</t>
  </si>
  <si>
    <t>LDH-d1w2</t>
  </si>
  <si>
    <t>LDH-d1w3</t>
  </si>
  <si>
    <t>LDH-d2</t>
  </si>
  <si>
    <t>LDH-d2w2</t>
  </si>
  <si>
    <t>LDH-d2w3</t>
  </si>
  <si>
    <t>LDH-d3</t>
  </si>
  <si>
    <t>LDH-d4</t>
  </si>
  <si>
    <t>LDH-d4w2</t>
  </si>
  <si>
    <t>LDH-d4w3</t>
  </si>
  <si>
    <t>LDH-d4w4</t>
  </si>
  <si>
    <t>LDH-d5</t>
  </si>
  <si>
    <t>LDH-d5w2</t>
  </si>
  <si>
    <t>LDH-d6</t>
  </si>
  <si>
    <t>LDH-d6w2</t>
  </si>
  <si>
    <t>LDH-d6w3</t>
  </si>
  <si>
    <t>LDH-d7</t>
  </si>
  <si>
    <t>LDH-d8</t>
  </si>
  <si>
    <t>LDH-d11</t>
  </si>
  <si>
    <t>LDH-d13</t>
  </si>
  <si>
    <t>LDH-d14</t>
  </si>
  <si>
    <t>LDH-d15</t>
  </si>
  <si>
    <t>LDH-d16</t>
  </si>
  <si>
    <t>LDH-d17</t>
  </si>
  <si>
    <t>LDH-d18</t>
  </si>
  <si>
    <t>LDH-d19</t>
  </si>
  <si>
    <t>LDH-d20</t>
  </si>
  <si>
    <t>LDH-d21</t>
  </si>
  <si>
    <t>LDH-23</t>
  </si>
  <si>
    <t>LDH-25</t>
  </si>
  <si>
    <t>LDH-d27</t>
  </si>
  <si>
    <t>Ldh-d28</t>
  </si>
  <si>
    <t>LDH-d29</t>
  </si>
  <si>
    <t>LDH-d32</t>
  </si>
  <si>
    <t>LDH-d33</t>
  </si>
  <si>
    <t>LDH-d35</t>
  </si>
  <si>
    <t>LDH-d38</t>
  </si>
  <si>
    <t>LDH-d39</t>
  </si>
  <si>
    <t>LDH-d40</t>
  </si>
  <si>
    <t>LDH-m20d28</t>
  </si>
  <si>
    <t>LDH-m21d2</t>
  </si>
  <si>
    <t>LDH-m21d9</t>
  </si>
  <si>
    <t>Anzahl LDH Daten</t>
  </si>
  <si>
    <t>Lymphozyten-d1 (%)</t>
  </si>
  <si>
    <t>Lymphozyten-d2</t>
  </si>
  <si>
    <t>Lymphozyten-d8</t>
  </si>
  <si>
    <t>Lymphozyten-m20d28</t>
  </si>
  <si>
    <t>Lymphozyten-m21d2</t>
  </si>
  <si>
    <t>Anzahl Lymphozyten Daten</t>
  </si>
  <si>
    <t>Bilirubin-d1 (mikromol/l)</t>
  </si>
  <si>
    <t>Bilirubin-d2</t>
  </si>
  <si>
    <t>Bilirubin-d1w2</t>
  </si>
  <si>
    <t>Bilirubin-d2w2</t>
  </si>
  <si>
    <t>Bilirubin-d2w3</t>
  </si>
  <si>
    <t>Billirubin-d3</t>
  </si>
  <si>
    <t>Bilirubin-d3w2</t>
  </si>
  <si>
    <t>Billirubin-d4</t>
  </si>
  <si>
    <t>Billirubin-d4w2</t>
  </si>
  <si>
    <t>Billirubin-d4w3</t>
  </si>
  <si>
    <t>Bilirubin-d4w4</t>
  </si>
  <si>
    <t>Billirubin-d5</t>
  </si>
  <si>
    <t>Billirubin-d5w2</t>
  </si>
  <si>
    <t>Billirubin-d6</t>
  </si>
  <si>
    <t>Bilirubin-d6w2</t>
  </si>
  <si>
    <t>Billirubin-d6w3</t>
  </si>
  <si>
    <t>Bilirubin-d7</t>
  </si>
  <si>
    <t>Billirubin-d8</t>
  </si>
  <si>
    <t>Billirubin-d9</t>
  </si>
  <si>
    <t>Billirubin-d10</t>
  </si>
  <si>
    <t>Billirubin-d11</t>
  </si>
  <si>
    <t>Bilirubin-d12</t>
  </si>
  <si>
    <t>Bilirubin-d13</t>
  </si>
  <si>
    <t>Bilirubin-d14</t>
  </si>
  <si>
    <t>Bilirubin-d15</t>
  </si>
  <si>
    <t>Bilirubin-d16</t>
  </si>
  <si>
    <t>Bilirubin-d17</t>
  </si>
  <si>
    <t>Bilirubin-d18</t>
  </si>
  <si>
    <t>Bilirubin-d19</t>
  </si>
  <si>
    <t>Bilirubin-d20</t>
  </si>
  <si>
    <t>Bilirubin-d21</t>
  </si>
  <si>
    <t>Bilirubin-d23</t>
  </si>
  <si>
    <t>Bilirubin-25</t>
  </si>
  <si>
    <t>Billirubin-d27</t>
  </si>
  <si>
    <t>Billirubin-d28</t>
  </si>
  <si>
    <t>Bilirubin-d31</t>
  </si>
  <si>
    <t>Billirubin-d32</t>
  </si>
  <si>
    <t>Billirubin-d35</t>
  </si>
  <si>
    <t>Billirubin-d37</t>
  </si>
  <si>
    <t>Billirubin-d38</t>
  </si>
  <si>
    <t>Bilirubin-d39</t>
  </si>
  <si>
    <t>Billirubin-d40</t>
  </si>
  <si>
    <t>Bilirubin-d42</t>
  </si>
  <si>
    <t>Bili-m4d6</t>
  </si>
  <si>
    <t>Bili-m5d21</t>
  </si>
  <si>
    <t>Bili-m5d26</t>
  </si>
  <si>
    <t>Bili-m5d29</t>
  </si>
  <si>
    <t>Bili-m6d7</t>
  </si>
  <si>
    <t>Bili-m6d14</t>
  </si>
  <si>
    <t>Bili-m7d16</t>
  </si>
  <si>
    <t>Bili-m10d6</t>
  </si>
  <si>
    <t>Bili-m11d10</t>
  </si>
  <si>
    <t>Bili-m11d30</t>
  </si>
  <si>
    <t>Bilirubin-m7</t>
  </si>
  <si>
    <t>Bilirubin-m21d1</t>
  </si>
  <si>
    <t>Bilirubin-m21d2</t>
  </si>
  <si>
    <t>Bilirubin-m21d5</t>
  </si>
  <si>
    <t>Anzahl BILLI Werte</t>
  </si>
  <si>
    <t>GLDH-d1 (u/l)</t>
  </si>
  <si>
    <t>GLDH-d1w2</t>
  </si>
  <si>
    <t>GLDH-d1w3</t>
  </si>
  <si>
    <t>GLDH-d2</t>
  </si>
  <si>
    <t>GLDH-d2w2</t>
  </si>
  <si>
    <t>GLDH-d3</t>
  </si>
  <si>
    <t>GLDH-d4</t>
  </si>
  <si>
    <t>GLDH-d6</t>
  </si>
  <si>
    <t>GLDH-d13</t>
  </si>
  <si>
    <t>GLDH-d14</t>
  </si>
  <si>
    <t>GLDH-m6d7</t>
  </si>
  <si>
    <t>GLDH-m6d14</t>
  </si>
  <si>
    <t>GLDH-m7d16</t>
  </si>
  <si>
    <t>GLDH-m11d10</t>
  </si>
  <si>
    <t>GLDH-m11d30</t>
  </si>
  <si>
    <t>GLDH- Verlauf</t>
  </si>
  <si>
    <t>Anzahl GLDH Daten</t>
  </si>
  <si>
    <t>AP-d1 (u/l)</t>
  </si>
  <si>
    <t>AP-d1w2</t>
  </si>
  <si>
    <t>Ap-d1w3</t>
  </si>
  <si>
    <t>AP-d2</t>
  </si>
  <si>
    <t>AP-d2w2</t>
  </si>
  <si>
    <t>Ap-d2w3</t>
  </si>
  <si>
    <t>AP-d3</t>
  </si>
  <si>
    <t>Ap-d4</t>
  </si>
  <si>
    <t>AP-d4w2</t>
  </si>
  <si>
    <t>AP-d4w3</t>
  </si>
  <si>
    <t>Ap-d4w4</t>
  </si>
  <si>
    <t>AP-d5</t>
  </si>
  <si>
    <t>AP-d5w2</t>
  </si>
  <si>
    <t>Ap-d6</t>
  </si>
  <si>
    <t>AP-d6w2</t>
  </si>
  <si>
    <t>Ap-d6w3</t>
  </si>
  <si>
    <t>AP-d7</t>
  </si>
  <si>
    <t>AP-d8</t>
  </si>
  <si>
    <t>AP-d9</t>
  </si>
  <si>
    <t>AP-d10</t>
  </si>
  <si>
    <t>Ap-d11</t>
  </si>
  <si>
    <t>Ap-d12</t>
  </si>
  <si>
    <t>AP-d13</t>
  </si>
  <si>
    <t>AP-d14</t>
  </si>
  <si>
    <t>AP-d15</t>
  </si>
  <si>
    <t>AP-d16</t>
  </si>
  <si>
    <t>AP-d17</t>
  </si>
  <si>
    <t>AP-d18</t>
  </si>
  <si>
    <t>AP-d19</t>
  </si>
  <si>
    <t>AP-d20</t>
  </si>
  <si>
    <t>AP-d21</t>
  </si>
  <si>
    <t>AP-d22</t>
  </si>
  <si>
    <t>AP-d23</t>
  </si>
  <si>
    <t>Ap-d25</t>
  </si>
  <si>
    <t>AP-d27</t>
  </si>
  <si>
    <t>AP-d28</t>
  </si>
  <si>
    <t>AP-d29</t>
  </si>
  <si>
    <t>AP-d30</t>
  </si>
  <si>
    <t>AP-d31</t>
  </si>
  <si>
    <t>Ap-d32</t>
  </si>
  <si>
    <t>Ap-d35</t>
  </si>
  <si>
    <t>Ap-d36</t>
  </si>
  <si>
    <t>Ap-d38</t>
  </si>
  <si>
    <t>AP-d39</t>
  </si>
  <si>
    <t>Ap-d40</t>
  </si>
  <si>
    <t>AP-m2d2</t>
  </si>
  <si>
    <t>Ap-m5d21</t>
  </si>
  <si>
    <t>Ap-m5d26</t>
  </si>
  <si>
    <t>Ap-m5d29</t>
  </si>
  <si>
    <t>AP-m6d7</t>
  </si>
  <si>
    <t>AP-m6d14</t>
  </si>
  <si>
    <t>AP-m7d16</t>
  </si>
  <si>
    <t>Ap-m10d6</t>
  </si>
  <si>
    <t>Ap-m11d10</t>
  </si>
  <si>
    <t>Ap-m11d30</t>
  </si>
  <si>
    <t>Ap-m20d28</t>
  </si>
  <si>
    <t>Ap-m21d1</t>
  </si>
  <si>
    <t>Ap-m21d2</t>
  </si>
  <si>
    <t>Ap-m21d5</t>
  </si>
  <si>
    <t>Ap-m21d9</t>
  </si>
  <si>
    <t>AP Therapieende</t>
  </si>
  <si>
    <t>Anzahl AP Werte</t>
  </si>
  <si>
    <t>Cholinesterase-d1 (U/l)</t>
  </si>
  <si>
    <t>Cholinesterase-d1w2</t>
  </si>
  <si>
    <t>Cholinesterase-d2</t>
  </si>
  <si>
    <t>Cholinesterase-d2w2</t>
  </si>
  <si>
    <t>Cholinesterase-d2w3</t>
  </si>
  <si>
    <t>Cholinesterase-d3</t>
  </si>
  <si>
    <t>Cholinesterase-d4</t>
  </si>
  <si>
    <t>Cholinesterase-d5</t>
  </si>
  <si>
    <t>Cholinesterase-d6</t>
  </si>
  <si>
    <t>Cholinesterase-d5w2</t>
  </si>
  <si>
    <t>Cholinesterase-d6w2</t>
  </si>
  <si>
    <t>Cholinesterase-d6w3</t>
  </si>
  <si>
    <t>Cholinesterase-d7</t>
  </si>
  <si>
    <t>Cholinesterase-d9</t>
  </si>
  <si>
    <t>Cholinesterase-d11</t>
  </si>
  <si>
    <t>Cholinesterase-d13</t>
  </si>
  <si>
    <t>Cholinesterase-d15</t>
  </si>
  <si>
    <t>Cholinesterase-d18</t>
  </si>
  <si>
    <t>Cholinesterase-19</t>
  </si>
  <si>
    <t>Cholinesterase-d20</t>
  </si>
  <si>
    <t>Cholinesterase-d23</t>
  </si>
  <si>
    <t>Cholinesterase-25</t>
  </si>
  <si>
    <t>Cholinesterase-29</t>
  </si>
  <si>
    <t>Cholinesterase-m5d26</t>
  </si>
  <si>
    <t>Cholinesterase-m6d7</t>
  </si>
  <si>
    <t>Cholinesterase-m6d14</t>
  </si>
  <si>
    <t>Cholinesterase-m7d16</t>
  </si>
  <si>
    <t>Cholinesterase-m10d6</t>
  </si>
  <si>
    <t>Cholinesterase-m11d30</t>
  </si>
  <si>
    <t>Anzahl Choline Daten</t>
  </si>
  <si>
    <t>Kreatinin-d1 (mikromol/l)</t>
  </si>
  <si>
    <t>Kreatinin-d1w2</t>
  </si>
  <si>
    <t>Kreatinin-d2</t>
  </si>
  <si>
    <t>Kreatinin-d2w2</t>
  </si>
  <si>
    <t>Kreatinin-d2w3</t>
  </si>
  <si>
    <t>Kreatinin-d3</t>
  </si>
  <si>
    <t>Kreatinin-d4</t>
  </si>
  <si>
    <t>Kreatinin-d4w2</t>
  </si>
  <si>
    <t>Kreatinin-d4w3</t>
  </si>
  <si>
    <t>Kreatinin-d4w4</t>
  </si>
  <si>
    <t>Kreatinin-d5</t>
  </si>
  <si>
    <t>Kreatinin-d5w2</t>
  </si>
  <si>
    <t>Kreatinin-d6</t>
  </si>
  <si>
    <t>Kreatinin-d6w2</t>
  </si>
  <si>
    <t>Kreatinin-d6w3</t>
  </si>
  <si>
    <t>Kreatinin-d7</t>
  </si>
  <si>
    <t>Kreatinin-d8</t>
  </si>
  <si>
    <t>Kreatinin-d9</t>
  </si>
  <si>
    <t>Kreatinin-d11</t>
  </si>
  <si>
    <t>Kreatinin-d13</t>
  </si>
  <si>
    <t>Kreatinin-d14</t>
  </si>
  <si>
    <t>Kreatin-d19</t>
  </si>
  <si>
    <t>Kreatinin-d21</t>
  </si>
  <si>
    <t>Kreatinin-d27</t>
  </si>
  <si>
    <t>Kreatinin-d32</t>
  </si>
  <si>
    <t>Kreatinin-d33</t>
  </si>
  <si>
    <t>Kreatinin-d40</t>
  </si>
  <si>
    <t>Kreatinin-m20d28</t>
  </si>
  <si>
    <t>Anzahl Kreatinin Daten</t>
  </si>
  <si>
    <t xml:space="preserve">INR-d1 </t>
  </si>
  <si>
    <t>INR-d1w2</t>
  </si>
  <si>
    <t>INR-d2</t>
  </si>
  <si>
    <t>INR-d2w2</t>
  </si>
  <si>
    <t>INR-d3</t>
  </si>
  <si>
    <t>INR-d4</t>
  </si>
  <si>
    <t>INR-d4w2</t>
  </si>
  <si>
    <t>INR-d4w3</t>
  </si>
  <si>
    <t>INR-d4w4</t>
  </si>
  <si>
    <t>INR-d5</t>
  </si>
  <si>
    <t>INR-d6</t>
  </si>
  <si>
    <t>INR-d7</t>
  </si>
  <si>
    <t>INR-d9</t>
  </si>
  <si>
    <t>INR-d10</t>
  </si>
  <si>
    <t>INR-d12</t>
  </si>
  <si>
    <t>INR-d13</t>
  </si>
  <si>
    <t>INR-d14</t>
  </si>
  <si>
    <t>INR-d15</t>
  </si>
  <si>
    <t>INR-d20</t>
  </si>
  <si>
    <t>INR-d38</t>
  </si>
  <si>
    <t>Anzahl INR Daten</t>
  </si>
  <si>
    <t>Amylase-d1 (U/l)</t>
  </si>
  <si>
    <t>Amylase-d2</t>
  </si>
  <si>
    <t>Amylase-d2w2</t>
  </si>
  <si>
    <t>Amylase-d2w3</t>
  </si>
  <si>
    <t>Amylase-d3</t>
  </si>
  <si>
    <t>Amylase-d4</t>
  </si>
  <si>
    <t>Amylase-d4w2</t>
  </si>
  <si>
    <t>Amylase-d4w3</t>
  </si>
  <si>
    <t>Amzlase-d4w4</t>
  </si>
  <si>
    <t>Amylase-d5</t>
  </si>
  <si>
    <t>Amylase-d5w2</t>
  </si>
  <si>
    <t>Amylase-d6</t>
  </si>
  <si>
    <t>Amylase-d6w2</t>
  </si>
  <si>
    <t>Amylase-d6w3</t>
  </si>
  <si>
    <t>Amylase-d7</t>
  </si>
  <si>
    <t>Amylase-d9</t>
  </si>
  <si>
    <t>Amylase-d12</t>
  </si>
  <si>
    <t>Amylase-d14</t>
  </si>
  <si>
    <t>Amylase-d20</t>
  </si>
  <si>
    <t>Amylase-d28</t>
  </si>
  <si>
    <t>Amylase-d37</t>
  </si>
  <si>
    <t>Anzahl Amylase Daten</t>
  </si>
  <si>
    <t>Lipase-d1  (U/L)</t>
  </si>
  <si>
    <t>Lipase-d1w2</t>
  </si>
  <si>
    <t>Lipase-d2</t>
  </si>
  <si>
    <t>Lipase-d2w2</t>
  </si>
  <si>
    <t>Lipase-d2w3</t>
  </si>
  <si>
    <t>Lipase-d3</t>
  </si>
  <si>
    <t>Lipase-d4</t>
  </si>
  <si>
    <t>Lipase-d4w2</t>
  </si>
  <si>
    <t>Lipase-d4w3</t>
  </si>
  <si>
    <t>Lipase-d4w5</t>
  </si>
  <si>
    <t>Lipase-d5</t>
  </si>
  <si>
    <t>Lipase-d5w2</t>
  </si>
  <si>
    <t>Lipase-d6</t>
  </si>
  <si>
    <t>Lipase-d6w2</t>
  </si>
  <si>
    <t>Lipase-d6w3</t>
  </si>
  <si>
    <t>Lipase-d7</t>
  </si>
  <si>
    <t>Lipase-d14</t>
  </si>
  <si>
    <t>Lipase-d20</t>
  </si>
  <si>
    <t>Lipase-d28</t>
  </si>
  <si>
    <t>Anzahl Lipase Daten</t>
  </si>
  <si>
    <t>Crp-d1 (mg/l)</t>
  </si>
  <si>
    <t>CRP-d1w2</t>
  </si>
  <si>
    <t>Crp-d2</t>
  </si>
  <si>
    <t>Crp-d3</t>
  </si>
  <si>
    <t>Crp-d4</t>
  </si>
  <si>
    <t>CRP-d4w2</t>
  </si>
  <si>
    <t>CRP-d4w3</t>
  </si>
  <si>
    <t>CRP-d4w4</t>
  </si>
  <si>
    <t>Crp-d5</t>
  </si>
  <si>
    <t>Crp-d6</t>
  </si>
  <si>
    <t>Crp-d7</t>
  </si>
  <si>
    <t>Crp-d8</t>
  </si>
  <si>
    <t>Crp-d9</t>
  </si>
  <si>
    <t>CRP-d13</t>
  </si>
  <si>
    <t>CRP-d14</t>
  </si>
  <si>
    <t>CRP-d16</t>
  </si>
  <si>
    <t>CRP-m20d28</t>
  </si>
  <si>
    <t>CRP-m21d1</t>
  </si>
  <si>
    <t>CRP-m21d2</t>
  </si>
  <si>
    <t>Anzahl CRP DATEN</t>
  </si>
  <si>
    <t>PTZ-d1 (%)</t>
  </si>
  <si>
    <t>PTZ-d5</t>
  </si>
  <si>
    <t>PTZ-d7</t>
  </si>
  <si>
    <t>PTZ-d8</t>
  </si>
  <si>
    <t>PTZ-d27</t>
  </si>
  <si>
    <t>Azahl PTZ dATEN</t>
  </si>
  <si>
    <t>Harnstoff-d1 (mmol/l)</t>
  </si>
  <si>
    <t>Harnstoff-d2</t>
  </si>
  <si>
    <t>Harnstoff-d2w2</t>
  </si>
  <si>
    <t>Harnstoff-d2w3</t>
  </si>
  <si>
    <t>Harnstoff-d3</t>
  </si>
  <si>
    <t>Harnstoff-d4</t>
  </si>
  <si>
    <t>Harnstoff-d4w2</t>
  </si>
  <si>
    <t>Harnstoff-d4w3</t>
  </si>
  <si>
    <t>Harnstoff-d4w4</t>
  </si>
  <si>
    <t>Harnstoff-d5</t>
  </si>
  <si>
    <t>|Harnstoff-d5w2</t>
  </si>
  <si>
    <t>Harnstoff-d6</t>
  </si>
  <si>
    <t>Harnstoff-d6w2</t>
  </si>
  <si>
    <t>Harnstoff-d6w3</t>
  </si>
  <si>
    <t>Harnstoff-d7</t>
  </si>
  <si>
    <t>Harnstoff-d11</t>
  </si>
  <si>
    <t>Harnstoff-d13</t>
  </si>
  <si>
    <t>Harnstoff-d14</t>
  </si>
  <si>
    <t>Harnstoff-d21</t>
  </si>
  <si>
    <t>Harnstoff-d27</t>
  </si>
  <si>
    <t>Harnstoff-d28</t>
  </si>
  <si>
    <t>Anzahl Harnstoff Daten</t>
  </si>
  <si>
    <t>Thrombozyten-d1 (GPT/l)</t>
  </si>
  <si>
    <t>Thrombozyten-d1w2</t>
  </si>
  <si>
    <t>Thrombozyten-d2</t>
  </si>
  <si>
    <t>Trhombozyten-d2w2</t>
  </si>
  <si>
    <t>Thrombozyten-d2w3</t>
  </si>
  <si>
    <t>Thrombozyten-d3</t>
  </si>
  <si>
    <t>Trhomozyten-d3w2</t>
  </si>
  <si>
    <t>Thrombozyten-d4</t>
  </si>
  <si>
    <t>Thrombozyten-d5</t>
  </si>
  <si>
    <t>Thrombozyten-d5w2</t>
  </si>
  <si>
    <t>Thrombozyten-d6</t>
  </si>
  <si>
    <t>Thrombozyten-d6w2</t>
  </si>
  <si>
    <t>Trhombozyten-d6w3</t>
  </si>
  <si>
    <t>Thrombozyten-d7</t>
  </si>
  <si>
    <t>Thrombozyten-d8</t>
  </si>
  <si>
    <t>Thrombozyten-d9</t>
  </si>
  <si>
    <t>Thrombozyten-d12</t>
  </si>
  <si>
    <t>Thrombozyten-d13</t>
  </si>
  <si>
    <t>Thrombozyten-d14</t>
  </si>
  <si>
    <t>Thrombozyten-d15</t>
  </si>
  <si>
    <t>Thrombozyten-d17</t>
  </si>
  <si>
    <t>Thrombozyten-d20</t>
  </si>
  <si>
    <t>Anzahl Thromb Daten</t>
  </si>
  <si>
    <t>Laktat-d1 (mmol/l)</t>
  </si>
  <si>
    <t>Laktat-d3</t>
  </si>
  <si>
    <t>Laktat-d4</t>
  </si>
  <si>
    <t>Laktat-d7</t>
  </si>
  <si>
    <t>Anzahl Laktat Daten</t>
  </si>
  <si>
    <t>NH3-d1</t>
  </si>
  <si>
    <t>NH3-d2</t>
  </si>
  <si>
    <t>NH3-d3</t>
  </si>
  <si>
    <t>NH3-d4</t>
  </si>
  <si>
    <t>NH3-d5</t>
  </si>
  <si>
    <t>NH3-d7</t>
  </si>
  <si>
    <t>Anzahl NH3 Daten</t>
  </si>
  <si>
    <t>PLT-d1 /mikrol</t>
  </si>
  <si>
    <t>BSG-d1 (mm/h)</t>
  </si>
  <si>
    <t>Monozyten (%)</t>
  </si>
  <si>
    <t>Eosinophile Granuloyzten (%)</t>
  </si>
  <si>
    <t>Albumin-d1 (g/l)</t>
  </si>
  <si>
    <t>Albumin-d1w2</t>
  </si>
  <si>
    <t>Albumin-d2</t>
  </si>
  <si>
    <t>Albumin-d3</t>
  </si>
  <si>
    <t>Albumin-d4</t>
  </si>
  <si>
    <t>Albumin-d4w2</t>
  </si>
  <si>
    <t>Albumin-d4w3</t>
  </si>
  <si>
    <t>Albumin-d13</t>
  </si>
  <si>
    <t>Albumin-d14</t>
  </si>
  <si>
    <t>Anzahl Albumin Daten</t>
  </si>
  <si>
    <t>alpha-1-G-d1 (%)</t>
  </si>
  <si>
    <t>alpha-2-G-d1 (%)</t>
  </si>
  <si>
    <t>beta-G-d1 (%)</t>
  </si>
  <si>
    <t>gamma-G-d1 (%)</t>
  </si>
  <si>
    <t>Harnsaure-d1 (mg/dl)</t>
  </si>
  <si>
    <t>Harnsaure-d5</t>
  </si>
  <si>
    <t>Harnsaure-d7</t>
  </si>
  <si>
    <t>Harnsaure-d13</t>
  </si>
  <si>
    <t>Harnsaure-d14</t>
  </si>
  <si>
    <t>Anzahl Hansäure Daten</t>
  </si>
  <si>
    <t>Cholesterin-(mg/dl)-d1</t>
  </si>
  <si>
    <t>Cholesterin-d3</t>
  </si>
  <si>
    <t>Cholesterin-d4</t>
  </si>
  <si>
    <t>Cholesterin-d7</t>
  </si>
  <si>
    <t>Cholesterin-d8</t>
  </si>
  <si>
    <t>Cholesterin-d14</t>
  </si>
  <si>
    <t>Cholesterin-m4d6</t>
  </si>
  <si>
    <t>Cholesterin-m7d16</t>
  </si>
  <si>
    <t>Cholesterin-m10d6</t>
  </si>
  <si>
    <t>Cholesterin-m11d10</t>
  </si>
  <si>
    <t>Cholesterin-m11d30</t>
  </si>
  <si>
    <t>Anzahl Cholest Daten</t>
  </si>
  <si>
    <t>Triacyglyceride-(mg/dl)-d1</t>
  </si>
  <si>
    <t>Triacylglyceride-d2</t>
  </si>
  <si>
    <t>Triacylglyceride-d2w2</t>
  </si>
  <si>
    <t>Triacylglyceride-d2w3</t>
  </si>
  <si>
    <t>Triacylglyceride-d3</t>
  </si>
  <si>
    <t>Triacylglyceride-d4</t>
  </si>
  <si>
    <t>Triacylglyceride-d4w2</t>
  </si>
  <si>
    <t>Triacylglyceride-d4w3</t>
  </si>
  <si>
    <t>Triacylglyceride-d4w4</t>
  </si>
  <si>
    <t>Triacylglyceride-d5</t>
  </si>
  <si>
    <t>Triacylglyceride-d5w2</t>
  </si>
  <si>
    <t>Triacylglyceride-d6</t>
  </si>
  <si>
    <t>Triacylglyceride-d6w2</t>
  </si>
  <si>
    <t>Triacylglyceride-d6w3</t>
  </si>
  <si>
    <t>Triacylgylceride-d7</t>
  </si>
  <si>
    <t>Triacylglyceride-d14 (mmol/l)</t>
  </si>
  <si>
    <t>Tria-m4d6</t>
  </si>
  <si>
    <t>Tria-m7d16</t>
  </si>
  <si>
    <t>Tria-m10d6</t>
  </si>
  <si>
    <t>Tria-m11d10</t>
  </si>
  <si>
    <t>Tria-m11d30</t>
  </si>
  <si>
    <t>Anzahl Tria Daten</t>
  </si>
  <si>
    <t>00001263</t>
  </si>
  <si>
    <t>K.A.</t>
  </si>
  <si>
    <t>w</t>
  </si>
  <si>
    <t>Ja</t>
  </si>
  <si>
    <t>nein</t>
  </si>
  <si>
    <t>Konakionsgabe(Vit. K), Absetzen aller Medikamente</t>
  </si>
  <si>
    <t>Steven Johnson</t>
  </si>
  <si>
    <t>16,7</t>
  </si>
  <si>
    <t>8 Tage</t>
  </si>
  <si>
    <t>2 g/d</t>
  </si>
  <si>
    <t>Harnwegsinfektion</t>
  </si>
  <si>
    <t>Makrohaematurie</t>
  </si>
  <si>
    <t>Gerinnungsstörung, haemorrhagische Bullae</t>
  </si>
  <si>
    <t>Tarivid, Firin</t>
  </si>
  <si>
    <t>&gt;5</t>
  </si>
  <si>
    <t>&gt;180</t>
  </si>
  <si>
    <t>33,6</t>
  </si>
  <si>
    <t>14,4</t>
  </si>
  <si>
    <t>00001480</t>
  </si>
  <si>
    <t>P.H.</t>
  </si>
  <si>
    <t>Nein</t>
  </si>
  <si>
    <t>Tinnitus rechts, Kopfschmerzen</t>
  </si>
  <si>
    <t>28,9</t>
  </si>
  <si>
    <t>Tinnitus</t>
  </si>
  <si>
    <t>akute Gastrointeritis</t>
  </si>
  <si>
    <t>Bläschen, HV an Händen MSH/GSH</t>
  </si>
  <si>
    <t>Cortison, Corticoid</t>
  </si>
  <si>
    <t>00001505</t>
  </si>
  <si>
    <t>S.B.</t>
  </si>
  <si>
    <t>m</t>
  </si>
  <si>
    <t>Fieberhafter Infekt</t>
  </si>
  <si>
    <t>26,1</t>
  </si>
  <si>
    <t>Mykoplasmen-Pneumonie</t>
  </si>
  <si>
    <t>Erkältung, verschleterung AZ, Bläschen</t>
  </si>
  <si>
    <t>Fluimucil,Lindoxyl,Tavanic,Rhinotussal</t>
  </si>
  <si>
    <t>9,9</t>
  </si>
  <si>
    <t>00001506</t>
  </si>
  <si>
    <t>E.R.</t>
  </si>
  <si>
    <t xml:space="preserve">Fieber </t>
  </si>
  <si>
    <t>25,8</t>
  </si>
  <si>
    <t>Cystitis</t>
  </si>
  <si>
    <t>syst. lupus erythematodes</t>
  </si>
  <si>
    <t>Flecken an Händen, Füßen</t>
  </si>
  <si>
    <t>Cortison, Cotrim,Amoxcillin</t>
  </si>
  <si>
    <t>01000192</t>
  </si>
  <si>
    <t>F.R.</t>
  </si>
  <si>
    <t xml:space="preserve">Schmerzen   </t>
  </si>
  <si>
    <t>26,6</t>
  </si>
  <si>
    <t>01.09.1999/25.09.1999</t>
  </si>
  <si>
    <t>1 Tag/1Tag</t>
  </si>
  <si>
    <t>1*1 Tbsp/ 1x</t>
  </si>
  <si>
    <t>Astrozytom Grad III</t>
  </si>
  <si>
    <t>Hepatitis C, Gastroentiritis</t>
  </si>
  <si>
    <t>orale Erosionen, Bläschen</t>
  </si>
  <si>
    <t>Bepanthen, Phenydan,Remestan</t>
  </si>
  <si>
    <t>12000/mikrol</t>
  </si>
  <si>
    <t>01000197</t>
  </si>
  <si>
    <t>H.G.</t>
  </si>
  <si>
    <t>Mittelohrentzuendung</t>
  </si>
  <si>
    <t>31,2</t>
  </si>
  <si>
    <t>2 Tage</t>
  </si>
  <si>
    <t>5 DF/Tag</t>
  </si>
  <si>
    <t>Leukämie,refraktäre Anämie</t>
  </si>
  <si>
    <t>Erkältung und Otitis</t>
  </si>
  <si>
    <t>Exanthem, Blasen</t>
  </si>
  <si>
    <t>Acetylsalicylsäure,...</t>
  </si>
  <si>
    <t>9000/mikrol</t>
  </si>
  <si>
    <t>01003215</t>
  </si>
  <si>
    <t>T.H.</t>
  </si>
  <si>
    <t>Kopfschmerzen</t>
  </si>
  <si>
    <t>Glukokortikosteriod Gabe, Candio Hermal Suspension,Hydrocortison,Subkutin Lösung,...</t>
  </si>
  <si>
    <t>Krampfanfälle, Hepatitis B</t>
  </si>
  <si>
    <t>Ten(toxic epidermal necrolysis) mit Schleimhautbeteiligung, Bläschen</t>
  </si>
  <si>
    <t>Tegretal,Novalgin, Carbamezapin (Krampfanfälle)</t>
  </si>
  <si>
    <t>378 000</t>
  </si>
  <si>
    <t>04003543</t>
  </si>
  <si>
    <t>M.J.</t>
  </si>
  <si>
    <t>Fieber</t>
  </si>
  <si>
    <t>Steven Johnson Syndrom, Erhöhte Leberwerte</t>
  </si>
  <si>
    <t>Gliederschmerzen, Arterielle Hypertonie</t>
  </si>
  <si>
    <t>Juckenden Haut, Exanthem</t>
  </si>
  <si>
    <t>Voltaren,Ketek</t>
  </si>
  <si>
    <t xml:space="preserve">105.6 </t>
  </si>
  <si>
    <t>79.2</t>
  </si>
  <si>
    <t>Thrombozyten-Datum unbekannt</t>
  </si>
  <si>
    <t>LDH-Datum unbekannt</t>
  </si>
  <si>
    <t>Lymphozyten-d3</t>
  </si>
  <si>
    <t>GOT-d3w2</t>
  </si>
  <si>
    <t>GPT-d3w2</t>
  </si>
  <si>
    <t>GGT-d3w2</t>
  </si>
  <si>
    <t>Lymphozyten-d5</t>
  </si>
  <si>
    <t>GOT-Datum unbekannt</t>
  </si>
  <si>
    <t>GPT-Datum unbekannt</t>
  </si>
  <si>
    <t>GGT-Datum unbekannt</t>
  </si>
  <si>
    <t>Lymphozyten-Datum unbekannt</t>
  </si>
  <si>
    <t>Harnstoff-Datum unbekannt</t>
  </si>
  <si>
    <t>Anti-HAV-IgG</t>
  </si>
  <si>
    <t>EBV-VCA-IgG</t>
  </si>
  <si>
    <t>Leukozyten-Datum unbekannt</t>
  </si>
  <si>
    <t>Neutrophile-Datum unbekannt (%)</t>
  </si>
  <si>
    <t>13.12 G/L</t>
  </si>
  <si>
    <t>Kreatinkinase</t>
  </si>
  <si>
    <t>Gesamt (alle Fälle)</t>
  </si>
  <si>
    <t>BfArM Nummer</t>
  </si>
  <si>
    <t>Gesamteiweiß-Datum unbekannt</t>
  </si>
  <si>
    <t>Kreatinin-Datum unbekannt</t>
  </si>
  <si>
    <t>CK-Datum unbekannt</t>
  </si>
  <si>
    <t>Troponin-Datum unbekannt (mg/dL)</t>
  </si>
  <si>
    <t>PTT-Datum unbekannt</t>
  </si>
  <si>
    <t>Prothrombin-Datum unbekannt (%)</t>
  </si>
  <si>
    <t>Serummyoglobin-Datum unbekannt (microgram/L)</t>
  </si>
  <si>
    <t>D-Dimer-Datum unbekannt (microgram/L)</t>
  </si>
  <si>
    <t>CH-50-Datum unbekannt (mU/mL)</t>
  </si>
  <si>
    <t>ANA (Antinukleäre Antikörper)-Datum umbekannt</t>
  </si>
  <si>
    <t>Anti-Ro (SSA(Ro)-Antikörper)-Datum unbekannt</t>
  </si>
  <si>
    <t>Anti-La (SSB(La)-Antikörper)-Datum unbekannt</t>
  </si>
  <si>
    <t>Antihistonantikörper-Datum unbekannt</t>
  </si>
  <si>
    <t>DsDNA-Antikörper-Datum unbekannt</t>
  </si>
  <si>
    <t>Ibuprofen (ohne zeitlichen Verlauf)</t>
  </si>
  <si>
    <t>Eosinophile Granuloyzten-Datum unbekannt (%)</t>
  </si>
  <si>
    <t>Monozyten-Datum unbekannt  (%)</t>
  </si>
  <si>
    <t>Thrombozyten-d1 (/mikroliter)</t>
  </si>
  <si>
    <t>BSG-Datum unbekannt</t>
  </si>
  <si>
    <t>Cholinesterase-Datum unbekannt</t>
  </si>
  <si>
    <t>Amylase-Datum unbekannt</t>
  </si>
  <si>
    <t>Ibuprofen (mit zeitlichem Verlauf)</t>
  </si>
  <si>
    <t>Leukozyten-d1w4</t>
  </si>
  <si>
    <t>Hb (Hämoglobin)-Datum unbekannt</t>
  </si>
  <si>
    <t>Hb-d6</t>
  </si>
  <si>
    <t>Hb-d1w4</t>
  </si>
  <si>
    <t>Trhombozyten-d1w4</t>
  </si>
  <si>
    <t>GPT-d1w4</t>
  </si>
  <si>
    <t>GGT-d1w4</t>
  </si>
  <si>
    <t>Lipase-d1w4</t>
  </si>
  <si>
    <t>Lymphozyten-d4w1</t>
  </si>
  <si>
    <t>Lymphozyten-d1w2</t>
  </si>
  <si>
    <t>Trhombozyten-d1w2</t>
  </si>
  <si>
    <t>Kreatinin-d4w1</t>
  </si>
  <si>
    <t>Kreatinin-d3w2</t>
  </si>
  <si>
    <t>Kreatinin-d1w4</t>
  </si>
  <si>
    <t>Kreatinin-d3w4</t>
  </si>
  <si>
    <t>GOT-d4w1</t>
  </si>
  <si>
    <t>GOT-d3w4</t>
  </si>
  <si>
    <t>GPT-d4w1</t>
  </si>
  <si>
    <t>GPT-d3w4</t>
  </si>
  <si>
    <t>GGT-d4w1</t>
  </si>
  <si>
    <t>LDH-d3w2</t>
  </si>
  <si>
    <t>LDH-d1w4</t>
  </si>
  <si>
    <t>Harnstoff-d1w2</t>
  </si>
  <si>
    <t>Harnstoff-d3w2</t>
  </si>
  <si>
    <t>Harnstoff-d1w4</t>
  </si>
  <si>
    <t>Diclofenac (mit zeitlichem Verlauf)</t>
  </si>
  <si>
    <t>CRP-d5w1</t>
  </si>
  <si>
    <t>Kreatinin-d5w1</t>
  </si>
  <si>
    <t>GOT-d5w1</t>
  </si>
  <si>
    <t>GPT-d1w1</t>
  </si>
  <si>
    <t>GPT-d5w1</t>
  </si>
  <si>
    <t>Kreatinin-d6w1</t>
  </si>
  <si>
    <t>Kreatinin-d3w3</t>
  </si>
  <si>
    <t>LDH-d6w1</t>
  </si>
  <si>
    <t>LDH-d3w3</t>
  </si>
  <si>
    <t>Ck-d1w1</t>
  </si>
  <si>
    <t>Ck-d6w1</t>
  </si>
  <si>
    <t>Ck-d3w3</t>
  </si>
  <si>
    <t>CK-MB-d3 (U/L)</t>
  </si>
  <si>
    <t>CK-MB-d4 (U/L)</t>
  </si>
  <si>
    <t>CK-MB-d5 (U/L)</t>
  </si>
  <si>
    <t>CK-MB-d1w1 (U/L)</t>
  </si>
  <si>
    <t>CK-MB-d6w1 (U/L)</t>
  </si>
  <si>
    <t>CK-MB-d3w3 (U/L)</t>
  </si>
  <si>
    <t>Paracetamol (mit zeitlichem Verlauf)</t>
  </si>
  <si>
    <t>Leukozyten-d3w1</t>
  </si>
  <si>
    <t>Lymphozyten-d6</t>
  </si>
  <si>
    <t>Lymphozyten-d4</t>
  </si>
  <si>
    <t>GOT-d2w1</t>
  </si>
  <si>
    <t>GGT-d2w1</t>
  </si>
  <si>
    <t>Leukozyten-d5w1</t>
  </si>
  <si>
    <t>Leukozyten-d2w1</t>
  </si>
  <si>
    <t>Leukozyten-w2</t>
  </si>
  <si>
    <t>Monozyten-d6</t>
  </si>
  <si>
    <t>Hb-d2  [g/dl]</t>
  </si>
  <si>
    <t>Hb-d3</t>
  </si>
  <si>
    <t>Hb-d4</t>
  </si>
  <si>
    <t>Hb-d5</t>
  </si>
  <si>
    <t>Hb-d2w1</t>
  </si>
  <si>
    <t>Hb-d5w1</t>
  </si>
  <si>
    <t>Hb-d3w2</t>
  </si>
  <si>
    <t>Gesamteiweiß-d5w1</t>
  </si>
  <si>
    <t>Albumin-d5</t>
  </si>
  <si>
    <t>Albumin-d5w1</t>
  </si>
  <si>
    <t>gamma-Globulin-d5 (g/dl)</t>
  </si>
  <si>
    <t>gamma-Globulin-d5w1</t>
  </si>
  <si>
    <t>GGT-d5w1</t>
  </si>
  <si>
    <t>PTT-d1 (sec.)</t>
  </si>
  <si>
    <t>AP-d5w1</t>
  </si>
  <si>
    <t>Amylase-d2w1</t>
  </si>
  <si>
    <t>Amylase-d5w1</t>
  </si>
  <si>
    <t>Bilirubin-d2w1</t>
  </si>
  <si>
    <t>Bilirubin-d5w1</t>
  </si>
  <si>
    <t>Koagulase-d3w2</t>
  </si>
  <si>
    <t>Fieber 
[°C]-d2</t>
  </si>
  <si>
    <t>Fieber 
[°C]-d3</t>
  </si>
  <si>
    <t>Erythrozyten
[Erys/ul]-d2w1</t>
  </si>
  <si>
    <t>Protein
[mg/dl]-d2w1</t>
  </si>
  <si>
    <t>Urobilinogen
[mg/dl]-d2w1</t>
  </si>
  <si>
    <t>IgE
[U/ml]-d1w2</t>
  </si>
  <si>
    <t>IgG-Datum unbekannt</t>
  </si>
  <si>
    <t>Leukozyten-12 Tage vor Krankheitsbeginn</t>
  </si>
  <si>
    <t>GOT-4 Tage vor Krankheitsbeginn</t>
  </si>
  <si>
    <t>GGT-7 Tage vor Krankheitsbeginn</t>
  </si>
  <si>
    <t>LDH-7 Tage vor Krankheitsbeginn</t>
  </si>
  <si>
    <t>Harnstoff-7 Tage vor Krankheitsbeginn</t>
  </si>
  <si>
    <t>Leukozyten-d6w1</t>
  </si>
  <si>
    <t>Lymphozyten-d6w1</t>
  </si>
  <si>
    <t>GGT-d6w1</t>
  </si>
  <si>
    <t>Leukozyten-d7w2</t>
  </si>
  <si>
    <t>Leukozyten-d1w1</t>
  </si>
  <si>
    <t>Tag der Erkrankung ist Tag 1 (nicht Tag 0, Tag 0 gibt es nicht)</t>
  </si>
  <si>
    <t>d7w3 bedeutet: 3 Wochen und 7 Tage nach Erkrankung = der 28. Tag der Erkrankung</t>
  </si>
  <si>
    <t>d1w1 bedeutet: eine Woche (7 Tage) und 1 Tag nach Erkrankung = 8. Tag der Erkrankung</t>
  </si>
  <si>
    <t>Leukozyten-d4w1</t>
  </si>
  <si>
    <t>Epstein-Barr-IgM-d7</t>
  </si>
  <si>
    <t>schwach positiv</t>
  </si>
  <si>
    <t>Ap-d1w4</t>
  </si>
  <si>
    <t>AT III-Datum unbekannt  (%)</t>
  </si>
  <si>
    <t>Gesamteiweiß-d5 [g/dl]</t>
  </si>
  <si>
    <t>AP-d2 (u/l)</t>
  </si>
  <si>
    <t>Amylase-d2 (U/l)</t>
  </si>
  <si>
    <t>BSG-d5w1 (mm/h)</t>
  </si>
  <si>
    <t>Paracetamol</t>
  </si>
  <si>
    <t>Paracetamol (ohne zeitlichen Verlauf)</t>
  </si>
  <si>
    <t>Diclofenac (ohne zeitlichen Verlauf)</t>
  </si>
  <si>
    <t>Tod eingetreten</t>
  </si>
  <si>
    <t>Comorbiditäten</t>
  </si>
  <si>
    <t>Co-Medikation</t>
  </si>
  <si>
    <t>Allgemeinanamnese</t>
  </si>
  <si>
    <t>Rhabdomyolyse</t>
  </si>
  <si>
    <t>Pupura fulminans</t>
  </si>
  <si>
    <t>Schock</t>
  </si>
  <si>
    <t>DIC</t>
  </si>
  <si>
    <t>Multiorganversagen</t>
  </si>
  <si>
    <t>livide Ekchymose</t>
  </si>
  <si>
    <t>Erythem</t>
  </si>
  <si>
    <t>Nikolski-Phänomen</t>
  </si>
  <si>
    <t>hämorrhagische Kruste</t>
  </si>
  <si>
    <t>Fingern</t>
  </si>
  <si>
    <t>Zehen</t>
  </si>
  <si>
    <t>Erosionen</t>
  </si>
  <si>
    <t>Gesicht</t>
  </si>
  <si>
    <t>oral</t>
  </si>
  <si>
    <t>Gangrän</t>
  </si>
  <si>
    <t>Nase</t>
  </si>
  <si>
    <t>Lippen</t>
  </si>
  <si>
    <t>Betroffene Hautoberfläche (%)</t>
  </si>
  <si>
    <t>allgemein</t>
  </si>
  <si>
    <t>Hände</t>
  </si>
  <si>
    <t>Ohrmuscheln</t>
  </si>
  <si>
    <t>Diclofenac</t>
  </si>
  <si>
    <t>Dauer der Einnahme (Tage)</t>
  </si>
  <si>
    <t>Zeitraum: letzte Einnahme bis Krankheitsbeginn (Tage)</t>
  </si>
  <si>
    <t>Ibuprofen</t>
  </si>
  <si>
    <t>i.v.</t>
  </si>
  <si>
    <t>i.m.</t>
  </si>
  <si>
    <t>p.o.</t>
  </si>
  <si>
    <t>Dosis (Mg/Verabreichung)</t>
  </si>
  <si>
    <t>Häufigkeit der Einnahme pro Tag</t>
  </si>
  <si>
    <t>Acetylsalizylsäure</t>
  </si>
  <si>
    <t>Amoxicillin</t>
  </si>
  <si>
    <t>Erkältung</t>
  </si>
  <si>
    <t>allgemeine Symptome</t>
  </si>
  <si>
    <t>Hautsymptome</t>
  </si>
  <si>
    <t>Augenrötung</t>
  </si>
  <si>
    <t xml:space="preserve">Hämorrhagien </t>
  </si>
  <si>
    <t>Konjunktivitis</t>
  </si>
  <si>
    <t>Pharynx</t>
  </si>
  <si>
    <t>Weiblich</t>
  </si>
  <si>
    <t>Männlich</t>
  </si>
  <si>
    <t>Leukozyten-4 Tage vor Krankheitsbeginn</t>
  </si>
  <si>
    <t>Lymphozyten-4 Tage vor Krankheitsbeginn</t>
  </si>
  <si>
    <t>GGT-1 Tag vor Krankheitsbeginn</t>
  </si>
  <si>
    <t>GOT-d1w1</t>
  </si>
  <si>
    <t>GOT-d2 (u\l)</t>
  </si>
  <si>
    <t>GPT-d7w1</t>
  </si>
  <si>
    <t>GGT-d7w1</t>
  </si>
  <si>
    <t>GGT-d1w1</t>
  </si>
  <si>
    <t>GGT-d2 (u\l)</t>
  </si>
  <si>
    <t>Hb-d7w1</t>
  </si>
  <si>
    <t>Bilirubin-d7w1</t>
  </si>
  <si>
    <t>AP-d7w1</t>
  </si>
  <si>
    <t>Amylase-d7w1</t>
  </si>
  <si>
    <t>Kreatinin-d1w1</t>
  </si>
  <si>
    <t>Kreatinin-d3 (mg/dl)</t>
  </si>
  <si>
    <t xml:space="preserve">CRP-d1w1 </t>
  </si>
  <si>
    <t xml:space="preserve">Harnstoff-d4w1 </t>
  </si>
  <si>
    <t>Leberbiopsiewerte</t>
  </si>
  <si>
    <t>Hautreaktionen</t>
  </si>
  <si>
    <t>Leberreaktionen</t>
  </si>
  <si>
    <t>Diclofenac_ab_1992_Haut_Narratives_ohne_Scans</t>
  </si>
  <si>
    <t>Diagnose</t>
  </si>
  <si>
    <t>Stomatitis</t>
  </si>
  <si>
    <t xml:space="preserve">senile keratosis </t>
  </si>
  <si>
    <t>facial swelling, redness</t>
  </si>
  <si>
    <t>skin reaction</t>
  </si>
  <si>
    <t>Ibuprofen_ab_1992_Haut_Narratives_ohne_Scans</t>
  </si>
  <si>
    <t>contact eczema</t>
  </si>
  <si>
    <t>Bloody vesicles on the lips, Petechiae</t>
  </si>
  <si>
    <t>Aphthae, Blanditis</t>
  </si>
  <si>
    <t>rash, DRESS</t>
  </si>
  <si>
    <t>Mucosal erosion</t>
  </si>
  <si>
    <t>DRESS</t>
  </si>
  <si>
    <t>Rash</t>
  </si>
  <si>
    <t>Exanthematic drug eruption</t>
  </si>
  <si>
    <t>Paracetamol_ab_1992_Haut_Narratives_ohne_Scans</t>
  </si>
  <si>
    <t>Acute generalised exanthematous pustulosis</t>
  </si>
  <si>
    <t>Facial swelling, Redness</t>
  </si>
  <si>
    <t>Diclofenac, DE ab 1993, SMQ Hepatic disorders</t>
  </si>
  <si>
    <t>Elevated liver enzymes</t>
  </si>
  <si>
    <t>Transaminase NOS increased</t>
  </si>
  <si>
    <t>Quick's value decreased</t>
  </si>
  <si>
    <t>Hepatitis toxic drug-induced</t>
  </si>
  <si>
    <t>Liver failure, Phlegmon</t>
  </si>
  <si>
    <t>Jaundice</t>
  </si>
  <si>
    <t>Leberwerte erhöht</t>
  </si>
  <si>
    <t>Transaminases increased</t>
  </si>
  <si>
    <t>Hepatic enzymes increased</t>
  </si>
  <si>
    <t>Lipase increased</t>
  </si>
  <si>
    <t>Liver function tests raised</t>
  </si>
  <si>
    <t>Hepatitis</t>
  </si>
  <si>
    <t>Hepatic failure</t>
  </si>
  <si>
    <t>Hyperbilirubinaemia</t>
  </si>
  <si>
    <t>Liver function tests abnormal</t>
  </si>
  <si>
    <t>Bilirubin increased</t>
  </si>
  <si>
    <t>Hepatic lesion</t>
  </si>
  <si>
    <t>Hepatitis acute</t>
  </si>
  <si>
    <t>Icterus</t>
  </si>
  <si>
    <t>Hepatitis viral</t>
  </si>
  <si>
    <t>Mucosal discoloration</t>
  </si>
  <si>
    <t>Hepatocellular injury</t>
  </si>
  <si>
    <t>AST increased</t>
  </si>
  <si>
    <t>Hepatic enzyme increased</t>
  </si>
  <si>
    <t>Alkaline phosphatase increased</t>
  </si>
  <si>
    <t>INR increased</t>
  </si>
  <si>
    <t>Prothrombin time decreased</t>
  </si>
  <si>
    <t>PTT prolonged</t>
  </si>
  <si>
    <t>Acute fulminant hepatitis</t>
  </si>
  <si>
    <t>Damage liver</t>
  </si>
  <si>
    <t>ALT increased</t>
  </si>
  <si>
    <t>CRP increased</t>
  </si>
  <si>
    <t>Liver enlargement</t>
  </si>
  <si>
    <t>Bilirubin conjugated increased</t>
  </si>
  <si>
    <t>Hepatic cirrhosis</t>
  </si>
  <si>
    <t>Fibrosis liver</t>
  </si>
  <si>
    <t>GOT increased transient</t>
  </si>
  <si>
    <t>Hepatocellular damage</t>
  </si>
  <si>
    <t>Gamma GT increased</t>
  </si>
  <si>
    <t>Thrombin time prolonged</t>
  </si>
  <si>
    <t>Erythema</t>
  </si>
  <si>
    <t>Drug-induced hepatitis</t>
  </si>
  <si>
    <t>Fatty liver</t>
  </si>
  <si>
    <t>Gamma-glutamyltransferase increased</t>
  </si>
  <si>
    <t>Hepatic steatosis</t>
  </si>
  <si>
    <t>Abnormal liver function tests</t>
  </si>
  <si>
    <t>GPT increased</t>
  </si>
  <si>
    <t>Bilirubin total high</t>
  </si>
  <si>
    <t xml:space="preserve">generalised exanthematic pustulosis (AGEP) </t>
  </si>
  <si>
    <t>CRP-d6</t>
  </si>
  <si>
    <t>CRP-d4 (mg/l)</t>
  </si>
  <si>
    <t>CRP-Datum unbekannt</t>
  </si>
  <si>
    <t>Fibrinogen-Datum unbekannt-mg/dl</t>
  </si>
  <si>
    <t xml:space="preserve">LDH-d1w1 </t>
  </si>
  <si>
    <t>LDH-d2 (u\l)</t>
  </si>
  <si>
    <t>Bilirubin-d2 (mg/dl)</t>
  </si>
  <si>
    <t>Trhombozyten-d2w1</t>
  </si>
  <si>
    <t>Trhombozyten-d5w1</t>
  </si>
  <si>
    <t>Trhombozyten-d7w1</t>
  </si>
  <si>
    <t>Trhombozyten-d3w2</t>
  </si>
  <si>
    <t>Lipase-d2  (U/L)</t>
  </si>
  <si>
    <t>Lipase-d7w1</t>
  </si>
  <si>
    <t>Cholinesterase-d3 (u/l)</t>
  </si>
  <si>
    <t>Harnstoff-d6 (mg/dl)</t>
  </si>
  <si>
    <t>Natrium-d6 (mmol/l)</t>
  </si>
  <si>
    <t>Kalium-d6 (mmol/l)</t>
  </si>
  <si>
    <t>TSH (Thyreoidea-stimulierendes Hormon)-d6 (mI.E./l)</t>
  </si>
  <si>
    <t>T3-d6 (pg/ml)</t>
  </si>
  <si>
    <t>T4-d6 (ng/dl)</t>
  </si>
  <si>
    <t>noch nach dem Fuchs-Syndrom suchen</t>
  </si>
  <si>
    <t>Mittelwert aus mehereren Messungen eines Tages</t>
  </si>
  <si>
    <t>Sätzungsweise Umrechnung von absoluten in relativen Wert ohne den Referenzwert zu kennen</t>
  </si>
  <si>
    <t>Einzelfälle_Diclofenac, DE ab 1993, SMQ Hepatic disorders</t>
  </si>
  <si>
    <t>GOT/GPT-Erhöhung</t>
  </si>
  <si>
    <t>Cholestase</t>
  </si>
  <si>
    <t>akutes Leberversagen</t>
  </si>
  <si>
    <t>akute Leberinsuffizienz</t>
  </si>
  <si>
    <t>die Werte aus der vorhandenen SJS+hepatic disorders Tabelle stichprobenartig prüfen</t>
  </si>
  <si>
    <t>Gamma-GT Erhöhung</t>
  </si>
  <si>
    <t>Exanthem</t>
  </si>
  <si>
    <t>Ikterus</t>
  </si>
  <si>
    <t>akute Hepatitis</t>
  </si>
  <si>
    <t>Herzinfarkt, C-reactive protein Anstieg</t>
  </si>
  <si>
    <t>Quick decreased</t>
  </si>
  <si>
    <t>Blutungen</t>
  </si>
  <si>
    <t>abnormale Leberfunktionstests</t>
  </si>
  <si>
    <t>Leberzirrhose</t>
  </si>
  <si>
    <t>Hepatose</t>
  </si>
  <si>
    <t>Leberschaden</t>
  </si>
  <si>
    <t xml:space="preserve"> Lipase increased</t>
  </si>
  <si>
    <t>Pupura, Säure-Base-Haushalt abnormal</t>
  </si>
  <si>
    <t>Kreatinin increased</t>
  </si>
  <si>
    <t>GPT erhöht</t>
  </si>
  <si>
    <t>Creatin increase</t>
  </si>
  <si>
    <t>GOT erhöht</t>
  </si>
  <si>
    <t>(ALAT increased</t>
  </si>
  <si>
    <t xml:space="preserve"> increase of transaminases, Bilirubin,</t>
  </si>
  <si>
    <t>erhöhte Leberenzyme</t>
  </si>
  <si>
    <t>Koagulationsparameter verändert</t>
  </si>
  <si>
    <t>Leberfunktionsstörung</t>
  </si>
  <si>
    <t>Leberschädigung</t>
  </si>
  <si>
    <t>mehrmals der gleiche Fall hintereinander</t>
  </si>
  <si>
    <t>CholestasısI</t>
  </si>
  <si>
    <t>Stomatitis, Leberversagen</t>
  </si>
  <si>
    <t>akute generalisierte exanthemische Pustulose</t>
  </si>
  <si>
    <t>generalisierte Ödeme</t>
  </si>
  <si>
    <t>Leberversagen</t>
  </si>
  <si>
    <t>toxische Hepatitis</t>
  </si>
  <si>
    <t>Anstieg Leberwerte</t>
  </si>
  <si>
    <t>Hepatopathie</t>
  </si>
  <si>
    <t>GOT und GPT erhöht</t>
  </si>
  <si>
    <t>Leberfunktionsstärung</t>
  </si>
  <si>
    <t>Hepatorenales Syndrom</t>
  </si>
  <si>
    <t>Einzelfälle_Ibuprofen, DE ab 1993, SMQ Hepatic disorders</t>
  </si>
  <si>
    <t>cholestatische Hepatitis</t>
  </si>
  <si>
    <t xml:space="preserve"> TOXIC LIVER DAMAGE</t>
  </si>
  <si>
    <t xml:space="preserve"> gestörte Leberfunktion</t>
  </si>
  <si>
    <t>Hepatosplerıomegaly</t>
  </si>
  <si>
    <t>erhöhte Leberwerte</t>
  </si>
  <si>
    <t>Einzelfälle_Paracetamol, DE ab 1993, SMQ Hepatic disorders</t>
  </si>
  <si>
    <t>Hämorrhagische Bullae</t>
  </si>
  <si>
    <t>Leberzellschädigung</t>
  </si>
  <si>
    <t>Hepatomegaly</t>
  </si>
  <si>
    <t>Lebertransaminasen erhöht</t>
  </si>
  <si>
    <t>Leberfermentererhöhung</t>
  </si>
  <si>
    <t>Hepatische insuffizienz</t>
  </si>
  <si>
    <t>Hepatotoxischer Effekt</t>
  </si>
  <si>
    <t>Leberenzyme erhöht</t>
  </si>
  <si>
    <t>toxische Hepatose</t>
  </si>
  <si>
    <t>Leberinsuffizienz</t>
  </si>
  <si>
    <t>Hautausschlag + Leberwertveränderungen</t>
  </si>
  <si>
    <t>Hämangiom</t>
  </si>
  <si>
    <t>Ibuprofen, DE ab 1993, SMQ Hepatic disorders</t>
  </si>
  <si>
    <t>Hepatosplenomegaly</t>
  </si>
  <si>
    <t>erhöhter Quick-Wert</t>
  </si>
  <si>
    <t>hepatische Läsion</t>
  </si>
  <si>
    <t>Lebernekrose</t>
  </si>
  <si>
    <t>toxische Lebererkrankung</t>
  </si>
  <si>
    <t>Ekzem</t>
  </si>
  <si>
    <t>Hepatotoxicity</t>
  </si>
  <si>
    <t>Paracetamol, DE ab 1993, SMQ Hepatic disorders</t>
  </si>
  <si>
    <t>Ekzem + akutes Leberversagen</t>
  </si>
  <si>
    <t>Hepatopathy</t>
  </si>
  <si>
    <t>Exanthem + erhöhte Leberwerte</t>
  </si>
  <si>
    <t>Duplikate sind grün markiert</t>
  </si>
  <si>
    <t>auch in Paracetamol</t>
  </si>
  <si>
    <t>auch in Ibu</t>
  </si>
  <si>
    <t>auch in Ibu und Paracetamol</t>
  </si>
  <si>
    <t>auch in Ibu und Para</t>
  </si>
  <si>
    <t>auch in Para</t>
  </si>
  <si>
    <t>auch in Diclo</t>
  </si>
  <si>
    <t>Gelb: Werte die Duplikate besitzen</t>
  </si>
  <si>
    <t>Blau: in "Diclofenac.xlsx" vorhanden</t>
  </si>
  <si>
    <t>Orange: in "Paracetamol.xlsx" vorhanden</t>
  </si>
  <si>
    <t>Kontrollgruppe Anzahl der Fälle: 424</t>
  </si>
  <si>
    <t>Kontrollgruppe: Fälle, die schon in anderen Exceltabellen vorhanden sind: 86</t>
  </si>
  <si>
    <t>Grün: in "SJS + first analysis.xlsx" vorhanden</t>
  </si>
  <si>
    <t>Hautnekrose</t>
  </si>
  <si>
    <t>Wunde</t>
  </si>
  <si>
    <t>anal</t>
  </si>
  <si>
    <t>TEN</t>
  </si>
  <si>
    <t>Überlappungssyndrom</t>
  </si>
  <si>
    <t>Lippe</t>
  </si>
  <si>
    <t>Bullae</t>
  </si>
  <si>
    <t>allgeimein</t>
  </si>
  <si>
    <t>Pigmentfleck</t>
  </si>
  <si>
    <t>Odynophagie</t>
  </si>
  <si>
    <t>Rhinitis</t>
  </si>
  <si>
    <t>Apathie</t>
  </si>
  <si>
    <t>Larynx</t>
  </si>
  <si>
    <t>Fuchs-Syndrom</t>
  </si>
  <si>
    <t>Chelitis</t>
  </si>
  <si>
    <t>wurde eingenommen</t>
  </si>
  <si>
    <t>Anämie</t>
  </si>
  <si>
    <t>Hautläsion</t>
  </si>
  <si>
    <t>Leukopoenie</t>
  </si>
  <si>
    <t>Lupus erythematodes</t>
  </si>
  <si>
    <t>Polyserositis</t>
  </si>
  <si>
    <t>Lymphatisches Infiltrat</t>
  </si>
  <si>
    <t>Einnahme erfolgt</t>
  </si>
  <si>
    <t>Diazepham</t>
  </si>
  <si>
    <t>Vitamin-B</t>
  </si>
  <si>
    <t>Mitralklappemprolaps</t>
  </si>
  <si>
    <t>Angina pectoris</t>
  </si>
  <si>
    <t>Bandscheibenprolaps</t>
  </si>
  <si>
    <t>Zeitraum: erste Einnahme bis Krankheitsbeginn (Tage)</t>
  </si>
  <si>
    <t>Diabetes mellitus</t>
  </si>
  <si>
    <t>Glaukom</t>
  </si>
  <si>
    <t>Katarakt</t>
  </si>
  <si>
    <t>Allergie</t>
  </si>
  <si>
    <t>Juckreiz</t>
  </si>
  <si>
    <t>Hautschmerzen</t>
  </si>
  <si>
    <t>Raufuncton</t>
  </si>
  <si>
    <t>Meprivacain</t>
  </si>
  <si>
    <t>i.c.</t>
  </si>
  <si>
    <t>Nausea</t>
  </si>
  <si>
    <t>0,57 (umgerechnet aus Einnahme 4x pro Woche)</t>
  </si>
  <si>
    <t>Insulin</t>
  </si>
  <si>
    <t>s.c.</t>
  </si>
  <si>
    <t>Dosis (IE)</t>
  </si>
  <si>
    <t>Häufigkeit der Einnahme pro Woche</t>
  </si>
  <si>
    <t>Dauer der Erkrankung (Tage)</t>
  </si>
  <si>
    <t>Herzversagen</t>
  </si>
  <si>
    <t>periphere Gefäßerkrankung</t>
  </si>
  <si>
    <t>Nervosität</t>
  </si>
  <si>
    <t>Herzinsuffizienz</t>
  </si>
  <si>
    <t>Übelkeit</t>
  </si>
  <si>
    <t>Arzneimittelabusus</t>
  </si>
  <si>
    <t>Causability Rating noch dazunehmen? Ist das standartisiert? Bisher nur bei S. 2351 zu sehen</t>
  </si>
  <si>
    <t>Gicht</t>
  </si>
  <si>
    <t>Z.n. Herzinfarkt</t>
  </si>
  <si>
    <t>Kokarden</t>
  </si>
  <si>
    <t>als Salbe/ Gel</t>
  </si>
  <si>
    <t>Penicillin</t>
  </si>
  <si>
    <t>genital</t>
  </si>
  <si>
    <t>konjunktival</t>
  </si>
  <si>
    <t>Menstruationsbeschwerden</t>
  </si>
  <si>
    <t>Tod nicht eingetreten</t>
  </si>
  <si>
    <t>BMI-Rechner: https://www.apotheken-umschau.de/gesund-bleiben/abnehmen/body-mass-index-den-bmi-berechnen-706435.html</t>
  </si>
  <si>
    <t>art. Hypertonie</t>
  </si>
  <si>
    <t>Aortenstenose</t>
  </si>
  <si>
    <t>Hyperthyreose</t>
  </si>
  <si>
    <t>Gelenkschmerzen</t>
  </si>
  <si>
    <t>Medikamente die nach dem Auftreten der Erkrankung eingenommen wurden habe ich weggelassen</t>
  </si>
  <si>
    <t>Bestimmten Code eintragen wenn Medikamente dauerhaft eingenommen wurden?</t>
  </si>
  <si>
    <t>Dauer der Medikation nur bis zum Indextag des Auftretens des SJS zählen oder gesamten dargestellten Bereich (ist auch nicht wirklich aussagekräftig)?</t>
  </si>
  <si>
    <t>Bei 99001183 steht dabei, dass Ibu höchstwahrscheinlich nicht die Ursache ist -&gt; sowas dazuschreiben?</t>
  </si>
  <si>
    <t>Gastroenteritis</t>
  </si>
  <si>
    <t>Multiple Sklerose</t>
  </si>
  <si>
    <t>Maculae</t>
  </si>
  <si>
    <t>Krusten</t>
  </si>
  <si>
    <t>Schwellung</t>
  </si>
  <si>
    <t>Vesikel</t>
  </si>
  <si>
    <t>Histopathologie</t>
  </si>
  <si>
    <t>Lymphozyteninfiltrate</t>
  </si>
  <si>
    <t>Makrophagen (Histozyten)</t>
  </si>
  <si>
    <t>Neutrophile Granulozyten</t>
  </si>
  <si>
    <t>Erythrozyteninfiltrate</t>
  </si>
  <si>
    <t>Seruminfiltrate</t>
  </si>
  <si>
    <t>Erythema multiforme</t>
  </si>
  <si>
    <t>psychische Erkrankung</t>
  </si>
  <si>
    <t>Stamm</t>
  </si>
  <si>
    <t>Epilspsie</t>
  </si>
  <si>
    <t>Arzneimittelbeurteilung aus den Tabellen auch immer mit reinnehmen? Was genau wurde dort beurteilt?</t>
  </si>
  <si>
    <t>Koronare Herzkrankheit</t>
  </si>
  <si>
    <t>Hypercholesterinämie</t>
  </si>
  <si>
    <t>Grippemedikament (Aconitium D5, Atropinum sulfuricum D5, Mercurius cyanatus D8)</t>
  </si>
  <si>
    <t>Dosis (Tropfen/Verabreichung)</t>
  </si>
  <si>
    <t>Röntgenkontrastmittel (Gadodiamid)</t>
  </si>
  <si>
    <t>Dosis (mmol/Verabreichung)</t>
  </si>
  <si>
    <t>Allopurinol (gegen Harnsäure)</t>
  </si>
  <si>
    <t>Acetylcystein (bei Atemwegserkrankungen)</t>
  </si>
  <si>
    <t>Tramadol (Opioid)</t>
  </si>
  <si>
    <t>Nahrungsergänzungsmittel (Calziumcitrat, Calciumgluconat, Natriumflurophosphat)</t>
  </si>
  <si>
    <t>Glimepirid (Antidiabetikum)</t>
  </si>
  <si>
    <t>Cefetametpivoxil (Beta-Lactam-Antibiotikum)</t>
  </si>
  <si>
    <t>Fluconazol (Antimykotikium)</t>
  </si>
  <si>
    <t>Oxazepam (Benzodiazepin)</t>
  </si>
  <si>
    <t>Hydrochlorthiazid (Diuretikum)</t>
  </si>
  <si>
    <t>Furosemid (Diuretikum)</t>
  </si>
  <si>
    <t>Nifredipin (gegen Hypertonie)</t>
  </si>
  <si>
    <t>Bisoprolol (gegen Hypertonie)</t>
  </si>
  <si>
    <t>Azathioprin (Immumsuppresivum)</t>
  </si>
  <si>
    <t>Prednisolon (Glucocorticoid)</t>
  </si>
  <si>
    <t>Rofecoxib (NSAID)</t>
  </si>
  <si>
    <t>Aminophyllin, Chininsulfat, Theophyllin-Ethylendianin (Asthmamedikament)</t>
  </si>
  <si>
    <t>Chlormezanon (Muskelrelaxant)</t>
  </si>
  <si>
    <t>Bromazepam (Benzodiazepin)</t>
  </si>
  <si>
    <t>Escin Sodium (gegen akute Pankreatitis)</t>
  </si>
  <si>
    <t>Clopamid, Reserpin (Diuretikum)</t>
  </si>
  <si>
    <t>Metoclopramid (Antiemetikum - Peristaltik anregend)</t>
  </si>
  <si>
    <t>Dexpanthenol (Polyen - Hautmedikament)</t>
  </si>
  <si>
    <t>Levothyroxin-Natrium (Schilddrüsenhormon)</t>
  </si>
  <si>
    <t>Metildigoxin (steigert Herzleistung)</t>
  </si>
  <si>
    <t>Cinnarizin, Dimenhydrinat (Kalziumkanalblocker, bei Durchblutungsstörungen)</t>
  </si>
  <si>
    <t>Captopril (ACE-Hemmer, gegen Hypertonie)</t>
  </si>
  <si>
    <t>Süßholzwurzel-Trockensaft (Nahrungsergänzungsmittel)</t>
  </si>
  <si>
    <t>Lactulose (Opstipation)</t>
  </si>
  <si>
    <t>Dosis (EL/Verabreichung)</t>
  </si>
  <si>
    <t>Carbamazepin (gegen Epilepsie)</t>
  </si>
  <si>
    <t>Dexamentason (Glucocorticoid)</t>
  </si>
  <si>
    <t>Pirenzepin (Magenschutz)</t>
  </si>
  <si>
    <t>Dosis (mg/Verabreichung)</t>
  </si>
  <si>
    <t>Dosis (Inhalation)</t>
  </si>
  <si>
    <t>Thymus-Peptide (Atemwegsinfektion)</t>
  </si>
  <si>
    <t>Eukalyptusöl, Kiefernnadelöl (Atemwegsinfektion)</t>
  </si>
  <si>
    <t>Krämpfe</t>
  </si>
  <si>
    <t>Obstipation</t>
  </si>
  <si>
    <t>zerebrales Ödem</t>
  </si>
  <si>
    <t>Glioblastom</t>
  </si>
  <si>
    <t>Gehirntumor</t>
  </si>
  <si>
    <t>Hepatitis B</t>
  </si>
  <si>
    <t>Kolitis</t>
  </si>
  <si>
    <t>Hepatitis C</t>
  </si>
  <si>
    <t>noch nach unauffälligen oder normalen werten suchen --&gt; habe ich ab fall 1000192 gemacht</t>
  </si>
  <si>
    <t>Leukozyten-39 Tage vor Krankheitsbeginn</t>
  </si>
  <si>
    <t>Z.n. Strahlentherapie</t>
  </si>
  <si>
    <t>Famotidin (Magenbeschwerden)</t>
  </si>
  <si>
    <t>Aluminiumhydroxid, Magnesiumhydroxid (Magenbeschwerden)</t>
  </si>
  <si>
    <t>Phenytoin (Epilepsie)</t>
  </si>
  <si>
    <t>Temazepam (Schlafstörung)</t>
  </si>
  <si>
    <t>Natriumselenit (Strahlentherapie)</t>
  </si>
  <si>
    <t>Omeprazol (Magenbeschwerden)</t>
  </si>
  <si>
    <t>Sucralfat (Magenbeschwerden)</t>
  </si>
  <si>
    <t>Bisacodyl (Obstipation)</t>
  </si>
  <si>
    <t>Dosis (Zäpfchen)</t>
  </si>
  <si>
    <t>Dexpanthenol (Halsschmerzen)</t>
  </si>
  <si>
    <t>Cetylpyridiniumchlorid, Benzocain (Halsschmerzen)</t>
  </si>
  <si>
    <t>Dosis (LTbl)</t>
  </si>
  <si>
    <t>Cetirizin (Juckreiz)</t>
  </si>
  <si>
    <t>Phenazon, Procain, Glycerol (Ohrenschmerzen)</t>
  </si>
  <si>
    <t>Arme</t>
  </si>
  <si>
    <t>Ohren</t>
  </si>
  <si>
    <t>Kopfhaut</t>
  </si>
  <si>
    <t>Halsschmerzen</t>
  </si>
  <si>
    <t>Schlafstörungen</t>
  </si>
  <si>
    <t>Ohrenschmerzen</t>
  </si>
  <si>
    <t>Zystitis</t>
  </si>
  <si>
    <t>Füße</t>
  </si>
  <si>
    <t>Cotrimoxazol (Antibiotikum)</t>
  </si>
  <si>
    <t>Welche Dauer für die Einnahme soll ich bei Medikamenten eintragen, deren Balken bis an den Rand der Darstellung reicht?</t>
  </si>
  <si>
    <t>Wenn bei der Dauer der Erkrankung ein Enddatum steht --&gt; soll ich den Patienten als überlebt eintragen?</t>
  </si>
  <si>
    <t>Bronchialkarzinom</t>
  </si>
  <si>
    <t>Mucositis</t>
  </si>
  <si>
    <t>Heparin (Blutgerinnung)</t>
  </si>
  <si>
    <t>Dosis (IE/Verabreichung)</t>
  </si>
  <si>
    <t>Ranitidin (Magenschutz)</t>
  </si>
  <si>
    <t>Ambroxol (Mucolyse)</t>
  </si>
  <si>
    <t>Dosis (MB/Verabreichung)</t>
  </si>
  <si>
    <t>Wenn bei Med 150-300mg prot Tag steht -&gt; was eintragen bei Dosierung? Oder 1-3 MB pro tag --&gt; ist Faktor 3 und damit statistisch ungenau</t>
  </si>
  <si>
    <t>Bei Einheiten wie Btl oder MB oder EL oder Zäpfchen -&gt; umrechnen in mg oder wie soll man dann am Ende die Dosierung herausbekommen wenn man den Firmenname nicht mehr weiß und die konzentration innerhalb der Verabreichungsform?</t>
  </si>
  <si>
    <t>BMI-Rechner von der Apothekenumschau gut oder ein anderer oder egal?</t>
  </si>
  <si>
    <t>Histopathologie auch aufschreiben?</t>
  </si>
  <si>
    <t>Dosierung gemäß angaben des Herstellers also in Esllöffel und so</t>
  </si>
  <si>
    <t>hinschreiben nicht eindeutig zuordbar daher nach angaben des herstellers reinschreiben und dann die minimalste Dosis reinnehmen</t>
  </si>
  <si>
    <t>MB bedeutet maximale Belastung pro tag oder messbecher</t>
  </si>
  <si>
    <t>erhöhung der Dosis dazuschreiben und mit der niedrigsten starten</t>
  </si>
  <si>
    <t>mit reinnehmen</t>
  </si>
  <si>
    <t>doktorarbeit schon angemeldet?</t>
  </si>
  <si>
    <t>überleben nicht bekannt</t>
  </si>
  <si>
    <t xml:space="preserve">Den code schicht er mir noch </t>
  </si>
  <si>
    <t xml:space="preserve">kriege die Formulare zugeschicht -&gt; Daten fälle, pharmacovigilance datenauswertung welche fragen sollen beantwortet werden? Darüber noch mal diskurtieren 1-2 Seiten , 3 zeilen was ist sjs und warum ist es hoch komplex, warum man darüber noch nicht so viel weiß, 2. Antiphlogistika immer wieder im Verdacht, 1-2 Sätze pathophysiologie, man wertet Daten aus Anzahl der Fälle, 3 Medikamente im Vorderung, Datenbank erstellt und wird auswertet muster erkennen, SJS mit nicht SJS vergleichen und Hinweise finden, weil man ERgebniss vorher schon kennt gibts bias, prospektive Testung der ergebnisse muss erfolgen, Ablauf (literaturrecherche, bfarm datananalyse, immunallergische Reakiton gegen SJS vergleichen, kann man Datenerhebung bei spontanmeldungen verbessern, wie geht man mit missing data um, aus Informationsfragmenten ein konzept entwickeln wie geht das </t>
  </si>
  <si>
    <t>den dargestellten Bereich</t>
  </si>
  <si>
    <t>Fragen:</t>
  </si>
  <si>
    <t>Die Dauer des Balkens</t>
  </si>
  <si>
    <t>Ja ist richtig so</t>
  </si>
  <si>
    <t>ist egal</t>
  </si>
  <si>
    <t>Hyperorthokeratose</t>
  </si>
  <si>
    <t>Monozyteninfiltrate</t>
  </si>
  <si>
    <t>Epidermisatrophie</t>
  </si>
  <si>
    <t>Beteiligung Schweißdrüsen</t>
  </si>
  <si>
    <t>Beteiligung Haarfollikel</t>
  </si>
  <si>
    <t>Epidermisnekrose/ Keratinozytennekrose</t>
  </si>
  <si>
    <t>fibringefüllte Blutgefäße</t>
  </si>
  <si>
    <t>Vaskulitis</t>
  </si>
  <si>
    <t>respiratorische Insuffizienz</t>
  </si>
  <si>
    <t>Rhabomyose</t>
  </si>
  <si>
    <t>Shockleber</t>
  </si>
  <si>
    <t>Einnahme nach Krankheitsbeginn (Tage)</t>
  </si>
  <si>
    <t>Dosis (Kps./Verabreichung)</t>
  </si>
  <si>
    <t>Dosis (Drg./Verabreichung)</t>
  </si>
  <si>
    <t>Exp.</t>
  </si>
  <si>
    <t>Nahrungsergänzungsmittel</t>
  </si>
  <si>
    <t>Homöopathie</t>
  </si>
  <si>
    <t>Grippemedikament (Aconitum, Bryonia, Lachesis, Eupatorium perfol., Phosphor.)</t>
  </si>
  <si>
    <t>ab hier weiter die Datumme kontrollieren (Dauer immer alle Tage Zählen, Zeitraum immer die Tage dazwischen zählen + auf den richtigen Indextag achten</t>
  </si>
  <si>
    <t>Dosis (Tbl/Verabreichung)</t>
  </si>
  <si>
    <t>Tetryzolin (Augentropfen trockene Augen)</t>
  </si>
  <si>
    <t>Dosis (Drg/Verabreichung)</t>
  </si>
  <si>
    <t>Laborwerte:</t>
  </si>
  <si>
    <t>Medikamente:</t>
  </si>
  <si>
    <t>Einnahmedauer VOR der angegebenen Zeitpsanne unbekannt</t>
  </si>
  <si>
    <t>Einnahmedauer VOR und NACH der angegebenen Zeitspanne unbekannt</t>
  </si>
  <si>
    <t>Einnahmedauer NACH der angegebenen Zeitspanne unbekannt</t>
  </si>
  <si>
    <t>Zeitraum erste/letzte Einnahme bis Krankheitsbeginn: 999 = Einnahme erfolgt aber tatsächlicher Zeitraum unbekannt</t>
  </si>
  <si>
    <t>Atropin (steigert Herzfrequenz)</t>
  </si>
  <si>
    <t>Dosis (Kps/Verabreichung)</t>
  </si>
  <si>
    <t>Dosis (Trinkampullen/ Verabreichung)</t>
  </si>
  <si>
    <t>Dosis (Trpf/Verabreichung)</t>
  </si>
  <si>
    <t>Dosis (Einheiten/Verabreichung)</t>
  </si>
  <si>
    <t>Bei "Dosierung": Dosierung war nicht eindeutig angegeben (eine Spanne von - bis vorhanden)</t>
  </si>
  <si>
    <t xml:space="preserve">Bei "Einnahmezeitpunkt": </t>
  </si>
  <si>
    <r>
      <t xml:space="preserve">Bei "Einnahme nach Krankheitsbeginn": Einnahme nach im Balkendiagramm dargestelltem Zeitraum </t>
    </r>
    <r>
      <rPr>
        <b/>
        <u/>
        <sz val="11"/>
        <color rgb="FFFF0000"/>
        <rFont val="Calibri"/>
        <family val="2"/>
        <scheme val="minor"/>
      </rPr>
      <t>ist</t>
    </r>
    <r>
      <rPr>
        <sz val="11"/>
        <color rgb="FFFF0000"/>
        <rFont val="Calibri"/>
        <family val="2"/>
        <scheme val="minor"/>
      </rPr>
      <t xml:space="preserve"> bekannt (Wenn nicht mehr bekannt dann keine Markierung -&gt; In Zahlen (einschließlich der Zahl Null) dargestellt wird dann nur der im Balkendiagramm sichtbare Bereich)</t>
    </r>
  </si>
  <si>
    <t>Dosis (Btl/Verabreichung)</t>
  </si>
  <si>
    <t>Lokalanästhetika</t>
  </si>
  <si>
    <t>Narkosemedikamente für OP</t>
  </si>
  <si>
    <t>Flunitrazepam (Sedierung OP)</t>
  </si>
  <si>
    <t>Cephazolin-Natrium (Infektionsprophylaxe)</t>
  </si>
  <si>
    <t>Midazolamhydrogenmaleat (Sedierung bei OP)</t>
  </si>
  <si>
    <t>Spurenelemente</t>
  </si>
  <si>
    <t>Cisatracuriumbesilat (Muskelrelaxation)</t>
  </si>
  <si>
    <t>Atropinsulfat (Parasympatholytikum)</t>
  </si>
  <si>
    <t xml:space="preserve">Erythrozyten </t>
  </si>
  <si>
    <t>Piritramid (Opioid)</t>
  </si>
  <si>
    <t>Wurde ein 2. mal eingenommen als Inj. Lösung 1-3x125mg/Tag</t>
  </si>
  <si>
    <t>2, Wurde ein 2. Mal eingenommen als Inj-Lösung mit 15-30 mg/Tag</t>
  </si>
  <si>
    <t>16, Wurde ein 2. Mal eingenommen mit 4-12 mg/Tag Infusion</t>
  </si>
  <si>
    <t>Etilefrin, Dihydroergotaminmesilat (Sympathomimetikum)</t>
  </si>
  <si>
    <t>Dosis (Tropf/Verabreichung)</t>
  </si>
  <si>
    <t>Chlorphenoxamin (Antihistaminikum)</t>
  </si>
  <si>
    <t>6000, später noch mal mit anderer Dosierung eingenommen</t>
  </si>
  <si>
    <t>Nikotinabusus</t>
  </si>
  <si>
    <t>Alkoholabusus</t>
  </si>
  <si>
    <t>Herzschrittmacher</t>
  </si>
  <si>
    <t>100, zweite Einnahme nach beginn der Therapie in anderer Dosis</t>
  </si>
  <si>
    <t>Husten</t>
  </si>
  <si>
    <t>Supp. (Zäpfchen)</t>
  </si>
  <si>
    <t>Volumensubstitution</t>
  </si>
  <si>
    <t>Tonsillitis</t>
  </si>
  <si>
    <t>Otitis media</t>
  </si>
  <si>
    <t>Pneumonie</t>
  </si>
  <si>
    <t>Aluminium-natium-carbonat-dihydroxid (Gastritis)</t>
  </si>
  <si>
    <t>Ofloxacin (Pneumonie)</t>
  </si>
  <si>
    <t>Nystatin</t>
  </si>
  <si>
    <t>Lichen ruber</t>
  </si>
  <si>
    <t>gastrointestinale Beschwerden</t>
  </si>
  <si>
    <t>Digitoxin (Herzinsuffizienz)</t>
  </si>
  <si>
    <t>Betamethason (Hautmedikament)</t>
  </si>
  <si>
    <t>Dosis (Lotion)</t>
  </si>
  <si>
    <t>Miconazol (Antimykotikum)</t>
  </si>
  <si>
    <t>Dosis (Salbe)</t>
  </si>
  <si>
    <t>Pentoxifyllin (Durchblutungsstörung)</t>
  </si>
  <si>
    <t>0,1%, Später noch mal eingenommen in anderer Konzentration</t>
  </si>
  <si>
    <t>Ammoidin (Hautmedikament)</t>
  </si>
  <si>
    <t>Alizaprid (Magenbeschwerden)</t>
  </si>
  <si>
    <t>Flurazepam (Übelkeit)</t>
  </si>
  <si>
    <t>Phenolphthalein (Magenbeschwerden)</t>
  </si>
  <si>
    <t>Pepsin (Magenbeschwerden)</t>
  </si>
  <si>
    <t>Pilzinfektion</t>
  </si>
  <si>
    <t>Durchblutungsstörung</t>
  </si>
  <si>
    <t>Varikosis (Krampfader)</t>
  </si>
  <si>
    <t>Hautkarzinom</t>
  </si>
  <si>
    <t>Z.n. Thyreoidektomie</t>
  </si>
  <si>
    <t xml:space="preserve"> 4-(2-Aminoethyt)-brenzcate-chin-HCI (Kreislaufstabilisierung)</t>
  </si>
  <si>
    <t>Urapidil (postop. Kreislaufstabilisierung)</t>
  </si>
  <si>
    <t>Piritramid-(RR)-hydrogcntar-trat, Piritramid-bis[(RR)hydrogentartrat (Schmerzenmittel)</t>
  </si>
  <si>
    <t>Promethazin (Sedierung bei OP)</t>
  </si>
  <si>
    <t>Clemastinhydrogenfumarat (Juckreiz)</t>
  </si>
  <si>
    <t>Tbl + Inj</t>
  </si>
  <si>
    <t>Atenolol, Clortalidon (Hypertonus)</t>
  </si>
  <si>
    <t>Nifedipin (Hypertonus)</t>
  </si>
  <si>
    <t>50, 2 verschiedene Med mit gleichem Wirkstoff eingenommen</t>
  </si>
  <si>
    <t>Supp.</t>
  </si>
  <si>
    <t>Fentanyldihydrogencitrat (Opioid)</t>
  </si>
  <si>
    <t>Fentanyldihydrogencitrat (Opioid)+QT2:RB2</t>
  </si>
  <si>
    <t>Thiopental-Natrium (Schlafmittel für OP)</t>
  </si>
  <si>
    <t>Pharyngitis</t>
  </si>
  <si>
    <t>Roxithromycin (Antibiotikum)</t>
  </si>
  <si>
    <t>Noscapin (Hustenstillung)</t>
  </si>
  <si>
    <t>Clobutinol (Hustenstillung)</t>
  </si>
  <si>
    <t>Cefpodoximproxetil (Antibiotikum)</t>
  </si>
  <si>
    <t>Dosis (Tbl./Verabreichung)</t>
  </si>
  <si>
    <t xml:space="preserve">Der Verlag muss mir das Recht zur erneuten Veröffentlichung meiner Arbeit zum Einreichen der Dissertation im Veröffentlichungsvertrag einräumen </t>
  </si>
  <si>
    <t xml:space="preserve">Erythrodermie </t>
  </si>
  <si>
    <t>respiratorische Infektion</t>
  </si>
  <si>
    <t>Lungeninfiltration</t>
  </si>
  <si>
    <t>Grippemedikament (Caffein, Diphenhydramine hydrochlorid, hexetylamin citrat, propyphenazon, salicylamid)</t>
  </si>
  <si>
    <t>Oseltamivir (antiviral Grippe)</t>
  </si>
  <si>
    <t>Pelargonienwurzelextrakt (Grippemedikament)</t>
  </si>
  <si>
    <t>Haare</t>
  </si>
  <si>
    <t>Nägel</t>
  </si>
  <si>
    <t>Schmerzen</t>
  </si>
  <si>
    <t>Infektionskrankheit</t>
  </si>
  <si>
    <t>Hypotonie</t>
  </si>
  <si>
    <t>Nacken</t>
  </si>
  <si>
    <t>Thorax</t>
  </si>
  <si>
    <t>Augen</t>
  </si>
  <si>
    <t>Trachykardie</t>
  </si>
  <si>
    <t>Kandidiasis</t>
  </si>
  <si>
    <t>Rücken</t>
  </si>
  <si>
    <t>Abdomen</t>
  </si>
  <si>
    <t>Extremitäten</t>
  </si>
  <si>
    <t>Epidermolyse</t>
  </si>
  <si>
    <t>Rumpf</t>
  </si>
  <si>
    <t>Synechien</t>
  </si>
  <si>
    <t>Konjunktiva</t>
  </si>
  <si>
    <t>Störung Kurzzeitgedächtnis</t>
  </si>
  <si>
    <t>Schwäche</t>
  </si>
  <si>
    <t>Zittern</t>
  </si>
  <si>
    <t>Verwirrung</t>
  </si>
  <si>
    <t>Schwindel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</si>
</sst>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8" x14ac:knownFonts="1">
    <font>
      <sz val="11"/>
      <color theme="1"/>
      <name val="Calibri"/>
      <family val="2"/>
      <scheme val="minor"/>
    </font>
    <font>
      <b/>
      <sz val="11"/>
      <color theme="1"/>
      <name val="Calibri"/>
      <family val="2"/>
      <scheme val="minor"/>
    </font>
    <font>
      <b/>
      <u/>
      <sz val="11"/>
      <color theme="1"/>
      <name val="Calibri"/>
      <family val="2"/>
      <scheme val="minor"/>
    </font>
    <font>
      <b/>
      <sz val="11"/>
      <name val="Calibri"/>
      <family val="2"/>
      <scheme val="minor"/>
    </font>
    <font>
      <sz val="11"/>
      <color rgb="FFFF0000"/>
      <name val="Calibri"/>
      <family val="2"/>
      <scheme val="minor"/>
    </font>
    <font>
      <sz val="11"/>
      <name val="Calibri"/>
      <family val="2"/>
      <scheme val="minor"/>
    </font>
    <font>
      <sz val="11"/>
      <name val="Calibri"/>
      <family val="2"/>
    </font>
    <font>
      <b/>
      <u/>
      <sz val="11"/>
      <color rgb="FFFF0000"/>
      <name val="Calibri"/>
      <family val="2"/>
      <scheme val="minor"/>
    </font>
  </fonts>
  <fills count="26">
    <fill>
      <patternFill patternType="none"/>
    </fill>
    <fill>
      <patternFill patternType="gray125"/>
    </fill>
    <fill>
      <patternFill patternType="solid">
        <fgColor rgb="FFFFFF99"/>
        <bgColor indexed="64"/>
      </patternFill>
    </fill>
    <fill>
      <patternFill patternType="solid">
        <fgColor rgb="FFFF000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rgb="FFE69DF5"/>
        <bgColor indexed="64"/>
      </patternFill>
    </fill>
    <fill>
      <patternFill patternType="solid">
        <fgColor rgb="FFEAABF7"/>
        <bgColor indexed="64"/>
      </patternFill>
    </fill>
    <fill>
      <patternFill patternType="solid">
        <fgColor rgb="FF66FFCC"/>
        <bgColor indexed="64"/>
      </patternFill>
    </fill>
    <fill>
      <patternFill patternType="solid">
        <fgColor rgb="FFFFCCCC"/>
        <bgColor indexed="64"/>
      </patternFill>
    </fill>
    <fill>
      <patternFill patternType="solid">
        <fgColor theme="5" tint="0.39997558519241921"/>
        <bgColor indexed="64"/>
      </patternFill>
    </fill>
    <fill>
      <patternFill patternType="solid">
        <fgColor rgb="FFFFDDDD"/>
        <bgColor indexed="64"/>
      </patternFill>
    </fill>
    <fill>
      <patternFill patternType="solid">
        <fgColor rgb="FF00B0F0"/>
        <bgColor indexed="64"/>
      </patternFill>
    </fill>
    <fill>
      <patternFill patternType="solid">
        <fgColor rgb="FF92D050"/>
        <bgColor indexed="64"/>
      </patternFill>
    </fill>
    <fill>
      <patternFill patternType="solid">
        <fgColor theme="7"/>
        <bgColor indexed="64"/>
      </patternFill>
    </fill>
    <fill>
      <patternFill patternType="solid">
        <fgColor theme="0" tint="-4.9989318521683403E-2"/>
        <bgColor indexed="64"/>
      </patternFill>
    </fill>
    <fill>
      <patternFill patternType="solid">
        <fgColor rgb="FF99FF99"/>
        <bgColor indexed="64"/>
      </patternFill>
    </fill>
    <fill>
      <patternFill patternType="solid">
        <fgColor theme="5"/>
        <bgColor indexed="64"/>
      </patternFill>
    </fill>
    <fill>
      <patternFill patternType="solid">
        <fgColor theme="7" tint="-0.499984740745262"/>
        <bgColor indexed="64"/>
      </patternFill>
    </fill>
    <fill>
      <patternFill patternType="solid">
        <fgColor theme="7" tint="0.39997558519241921"/>
        <bgColor indexed="64"/>
      </patternFill>
    </fill>
    <fill>
      <patternFill patternType="solid">
        <fgColor theme="0"/>
        <bgColor indexed="64"/>
      </patternFill>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1">
    <xf numFmtId="0" fontId="0" fillId="0" borderId="0" xfId="0"/>
    <xf numFmtId="9" fontId="0" fillId="0" borderId="0" xfId="0" applyNumberFormat="1"/>
    <xf numFmtId="0" fontId="1" fillId="2" borderId="1" xfId="0" applyFont="1" applyFill="1" applyBorder="1"/>
    <xf numFmtId="14" fontId="0" fillId="0" borderId="0" xfId="0" applyNumberFormat="1"/>
    <xf numFmtId="0" fontId="1" fillId="2" borderId="1" xfId="0" applyFont="1" applyFill="1" applyBorder="1" applyAlignment="1">
      <alignment wrapText="1"/>
    </xf>
    <xf numFmtId="0" fontId="0" fillId="0" borderId="0" xfId="0" applyNumberFormat="1"/>
    <xf numFmtId="9" fontId="0" fillId="3" borderId="0" xfId="0" applyNumberFormat="1" applyFill="1"/>
    <xf numFmtId="0" fontId="0" fillId="3" borderId="0" xfId="0" applyFill="1"/>
    <xf numFmtId="49" fontId="0" fillId="5" borderId="0" xfId="0" applyNumberFormat="1" applyFill="1"/>
    <xf numFmtId="16" fontId="0" fillId="0" borderId="0" xfId="0" applyNumberFormat="1"/>
    <xf numFmtId="0" fontId="4" fillId="0" borderId="0" xfId="0" applyFont="1"/>
    <xf numFmtId="49" fontId="0" fillId="3" borderId="0" xfId="0" applyNumberFormat="1" applyFill="1"/>
    <xf numFmtId="0" fontId="4" fillId="4" borderId="0" xfId="0" applyFont="1" applyFill="1" applyAlignment="1">
      <alignment wrapText="1"/>
    </xf>
    <xf numFmtId="0" fontId="0" fillId="4" borderId="0" xfId="0" applyFill="1" applyAlignment="1">
      <alignment wrapText="1"/>
    </xf>
    <xf numFmtId="49" fontId="0" fillId="4" borderId="0" xfId="0" applyNumberFormat="1" applyFill="1" applyAlignment="1">
      <alignment wrapText="1"/>
    </xf>
    <xf numFmtId="3" fontId="0" fillId="0" borderId="0" xfId="0" applyNumberFormat="1"/>
    <xf numFmtId="0" fontId="0" fillId="4" borderId="1" xfId="0" applyFill="1" applyBorder="1" applyAlignment="1">
      <alignment wrapText="1"/>
    </xf>
    <xf numFmtId="0" fontId="5" fillId="4" borderId="1" xfId="0" applyFont="1" applyFill="1" applyBorder="1" applyAlignment="1">
      <alignment wrapText="1"/>
    </xf>
    <xf numFmtId="0" fontId="0" fillId="0" borderId="0" xfId="0" applyFill="1"/>
    <xf numFmtId="0" fontId="0" fillId="0" borderId="0" xfId="0" applyFill="1" applyAlignment="1">
      <alignment wrapText="1"/>
    </xf>
    <xf numFmtId="0" fontId="4" fillId="0" borderId="0" xfId="0" applyFont="1" applyFill="1" applyAlignment="1">
      <alignment wrapText="1"/>
    </xf>
    <xf numFmtId="0" fontId="5" fillId="0" borderId="0" xfId="0" applyFont="1" applyFill="1" applyAlignment="1">
      <alignment wrapText="1"/>
    </xf>
    <xf numFmtId="0" fontId="3" fillId="2" borderId="1" xfId="0" applyFont="1" applyFill="1" applyBorder="1" applyAlignment="1">
      <alignment vertical="top" wrapText="1"/>
    </xf>
    <xf numFmtId="0" fontId="0" fillId="0" borderId="0" xfId="0" applyFont="1" applyFill="1" applyAlignment="1">
      <alignment wrapText="1"/>
    </xf>
    <xf numFmtId="0" fontId="0" fillId="4" borderId="1" xfId="0" applyFont="1" applyFill="1" applyBorder="1" applyAlignment="1">
      <alignment wrapText="1"/>
    </xf>
    <xf numFmtId="0" fontId="3" fillId="4" borderId="1" xfId="0" applyFont="1" applyFill="1" applyBorder="1" applyAlignment="1">
      <alignment vertical="top" wrapText="1"/>
    </xf>
    <xf numFmtId="49" fontId="0" fillId="0" borderId="0" xfId="0" applyNumberFormat="1" applyFill="1"/>
    <xf numFmtId="0" fontId="1" fillId="0" borderId="0" xfId="0" applyFont="1" applyFill="1" applyAlignment="1"/>
    <xf numFmtId="0" fontId="1" fillId="0" borderId="0" xfId="0" applyFont="1"/>
    <xf numFmtId="0" fontId="0" fillId="4" borderId="1" xfId="0" applyFont="1" applyFill="1" applyBorder="1"/>
    <xf numFmtId="0" fontId="5" fillId="4" borderId="1" xfId="0" applyFont="1" applyFill="1" applyBorder="1"/>
    <xf numFmtId="0" fontId="0" fillId="6" borderId="1" xfId="0" applyFill="1" applyBorder="1" applyAlignment="1">
      <alignment wrapText="1"/>
    </xf>
    <xf numFmtId="0" fontId="0" fillId="7" borderId="1" xfId="0" applyFill="1" applyBorder="1" applyAlignment="1">
      <alignment wrapText="1"/>
    </xf>
    <xf numFmtId="0" fontId="0" fillId="8" borderId="1" xfId="0" applyFill="1" applyBorder="1" applyAlignment="1">
      <alignment wrapText="1"/>
    </xf>
    <xf numFmtId="0" fontId="0" fillId="4" borderId="0" xfId="0" applyFill="1"/>
    <xf numFmtId="0" fontId="0" fillId="6" borderId="0" xfId="0" applyFill="1"/>
    <xf numFmtId="0" fontId="0" fillId="7" borderId="0" xfId="0" applyFill="1"/>
    <xf numFmtId="0" fontId="0" fillId="8" borderId="0" xfId="0" applyFill="1"/>
    <xf numFmtId="0" fontId="0" fillId="7" borderId="1" xfId="0" applyFill="1" applyBorder="1"/>
    <xf numFmtId="0" fontId="0" fillId="9" borderId="0" xfId="0" applyFill="1"/>
    <xf numFmtId="0" fontId="0" fillId="9" borderId="1" xfId="0" applyFill="1" applyBorder="1" applyAlignment="1">
      <alignment wrapText="1"/>
    </xf>
    <xf numFmtId="0" fontId="0" fillId="11" borderId="1" xfId="0" applyFill="1" applyBorder="1" applyAlignment="1">
      <alignment wrapText="1"/>
    </xf>
    <xf numFmtId="0" fontId="0" fillId="10" borderId="0" xfId="0" applyFill="1"/>
    <xf numFmtId="0" fontId="0" fillId="11" borderId="0" xfId="0" applyFill="1"/>
    <xf numFmtId="0" fontId="0" fillId="0" borderId="0" xfId="0" applyNumberFormat="1" applyFill="1"/>
    <xf numFmtId="0" fontId="5" fillId="0" borderId="0" xfId="0" applyFont="1" applyFill="1"/>
    <xf numFmtId="0" fontId="5" fillId="0" borderId="0" xfId="0" applyFont="1" applyFill="1" applyAlignment="1"/>
    <xf numFmtId="0" fontId="0" fillId="12" borderId="0" xfId="0" applyFill="1"/>
    <xf numFmtId="0" fontId="1" fillId="13" borderId="0" xfId="0" applyFont="1" applyFill="1"/>
    <xf numFmtId="0" fontId="1" fillId="0" borderId="0" xfId="0" applyFont="1" applyFill="1"/>
    <xf numFmtId="0" fontId="1" fillId="14" borderId="0" xfId="0" applyFont="1" applyFill="1"/>
    <xf numFmtId="0" fontId="0" fillId="6" borderId="0" xfId="0" applyFill="1" applyAlignment="1"/>
    <xf numFmtId="0" fontId="0" fillId="15" borderId="0" xfId="0" applyFill="1"/>
    <xf numFmtId="0" fontId="0" fillId="0" borderId="0" xfId="0" applyFill="1" applyAlignment="1"/>
    <xf numFmtId="0" fontId="0" fillId="5" borderId="0" xfId="0" applyFill="1"/>
    <xf numFmtId="0" fontId="0" fillId="16" borderId="0" xfId="0" applyFill="1"/>
    <xf numFmtId="49" fontId="0" fillId="18" borderId="0" xfId="0" applyNumberFormat="1" applyFill="1"/>
    <xf numFmtId="0" fontId="0" fillId="18" borderId="0" xfId="0" applyFill="1"/>
    <xf numFmtId="164" fontId="0" fillId="0" borderId="0" xfId="0" applyNumberFormat="1" applyFill="1"/>
    <xf numFmtId="164" fontId="6" fillId="0" borderId="0" xfId="0" applyNumberFormat="1" applyFont="1" applyFill="1"/>
    <xf numFmtId="0" fontId="0" fillId="18" borderId="0" xfId="0" applyFill="1" applyAlignment="1">
      <alignment wrapText="1"/>
    </xf>
    <xf numFmtId="0" fontId="0" fillId="17" borderId="0" xfId="0" applyFill="1"/>
    <xf numFmtId="0" fontId="0" fillId="17" borderId="0" xfId="0" applyFill="1" applyAlignment="1">
      <alignment wrapText="1"/>
    </xf>
    <xf numFmtId="0" fontId="0" fillId="19" borderId="1" xfId="0" applyFill="1" applyBorder="1" applyAlignment="1">
      <alignment wrapText="1"/>
    </xf>
    <xf numFmtId="0" fontId="0" fillId="19" borderId="0" xfId="0" applyFill="1"/>
    <xf numFmtId="0" fontId="0" fillId="11" borderId="1" xfId="0" applyFill="1" applyBorder="1"/>
    <xf numFmtId="0" fontId="0" fillId="10" borderId="1" xfId="0" applyFill="1" applyBorder="1"/>
    <xf numFmtId="10" fontId="0" fillId="3" borderId="0" xfId="0" applyNumberFormat="1" applyFill="1"/>
    <xf numFmtId="0" fontId="0" fillId="20" borderId="0" xfId="0" applyFill="1"/>
    <xf numFmtId="0" fontId="0" fillId="20" borderId="1" xfId="0" applyFill="1" applyBorder="1" applyAlignment="1">
      <alignment wrapText="1"/>
    </xf>
    <xf numFmtId="0" fontId="0" fillId="12" borderId="1" xfId="0" applyFill="1" applyBorder="1" applyAlignment="1">
      <alignment wrapText="1"/>
    </xf>
    <xf numFmtId="0" fontId="0" fillId="21" borderId="0" xfId="0" applyFill="1"/>
    <xf numFmtId="0" fontId="0" fillId="22" borderId="0" xfId="0" applyFill="1"/>
    <xf numFmtId="0" fontId="0" fillId="23" borderId="0" xfId="0" applyFill="1"/>
    <xf numFmtId="0" fontId="4" fillId="0" borderId="0" xfId="0" applyFont="1" applyFill="1"/>
    <xf numFmtId="0" fontId="0" fillId="0" borderId="0" xfId="0" applyFont="1" applyFill="1"/>
    <xf numFmtId="0" fontId="0" fillId="0" borderId="0" xfId="0" applyFont="1"/>
    <xf numFmtId="0" fontId="0" fillId="24" borderId="1" xfId="0" applyFill="1" applyBorder="1" applyAlignment="1"/>
    <xf numFmtId="0" fontId="0" fillId="24" borderId="0" xfId="0" applyFill="1"/>
    <xf numFmtId="0" fontId="0" fillId="25" borderId="0" xfId="0" applyFill="1"/>
    <xf numFmtId="10" fontId="0" fillId="0" borderId="0" xfId="0" applyNumberFormat="1"/>
  </cellXfs>
  <cellStyles count="1">
    <cellStyle name="Standard" xfId="0" builtinId="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AABF7"/>
      <color rgb="FFE69DF5"/>
      <color rgb="FF99FF99"/>
      <color rgb="FF66FF99"/>
      <color rgb="FFCCFF66"/>
      <color rgb="FF99FF66"/>
      <color rgb="FFCCFF33"/>
      <color rgb="FFFF9933"/>
      <color rgb="FFCC6600"/>
      <color rgb="FFFF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363DF-6B77-4387-83AD-E7381E7F20D4}">
  <dimension ref="A1:BP84"/>
  <sheetViews>
    <sheetView zoomScale="85" zoomScaleNormal="85" workbookViewId="0">
      <pane xSplit="2" ySplit="4" topLeftCell="W17" activePane="bottomRight" state="frozen"/>
      <selection pane="topRight" activeCell="C1" sqref="C1"/>
      <selection pane="bottomLeft" activeCell="A5" sqref="A5"/>
      <selection pane="bottomRight" activeCell="AI3" sqref="AI3"/>
    </sheetView>
  </sheetViews>
  <sheetFormatPr baseColWidth="10" defaultRowHeight="15" x14ac:dyDescent="0.25"/>
  <sheetData>
    <row r="1" spans="1:68" x14ac:dyDescent="0.25">
      <c r="A1" t="s">
        <v>1</v>
      </c>
    </row>
    <row r="2" spans="1:68" x14ac:dyDescent="0.25">
      <c r="BG2" t="s">
        <v>116</v>
      </c>
      <c r="BH2" t="s">
        <v>116</v>
      </c>
      <c r="BI2" t="s">
        <v>116</v>
      </c>
      <c r="BJ2" t="s">
        <v>116</v>
      </c>
      <c r="BK2" t="s">
        <v>116</v>
      </c>
      <c r="BL2" t="s">
        <v>121</v>
      </c>
      <c r="BM2" t="s">
        <v>121</v>
      </c>
      <c r="BO2" t="s">
        <v>123</v>
      </c>
      <c r="BP2" t="s">
        <v>124</v>
      </c>
    </row>
    <row r="3" spans="1:68" ht="90" x14ac:dyDescent="0.25">
      <c r="A3" s="22" t="s">
        <v>3</v>
      </c>
      <c r="B3" s="22" t="s">
        <v>34</v>
      </c>
      <c r="C3" s="2" t="s">
        <v>17</v>
      </c>
      <c r="D3" s="4" t="s">
        <v>81</v>
      </c>
      <c r="E3" s="4" t="s">
        <v>79</v>
      </c>
      <c r="F3" s="4" t="s">
        <v>80</v>
      </c>
      <c r="G3" s="4" t="s">
        <v>53</v>
      </c>
      <c r="H3" s="4" t="s">
        <v>105</v>
      </c>
      <c r="I3" s="2" t="s">
        <v>31</v>
      </c>
      <c r="J3" s="4" t="s">
        <v>61</v>
      </c>
      <c r="K3" s="4" t="s">
        <v>126</v>
      </c>
      <c r="L3" s="2" t="s">
        <v>49</v>
      </c>
      <c r="M3" s="4" t="s">
        <v>99</v>
      </c>
      <c r="N3" s="4" t="s">
        <v>60</v>
      </c>
      <c r="O3" s="4" t="s">
        <v>54</v>
      </c>
      <c r="P3" s="4" t="s">
        <v>55</v>
      </c>
      <c r="Q3" s="4" t="s">
        <v>56</v>
      </c>
      <c r="R3" s="4" t="s">
        <v>57</v>
      </c>
      <c r="S3" s="4" t="s">
        <v>62</v>
      </c>
      <c r="T3" s="4" t="s">
        <v>64</v>
      </c>
      <c r="U3" s="2" t="s">
        <v>8</v>
      </c>
      <c r="V3" s="2" t="s">
        <v>9</v>
      </c>
      <c r="W3" s="4" t="s">
        <v>102</v>
      </c>
      <c r="X3" s="4" t="s">
        <v>96</v>
      </c>
      <c r="Y3" s="2" t="s">
        <v>19</v>
      </c>
      <c r="Z3" s="2" t="s">
        <v>11</v>
      </c>
      <c r="AA3" s="2" t="s">
        <v>13</v>
      </c>
      <c r="AB3" s="2" t="s">
        <v>15</v>
      </c>
      <c r="AC3" s="4" t="s">
        <v>103</v>
      </c>
      <c r="AD3" s="2" t="s">
        <v>21</v>
      </c>
      <c r="AE3" s="2" t="s">
        <v>23</v>
      </c>
      <c r="AF3" s="2" t="s">
        <v>25</v>
      </c>
      <c r="AG3" s="2" t="s">
        <v>27</v>
      </c>
      <c r="AH3" s="2" t="s">
        <v>29</v>
      </c>
      <c r="AI3" s="2" t="s">
        <v>38</v>
      </c>
      <c r="AJ3" s="4" t="s">
        <v>136</v>
      </c>
      <c r="AK3" s="4" t="s">
        <v>58</v>
      </c>
      <c r="AL3" s="4" t="s">
        <v>78</v>
      </c>
      <c r="AM3" s="4" t="s">
        <v>75</v>
      </c>
      <c r="AN3" s="4" t="s">
        <v>76</v>
      </c>
      <c r="AO3" s="4" t="s">
        <v>95</v>
      </c>
      <c r="AP3" s="4" t="s">
        <v>109</v>
      </c>
      <c r="AQ3" s="4" t="s">
        <v>110</v>
      </c>
      <c r="AR3" s="4" t="s">
        <v>111</v>
      </c>
      <c r="AS3" s="4" t="s">
        <v>112</v>
      </c>
      <c r="AT3" s="4" t="s">
        <v>113</v>
      </c>
      <c r="AU3" s="4" t="s">
        <v>114</v>
      </c>
      <c r="AV3" s="2" t="s">
        <v>83</v>
      </c>
      <c r="AW3" s="2" t="s">
        <v>85</v>
      </c>
      <c r="AX3" s="2" t="s">
        <v>87</v>
      </c>
      <c r="AY3" s="2" t="s">
        <v>88</v>
      </c>
      <c r="AZ3" s="2" t="s">
        <v>89</v>
      </c>
      <c r="BA3" s="2" t="s">
        <v>90</v>
      </c>
      <c r="BB3" s="2" t="s">
        <v>91</v>
      </c>
      <c r="BC3" s="2" t="s">
        <v>92</v>
      </c>
      <c r="BD3" s="2" t="s">
        <v>93</v>
      </c>
      <c r="BE3" s="2" t="s">
        <v>128</v>
      </c>
      <c r="BF3" s="4" t="s">
        <v>100</v>
      </c>
      <c r="BG3" s="4" t="s">
        <v>115</v>
      </c>
      <c r="BH3" s="4" t="s">
        <v>117</v>
      </c>
      <c r="BI3" s="4" t="s">
        <v>118</v>
      </c>
      <c r="BJ3" s="4" t="s">
        <v>119</v>
      </c>
      <c r="BK3" s="4" t="s">
        <v>120</v>
      </c>
      <c r="BL3" s="4" t="s">
        <v>122</v>
      </c>
      <c r="BM3" s="2" t="s">
        <v>82</v>
      </c>
      <c r="BN3" s="4" t="s">
        <v>1059</v>
      </c>
    </row>
    <row r="4" spans="1:68" x14ac:dyDescent="0.25">
      <c r="A4" t="s">
        <v>2</v>
      </c>
    </row>
    <row r="5" spans="1:68" x14ac:dyDescent="0.25">
      <c r="A5">
        <v>7072184</v>
      </c>
      <c r="C5" t="s">
        <v>5</v>
      </c>
      <c r="D5" s="5">
        <v>80</v>
      </c>
      <c r="E5" s="1"/>
      <c r="F5" s="1"/>
      <c r="G5" s="5">
        <v>11</v>
      </c>
      <c r="H5" s="7">
        <v>8</v>
      </c>
      <c r="I5" t="s">
        <v>6</v>
      </c>
      <c r="J5" t="s">
        <v>7</v>
      </c>
      <c r="K5">
        <v>3.3</v>
      </c>
      <c r="N5" s="5">
        <v>2.4</v>
      </c>
      <c r="O5">
        <v>916</v>
      </c>
      <c r="P5">
        <v>190</v>
      </c>
      <c r="R5">
        <v>5.423</v>
      </c>
      <c r="S5">
        <v>12.441000000000001</v>
      </c>
      <c r="U5" t="s">
        <v>18</v>
      </c>
      <c r="V5" s="1">
        <v>0.18</v>
      </c>
      <c r="W5">
        <v>108.5</v>
      </c>
      <c r="Y5" t="s">
        <v>10</v>
      </c>
      <c r="Z5" s="7" t="s">
        <v>12</v>
      </c>
      <c r="AA5" t="s">
        <v>14</v>
      </c>
      <c r="AB5" t="s">
        <v>16</v>
      </c>
      <c r="AC5" s="6">
        <v>69</v>
      </c>
    </row>
    <row r="6" spans="1:68" x14ac:dyDescent="0.25">
      <c r="A6">
        <v>9108231</v>
      </c>
      <c r="C6" t="s">
        <v>1058</v>
      </c>
      <c r="J6" t="s">
        <v>20</v>
      </c>
      <c r="N6" s="5"/>
    </row>
    <row r="7" spans="1:68" x14ac:dyDescent="0.25">
      <c r="A7">
        <v>12061933</v>
      </c>
      <c r="N7" s="5"/>
      <c r="AD7" t="s">
        <v>22</v>
      </c>
      <c r="AE7" t="s">
        <v>24</v>
      </c>
      <c r="AF7" t="s">
        <v>26</v>
      </c>
      <c r="AG7" t="s">
        <v>28</v>
      </c>
      <c r="AH7" t="s">
        <v>30</v>
      </c>
    </row>
    <row r="8" spans="1:68" x14ac:dyDescent="0.25">
      <c r="A8">
        <v>14242856</v>
      </c>
      <c r="C8" t="s">
        <v>46</v>
      </c>
      <c r="D8" s="5">
        <v>80</v>
      </c>
      <c r="E8" s="5">
        <v>4</v>
      </c>
      <c r="F8" s="5">
        <v>1</v>
      </c>
      <c r="G8" s="5">
        <v>25</v>
      </c>
      <c r="H8">
        <v>12.1</v>
      </c>
      <c r="I8" t="s">
        <v>47</v>
      </c>
      <c r="J8" t="s">
        <v>48</v>
      </c>
      <c r="K8">
        <v>5</v>
      </c>
      <c r="L8" t="s">
        <v>50</v>
      </c>
      <c r="N8" s="5"/>
      <c r="O8">
        <v>80</v>
      </c>
      <c r="P8">
        <v>145</v>
      </c>
    </row>
    <row r="9" spans="1:68" x14ac:dyDescent="0.25">
      <c r="A9">
        <v>7063959</v>
      </c>
      <c r="J9" t="s">
        <v>51</v>
      </c>
      <c r="N9" s="5"/>
    </row>
    <row r="10" spans="1:68" x14ac:dyDescent="0.25">
      <c r="A10">
        <v>99001183</v>
      </c>
      <c r="C10" t="s">
        <v>65</v>
      </c>
      <c r="N10" s="5"/>
      <c r="P10">
        <v>23</v>
      </c>
      <c r="Q10">
        <v>56</v>
      </c>
    </row>
    <row r="11" spans="1:68" x14ac:dyDescent="0.25">
      <c r="A11">
        <v>1480</v>
      </c>
      <c r="C11">
        <v>11.92</v>
      </c>
      <c r="N11" s="5"/>
      <c r="O11">
        <v>13</v>
      </c>
      <c r="P11">
        <v>24</v>
      </c>
      <c r="Q11">
        <v>49</v>
      </c>
      <c r="R11">
        <v>222</v>
      </c>
    </row>
    <row r="12" spans="1:68" x14ac:dyDescent="0.25">
      <c r="A12">
        <v>1003215</v>
      </c>
      <c r="E12">
        <v>8.1999999999999993</v>
      </c>
      <c r="F12">
        <v>22.4</v>
      </c>
      <c r="I12" t="s">
        <v>77</v>
      </c>
      <c r="J12">
        <v>22.5</v>
      </c>
      <c r="N12" s="5"/>
      <c r="O12">
        <v>20</v>
      </c>
      <c r="P12">
        <v>27</v>
      </c>
      <c r="R12">
        <v>248</v>
      </c>
      <c r="AL12">
        <v>61</v>
      </c>
      <c r="AM12">
        <v>2.9</v>
      </c>
      <c r="AN12">
        <v>196</v>
      </c>
      <c r="AV12" t="s">
        <v>84</v>
      </c>
      <c r="AW12" t="s">
        <v>86</v>
      </c>
      <c r="AX12" t="s">
        <v>86</v>
      </c>
      <c r="AY12" t="s">
        <v>86</v>
      </c>
      <c r="AZ12" t="s">
        <v>30</v>
      </c>
      <c r="BA12" t="s">
        <v>30</v>
      </c>
      <c r="BB12" t="s">
        <v>86</v>
      </c>
      <c r="BC12" t="s">
        <v>86</v>
      </c>
      <c r="BD12" t="s">
        <v>86</v>
      </c>
      <c r="BM12">
        <v>13000</v>
      </c>
    </row>
    <row r="13" spans="1:68" x14ac:dyDescent="0.25">
      <c r="A13">
        <v>99000802</v>
      </c>
      <c r="N13" s="5"/>
      <c r="O13">
        <v>16</v>
      </c>
      <c r="P13">
        <v>26</v>
      </c>
      <c r="Q13">
        <v>27</v>
      </c>
      <c r="R13">
        <v>299</v>
      </c>
    </row>
    <row r="14" spans="1:68" x14ac:dyDescent="0.25">
      <c r="B14" t="s">
        <v>144</v>
      </c>
      <c r="C14" t="s">
        <v>142</v>
      </c>
      <c r="N14" s="5"/>
    </row>
    <row r="15" spans="1:68" x14ac:dyDescent="0.25">
      <c r="B15" t="s">
        <v>145</v>
      </c>
      <c r="C15" t="s">
        <v>143</v>
      </c>
      <c r="N15" s="5"/>
    </row>
    <row r="16" spans="1:68" x14ac:dyDescent="0.25">
      <c r="A16">
        <v>99000892</v>
      </c>
      <c r="N16" s="5"/>
      <c r="O16" t="s">
        <v>146</v>
      </c>
      <c r="P16" t="s">
        <v>147</v>
      </c>
      <c r="Q16">
        <v>6.93</v>
      </c>
    </row>
    <row r="17" spans="1:68" x14ac:dyDescent="0.25">
      <c r="N17" s="5"/>
    </row>
    <row r="18" spans="1:68" x14ac:dyDescent="0.25">
      <c r="N18" s="5"/>
    </row>
    <row r="19" spans="1:68" x14ac:dyDescent="0.25">
      <c r="A19" t="s">
        <v>0</v>
      </c>
      <c r="C19">
        <v>7</v>
      </c>
      <c r="D19">
        <v>2</v>
      </c>
      <c r="E19">
        <v>2</v>
      </c>
      <c r="F19">
        <v>2</v>
      </c>
      <c r="G19">
        <v>2</v>
      </c>
      <c r="H19">
        <v>2</v>
      </c>
      <c r="I19">
        <v>3</v>
      </c>
      <c r="J19">
        <v>5</v>
      </c>
      <c r="K19">
        <v>2</v>
      </c>
      <c r="L19">
        <v>1</v>
      </c>
      <c r="M19">
        <v>0</v>
      </c>
      <c r="N19" s="5">
        <v>1</v>
      </c>
      <c r="O19" s="5">
        <v>6</v>
      </c>
      <c r="P19" s="5">
        <v>7</v>
      </c>
      <c r="Q19" s="5">
        <v>4</v>
      </c>
      <c r="R19" s="5">
        <v>4</v>
      </c>
      <c r="S19" s="5">
        <v>1</v>
      </c>
      <c r="T19" s="5">
        <v>0</v>
      </c>
      <c r="U19" s="5">
        <v>1</v>
      </c>
      <c r="V19" s="5">
        <v>1</v>
      </c>
      <c r="W19" s="5">
        <v>1</v>
      </c>
      <c r="X19" s="5">
        <v>0</v>
      </c>
      <c r="Y19" s="5">
        <v>1</v>
      </c>
      <c r="Z19" s="5">
        <v>1</v>
      </c>
      <c r="AA19" s="5">
        <v>1</v>
      </c>
      <c r="AB19" s="5">
        <v>1</v>
      </c>
      <c r="AC19" s="5">
        <v>1</v>
      </c>
      <c r="AD19" s="5">
        <v>1</v>
      </c>
      <c r="AE19" s="5">
        <v>1</v>
      </c>
      <c r="AF19" s="5">
        <v>1</v>
      </c>
      <c r="AG19" s="5">
        <v>1</v>
      </c>
      <c r="AH19" s="5">
        <v>1</v>
      </c>
      <c r="AI19" s="5">
        <v>0</v>
      </c>
      <c r="AJ19" s="5">
        <v>0</v>
      </c>
      <c r="AK19" s="5">
        <v>0</v>
      </c>
      <c r="AL19" s="5">
        <v>1</v>
      </c>
      <c r="AM19" s="5">
        <v>1</v>
      </c>
      <c r="AN19" s="5">
        <v>1</v>
      </c>
      <c r="AO19" s="5">
        <v>0</v>
      </c>
      <c r="AP19" s="5">
        <v>0</v>
      </c>
      <c r="AQ19" s="5">
        <v>0</v>
      </c>
      <c r="AR19" s="5">
        <v>0</v>
      </c>
      <c r="AS19" s="5">
        <v>0</v>
      </c>
      <c r="AT19" s="5">
        <v>0</v>
      </c>
      <c r="AU19" s="5">
        <v>0</v>
      </c>
      <c r="AV19" s="5">
        <v>1</v>
      </c>
      <c r="AW19" s="5">
        <v>1</v>
      </c>
      <c r="AX19" s="5">
        <v>1</v>
      </c>
      <c r="AY19" s="5">
        <v>1</v>
      </c>
      <c r="AZ19" s="5">
        <v>1</v>
      </c>
      <c r="BA19" s="5">
        <v>1</v>
      </c>
      <c r="BB19" s="5">
        <v>1</v>
      </c>
      <c r="BC19" s="5">
        <v>1</v>
      </c>
      <c r="BD19" s="5">
        <v>1</v>
      </c>
      <c r="BE19" s="5">
        <v>0</v>
      </c>
      <c r="BF19" s="5">
        <v>0</v>
      </c>
      <c r="BG19" s="5">
        <v>0</v>
      </c>
      <c r="BH19" s="5">
        <v>0</v>
      </c>
      <c r="BI19" s="5">
        <v>0</v>
      </c>
      <c r="BJ19" s="5">
        <v>0</v>
      </c>
      <c r="BK19" s="5">
        <v>0</v>
      </c>
      <c r="BL19" s="5">
        <v>0</v>
      </c>
      <c r="BM19" s="5">
        <v>1</v>
      </c>
      <c r="BN19" s="5"/>
      <c r="BO19" s="5"/>
      <c r="BP19" s="5"/>
    </row>
    <row r="20" spans="1:68" x14ac:dyDescent="0.25">
      <c r="N20" s="5"/>
    </row>
    <row r="21" spans="1:68" x14ac:dyDescent="0.25">
      <c r="N21" s="5"/>
    </row>
    <row r="22" spans="1:68" x14ac:dyDescent="0.25">
      <c r="N22" s="5"/>
    </row>
    <row r="23" spans="1:68" x14ac:dyDescent="0.25">
      <c r="N23" s="5"/>
    </row>
    <row r="24" spans="1:68" x14ac:dyDescent="0.25">
      <c r="N24" s="5"/>
    </row>
    <row r="25" spans="1:68" x14ac:dyDescent="0.25">
      <c r="N25" s="5"/>
    </row>
    <row r="26" spans="1:68" x14ac:dyDescent="0.25">
      <c r="N26" s="5"/>
    </row>
    <row r="27" spans="1:68" x14ac:dyDescent="0.25">
      <c r="N27" s="5"/>
    </row>
    <row r="28" spans="1:68" x14ac:dyDescent="0.25">
      <c r="N28" s="5"/>
    </row>
    <row r="29" spans="1:68" x14ac:dyDescent="0.25">
      <c r="A29" t="s">
        <v>4</v>
      </c>
      <c r="N29" s="5"/>
    </row>
    <row r="30" spans="1:68" x14ac:dyDescent="0.25">
      <c r="A30">
        <v>3000983</v>
      </c>
      <c r="B30" t="s">
        <v>35</v>
      </c>
      <c r="C30" t="s">
        <v>33</v>
      </c>
      <c r="H30">
        <v>14.1</v>
      </c>
      <c r="I30" t="s">
        <v>32</v>
      </c>
      <c r="N30" s="5"/>
      <c r="O30">
        <v>28</v>
      </c>
      <c r="P30">
        <v>28</v>
      </c>
      <c r="Q30">
        <v>22</v>
      </c>
      <c r="R30">
        <v>511</v>
      </c>
    </row>
    <row r="31" spans="1:68" x14ac:dyDescent="0.25">
      <c r="B31" t="s">
        <v>36</v>
      </c>
      <c r="C31" t="s">
        <v>37</v>
      </c>
      <c r="H31" t="s">
        <v>106</v>
      </c>
      <c r="J31">
        <v>18.2</v>
      </c>
      <c r="N31" s="5"/>
      <c r="O31">
        <v>131</v>
      </c>
      <c r="P31">
        <v>241</v>
      </c>
      <c r="Q31">
        <v>943</v>
      </c>
      <c r="R31">
        <v>511</v>
      </c>
      <c r="AI31" t="s">
        <v>39</v>
      </c>
      <c r="AJ31">
        <v>408</v>
      </c>
    </row>
    <row r="32" spans="1:68" x14ac:dyDescent="0.25">
      <c r="B32" t="s">
        <v>40</v>
      </c>
      <c r="C32" t="s">
        <v>42</v>
      </c>
      <c r="H32">
        <v>12.3</v>
      </c>
      <c r="I32" t="s">
        <v>41</v>
      </c>
      <c r="N32" s="5"/>
      <c r="O32">
        <v>135</v>
      </c>
      <c r="P32">
        <v>264</v>
      </c>
      <c r="Q32">
        <v>847</v>
      </c>
      <c r="AI32" t="s">
        <v>43</v>
      </c>
      <c r="AJ32">
        <v>293</v>
      </c>
    </row>
    <row r="33" spans="1:38" x14ac:dyDescent="0.25">
      <c r="A33">
        <v>10064335</v>
      </c>
      <c r="B33" s="3">
        <v>39688</v>
      </c>
      <c r="G33" s="5">
        <v>7</v>
      </c>
      <c r="N33" s="5">
        <v>2.2599999999999998</v>
      </c>
      <c r="O33">
        <v>75</v>
      </c>
      <c r="P33">
        <v>52</v>
      </c>
      <c r="Q33">
        <v>126</v>
      </c>
      <c r="AK33">
        <v>125</v>
      </c>
    </row>
    <row r="34" spans="1:38" x14ac:dyDescent="0.25">
      <c r="B34" s="3">
        <v>39692</v>
      </c>
      <c r="G34" s="5">
        <v>7</v>
      </c>
      <c r="I34" t="s">
        <v>44</v>
      </c>
      <c r="N34" s="5">
        <v>1.6</v>
      </c>
      <c r="O34">
        <v>69</v>
      </c>
      <c r="P34">
        <v>101</v>
      </c>
      <c r="Q34">
        <v>140</v>
      </c>
      <c r="R34">
        <v>433</v>
      </c>
      <c r="AK34">
        <v>140</v>
      </c>
    </row>
    <row r="35" spans="1:38" x14ac:dyDescent="0.25">
      <c r="B35" s="3">
        <v>39694</v>
      </c>
      <c r="N35" s="5">
        <v>1.51</v>
      </c>
      <c r="O35">
        <v>47</v>
      </c>
      <c r="P35">
        <v>113</v>
      </c>
      <c r="Q35">
        <v>171</v>
      </c>
      <c r="R35">
        <v>384</v>
      </c>
      <c r="AK35">
        <v>107</v>
      </c>
    </row>
    <row r="36" spans="1:38" x14ac:dyDescent="0.25">
      <c r="B36" s="3">
        <v>39706</v>
      </c>
      <c r="I36" t="s">
        <v>45</v>
      </c>
      <c r="N36" s="5">
        <v>1.56</v>
      </c>
      <c r="O36">
        <v>191</v>
      </c>
      <c r="P36">
        <v>32</v>
      </c>
      <c r="Q36">
        <v>183</v>
      </c>
      <c r="R36">
        <v>263</v>
      </c>
      <c r="AK36">
        <v>98</v>
      </c>
    </row>
    <row r="37" spans="1:38" x14ac:dyDescent="0.25">
      <c r="B37" s="3">
        <v>39708</v>
      </c>
      <c r="N37" s="5">
        <v>1.8</v>
      </c>
      <c r="O37">
        <v>19</v>
      </c>
      <c r="P37">
        <v>32</v>
      </c>
    </row>
    <row r="38" spans="1:38" x14ac:dyDescent="0.25">
      <c r="A38">
        <v>1502</v>
      </c>
      <c r="B38" s="3">
        <v>36470</v>
      </c>
      <c r="C38" t="s">
        <v>59</v>
      </c>
      <c r="N38" s="5"/>
      <c r="O38">
        <v>52</v>
      </c>
      <c r="P38">
        <v>82</v>
      </c>
    </row>
    <row r="39" spans="1:38" x14ac:dyDescent="0.25">
      <c r="B39" s="3">
        <v>36472</v>
      </c>
      <c r="C39" t="s">
        <v>52</v>
      </c>
      <c r="G39">
        <v>12.6</v>
      </c>
      <c r="N39" s="5">
        <v>0.9</v>
      </c>
      <c r="Q39">
        <v>112</v>
      </c>
      <c r="R39">
        <v>351</v>
      </c>
    </row>
    <row r="40" spans="1:38" x14ac:dyDescent="0.25">
      <c r="A40">
        <v>4003543</v>
      </c>
      <c r="B40" s="3">
        <v>38047</v>
      </c>
      <c r="J40">
        <v>7.12</v>
      </c>
      <c r="N40" s="5">
        <v>1.2</v>
      </c>
      <c r="O40">
        <v>39</v>
      </c>
      <c r="P40">
        <v>53</v>
      </c>
    </row>
    <row r="41" spans="1:38" x14ac:dyDescent="0.25">
      <c r="B41" s="3">
        <v>38051</v>
      </c>
      <c r="J41">
        <v>1.03</v>
      </c>
      <c r="N41" s="5">
        <v>0.9</v>
      </c>
      <c r="O41">
        <v>25</v>
      </c>
      <c r="P41">
        <v>38</v>
      </c>
      <c r="AL41">
        <v>67</v>
      </c>
    </row>
    <row r="42" spans="1:38" x14ac:dyDescent="0.25">
      <c r="A42">
        <v>4900261</v>
      </c>
      <c r="B42" s="3" t="s">
        <v>63</v>
      </c>
      <c r="N42" s="5"/>
      <c r="S42">
        <v>18000</v>
      </c>
    </row>
    <row r="43" spans="1:38" x14ac:dyDescent="0.25">
      <c r="B43" s="3" t="s">
        <v>63</v>
      </c>
      <c r="N43" s="5"/>
      <c r="S43">
        <v>3000</v>
      </c>
    </row>
    <row r="44" spans="1:38" x14ac:dyDescent="0.25">
      <c r="B44" s="3">
        <v>38077</v>
      </c>
      <c r="N44" s="5">
        <v>0.76</v>
      </c>
      <c r="O44">
        <v>668</v>
      </c>
      <c r="R44">
        <v>1151</v>
      </c>
      <c r="S44">
        <v>18973</v>
      </c>
      <c r="T44">
        <v>258</v>
      </c>
    </row>
    <row r="45" spans="1:38" x14ac:dyDescent="0.25">
      <c r="B45" s="3">
        <v>38078</v>
      </c>
      <c r="N45" s="5">
        <v>0.53</v>
      </c>
      <c r="O45">
        <v>454</v>
      </c>
      <c r="R45">
        <v>804</v>
      </c>
      <c r="S45">
        <v>12480</v>
      </c>
      <c r="T45">
        <v>165</v>
      </c>
    </row>
    <row r="46" spans="1:38" x14ac:dyDescent="0.25">
      <c r="B46" s="3">
        <v>38079</v>
      </c>
      <c r="N46" s="5">
        <v>0.86</v>
      </c>
      <c r="O46">
        <v>184</v>
      </c>
      <c r="R46">
        <v>847</v>
      </c>
      <c r="S46">
        <v>13564</v>
      </c>
      <c r="T46">
        <v>132</v>
      </c>
    </row>
    <row r="47" spans="1:38" x14ac:dyDescent="0.25">
      <c r="B47" s="3">
        <v>38082</v>
      </c>
      <c r="N47" s="5">
        <v>0.71</v>
      </c>
      <c r="R47">
        <v>772</v>
      </c>
      <c r="S47">
        <v>7207</v>
      </c>
      <c r="T47">
        <v>106</v>
      </c>
    </row>
    <row r="48" spans="1:38" x14ac:dyDescent="0.25">
      <c r="B48" s="3">
        <v>38087</v>
      </c>
      <c r="N48" s="5">
        <v>0.79</v>
      </c>
      <c r="R48">
        <v>577</v>
      </c>
      <c r="S48">
        <v>4544</v>
      </c>
      <c r="T48">
        <v>71</v>
      </c>
    </row>
    <row r="49" spans="1:58" x14ac:dyDescent="0.25">
      <c r="B49" s="3">
        <v>38098</v>
      </c>
      <c r="N49" s="5">
        <v>0.69</v>
      </c>
      <c r="R49">
        <v>365</v>
      </c>
      <c r="S49">
        <v>341</v>
      </c>
      <c r="T49">
        <v>24</v>
      </c>
    </row>
    <row r="50" spans="1:58" x14ac:dyDescent="0.25">
      <c r="A50">
        <v>1505</v>
      </c>
      <c r="B50" s="3">
        <v>36460</v>
      </c>
      <c r="C50" t="s">
        <v>66</v>
      </c>
      <c r="G50">
        <v>9.9</v>
      </c>
    </row>
    <row r="51" spans="1:58" x14ac:dyDescent="0.25">
      <c r="B51" s="3">
        <v>36461</v>
      </c>
      <c r="O51">
        <v>28</v>
      </c>
      <c r="P51">
        <v>32</v>
      </c>
      <c r="R51">
        <v>249</v>
      </c>
    </row>
    <row r="52" spans="1:58" x14ac:dyDescent="0.25">
      <c r="B52" s="3">
        <v>36465</v>
      </c>
      <c r="C52" t="s">
        <v>67</v>
      </c>
    </row>
    <row r="53" spans="1:58" x14ac:dyDescent="0.25">
      <c r="A53">
        <v>1506</v>
      </c>
      <c r="B53" s="3">
        <v>36449</v>
      </c>
      <c r="C53" t="s">
        <v>68</v>
      </c>
      <c r="G53">
        <v>6.8</v>
      </c>
    </row>
    <row r="54" spans="1:58" x14ac:dyDescent="0.25">
      <c r="B54" s="3">
        <v>36452</v>
      </c>
      <c r="O54">
        <v>15</v>
      </c>
      <c r="P54">
        <v>28</v>
      </c>
      <c r="Q54">
        <v>45</v>
      </c>
      <c r="R54">
        <v>144</v>
      </c>
    </row>
    <row r="55" spans="1:58" x14ac:dyDescent="0.25">
      <c r="A55">
        <v>1000192</v>
      </c>
      <c r="B55" s="3">
        <v>36390</v>
      </c>
      <c r="C55" t="s">
        <v>69</v>
      </c>
    </row>
    <row r="56" spans="1:58" x14ac:dyDescent="0.25">
      <c r="B56" s="3">
        <v>36431</v>
      </c>
      <c r="C56" t="s">
        <v>70</v>
      </c>
      <c r="G56" t="s">
        <v>74</v>
      </c>
      <c r="J56">
        <v>11</v>
      </c>
      <c r="Q56">
        <v>240</v>
      </c>
    </row>
    <row r="57" spans="1:58" x14ac:dyDescent="0.25">
      <c r="A57">
        <v>1000197</v>
      </c>
      <c r="B57" s="3">
        <v>36545</v>
      </c>
      <c r="G57" t="s">
        <v>73</v>
      </c>
    </row>
    <row r="58" spans="1:58" x14ac:dyDescent="0.25">
      <c r="B58" s="3">
        <v>36546</v>
      </c>
      <c r="C58" t="s">
        <v>71</v>
      </c>
    </row>
    <row r="59" spans="1:58" x14ac:dyDescent="0.25">
      <c r="B59" s="3">
        <v>36547</v>
      </c>
      <c r="C59" t="s">
        <v>72</v>
      </c>
      <c r="P59">
        <v>64</v>
      </c>
    </row>
    <row r="60" spans="1:58" x14ac:dyDescent="0.25">
      <c r="B60" s="3">
        <v>36549</v>
      </c>
      <c r="O60">
        <v>25</v>
      </c>
      <c r="Q60">
        <v>51</v>
      </c>
    </row>
    <row r="61" spans="1:58" x14ac:dyDescent="0.25">
      <c r="A61">
        <v>96018835</v>
      </c>
      <c r="B61" s="3">
        <v>35257</v>
      </c>
      <c r="C61" t="s">
        <v>129</v>
      </c>
      <c r="I61" t="s">
        <v>94</v>
      </c>
    </row>
    <row r="62" spans="1:58" x14ac:dyDescent="0.25">
      <c r="B62" s="3">
        <v>35258</v>
      </c>
      <c r="C62" t="s">
        <v>104</v>
      </c>
      <c r="H62">
        <v>15.2</v>
      </c>
      <c r="I62" t="s">
        <v>97</v>
      </c>
      <c r="O62">
        <v>979</v>
      </c>
      <c r="P62">
        <v>1496</v>
      </c>
      <c r="Q62">
        <v>201</v>
      </c>
      <c r="R62">
        <v>1694</v>
      </c>
      <c r="X62">
        <v>67</v>
      </c>
      <c r="AI62">
        <v>273</v>
      </c>
      <c r="AJ62">
        <v>515</v>
      </c>
      <c r="AN62">
        <v>1400</v>
      </c>
      <c r="AO62">
        <v>3.9</v>
      </c>
      <c r="BF62">
        <v>39.5</v>
      </c>
    </row>
    <row r="63" spans="1:58" x14ac:dyDescent="0.25">
      <c r="B63" s="3">
        <v>35259</v>
      </c>
      <c r="C63">
        <v>3.8</v>
      </c>
      <c r="H63">
        <v>14</v>
      </c>
      <c r="I63" t="s">
        <v>107</v>
      </c>
      <c r="O63">
        <v>435</v>
      </c>
      <c r="P63">
        <v>1029</v>
      </c>
      <c r="Q63">
        <v>180</v>
      </c>
      <c r="R63">
        <v>617</v>
      </c>
      <c r="W63">
        <v>35</v>
      </c>
      <c r="X63">
        <v>82</v>
      </c>
      <c r="AI63">
        <v>890</v>
      </c>
      <c r="AJ63">
        <v>311</v>
      </c>
      <c r="AM63">
        <v>2082</v>
      </c>
      <c r="AN63">
        <v>1988</v>
      </c>
      <c r="AO63" t="s">
        <v>101</v>
      </c>
      <c r="BF63">
        <v>38.700000000000003</v>
      </c>
    </row>
    <row r="64" spans="1:58" x14ac:dyDescent="0.25">
      <c r="B64" s="3">
        <v>35260</v>
      </c>
      <c r="C64">
        <v>2.1</v>
      </c>
      <c r="H64">
        <v>13.4</v>
      </c>
      <c r="I64" t="s">
        <v>130</v>
      </c>
      <c r="O64">
        <v>155</v>
      </c>
      <c r="P64">
        <v>630</v>
      </c>
      <c r="Q64">
        <v>177</v>
      </c>
      <c r="AI64" t="s">
        <v>137</v>
      </c>
      <c r="AJ64">
        <v>288</v>
      </c>
      <c r="AN64">
        <v>1758</v>
      </c>
      <c r="AO64">
        <v>3.7</v>
      </c>
    </row>
    <row r="65" spans="1:68" x14ac:dyDescent="0.25">
      <c r="B65" s="3">
        <v>35261</v>
      </c>
      <c r="K65">
        <v>3.9</v>
      </c>
      <c r="L65" t="s">
        <v>98</v>
      </c>
      <c r="M65">
        <v>0.3</v>
      </c>
    </row>
    <row r="66" spans="1:68" x14ac:dyDescent="0.25">
      <c r="B66" s="3">
        <v>35262</v>
      </c>
      <c r="C66">
        <v>3</v>
      </c>
      <c r="F66">
        <v>66</v>
      </c>
      <c r="G66">
        <v>5</v>
      </c>
      <c r="H66">
        <v>11.8</v>
      </c>
      <c r="I66" t="s">
        <v>131</v>
      </c>
      <c r="N66" s="7" t="s">
        <v>108</v>
      </c>
      <c r="O66">
        <v>68</v>
      </c>
      <c r="P66">
        <v>356</v>
      </c>
      <c r="Q66">
        <v>246</v>
      </c>
      <c r="S66" s="7" t="s">
        <v>108</v>
      </c>
      <c r="AI66">
        <v>892</v>
      </c>
      <c r="AJ66">
        <v>381</v>
      </c>
      <c r="AK66" s="7" t="s">
        <v>108</v>
      </c>
      <c r="AN66">
        <v>332</v>
      </c>
      <c r="AO66">
        <v>3.9</v>
      </c>
      <c r="AP66" s="7" t="s">
        <v>108</v>
      </c>
      <c r="AQ66" s="7" t="s">
        <v>108</v>
      </c>
      <c r="AR66" s="7" t="s">
        <v>108</v>
      </c>
      <c r="AS66" s="7" t="s">
        <v>108</v>
      </c>
      <c r="AT66" s="7" t="s">
        <v>108</v>
      </c>
      <c r="AU66" s="7" t="s">
        <v>108</v>
      </c>
    </row>
    <row r="67" spans="1:68" x14ac:dyDescent="0.25">
      <c r="B67" s="3">
        <v>35265</v>
      </c>
      <c r="C67">
        <v>6.5</v>
      </c>
      <c r="H67">
        <v>10.7</v>
      </c>
      <c r="I67" t="s">
        <v>132</v>
      </c>
      <c r="O67">
        <v>19</v>
      </c>
      <c r="AN67">
        <v>24</v>
      </c>
      <c r="AO67">
        <v>8.4</v>
      </c>
      <c r="BG67">
        <v>200</v>
      </c>
      <c r="BH67">
        <v>30</v>
      </c>
      <c r="BI67">
        <v>0.2</v>
      </c>
      <c r="BJ67" t="s">
        <v>30</v>
      </c>
      <c r="BK67">
        <v>70</v>
      </c>
      <c r="BO67" t="s">
        <v>125</v>
      </c>
    </row>
    <row r="68" spans="1:68" x14ac:dyDescent="0.25">
      <c r="B68" s="3">
        <v>35268</v>
      </c>
      <c r="C68">
        <v>7.9</v>
      </c>
      <c r="H68">
        <v>8.6</v>
      </c>
      <c r="I68" t="s">
        <v>133</v>
      </c>
      <c r="K68">
        <v>3.5</v>
      </c>
      <c r="L68" t="s">
        <v>127</v>
      </c>
      <c r="M68">
        <v>0.3</v>
      </c>
      <c r="O68">
        <v>24</v>
      </c>
      <c r="P68">
        <v>18</v>
      </c>
      <c r="Q68">
        <v>41</v>
      </c>
      <c r="AJ68">
        <v>187</v>
      </c>
      <c r="AN68">
        <v>90</v>
      </c>
      <c r="AO68">
        <v>7.2</v>
      </c>
    </row>
    <row r="69" spans="1:68" x14ac:dyDescent="0.25">
      <c r="B69" s="3">
        <v>35270</v>
      </c>
      <c r="C69">
        <v>10.1</v>
      </c>
      <c r="H69">
        <v>10.5</v>
      </c>
      <c r="I69" t="s">
        <v>134</v>
      </c>
      <c r="O69">
        <v>51</v>
      </c>
      <c r="P69">
        <v>19</v>
      </c>
      <c r="Q69">
        <v>70</v>
      </c>
      <c r="AI69">
        <v>342</v>
      </c>
      <c r="AJ69">
        <v>326</v>
      </c>
      <c r="AN69">
        <v>99</v>
      </c>
      <c r="AO69">
        <v>8.3000000000000007</v>
      </c>
    </row>
    <row r="70" spans="1:68" x14ac:dyDescent="0.25">
      <c r="B70" s="3">
        <v>35271</v>
      </c>
      <c r="BL70">
        <v>290</v>
      </c>
      <c r="BP70" t="s">
        <v>125</v>
      </c>
    </row>
    <row r="71" spans="1:68" x14ac:dyDescent="0.25">
      <c r="B71" s="3">
        <v>35273</v>
      </c>
      <c r="C71">
        <v>7.5</v>
      </c>
      <c r="H71">
        <v>10</v>
      </c>
      <c r="I71" t="s">
        <v>135</v>
      </c>
      <c r="O71">
        <v>175</v>
      </c>
      <c r="AO71">
        <v>12.1</v>
      </c>
      <c r="BE71" t="s">
        <v>86</v>
      </c>
    </row>
    <row r="72" spans="1:68" x14ac:dyDescent="0.25">
      <c r="A72">
        <v>98008326</v>
      </c>
      <c r="B72" s="3">
        <v>35417</v>
      </c>
      <c r="C72" t="s">
        <v>138</v>
      </c>
      <c r="G72" s="1"/>
    </row>
    <row r="73" spans="1:68" x14ac:dyDescent="0.25">
      <c r="B73" s="3">
        <v>35422</v>
      </c>
      <c r="Q73">
        <v>27</v>
      </c>
      <c r="R73">
        <v>249</v>
      </c>
      <c r="AK73">
        <v>25.4</v>
      </c>
    </row>
    <row r="74" spans="1:68" x14ac:dyDescent="0.25">
      <c r="B74" s="3">
        <v>35425</v>
      </c>
      <c r="O74">
        <v>28</v>
      </c>
    </row>
    <row r="75" spans="1:68" x14ac:dyDescent="0.25">
      <c r="B75" s="3">
        <v>35429</v>
      </c>
      <c r="C75" t="s">
        <v>139</v>
      </c>
      <c r="G75">
        <v>10</v>
      </c>
    </row>
    <row r="76" spans="1:68" x14ac:dyDescent="0.25">
      <c r="A76">
        <v>99000717</v>
      </c>
      <c r="B76" s="3">
        <v>36101</v>
      </c>
      <c r="R76">
        <v>487</v>
      </c>
    </row>
    <row r="77" spans="1:68" x14ac:dyDescent="0.25">
      <c r="B77" s="3">
        <v>36108</v>
      </c>
      <c r="C77" t="s">
        <v>140</v>
      </c>
      <c r="G77">
        <v>11</v>
      </c>
      <c r="Q77">
        <v>75</v>
      </c>
    </row>
    <row r="78" spans="1:68" x14ac:dyDescent="0.25">
      <c r="B78" s="3">
        <v>36111</v>
      </c>
      <c r="O78">
        <v>31</v>
      </c>
      <c r="P78">
        <v>30</v>
      </c>
      <c r="R78" s="3"/>
    </row>
    <row r="79" spans="1:68" x14ac:dyDescent="0.25">
      <c r="B79" s="3">
        <v>36115</v>
      </c>
      <c r="C79" t="s">
        <v>141</v>
      </c>
    </row>
    <row r="80" spans="1:68" x14ac:dyDescent="0.25">
      <c r="A80">
        <v>99000894</v>
      </c>
      <c r="B80" s="3">
        <v>35544</v>
      </c>
      <c r="P80">
        <v>30</v>
      </c>
      <c r="Q80">
        <v>72</v>
      </c>
    </row>
    <row r="81" spans="1:68" x14ac:dyDescent="0.25">
      <c r="B81" s="3">
        <v>35550</v>
      </c>
      <c r="C81" t="s">
        <v>148</v>
      </c>
    </row>
    <row r="84" spans="1:68" x14ac:dyDescent="0.25">
      <c r="A84" t="s">
        <v>1060</v>
      </c>
      <c r="C84">
        <v>24</v>
      </c>
      <c r="D84">
        <v>2</v>
      </c>
      <c r="E84">
        <v>2</v>
      </c>
      <c r="F84">
        <v>3</v>
      </c>
      <c r="G84">
        <v>22</v>
      </c>
      <c r="H84">
        <v>4</v>
      </c>
      <c r="I84">
        <v>7</v>
      </c>
      <c r="J84">
        <v>11</v>
      </c>
      <c r="K84">
        <v>3</v>
      </c>
      <c r="L84">
        <v>2</v>
      </c>
      <c r="M84">
        <v>1</v>
      </c>
      <c r="N84">
        <v>6</v>
      </c>
      <c r="O84">
        <v>29</v>
      </c>
      <c r="P84">
        <v>30</v>
      </c>
      <c r="Q84">
        <v>26</v>
      </c>
      <c r="R84">
        <v>22</v>
      </c>
      <c r="S84">
        <v>2</v>
      </c>
      <c r="T84">
        <v>1</v>
      </c>
      <c r="U84">
        <v>1</v>
      </c>
      <c r="V84">
        <v>1</v>
      </c>
      <c r="W84">
        <v>3</v>
      </c>
      <c r="X84">
        <v>2</v>
      </c>
      <c r="Y84">
        <v>1</v>
      </c>
      <c r="Z84">
        <v>1</v>
      </c>
      <c r="AA84">
        <v>1</v>
      </c>
      <c r="AB84">
        <v>1</v>
      </c>
      <c r="AC84">
        <v>1</v>
      </c>
      <c r="AD84">
        <v>1</v>
      </c>
      <c r="AE84">
        <v>1</v>
      </c>
      <c r="AF84">
        <v>1</v>
      </c>
      <c r="AG84">
        <v>1</v>
      </c>
      <c r="AH84">
        <v>1</v>
      </c>
      <c r="AI84">
        <v>2</v>
      </c>
      <c r="AJ84">
        <v>2</v>
      </c>
      <c r="AK84">
        <v>3</v>
      </c>
      <c r="AL84">
        <v>2</v>
      </c>
      <c r="AM84">
        <v>3</v>
      </c>
      <c r="AN84">
        <v>3</v>
      </c>
      <c r="AO84">
        <v>2</v>
      </c>
      <c r="AP84">
        <v>0</v>
      </c>
      <c r="AQ84">
        <v>0</v>
      </c>
      <c r="AR84">
        <v>0</v>
      </c>
      <c r="AS84">
        <v>0</v>
      </c>
      <c r="AT84">
        <v>0</v>
      </c>
      <c r="AU84">
        <v>0</v>
      </c>
      <c r="AV84">
        <v>1</v>
      </c>
      <c r="AW84">
        <v>1</v>
      </c>
      <c r="AX84">
        <v>1</v>
      </c>
      <c r="AY84">
        <v>1</v>
      </c>
      <c r="AZ84">
        <v>1</v>
      </c>
      <c r="BA84">
        <v>1</v>
      </c>
      <c r="BB84">
        <v>1</v>
      </c>
      <c r="BC84">
        <v>1</v>
      </c>
      <c r="BD84">
        <v>1</v>
      </c>
      <c r="BE84">
        <v>1</v>
      </c>
      <c r="BF84">
        <v>1</v>
      </c>
      <c r="BG84">
        <v>1</v>
      </c>
      <c r="BH84">
        <v>1</v>
      </c>
      <c r="BI84">
        <v>1</v>
      </c>
      <c r="BJ84">
        <v>1</v>
      </c>
      <c r="BK84">
        <v>1</v>
      </c>
      <c r="BL84">
        <v>1</v>
      </c>
      <c r="BM84">
        <v>1</v>
      </c>
      <c r="BN84">
        <v>1</v>
      </c>
      <c r="BO84">
        <v>1</v>
      </c>
      <c r="BP84">
        <v>1</v>
      </c>
    </row>
  </sheetData>
  <conditionalFormatting sqref="A40">
    <cfRule type="duplicateValues" dxfId="68" priority="30"/>
  </conditionalFormatting>
  <conditionalFormatting sqref="A40">
    <cfRule type="duplicateValues" dxfId="67" priority="29"/>
  </conditionalFormatting>
  <conditionalFormatting sqref="A42">
    <cfRule type="duplicateValues" dxfId="66" priority="28"/>
  </conditionalFormatting>
  <conditionalFormatting sqref="A42">
    <cfRule type="duplicateValues" dxfId="65" priority="27"/>
  </conditionalFormatting>
  <conditionalFormatting sqref="A10">
    <cfRule type="duplicateValues" dxfId="64" priority="26"/>
  </conditionalFormatting>
  <conditionalFormatting sqref="A50">
    <cfRule type="duplicateValues" dxfId="63" priority="24"/>
  </conditionalFormatting>
  <conditionalFormatting sqref="A50">
    <cfRule type="duplicateValues" dxfId="62" priority="23"/>
  </conditionalFormatting>
  <conditionalFormatting sqref="A53">
    <cfRule type="duplicateValues" dxfId="61" priority="22"/>
  </conditionalFormatting>
  <conditionalFormatting sqref="A53">
    <cfRule type="duplicateValues" dxfId="60" priority="21"/>
  </conditionalFormatting>
  <conditionalFormatting sqref="A55">
    <cfRule type="duplicateValues" dxfId="59" priority="20"/>
  </conditionalFormatting>
  <conditionalFormatting sqref="A55">
    <cfRule type="duplicateValues" dxfId="58" priority="19"/>
  </conditionalFormatting>
  <conditionalFormatting sqref="A57">
    <cfRule type="duplicateValues" dxfId="57" priority="18"/>
  </conditionalFormatting>
  <conditionalFormatting sqref="A57">
    <cfRule type="duplicateValues" dxfId="56" priority="17"/>
  </conditionalFormatting>
  <conditionalFormatting sqref="A12">
    <cfRule type="duplicateValues" dxfId="55" priority="16"/>
  </conditionalFormatting>
  <conditionalFormatting sqref="A61">
    <cfRule type="duplicateValues" dxfId="54" priority="14"/>
  </conditionalFormatting>
  <conditionalFormatting sqref="A61">
    <cfRule type="duplicateValues" dxfId="53" priority="13"/>
  </conditionalFormatting>
  <conditionalFormatting sqref="A72">
    <cfRule type="duplicateValues" dxfId="52" priority="12"/>
  </conditionalFormatting>
  <conditionalFormatting sqref="A72">
    <cfRule type="duplicateValues" dxfId="51" priority="11"/>
  </conditionalFormatting>
  <conditionalFormatting sqref="A76">
    <cfRule type="duplicateValues" dxfId="50" priority="10"/>
  </conditionalFormatting>
  <conditionalFormatting sqref="A76">
    <cfRule type="duplicateValues" dxfId="49" priority="9"/>
  </conditionalFormatting>
  <conditionalFormatting sqref="A13">
    <cfRule type="duplicateValues" dxfId="48" priority="8"/>
  </conditionalFormatting>
  <conditionalFormatting sqref="A16">
    <cfRule type="duplicateValues" dxfId="47" priority="6"/>
  </conditionalFormatting>
  <conditionalFormatting sqref="A80">
    <cfRule type="duplicateValues" dxfId="46" priority="4"/>
  </conditionalFormatting>
  <conditionalFormatting sqref="A80">
    <cfRule type="duplicateValues" dxfId="45" priority="3"/>
  </conditionalFormatting>
  <pageMargins left="0.7" right="0.7" top="0.78740157499999996" bottom="0.78740157499999996"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348A5-F663-4AC3-91CD-5CEC3C856077}">
  <dimension ref="A1:BJK1115"/>
  <sheetViews>
    <sheetView tabSelected="1" zoomScale="90" zoomScaleNormal="90" workbookViewId="0">
      <pane xSplit="1" ySplit="2" topLeftCell="BAG18" activePane="bottomRight" state="frozen"/>
      <selection pane="topRight" activeCell="B1" sqref="B1"/>
      <selection pane="bottomLeft" activeCell="A2" sqref="A2"/>
      <selection pane="bottomRight" activeCell="A36" sqref="A36"/>
    </sheetView>
  </sheetViews>
  <sheetFormatPr baseColWidth="10" defaultRowHeight="15" x14ac:dyDescent="0.25"/>
  <sheetData>
    <row r="1" spans="1:1623" x14ac:dyDescent="0.25">
      <c r="LZ1" s="37" t="s">
        <v>1215</v>
      </c>
      <c r="MB1" s="18"/>
      <c r="MC1" s="18"/>
      <c r="MD1" s="18"/>
      <c r="ME1" s="18"/>
      <c r="MF1" s="18"/>
      <c r="ML1" s="37" t="s">
        <v>1218</v>
      </c>
      <c r="MN1" s="18"/>
      <c r="MO1" s="18"/>
      <c r="MP1" s="18"/>
      <c r="MQ1" s="18"/>
      <c r="MW1" s="37" t="s">
        <v>1187</v>
      </c>
      <c r="MY1" s="18"/>
      <c r="MZ1" s="18"/>
      <c r="NA1" s="18"/>
      <c r="NB1" s="18"/>
      <c r="NC1" s="18"/>
      <c r="NI1" s="37" t="s">
        <v>1224</v>
      </c>
      <c r="NT1" s="37" t="s">
        <v>1454</v>
      </c>
      <c r="OE1" s="64" t="s">
        <v>1538</v>
      </c>
      <c r="OP1" s="37" t="s">
        <v>1709</v>
      </c>
      <c r="OZ1" s="37" t="s">
        <v>1580</v>
      </c>
      <c r="PJ1" s="37" t="s">
        <v>1581</v>
      </c>
      <c r="PT1" s="37" t="s">
        <v>1526</v>
      </c>
      <c r="QE1" s="37" t="s">
        <v>1667</v>
      </c>
      <c r="QO1" s="37" t="s">
        <v>1717</v>
      </c>
      <c r="QY1" s="37" t="s">
        <v>1719</v>
      </c>
      <c r="RI1" s="37" t="s">
        <v>1467</v>
      </c>
      <c r="RT1" s="37" t="s">
        <v>1584</v>
      </c>
      <c r="SD1" s="37" t="s">
        <v>1487</v>
      </c>
      <c r="SN1" s="37" t="s">
        <v>1225</v>
      </c>
      <c r="SX1" s="37" t="s">
        <v>1529</v>
      </c>
      <c r="TH1" s="37" t="s">
        <v>1593</v>
      </c>
      <c r="TR1" s="37" t="s">
        <v>1721</v>
      </c>
      <c r="UB1" s="37" t="s">
        <v>1724</v>
      </c>
      <c r="UL1" s="37" t="s">
        <v>1531</v>
      </c>
      <c r="UV1" s="37" t="s">
        <v>1541</v>
      </c>
      <c r="VG1" s="37" t="s">
        <v>1662</v>
      </c>
      <c r="VQ1" s="37" t="s">
        <v>1660</v>
      </c>
      <c r="WA1" s="37" t="s">
        <v>1710</v>
      </c>
      <c r="WK1" s="37" t="s">
        <v>1532</v>
      </c>
      <c r="WU1" s="37" t="s">
        <v>1533</v>
      </c>
      <c r="XE1" s="37" t="s">
        <v>1543</v>
      </c>
      <c r="XO1" s="37" t="s">
        <v>1524</v>
      </c>
      <c r="XY1" s="37" t="s">
        <v>1534</v>
      </c>
      <c r="YI1" s="37" t="s">
        <v>1535</v>
      </c>
      <c r="YS1" s="37" t="s">
        <v>1549</v>
      </c>
      <c r="ZC1" s="37" t="s">
        <v>1548</v>
      </c>
      <c r="ZN1" s="37" t="s">
        <v>1695</v>
      </c>
      <c r="ZX1" s="37" t="s">
        <v>1707</v>
      </c>
      <c r="AAH1" s="37" t="s">
        <v>1708</v>
      </c>
      <c r="AAR1" s="37" t="s">
        <v>1690</v>
      </c>
      <c r="ABB1" s="37" t="s">
        <v>1547</v>
      </c>
      <c r="ABL1" s="37" t="s">
        <v>1649</v>
      </c>
      <c r="ABW1" s="37" t="s">
        <v>1713</v>
      </c>
      <c r="ACG1" s="37" t="s">
        <v>1714</v>
      </c>
      <c r="ACQ1" s="37" t="s">
        <v>1598</v>
      </c>
      <c r="ADB1" s="64" t="s">
        <v>1536</v>
      </c>
      <c r="ADM1" s="64" t="s">
        <v>1537</v>
      </c>
      <c r="ADX1" s="37" t="s">
        <v>1554</v>
      </c>
      <c r="AEH1" s="37" t="s">
        <v>1471</v>
      </c>
      <c r="AES1" s="37" t="s">
        <v>1528</v>
      </c>
      <c r="AFC1" s="37" t="s">
        <v>1544</v>
      </c>
      <c r="AFM1" s="37" t="s">
        <v>1551</v>
      </c>
      <c r="AFW1" s="37" t="s">
        <v>1555</v>
      </c>
      <c r="AGG1" s="37" t="s">
        <v>1600</v>
      </c>
      <c r="AGQ1" s="37" t="s">
        <v>1571</v>
      </c>
      <c r="AHA1" s="37" t="s">
        <v>1698</v>
      </c>
      <c r="AHK1" s="37" t="s">
        <v>1572</v>
      </c>
      <c r="AHU1" s="37" t="s">
        <v>1576</v>
      </c>
      <c r="AIE1" s="37" t="s">
        <v>1577</v>
      </c>
      <c r="AIO1" s="37" t="s">
        <v>1572</v>
      </c>
      <c r="AIY1" s="37" t="s">
        <v>1700</v>
      </c>
      <c r="AJI1" s="37" t="s">
        <v>1701</v>
      </c>
      <c r="AJS1" s="37" t="s">
        <v>1685</v>
      </c>
      <c r="AKC1" s="37" t="s">
        <v>1699</v>
      </c>
      <c r="AKM1" s="37" t="s">
        <v>1578</v>
      </c>
      <c r="AKW1" s="37" t="s">
        <v>1542</v>
      </c>
      <c r="ALH1" s="37" t="s">
        <v>1525</v>
      </c>
      <c r="ALR1" s="37" t="s">
        <v>1722</v>
      </c>
      <c r="AMB1" s="37" t="s">
        <v>1723</v>
      </c>
      <c r="AML1" s="37" t="s">
        <v>1539</v>
      </c>
      <c r="AMW1" s="37" t="s">
        <v>1559</v>
      </c>
      <c r="ANG1" s="37" t="s">
        <v>1558</v>
      </c>
      <c r="ANQ1" s="37" t="s">
        <v>1686</v>
      </c>
      <c r="AOA1" s="37" t="s">
        <v>1601</v>
      </c>
      <c r="AOK1" s="37" t="s">
        <v>1664</v>
      </c>
      <c r="AOU1" s="37" t="s">
        <v>1540</v>
      </c>
      <c r="APF1" s="37" t="s">
        <v>1573</v>
      </c>
      <c r="APP1" s="37" t="s">
        <v>1553</v>
      </c>
      <c r="APZ1" s="37" t="s">
        <v>1574</v>
      </c>
      <c r="AQJ1" s="37" t="s">
        <v>1530</v>
      </c>
      <c r="AQT1" s="37" t="s">
        <v>1687</v>
      </c>
      <c r="ARD1" s="37" t="s">
        <v>1693</v>
      </c>
      <c r="ARN1" s="37" t="s">
        <v>1545</v>
      </c>
      <c r="ARX1" s="37" t="s">
        <v>1691</v>
      </c>
      <c r="ASH1" s="37" t="s">
        <v>1697</v>
      </c>
      <c r="ASR1" s="78" t="s">
        <v>1673</v>
      </c>
      <c r="ATB1" s="37" t="s">
        <v>1583</v>
      </c>
      <c r="ATL1" s="37" t="s">
        <v>1711</v>
      </c>
      <c r="ATV1" s="37" t="s">
        <v>1546</v>
      </c>
      <c r="AUF1" s="37" t="s">
        <v>1641</v>
      </c>
      <c r="AUP1" s="37" t="s">
        <v>1661</v>
      </c>
      <c r="AUZ1" s="37" t="s">
        <v>1731</v>
      </c>
      <c r="AVJ1" s="76" t="s">
        <v>1732</v>
      </c>
      <c r="AVT1" s="37" t="s">
        <v>1638</v>
      </c>
      <c r="AWD1" t="s">
        <v>1520</v>
      </c>
      <c r="AWN1" s="37" t="s">
        <v>1730</v>
      </c>
      <c r="AWX1" s="37" t="s">
        <v>1575</v>
      </c>
      <c r="AXH1" s="37" t="s">
        <v>1522</v>
      </c>
      <c r="AXR1" s="37" t="s">
        <v>1665</v>
      </c>
      <c r="AYB1" s="78" t="s">
        <v>1671</v>
      </c>
      <c r="AYL1" s="37" t="s">
        <v>1527</v>
      </c>
      <c r="AYW1" s="37" t="s">
        <v>1455</v>
      </c>
      <c r="AZH1" s="37" t="s">
        <v>1550</v>
      </c>
      <c r="AZR1" s="37" t="s">
        <v>1466</v>
      </c>
      <c r="BAB1" t="s">
        <v>1636</v>
      </c>
      <c r="BAC1" t="s">
        <v>1637</v>
      </c>
      <c r="BAD1" t="s">
        <v>1681</v>
      </c>
      <c r="BAE1" t="s">
        <v>1663</v>
      </c>
      <c r="BAF1" s="77" t="s">
        <v>1666</v>
      </c>
      <c r="BAG1" t="s">
        <v>1658</v>
      </c>
      <c r="BAH1" t="s">
        <v>1659</v>
      </c>
      <c r="BCP1" s="43" t="s">
        <v>1353</v>
      </c>
      <c r="BCQ1" s="18"/>
      <c r="BCZ1" s="41" t="s">
        <v>1200</v>
      </c>
      <c r="BDF1" s="42" t="s">
        <v>1437</v>
      </c>
      <c r="BDQ1" s="43" t="s">
        <v>1205</v>
      </c>
      <c r="BEC1" s="43" t="s">
        <v>1503</v>
      </c>
      <c r="BED1" s="18"/>
      <c r="BEG1" s="43" t="s">
        <v>1485</v>
      </c>
      <c r="BEI1" s="43" t="s">
        <v>1504</v>
      </c>
      <c r="BEL1" s="43" t="s">
        <v>1506</v>
      </c>
      <c r="BER1" s="43" t="s">
        <v>1746</v>
      </c>
      <c r="BEX1" s="43" t="s">
        <v>1230</v>
      </c>
      <c r="BFB1" s="43" t="s">
        <v>1208</v>
      </c>
      <c r="BFE1" s="43" t="s">
        <v>1505</v>
      </c>
      <c r="BFI1" s="42" t="s">
        <v>1432</v>
      </c>
      <c r="BFM1" s="42" t="s">
        <v>1465</v>
      </c>
      <c r="BFQ1" s="43" t="s">
        <v>1748</v>
      </c>
    </row>
    <row r="2" spans="1:1623" ht="105" x14ac:dyDescent="0.25">
      <c r="A2" s="25" t="s">
        <v>1061</v>
      </c>
      <c r="B2" s="25" t="s">
        <v>1256</v>
      </c>
      <c r="C2" s="16" t="s">
        <v>1064</v>
      </c>
      <c r="D2" s="16" t="s">
        <v>173</v>
      </c>
      <c r="E2" s="16" t="s">
        <v>177</v>
      </c>
      <c r="F2" s="16" t="s">
        <v>178</v>
      </c>
      <c r="G2" s="16" t="s">
        <v>182</v>
      </c>
      <c r="H2" s="16" t="s">
        <v>184</v>
      </c>
      <c r="I2" s="16" t="s">
        <v>1119</v>
      </c>
      <c r="J2" s="16" t="s">
        <v>1120</v>
      </c>
      <c r="K2" s="16" t="s">
        <v>1121</v>
      </c>
      <c r="L2" s="17" t="s">
        <v>1122</v>
      </c>
      <c r="M2" s="17" t="s">
        <v>1123</v>
      </c>
      <c r="N2" s="17" t="s">
        <v>1124</v>
      </c>
      <c r="O2" s="17" t="s">
        <v>1125</v>
      </c>
      <c r="P2" s="17" t="s">
        <v>1126</v>
      </c>
      <c r="Q2" s="17" t="s">
        <v>1127</v>
      </c>
      <c r="R2" s="16" t="s">
        <v>201</v>
      </c>
      <c r="S2" s="16" t="s">
        <v>203</v>
      </c>
      <c r="T2" s="16" t="s">
        <v>205</v>
      </c>
      <c r="U2" s="16" t="s">
        <v>210</v>
      </c>
      <c r="V2" s="16" t="s">
        <v>212</v>
      </c>
      <c r="W2" s="24" t="s">
        <v>1065</v>
      </c>
      <c r="X2" s="24" t="s">
        <v>1067</v>
      </c>
      <c r="Y2" s="24" t="s">
        <v>1066</v>
      </c>
      <c r="Z2" s="16" t="s">
        <v>1151</v>
      </c>
      <c r="AA2" s="16" t="s">
        <v>232</v>
      </c>
      <c r="AB2" s="16" t="s">
        <v>238</v>
      </c>
      <c r="AC2" s="16" t="s">
        <v>257</v>
      </c>
      <c r="AD2" s="24" t="s">
        <v>1068</v>
      </c>
      <c r="AE2" s="24" t="s">
        <v>1069</v>
      </c>
      <c r="AF2" s="24" t="s">
        <v>1070</v>
      </c>
      <c r="AG2" s="16" t="s">
        <v>1326</v>
      </c>
      <c r="AH2" s="16" t="s">
        <v>1182</v>
      </c>
      <c r="AI2" s="16" t="s">
        <v>1056</v>
      </c>
      <c r="AJ2" s="16" t="s">
        <v>1569</v>
      </c>
      <c r="AK2" s="16" t="s">
        <v>1165</v>
      </c>
      <c r="AL2" s="16" t="s">
        <v>1235</v>
      </c>
      <c r="AM2" s="16" t="s">
        <v>282</v>
      </c>
      <c r="AN2" s="16" t="s">
        <v>284</v>
      </c>
      <c r="AO2" s="16" t="s">
        <v>287</v>
      </c>
      <c r="AP2" s="16" t="s">
        <v>289</v>
      </c>
      <c r="AQ2" s="16" t="s">
        <v>293</v>
      </c>
      <c r="AR2" s="16" t="s">
        <v>295</v>
      </c>
      <c r="AS2" s="16" t="s">
        <v>298</v>
      </c>
      <c r="AT2" s="16" t="s">
        <v>1174</v>
      </c>
      <c r="AU2" s="16" t="s">
        <v>1135</v>
      </c>
      <c r="AV2" s="16" t="s">
        <v>1129</v>
      </c>
      <c r="AW2" s="16" t="s">
        <v>1178</v>
      </c>
      <c r="AX2" s="16" t="s">
        <v>1134</v>
      </c>
      <c r="AY2" s="16" t="s">
        <v>1170</v>
      </c>
      <c r="AZ2" s="16" t="s">
        <v>1136</v>
      </c>
      <c r="BA2" s="16" t="s">
        <v>288</v>
      </c>
      <c r="BB2" s="16" t="s">
        <v>296</v>
      </c>
      <c r="BC2" s="16" t="s">
        <v>1173</v>
      </c>
      <c r="BD2" s="16" t="s">
        <v>1084</v>
      </c>
      <c r="BE2" s="16" t="s">
        <v>1049</v>
      </c>
      <c r="BF2" s="16" t="s">
        <v>1166</v>
      </c>
      <c r="BG2" s="16" t="s">
        <v>1239</v>
      </c>
      <c r="BH2" s="16" t="s">
        <v>318</v>
      </c>
      <c r="BI2" s="16" t="s">
        <v>319</v>
      </c>
      <c r="BJ2" s="16" t="s">
        <v>323</v>
      </c>
      <c r="BK2" s="16" t="s">
        <v>325</v>
      </c>
      <c r="BL2" s="16" t="s">
        <v>328</v>
      </c>
      <c r="BM2" s="16" t="s">
        <v>1238</v>
      </c>
      <c r="BN2" s="16" t="s">
        <v>1132</v>
      </c>
      <c r="BO2" s="16" t="s">
        <v>1099</v>
      </c>
      <c r="BP2" s="16" t="s">
        <v>1112</v>
      </c>
      <c r="BQ2" s="16" t="s">
        <v>312</v>
      </c>
      <c r="BR2" s="16" t="s">
        <v>316</v>
      </c>
      <c r="BS2" s="16" t="s">
        <v>1045</v>
      </c>
      <c r="BT2" s="16" t="s">
        <v>314</v>
      </c>
      <c r="BU2" s="16" t="s">
        <v>1100</v>
      </c>
      <c r="BV2" s="16" t="s">
        <v>1050</v>
      </c>
      <c r="BW2" s="16" t="s">
        <v>378</v>
      </c>
      <c r="BX2" s="16" t="s">
        <v>381</v>
      </c>
      <c r="BY2" s="16" t="s">
        <v>384</v>
      </c>
      <c r="BZ2" s="16" t="s">
        <v>385</v>
      </c>
      <c r="CA2" s="16" t="s">
        <v>389</v>
      </c>
      <c r="CB2" s="16" t="s">
        <v>391</v>
      </c>
      <c r="CC2" s="16" t="s">
        <v>394</v>
      </c>
      <c r="CD2" s="16" t="s">
        <v>1113</v>
      </c>
      <c r="CE2" s="16" t="s">
        <v>1101</v>
      </c>
      <c r="CF2" s="16" t="s">
        <v>1114</v>
      </c>
      <c r="CG2" s="16" t="s">
        <v>1240</v>
      </c>
      <c r="CH2" s="16" t="s">
        <v>379</v>
      </c>
      <c r="CI2" s="16" t="s">
        <v>382</v>
      </c>
      <c r="CJ2" s="16" t="s">
        <v>1046</v>
      </c>
      <c r="CK2" s="16" t="s">
        <v>1089</v>
      </c>
      <c r="CL2" s="16" t="s">
        <v>1102</v>
      </c>
      <c r="CM2" s="16" t="s">
        <v>1051</v>
      </c>
      <c r="CN2" s="16" t="s">
        <v>1167</v>
      </c>
      <c r="CO2" s="16" t="s">
        <v>1237</v>
      </c>
      <c r="CP2" s="16" t="s">
        <v>1243</v>
      </c>
      <c r="CQ2" s="16" t="s">
        <v>448</v>
      </c>
      <c r="CR2" s="16" t="s">
        <v>449</v>
      </c>
      <c r="CS2" s="16" t="s">
        <v>453</v>
      </c>
      <c r="CT2" s="16" t="s">
        <v>455</v>
      </c>
      <c r="CU2" s="16" t="s">
        <v>1242</v>
      </c>
      <c r="CV2" s="16" t="s">
        <v>1133</v>
      </c>
      <c r="CW2" s="16" t="s">
        <v>1103</v>
      </c>
      <c r="CX2" s="16" t="s">
        <v>1150</v>
      </c>
      <c r="CY2" s="16" t="s">
        <v>1172</v>
      </c>
      <c r="CZ2" s="16" t="s">
        <v>1241</v>
      </c>
      <c r="DA2" s="16" t="s">
        <v>445</v>
      </c>
      <c r="DB2" s="16" t="s">
        <v>1047</v>
      </c>
      <c r="DC2" s="16" t="s">
        <v>1090</v>
      </c>
      <c r="DD2" s="17" t="s">
        <v>1043</v>
      </c>
      <c r="DE2" s="17" t="s">
        <v>1168</v>
      </c>
      <c r="DF2" s="16" t="s">
        <v>1328</v>
      </c>
      <c r="DG2" s="16" t="s">
        <v>515</v>
      </c>
      <c r="DH2" s="16" t="s">
        <v>516</v>
      </c>
      <c r="DI2" s="16" t="s">
        <v>520</v>
      </c>
      <c r="DJ2" s="16" t="s">
        <v>522</v>
      </c>
      <c r="DK2" s="16" t="s">
        <v>525</v>
      </c>
      <c r="DL2" s="16" t="s">
        <v>1327</v>
      </c>
      <c r="DM2" s="16" t="s">
        <v>1117</v>
      </c>
      <c r="DN2" s="16" t="s">
        <v>510</v>
      </c>
      <c r="DO2" s="16" t="s">
        <v>1104</v>
      </c>
      <c r="DP2" s="16" t="s">
        <v>1118</v>
      </c>
      <c r="DQ2" s="16" t="s">
        <v>1105</v>
      </c>
      <c r="DR2" s="16" t="s">
        <v>1052</v>
      </c>
      <c r="DS2" s="16" t="s">
        <v>1236</v>
      </c>
      <c r="DT2" s="16" t="s">
        <v>552</v>
      </c>
      <c r="DU2" s="16" t="s">
        <v>553</v>
      </c>
      <c r="DV2" s="16" t="s">
        <v>1044</v>
      </c>
      <c r="DW2" s="16" t="s">
        <v>1131</v>
      </c>
      <c r="DX2" s="16" t="s">
        <v>1048</v>
      </c>
      <c r="DY2" s="16" t="s">
        <v>1130</v>
      </c>
      <c r="DZ2" s="16" t="s">
        <v>1092</v>
      </c>
      <c r="EA2" s="16" t="s">
        <v>1171</v>
      </c>
      <c r="EB2" s="16" t="s">
        <v>1093</v>
      </c>
      <c r="EC2" s="24" t="s">
        <v>1085</v>
      </c>
      <c r="ED2" s="24" t="s">
        <v>1138</v>
      </c>
      <c r="EE2" s="24" t="s">
        <v>1139</v>
      </c>
      <c r="EF2" s="24" t="s">
        <v>1140</v>
      </c>
      <c r="EG2" s="24" t="s">
        <v>1141</v>
      </c>
      <c r="EH2" s="24" t="s">
        <v>1086</v>
      </c>
      <c r="EI2" s="24" t="s">
        <v>1142</v>
      </c>
      <c r="EJ2" s="24" t="s">
        <v>1143</v>
      </c>
      <c r="EK2" s="24" t="s">
        <v>1244</v>
      </c>
      <c r="EL2" s="24" t="s">
        <v>1144</v>
      </c>
      <c r="EM2" s="24" t="s">
        <v>1087</v>
      </c>
      <c r="EN2" s="16" t="s">
        <v>1329</v>
      </c>
      <c r="EO2" s="16" t="s">
        <v>563</v>
      </c>
      <c r="EP2" s="16" t="s">
        <v>565</v>
      </c>
      <c r="EQ2" s="16" t="s">
        <v>571</v>
      </c>
      <c r="ER2" s="16" t="s">
        <v>1155</v>
      </c>
      <c r="ES2" s="16" t="s">
        <v>1156</v>
      </c>
      <c r="ET2" s="16" t="s">
        <v>1245</v>
      </c>
      <c r="EU2" s="16" t="s">
        <v>564</v>
      </c>
      <c r="EV2" s="24" t="s">
        <v>1062</v>
      </c>
      <c r="EW2" s="24" t="s">
        <v>1183</v>
      </c>
      <c r="EX2" s="24" t="s">
        <v>1145</v>
      </c>
      <c r="EY2" s="16" t="s">
        <v>1184</v>
      </c>
      <c r="EZ2" s="16" t="s">
        <v>639</v>
      </c>
      <c r="FA2" s="16" t="s">
        <v>640</v>
      </c>
      <c r="FB2" s="16" t="s">
        <v>646</v>
      </c>
      <c r="FC2" s="16" t="s">
        <v>1152</v>
      </c>
      <c r="FD2" s="16" t="s">
        <v>1246</v>
      </c>
      <c r="FE2" s="16" t="s">
        <v>1181</v>
      </c>
      <c r="FF2" s="16" t="s">
        <v>1081</v>
      </c>
      <c r="FG2" s="16" t="s">
        <v>1336</v>
      </c>
      <c r="FH2" s="16" t="s">
        <v>1063</v>
      </c>
      <c r="FI2" s="16" t="s">
        <v>1249</v>
      </c>
      <c r="FJ2" s="16" t="s">
        <v>731</v>
      </c>
      <c r="FK2" s="16" t="s">
        <v>735</v>
      </c>
      <c r="FL2" s="16" t="s">
        <v>737</v>
      </c>
      <c r="FM2" s="16" t="s">
        <v>1248</v>
      </c>
      <c r="FN2" s="16" t="s">
        <v>1095</v>
      </c>
      <c r="FO2" s="16" t="s">
        <v>1111</v>
      </c>
      <c r="FP2" s="16" t="s">
        <v>1115</v>
      </c>
      <c r="FQ2" s="16" t="s">
        <v>726</v>
      </c>
      <c r="FR2" s="16" t="s">
        <v>1096</v>
      </c>
      <c r="FS2" s="16" t="s">
        <v>1116</v>
      </c>
      <c r="FT2" s="16" t="s">
        <v>1097</v>
      </c>
      <c r="FU2" s="16" t="s">
        <v>1098</v>
      </c>
      <c r="FV2" s="16" t="s">
        <v>1082</v>
      </c>
      <c r="FW2" s="16" t="s">
        <v>1185</v>
      </c>
      <c r="FX2" s="16" t="s">
        <v>779</v>
      </c>
      <c r="FY2" s="16" t="s">
        <v>780</v>
      </c>
      <c r="FZ2" s="16" t="s">
        <v>786</v>
      </c>
      <c r="GA2" s="16" t="s">
        <v>1153</v>
      </c>
      <c r="GB2" s="16" t="s">
        <v>1154</v>
      </c>
      <c r="GC2" s="16" t="s">
        <v>1247</v>
      </c>
      <c r="GD2" s="16" t="s">
        <v>1334</v>
      </c>
      <c r="GE2" s="16" t="s">
        <v>802</v>
      </c>
      <c r="GF2" s="16" t="s">
        <v>809</v>
      </c>
      <c r="GG2" s="16" t="s">
        <v>1335</v>
      </c>
      <c r="GH2" s="16" t="s">
        <v>1091</v>
      </c>
      <c r="GI2" s="16" t="s">
        <v>1325</v>
      </c>
      <c r="GJ2" s="16" t="s">
        <v>1324</v>
      </c>
      <c r="GK2" s="16" t="s">
        <v>1323</v>
      </c>
      <c r="GL2" s="16" t="s">
        <v>1250</v>
      </c>
      <c r="GM2" s="16" t="s">
        <v>1110</v>
      </c>
      <c r="GN2" s="16" t="s">
        <v>1053</v>
      </c>
      <c r="GO2" s="16" t="s">
        <v>1169</v>
      </c>
      <c r="GP2" s="16" t="s">
        <v>1337</v>
      </c>
      <c r="GQ2" s="16" t="s">
        <v>1251</v>
      </c>
      <c r="GR2" s="16" t="s">
        <v>1106</v>
      </c>
      <c r="GS2" s="16" t="s">
        <v>1107</v>
      </c>
      <c r="GT2" s="16" t="s">
        <v>1108</v>
      </c>
      <c r="GU2" s="17" t="s">
        <v>1042</v>
      </c>
      <c r="GV2" s="16" t="s">
        <v>1079</v>
      </c>
      <c r="GW2" s="16" t="s">
        <v>867</v>
      </c>
      <c r="GX2" s="16" t="s">
        <v>870</v>
      </c>
      <c r="GY2" s="16" t="s">
        <v>872</v>
      </c>
      <c r="GZ2" s="16" t="s">
        <v>875</v>
      </c>
      <c r="HA2" s="16" t="s">
        <v>1330</v>
      </c>
      <c r="HB2" s="16" t="s">
        <v>1331</v>
      </c>
      <c r="HC2" s="16" t="s">
        <v>1332</v>
      </c>
      <c r="HD2" s="16" t="s">
        <v>1094</v>
      </c>
      <c r="HE2" s="16" t="s">
        <v>1333</v>
      </c>
      <c r="HF2" s="16" t="s">
        <v>1088</v>
      </c>
      <c r="HG2" s="17" t="s">
        <v>1080</v>
      </c>
      <c r="HH2" s="16" t="s">
        <v>1186</v>
      </c>
      <c r="HI2" s="16" t="s">
        <v>1078</v>
      </c>
      <c r="HJ2" s="16" t="s">
        <v>1137</v>
      </c>
      <c r="HK2" s="16" t="s">
        <v>1077</v>
      </c>
      <c r="HL2" s="16" t="s">
        <v>1057</v>
      </c>
      <c r="HM2" s="16" t="s">
        <v>904</v>
      </c>
      <c r="HN2" s="16" t="s">
        <v>1146</v>
      </c>
      <c r="HO2" s="16" t="s">
        <v>1147</v>
      </c>
      <c r="HP2" s="16" t="s">
        <v>1148</v>
      </c>
      <c r="HQ2" s="16" t="s">
        <v>1149</v>
      </c>
      <c r="HR2" s="16" t="s">
        <v>1054</v>
      </c>
      <c r="HS2" s="16" t="s">
        <v>1055</v>
      </c>
      <c r="HT2" s="24" t="s">
        <v>1071</v>
      </c>
      <c r="HU2" s="24" t="s">
        <v>1072</v>
      </c>
      <c r="HV2" s="24" t="s">
        <v>1073</v>
      </c>
      <c r="HW2" s="24" t="s">
        <v>1074</v>
      </c>
      <c r="HX2" s="24" t="s">
        <v>1075</v>
      </c>
      <c r="HY2" s="29" t="s">
        <v>83</v>
      </c>
      <c r="HZ2" s="29" t="s">
        <v>85</v>
      </c>
      <c r="IA2" s="29" t="s">
        <v>87</v>
      </c>
      <c r="IB2" s="29" t="s">
        <v>88</v>
      </c>
      <c r="IC2" s="29" t="s">
        <v>89</v>
      </c>
      <c r="ID2" s="29" t="s">
        <v>90</v>
      </c>
      <c r="IE2" s="29" t="s">
        <v>91</v>
      </c>
      <c r="IF2" s="29" t="s">
        <v>92</v>
      </c>
      <c r="IG2" s="29" t="s">
        <v>93</v>
      </c>
      <c r="IH2" s="24" t="s">
        <v>1338</v>
      </c>
      <c r="II2" s="24" t="s">
        <v>1339</v>
      </c>
      <c r="IJ2" s="24" t="s">
        <v>1340</v>
      </c>
      <c r="IK2" s="24" t="s">
        <v>1341</v>
      </c>
      <c r="IL2" s="24" t="s">
        <v>1342</v>
      </c>
      <c r="IM2" s="29" t="s">
        <v>1157</v>
      </c>
      <c r="IN2" s="24" t="s">
        <v>1158</v>
      </c>
      <c r="IO2" s="24" t="s">
        <v>1159</v>
      </c>
      <c r="IP2" s="24" t="s">
        <v>1160</v>
      </c>
      <c r="IQ2" s="24" t="s">
        <v>1161</v>
      </c>
      <c r="IR2" s="24" t="s">
        <v>1162</v>
      </c>
      <c r="IS2" s="17" t="s">
        <v>1163</v>
      </c>
      <c r="IT2" s="30" t="s">
        <v>1164</v>
      </c>
      <c r="IU2" s="17" t="s">
        <v>1179</v>
      </c>
      <c r="IV2" s="31" t="s">
        <v>151</v>
      </c>
      <c r="IW2" s="31" t="s">
        <v>1234</v>
      </c>
      <c r="IX2" s="31" t="s">
        <v>1233</v>
      </c>
      <c r="IY2" s="31" t="s">
        <v>162</v>
      </c>
      <c r="IZ2" s="31" t="s">
        <v>1190</v>
      </c>
      <c r="JA2" s="31" t="s">
        <v>1491</v>
      </c>
      <c r="JB2" s="31" t="s">
        <v>1475</v>
      </c>
      <c r="JC2" s="38" t="s">
        <v>1676</v>
      </c>
      <c r="JD2" s="32" t="s">
        <v>1675</v>
      </c>
      <c r="JE2" s="32" t="s">
        <v>1481</v>
      </c>
      <c r="JF2" s="32" t="s">
        <v>1226</v>
      </c>
      <c r="JG2" s="32" t="s">
        <v>1035</v>
      </c>
      <c r="JH2" s="32" t="s">
        <v>1027</v>
      </c>
      <c r="JI2" s="32" t="s">
        <v>1588</v>
      </c>
      <c r="JJ2" s="32" t="s">
        <v>1590</v>
      </c>
      <c r="JK2" s="32" t="s">
        <v>1463</v>
      </c>
      <c r="JL2" s="32" t="s">
        <v>1480</v>
      </c>
      <c r="JM2" s="32" t="s">
        <v>1469</v>
      </c>
      <c r="JN2" s="32" t="s">
        <v>1560</v>
      </c>
      <c r="JO2" s="32" t="s">
        <v>1478</v>
      </c>
      <c r="JP2" s="32" t="s">
        <v>1442</v>
      </c>
      <c r="JQ2" s="32" t="s">
        <v>1589</v>
      </c>
      <c r="JR2" s="32" t="s">
        <v>1460</v>
      </c>
      <c r="JS2" s="32" t="s">
        <v>1689</v>
      </c>
      <c r="JT2" s="32" t="s">
        <v>1720</v>
      </c>
      <c r="JU2" s="32" t="s">
        <v>1566</v>
      </c>
      <c r="JV2" s="32" t="s">
        <v>1501</v>
      </c>
      <c r="JW2" s="32" t="s">
        <v>1561</v>
      </c>
      <c r="JX2" s="32" t="s">
        <v>1362</v>
      </c>
      <c r="JY2" s="32" t="s">
        <v>1591</v>
      </c>
      <c r="JZ2" s="32" t="s">
        <v>1495</v>
      </c>
      <c r="KA2" s="32" t="s">
        <v>1706</v>
      </c>
      <c r="KB2" s="32" t="s">
        <v>1484</v>
      </c>
      <c r="KC2" s="32" t="s">
        <v>1476</v>
      </c>
      <c r="KD2" s="32" t="s">
        <v>1518</v>
      </c>
      <c r="KE2" s="32" t="s">
        <v>1493</v>
      </c>
      <c r="KF2" s="32" t="s">
        <v>1479</v>
      </c>
      <c r="KG2" s="32" t="s">
        <v>1494</v>
      </c>
      <c r="KH2" s="32" t="s">
        <v>1477</v>
      </c>
      <c r="KI2" s="32" t="s">
        <v>1703</v>
      </c>
      <c r="KJ2" s="32" t="s">
        <v>1704</v>
      </c>
      <c r="KK2" s="32" t="s">
        <v>1457</v>
      </c>
      <c r="KL2" s="32" t="s">
        <v>1456</v>
      </c>
      <c r="KM2" s="32" t="s">
        <v>1677</v>
      </c>
      <c r="KN2" s="32" t="s">
        <v>1519</v>
      </c>
      <c r="KO2" s="38" t="s">
        <v>1447</v>
      </c>
      <c r="KP2" s="32" t="s">
        <v>1449</v>
      </c>
      <c r="KQ2" s="38" t="s">
        <v>1463</v>
      </c>
      <c r="KR2" s="38" t="s">
        <v>1448</v>
      </c>
      <c r="KS2" s="32" t="s">
        <v>1450</v>
      </c>
      <c r="KT2" s="32" t="s">
        <v>1688</v>
      </c>
      <c r="KU2" s="32" t="s">
        <v>1513</v>
      </c>
      <c r="KV2" s="32" t="s">
        <v>1727</v>
      </c>
      <c r="KW2" s="32" t="s">
        <v>1702</v>
      </c>
      <c r="KX2" s="32" t="s">
        <v>1451</v>
      </c>
      <c r="KY2" s="32" t="s">
        <v>1440</v>
      </c>
      <c r="KZ2" s="32" t="s">
        <v>1683</v>
      </c>
      <c r="LA2" s="32" t="s">
        <v>1682</v>
      </c>
      <c r="LB2" s="32" t="s">
        <v>1441</v>
      </c>
      <c r="LC2" s="32" t="s">
        <v>1684</v>
      </c>
      <c r="LD2" s="32" t="s">
        <v>1728</v>
      </c>
      <c r="LE2" s="32" t="s">
        <v>1729</v>
      </c>
      <c r="LF2" s="32" t="s">
        <v>1461</v>
      </c>
      <c r="LG2" s="32" t="s">
        <v>1462</v>
      </c>
      <c r="LH2" s="32" t="s">
        <v>1458</v>
      </c>
      <c r="LI2" s="32" t="s">
        <v>1483</v>
      </c>
      <c r="LJ2" s="32" t="s">
        <v>1502</v>
      </c>
      <c r="LK2" s="32" t="s">
        <v>1562</v>
      </c>
      <c r="LL2" s="32" t="s">
        <v>1563</v>
      </c>
      <c r="LM2" s="32" t="s">
        <v>1564</v>
      </c>
      <c r="LN2" s="32" t="s">
        <v>1596</v>
      </c>
      <c r="LO2" s="32" t="s">
        <v>1705</v>
      </c>
      <c r="LP2" s="32" t="s">
        <v>1570</v>
      </c>
      <c r="LQ2" s="32" t="s">
        <v>1490</v>
      </c>
      <c r="LR2" s="38" t="s">
        <v>981</v>
      </c>
      <c r="LS2" s="32" t="s">
        <v>1565</v>
      </c>
      <c r="LT2" s="32" t="s">
        <v>1567</v>
      </c>
      <c r="LU2" s="32" t="s">
        <v>1516</v>
      </c>
      <c r="LV2" s="32" t="s">
        <v>1514</v>
      </c>
      <c r="LW2" s="32"/>
      <c r="LX2" s="32"/>
      <c r="LY2" s="32"/>
      <c r="LZ2" s="63" t="s">
        <v>1446</v>
      </c>
      <c r="MA2" s="33" t="s">
        <v>1222</v>
      </c>
      <c r="MB2" s="33" t="s">
        <v>1223</v>
      </c>
      <c r="MC2" s="33" t="s">
        <v>1219</v>
      </c>
      <c r="MD2" s="33" t="s">
        <v>1220</v>
      </c>
      <c r="ME2" s="33" t="s">
        <v>1221</v>
      </c>
      <c r="MF2" s="33" t="s">
        <v>1486</v>
      </c>
      <c r="MG2" s="33" t="s">
        <v>1216</v>
      </c>
      <c r="MH2" s="33" t="s">
        <v>1459</v>
      </c>
      <c r="MI2" s="33" t="s">
        <v>1217</v>
      </c>
      <c r="MJ2" s="33" t="s">
        <v>1632</v>
      </c>
      <c r="MK2" s="33" t="s">
        <v>1635</v>
      </c>
      <c r="ML2" s="33" t="s">
        <v>1453</v>
      </c>
      <c r="MM2" s="33" t="s">
        <v>1222</v>
      </c>
      <c r="MN2" s="33" t="s">
        <v>1223</v>
      </c>
      <c r="MO2" s="33" t="s">
        <v>1219</v>
      </c>
      <c r="MP2" s="33" t="s">
        <v>1220</v>
      </c>
      <c r="MQ2" s="33" t="s">
        <v>1221</v>
      </c>
      <c r="MR2" s="33" t="s">
        <v>1216</v>
      </c>
      <c r="MS2" s="33" t="s">
        <v>1459</v>
      </c>
      <c r="MT2" s="33" t="s">
        <v>1217</v>
      </c>
      <c r="MU2" s="33" t="s">
        <v>1632</v>
      </c>
      <c r="MV2" s="33" t="s">
        <v>1635</v>
      </c>
      <c r="MW2" s="33" t="s">
        <v>1453</v>
      </c>
      <c r="MX2" s="33" t="s">
        <v>1222</v>
      </c>
      <c r="MY2" s="33" t="s">
        <v>1223</v>
      </c>
      <c r="MZ2" s="33" t="s">
        <v>1219</v>
      </c>
      <c r="NA2" s="33" t="s">
        <v>1220</v>
      </c>
      <c r="NB2" s="33" t="s">
        <v>1221</v>
      </c>
      <c r="NC2" s="33" t="s">
        <v>1680</v>
      </c>
      <c r="ND2" s="33" t="s">
        <v>1216</v>
      </c>
      <c r="NE2" s="33" t="s">
        <v>1459</v>
      </c>
      <c r="NF2" s="33" t="s">
        <v>1217</v>
      </c>
      <c r="NG2" s="33" t="s">
        <v>1632</v>
      </c>
      <c r="NH2" s="33" t="s">
        <v>1635</v>
      </c>
      <c r="NI2" s="33" t="s">
        <v>1453</v>
      </c>
      <c r="NJ2" s="33" t="s">
        <v>1222</v>
      </c>
      <c r="NK2" s="33" t="s">
        <v>1223</v>
      </c>
      <c r="NL2" s="33" t="s">
        <v>1219</v>
      </c>
      <c r="NM2" s="33" t="s">
        <v>1220</v>
      </c>
      <c r="NN2" s="33" t="s">
        <v>1221</v>
      </c>
      <c r="NO2" s="33" t="s">
        <v>1216</v>
      </c>
      <c r="NP2" s="33" t="s">
        <v>1459</v>
      </c>
      <c r="NQ2" s="33" t="s">
        <v>1217</v>
      </c>
      <c r="NR2" s="33" t="s">
        <v>1632</v>
      </c>
      <c r="NS2" s="33" t="s">
        <v>1635</v>
      </c>
      <c r="NT2" s="33" t="s">
        <v>1453</v>
      </c>
      <c r="NU2" s="33" t="s">
        <v>1222</v>
      </c>
      <c r="NV2" s="33" t="s">
        <v>1223</v>
      </c>
      <c r="NW2" s="33" t="s">
        <v>1219</v>
      </c>
      <c r="NX2" s="33" t="s">
        <v>1220</v>
      </c>
      <c r="NY2" s="33" t="s">
        <v>1221</v>
      </c>
      <c r="NZ2" s="33" t="s">
        <v>1216</v>
      </c>
      <c r="OA2" s="33" t="s">
        <v>1459</v>
      </c>
      <c r="OB2" s="33" t="s">
        <v>1217</v>
      </c>
      <c r="OC2" s="33" t="s">
        <v>1632</v>
      </c>
      <c r="OD2" s="33" t="s">
        <v>1635</v>
      </c>
      <c r="OE2" s="33" t="s">
        <v>1446</v>
      </c>
      <c r="OF2" s="33" t="s">
        <v>1222</v>
      </c>
      <c r="OG2" s="33" t="s">
        <v>1223</v>
      </c>
      <c r="OH2" s="33" t="s">
        <v>1219</v>
      </c>
      <c r="OI2" s="33" t="s">
        <v>1220</v>
      </c>
      <c r="OJ2" s="33" t="s">
        <v>1221</v>
      </c>
      <c r="OK2" s="33" t="s">
        <v>1216</v>
      </c>
      <c r="OL2" s="33" t="s">
        <v>1459</v>
      </c>
      <c r="OM2" s="33" t="s">
        <v>1217</v>
      </c>
      <c r="ON2" s="33" t="s">
        <v>1632</v>
      </c>
      <c r="OO2" s="33" t="s">
        <v>1635</v>
      </c>
      <c r="OP2" s="33" t="s">
        <v>1222</v>
      </c>
      <c r="OQ2" s="33" t="s">
        <v>1223</v>
      </c>
      <c r="OR2" s="33" t="s">
        <v>1219</v>
      </c>
      <c r="OS2" s="33" t="s">
        <v>1220</v>
      </c>
      <c r="OT2" s="33" t="s">
        <v>1221</v>
      </c>
      <c r="OU2" s="33" t="s">
        <v>1216</v>
      </c>
      <c r="OV2" s="33" t="s">
        <v>1459</v>
      </c>
      <c r="OW2" s="33" t="s">
        <v>1217</v>
      </c>
      <c r="OX2" s="33" t="s">
        <v>1632</v>
      </c>
      <c r="OY2" s="33" t="s">
        <v>1635</v>
      </c>
      <c r="OZ2" s="33" t="s">
        <v>1582</v>
      </c>
      <c r="PA2" s="33" t="s">
        <v>1223</v>
      </c>
      <c r="PB2" s="33" t="s">
        <v>1219</v>
      </c>
      <c r="PC2" s="33" t="s">
        <v>1220</v>
      </c>
      <c r="PD2" s="33" t="s">
        <v>1221</v>
      </c>
      <c r="PE2" s="33" t="s">
        <v>1216</v>
      </c>
      <c r="PF2" s="33" t="s">
        <v>1459</v>
      </c>
      <c r="PG2" s="33" t="s">
        <v>1217</v>
      </c>
      <c r="PH2" s="33" t="s">
        <v>1632</v>
      </c>
      <c r="PI2" s="33" t="s">
        <v>1635</v>
      </c>
      <c r="PJ2" s="33" t="s">
        <v>1582</v>
      </c>
      <c r="PK2" s="33" t="s">
        <v>1223</v>
      </c>
      <c r="PL2" s="33" t="s">
        <v>1219</v>
      </c>
      <c r="PM2" s="33" t="s">
        <v>1220</v>
      </c>
      <c r="PN2" s="33" t="s">
        <v>1221</v>
      </c>
      <c r="PO2" s="33" t="s">
        <v>1216</v>
      </c>
      <c r="PP2" s="33" t="s">
        <v>1459</v>
      </c>
      <c r="PQ2" s="33" t="s">
        <v>1217</v>
      </c>
      <c r="PR2" s="33" t="s">
        <v>1632</v>
      </c>
      <c r="PS2" s="33" t="s">
        <v>1635</v>
      </c>
      <c r="PT2" s="33" t="s">
        <v>1446</v>
      </c>
      <c r="PU2" s="33" t="s">
        <v>1521</v>
      </c>
      <c r="PV2" s="33" t="s">
        <v>1223</v>
      </c>
      <c r="PW2" s="33" t="s">
        <v>1219</v>
      </c>
      <c r="PX2" s="33" t="s">
        <v>1220</v>
      </c>
      <c r="PY2" s="33" t="s">
        <v>1221</v>
      </c>
      <c r="PZ2" s="33" t="s">
        <v>1216</v>
      </c>
      <c r="QA2" s="33" t="s">
        <v>1459</v>
      </c>
      <c r="QB2" s="33" t="s">
        <v>1217</v>
      </c>
      <c r="QC2" s="33" t="s">
        <v>1632</v>
      </c>
      <c r="QD2" s="33" t="s">
        <v>1635</v>
      </c>
      <c r="QE2" s="33" t="s">
        <v>1521</v>
      </c>
      <c r="QF2" s="33" t="s">
        <v>1223</v>
      </c>
      <c r="QG2" s="33" t="s">
        <v>1219</v>
      </c>
      <c r="QH2" s="33" t="s">
        <v>1220</v>
      </c>
      <c r="QI2" s="33" t="s">
        <v>1221</v>
      </c>
      <c r="QJ2" s="33" t="s">
        <v>1216</v>
      </c>
      <c r="QK2" s="33" t="s">
        <v>1459</v>
      </c>
      <c r="QL2" s="33" t="s">
        <v>1217</v>
      </c>
      <c r="QM2" s="33" t="s">
        <v>1632</v>
      </c>
      <c r="QN2" s="33" t="s">
        <v>1635</v>
      </c>
      <c r="QO2" s="33" t="s">
        <v>1222</v>
      </c>
      <c r="QP2" s="33" t="s">
        <v>1223</v>
      </c>
      <c r="QQ2" s="33" t="s">
        <v>1219</v>
      </c>
      <c r="QR2" s="33" t="s">
        <v>1220</v>
      </c>
      <c r="QS2" s="33" t="s">
        <v>1221</v>
      </c>
      <c r="QT2" s="33" t="s">
        <v>1216</v>
      </c>
      <c r="QU2" s="33" t="s">
        <v>1459</v>
      </c>
      <c r="QV2" s="33" t="s">
        <v>1217</v>
      </c>
      <c r="QW2" s="33" t="s">
        <v>1632</v>
      </c>
      <c r="QX2" s="33" t="s">
        <v>1635</v>
      </c>
      <c r="QY2" s="33" t="s">
        <v>1521</v>
      </c>
      <c r="QZ2" s="33" t="s">
        <v>1223</v>
      </c>
      <c r="RA2" s="33" t="s">
        <v>1219</v>
      </c>
      <c r="RB2" s="33" t="s">
        <v>1220</v>
      </c>
      <c r="RC2" s="33" t="s">
        <v>1221</v>
      </c>
      <c r="RD2" s="33" t="s">
        <v>1216</v>
      </c>
      <c r="RE2" s="33" t="s">
        <v>1459</v>
      </c>
      <c r="RF2" s="33" t="s">
        <v>1217</v>
      </c>
      <c r="RG2" s="33" t="s">
        <v>1632</v>
      </c>
      <c r="RH2" s="33" t="s">
        <v>1635</v>
      </c>
      <c r="RI2" s="33" t="s">
        <v>1222</v>
      </c>
      <c r="RJ2" s="33" t="s">
        <v>1223</v>
      </c>
      <c r="RK2" s="33" t="s">
        <v>1219</v>
      </c>
      <c r="RL2" s="33" t="s">
        <v>1220</v>
      </c>
      <c r="RM2" s="33" t="s">
        <v>1468</v>
      </c>
      <c r="RN2" s="33" t="s">
        <v>1221</v>
      </c>
      <c r="RO2" s="33" t="s">
        <v>1216</v>
      </c>
      <c r="RP2" s="33" t="s">
        <v>1459</v>
      </c>
      <c r="RQ2" s="33" t="s">
        <v>1217</v>
      </c>
      <c r="RR2" s="33" t="s">
        <v>1632</v>
      </c>
      <c r="RS2" s="33" t="s">
        <v>1635</v>
      </c>
      <c r="RT2" s="33" t="s">
        <v>1521</v>
      </c>
      <c r="RU2" s="33" t="s">
        <v>1223</v>
      </c>
      <c r="RV2" s="33" t="s">
        <v>1219</v>
      </c>
      <c r="RW2" s="33" t="s">
        <v>1220</v>
      </c>
      <c r="RX2" s="33" t="s">
        <v>1221</v>
      </c>
      <c r="RY2" s="33" t="s">
        <v>1216</v>
      </c>
      <c r="RZ2" s="33" t="s">
        <v>1459</v>
      </c>
      <c r="SA2" s="33" t="s">
        <v>1217</v>
      </c>
      <c r="SB2" s="33" t="s">
        <v>1632</v>
      </c>
      <c r="SC2" s="33" t="s">
        <v>1635</v>
      </c>
      <c r="SD2" s="33" t="s">
        <v>1222</v>
      </c>
      <c r="SE2" s="33" t="s">
        <v>1223</v>
      </c>
      <c r="SF2" s="33" t="s">
        <v>1219</v>
      </c>
      <c r="SG2" s="33" t="s">
        <v>1220</v>
      </c>
      <c r="SH2" s="33" t="s">
        <v>1221</v>
      </c>
      <c r="SI2" s="33" t="s">
        <v>1216</v>
      </c>
      <c r="SJ2" s="33" t="s">
        <v>1459</v>
      </c>
      <c r="SK2" s="33" t="s">
        <v>1217</v>
      </c>
      <c r="SL2" s="33" t="s">
        <v>1632</v>
      </c>
      <c r="SM2" s="33" t="s">
        <v>1635</v>
      </c>
      <c r="SN2" s="33" t="s">
        <v>1640</v>
      </c>
      <c r="SO2" s="33" t="s">
        <v>1223</v>
      </c>
      <c r="SP2" s="33" t="s">
        <v>1219</v>
      </c>
      <c r="SQ2" s="33" t="s">
        <v>1220</v>
      </c>
      <c r="SR2" s="33" t="s">
        <v>1221</v>
      </c>
      <c r="SS2" s="33" t="s">
        <v>1216</v>
      </c>
      <c r="ST2" s="33" t="s">
        <v>1459</v>
      </c>
      <c r="SU2" s="33" t="s">
        <v>1217</v>
      </c>
      <c r="SV2" s="33" t="s">
        <v>1632</v>
      </c>
      <c r="SW2" s="33" t="s">
        <v>1635</v>
      </c>
      <c r="SX2" s="33" t="s">
        <v>1222</v>
      </c>
      <c r="SY2" s="33" t="s">
        <v>1223</v>
      </c>
      <c r="SZ2" s="33" t="s">
        <v>1219</v>
      </c>
      <c r="TA2" s="33" t="s">
        <v>1220</v>
      </c>
      <c r="TB2" s="33" t="s">
        <v>1221</v>
      </c>
      <c r="TC2" s="33" t="s">
        <v>1216</v>
      </c>
      <c r="TD2" s="33" t="s">
        <v>1459</v>
      </c>
      <c r="TE2" s="33" t="s">
        <v>1217</v>
      </c>
      <c r="TF2" s="33" t="s">
        <v>1632</v>
      </c>
      <c r="TG2" s="33" t="s">
        <v>1635</v>
      </c>
      <c r="TH2" s="33" t="s">
        <v>1222</v>
      </c>
      <c r="TI2" s="33" t="s">
        <v>1223</v>
      </c>
      <c r="TJ2" s="33" t="s">
        <v>1219</v>
      </c>
      <c r="TK2" s="33" t="s">
        <v>1220</v>
      </c>
      <c r="TL2" s="33" t="s">
        <v>1221</v>
      </c>
      <c r="TM2" s="33" t="s">
        <v>1216</v>
      </c>
      <c r="TN2" s="33" t="s">
        <v>1459</v>
      </c>
      <c r="TO2" s="33" t="s">
        <v>1217</v>
      </c>
      <c r="TP2" s="33" t="s">
        <v>1632</v>
      </c>
      <c r="TQ2" s="33" t="s">
        <v>1635</v>
      </c>
      <c r="TR2" s="33" t="s">
        <v>1222</v>
      </c>
      <c r="TS2" s="33" t="s">
        <v>1223</v>
      </c>
      <c r="TT2" s="33" t="s">
        <v>1219</v>
      </c>
      <c r="TU2" s="33" t="s">
        <v>1220</v>
      </c>
      <c r="TV2" s="33" t="s">
        <v>1221</v>
      </c>
      <c r="TW2" s="33" t="s">
        <v>1216</v>
      </c>
      <c r="TX2" s="33" t="s">
        <v>1459</v>
      </c>
      <c r="TY2" s="33" t="s">
        <v>1217</v>
      </c>
      <c r="TZ2" s="33" t="s">
        <v>1632</v>
      </c>
      <c r="UA2" s="33" t="s">
        <v>1635</v>
      </c>
      <c r="UB2" s="33" t="s">
        <v>1725</v>
      </c>
      <c r="UC2" s="33" t="s">
        <v>1223</v>
      </c>
      <c r="UD2" s="33" t="s">
        <v>1219</v>
      </c>
      <c r="UE2" s="33" t="s">
        <v>1220</v>
      </c>
      <c r="UF2" s="33" t="s">
        <v>1221</v>
      </c>
      <c r="UG2" s="33" t="s">
        <v>1216</v>
      </c>
      <c r="UH2" s="33" t="s">
        <v>1459</v>
      </c>
      <c r="UI2" s="33" t="s">
        <v>1217</v>
      </c>
      <c r="UJ2" s="33" t="s">
        <v>1632</v>
      </c>
      <c r="UK2" s="33" t="s">
        <v>1635</v>
      </c>
      <c r="UL2" s="33" t="s">
        <v>1222</v>
      </c>
      <c r="UM2" s="33" t="s">
        <v>1223</v>
      </c>
      <c r="UN2" s="33" t="s">
        <v>1219</v>
      </c>
      <c r="UO2" s="33" t="s">
        <v>1220</v>
      </c>
      <c r="UP2" s="33" t="s">
        <v>1221</v>
      </c>
      <c r="UQ2" s="33" t="s">
        <v>1216</v>
      </c>
      <c r="UR2" s="33" t="s">
        <v>1459</v>
      </c>
      <c r="US2" s="33" t="s">
        <v>1217</v>
      </c>
      <c r="UT2" s="33" t="s">
        <v>1632</v>
      </c>
      <c r="UU2" s="33" t="s">
        <v>1635</v>
      </c>
      <c r="UV2" s="33" t="s">
        <v>1446</v>
      </c>
      <c r="UW2" s="33" t="s">
        <v>1222</v>
      </c>
      <c r="UX2" s="33" t="s">
        <v>1223</v>
      </c>
      <c r="UY2" s="33" t="s">
        <v>1219</v>
      </c>
      <c r="UZ2" s="33" t="s">
        <v>1220</v>
      </c>
      <c r="VA2" s="33" t="s">
        <v>1221</v>
      </c>
      <c r="VB2" s="33" t="s">
        <v>1216</v>
      </c>
      <c r="VC2" s="33" t="s">
        <v>1459</v>
      </c>
      <c r="VD2" s="33" t="s">
        <v>1217</v>
      </c>
      <c r="VE2" s="33" t="s">
        <v>1632</v>
      </c>
      <c r="VF2" s="33" t="s">
        <v>1635</v>
      </c>
      <c r="VG2" s="33" t="s">
        <v>1222</v>
      </c>
      <c r="VH2" s="33" t="s">
        <v>1223</v>
      </c>
      <c r="VI2" s="33" t="s">
        <v>1219</v>
      </c>
      <c r="VJ2" s="33" t="s">
        <v>1220</v>
      </c>
      <c r="VK2" s="33" t="s">
        <v>1221</v>
      </c>
      <c r="VL2" s="33" t="s">
        <v>1216</v>
      </c>
      <c r="VM2" s="33" t="s">
        <v>1459</v>
      </c>
      <c r="VN2" s="33" t="s">
        <v>1217</v>
      </c>
      <c r="VO2" s="33" t="s">
        <v>1632</v>
      </c>
      <c r="VP2" s="33" t="s">
        <v>1635</v>
      </c>
      <c r="VQ2" s="33" t="s">
        <v>1640</v>
      </c>
      <c r="VR2" s="33" t="s">
        <v>1223</v>
      </c>
      <c r="VS2" s="33" t="s">
        <v>1219</v>
      </c>
      <c r="VT2" s="33" t="s">
        <v>1220</v>
      </c>
      <c r="VU2" s="33" t="s">
        <v>1221</v>
      </c>
      <c r="VV2" s="33" t="s">
        <v>1216</v>
      </c>
      <c r="VW2" s="33" t="s">
        <v>1459</v>
      </c>
      <c r="VX2" s="33" t="s">
        <v>1217</v>
      </c>
      <c r="VY2" s="33" t="s">
        <v>1632</v>
      </c>
      <c r="VZ2" s="33" t="s">
        <v>1635</v>
      </c>
      <c r="WA2" s="33" t="s">
        <v>1222</v>
      </c>
      <c r="WB2" s="33" t="s">
        <v>1223</v>
      </c>
      <c r="WC2" s="33" t="s">
        <v>1219</v>
      </c>
      <c r="WD2" s="33" t="s">
        <v>1220</v>
      </c>
      <c r="WE2" s="33" t="s">
        <v>1221</v>
      </c>
      <c r="WF2" s="33" t="s">
        <v>1216</v>
      </c>
      <c r="WG2" s="33" t="s">
        <v>1459</v>
      </c>
      <c r="WH2" s="33" t="s">
        <v>1217</v>
      </c>
      <c r="WI2" s="33" t="s">
        <v>1632</v>
      </c>
      <c r="WJ2" s="33" t="s">
        <v>1635</v>
      </c>
      <c r="WK2" s="33" t="s">
        <v>1222</v>
      </c>
      <c r="WL2" s="33" t="s">
        <v>1223</v>
      </c>
      <c r="WM2" s="33" t="s">
        <v>1219</v>
      </c>
      <c r="WN2" s="33" t="s">
        <v>1220</v>
      </c>
      <c r="WO2" s="33" t="s">
        <v>1221</v>
      </c>
      <c r="WP2" s="33" t="s">
        <v>1216</v>
      </c>
      <c r="WQ2" s="33" t="s">
        <v>1459</v>
      </c>
      <c r="WR2" s="33" t="s">
        <v>1217</v>
      </c>
      <c r="WS2" s="33" t="s">
        <v>1632</v>
      </c>
      <c r="WT2" s="33" t="s">
        <v>1635</v>
      </c>
      <c r="WU2" s="33" t="s">
        <v>1640</v>
      </c>
      <c r="WV2" s="33" t="s">
        <v>1223</v>
      </c>
      <c r="WW2" s="33" t="s">
        <v>1219</v>
      </c>
      <c r="WX2" s="33" t="s">
        <v>1220</v>
      </c>
      <c r="WY2" s="33" t="s">
        <v>1221</v>
      </c>
      <c r="WZ2" s="33" t="s">
        <v>1216</v>
      </c>
      <c r="XA2" s="33" t="s">
        <v>1459</v>
      </c>
      <c r="XB2" s="33" t="s">
        <v>1217</v>
      </c>
      <c r="XC2" s="33" t="s">
        <v>1632</v>
      </c>
      <c r="XD2" s="33" t="s">
        <v>1635</v>
      </c>
      <c r="XE2" s="33" t="s">
        <v>1642</v>
      </c>
      <c r="XF2" s="33" t="s">
        <v>1223</v>
      </c>
      <c r="XG2" s="33" t="s">
        <v>1219</v>
      </c>
      <c r="XH2" s="33" t="s">
        <v>1220</v>
      </c>
      <c r="XI2" s="33" t="s">
        <v>1221</v>
      </c>
      <c r="XJ2" s="33" t="s">
        <v>1216</v>
      </c>
      <c r="XK2" s="33" t="s">
        <v>1459</v>
      </c>
      <c r="XL2" s="33" t="s">
        <v>1217</v>
      </c>
      <c r="XM2" s="33" t="s">
        <v>1632</v>
      </c>
      <c r="XN2" s="33" t="s">
        <v>1635</v>
      </c>
      <c r="XO2" s="33" t="s">
        <v>1222</v>
      </c>
      <c r="XP2" s="33" t="s">
        <v>1223</v>
      </c>
      <c r="XQ2" s="33" t="s">
        <v>1219</v>
      </c>
      <c r="XR2" s="33" t="s">
        <v>1220</v>
      </c>
      <c r="XS2" s="33" t="s">
        <v>1221</v>
      </c>
      <c r="XT2" s="33" t="s">
        <v>1216</v>
      </c>
      <c r="XU2" s="33" t="s">
        <v>1459</v>
      </c>
      <c r="XV2" s="33" t="s">
        <v>1217</v>
      </c>
      <c r="XW2" s="33" t="s">
        <v>1632</v>
      </c>
      <c r="XX2" s="33" t="s">
        <v>1635</v>
      </c>
      <c r="XY2" s="33" t="s">
        <v>1633</v>
      </c>
      <c r="XZ2" s="33" t="s">
        <v>1223</v>
      </c>
      <c r="YA2" s="33" t="s">
        <v>1219</v>
      </c>
      <c r="YB2" s="33" t="s">
        <v>1220</v>
      </c>
      <c r="YC2" s="33" t="s">
        <v>1221</v>
      </c>
      <c r="YD2" s="33" t="s">
        <v>1216</v>
      </c>
      <c r="YE2" s="33" t="s">
        <v>1459</v>
      </c>
      <c r="YF2" s="33" t="s">
        <v>1217</v>
      </c>
      <c r="YG2" s="33" t="s">
        <v>1632</v>
      </c>
      <c r="YH2" s="33" t="s">
        <v>1635</v>
      </c>
      <c r="YI2" s="33" t="s">
        <v>1222</v>
      </c>
      <c r="YJ2" s="33" t="s">
        <v>1223</v>
      </c>
      <c r="YK2" s="33" t="s">
        <v>1219</v>
      </c>
      <c r="YL2" s="33" t="s">
        <v>1220</v>
      </c>
      <c r="YM2" s="33" t="s">
        <v>1221</v>
      </c>
      <c r="YN2" s="33" t="s">
        <v>1216</v>
      </c>
      <c r="YO2" s="33" t="s">
        <v>1459</v>
      </c>
      <c r="YP2" s="33" t="s">
        <v>1217</v>
      </c>
      <c r="YQ2" s="33" t="s">
        <v>1632</v>
      </c>
      <c r="YR2" s="33" t="s">
        <v>1635</v>
      </c>
      <c r="YS2" s="33" t="s">
        <v>1222</v>
      </c>
      <c r="YT2" s="33" t="s">
        <v>1223</v>
      </c>
      <c r="YU2" s="33" t="s">
        <v>1219</v>
      </c>
      <c r="YV2" s="33" t="s">
        <v>1220</v>
      </c>
      <c r="YW2" s="33" t="s">
        <v>1221</v>
      </c>
      <c r="YX2" s="33" t="s">
        <v>1216</v>
      </c>
      <c r="YY2" s="33" t="s">
        <v>1459</v>
      </c>
      <c r="YZ2" s="33" t="s">
        <v>1217</v>
      </c>
      <c r="ZA2" s="33" t="s">
        <v>1632</v>
      </c>
      <c r="ZB2" s="33" t="s">
        <v>1635</v>
      </c>
      <c r="ZC2" s="33" t="s">
        <v>1222</v>
      </c>
      <c r="ZD2" s="33" t="s">
        <v>1223</v>
      </c>
      <c r="ZE2" s="33" t="s">
        <v>1219</v>
      </c>
      <c r="ZF2" s="33" t="s">
        <v>1220</v>
      </c>
      <c r="ZG2" s="33" t="s">
        <v>1221</v>
      </c>
      <c r="ZH2" s="33" t="s">
        <v>1716</v>
      </c>
      <c r="ZI2" s="33" t="s">
        <v>1216</v>
      </c>
      <c r="ZJ2" s="33" t="s">
        <v>1459</v>
      </c>
      <c r="ZK2" s="33" t="s">
        <v>1217</v>
      </c>
      <c r="ZL2" s="33" t="s">
        <v>1632</v>
      </c>
      <c r="ZM2" s="33" t="s">
        <v>1635</v>
      </c>
      <c r="ZN2" s="33" t="s">
        <v>1640</v>
      </c>
      <c r="ZO2" s="33" t="s">
        <v>1223</v>
      </c>
      <c r="ZP2" s="33" t="s">
        <v>1219</v>
      </c>
      <c r="ZQ2" s="33" t="s">
        <v>1220</v>
      </c>
      <c r="ZR2" s="33" t="s">
        <v>1221</v>
      </c>
      <c r="ZS2" s="33" t="s">
        <v>1216</v>
      </c>
      <c r="ZT2" s="33" t="s">
        <v>1459</v>
      </c>
      <c r="ZU2" s="33" t="s">
        <v>1217</v>
      </c>
      <c r="ZV2" s="33" t="s">
        <v>1632</v>
      </c>
      <c r="ZW2" s="33" t="s">
        <v>1635</v>
      </c>
      <c r="ZX2" s="33" t="s">
        <v>1640</v>
      </c>
      <c r="ZY2" s="33" t="s">
        <v>1223</v>
      </c>
      <c r="ZZ2" s="33" t="s">
        <v>1219</v>
      </c>
      <c r="AAA2" s="33" t="s">
        <v>1220</v>
      </c>
      <c r="AAB2" s="33" t="s">
        <v>1221</v>
      </c>
      <c r="AAC2" s="33" t="s">
        <v>1216</v>
      </c>
      <c r="AAD2" s="33" t="s">
        <v>1459</v>
      </c>
      <c r="AAE2" s="33" t="s">
        <v>1217</v>
      </c>
      <c r="AAF2" s="33" t="s">
        <v>1632</v>
      </c>
      <c r="AAG2" s="33" t="s">
        <v>1635</v>
      </c>
      <c r="AAH2" s="33" t="s">
        <v>1640</v>
      </c>
      <c r="AAI2" s="33" t="s">
        <v>1223</v>
      </c>
      <c r="AAJ2" s="33" t="s">
        <v>1219</v>
      </c>
      <c r="AAK2" s="33" t="s">
        <v>1220</v>
      </c>
      <c r="AAL2" s="33" t="s">
        <v>1221</v>
      </c>
      <c r="AAM2" s="33" t="s">
        <v>1216</v>
      </c>
      <c r="AAN2" s="33" t="s">
        <v>1459</v>
      </c>
      <c r="AAO2" s="33" t="s">
        <v>1217</v>
      </c>
      <c r="AAP2" s="33" t="s">
        <v>1632</v>
      </c>
      <c r="AAQ2" s="33" t="s">
        <v>1635</v>
      </c>
      <c r="AAR2" s="33" t="s">
        <v>1640</v>
      </c>
      <c r="AAS2" s="33" t="s">
        <v>1223</v>
      </c>
      <c r="AAT2" s="33" t="s">
        <v>1219</v>
      </c>
      <c r="AAU2" s="33" t="s">
        <v>1220</v>
      </c>
      <c r="AAV2" s="33" t="s">
        <v>1221</v>
      </c>
      <c r="AAW2" s="33" t="s">
        <v>1216</v>
      </c>
      <c r="AAX2" s="33" t="s">
        <v>1459</v>
      </c>
      <c r="AAY2" s="33" t="s">
        <v>1217</v>
      </c>
      <c r="AAZ2" s="33" t="s">
        <v>1632</v>
      </c>
      <c r="ABA2" s="33" t="s">
        <v>1635</v>
      </c>
      <c r="ABB2" s="33" t="s">
        <v>1222</v>
      </c>
      <c r="ABC2" s="33" t="s">
        <v>1223</v>
      </c>
      <c r="ABD2" s="33" t="s">
        <v>1219</v>
      </c>
      <c r="ABE2" s="33" t="s">
        <v>1220</v>
      </c>
      <c r="ABF2" s="33" t="s">
        <v>1221</v>
      </c>
      <c r="ABG2" s="33" t="s">
        <v>1216</v>
      </c>
      <c r="ABH2" s="33" t="s">
        <v>1459</v>
      </c>
      <c r="ABI2" s="33" t="s">
        <v>1217</v>
      </c>
      <c r="ABJ2" s="33" t="s">
        <v>1632</v>
      </c>
      <c r="ABK2" s="33" t="s">
        <v>1635</v>
      </c>
      <c r="ABL2" s="33" t="s">
        <v>1599</v>
      </c>
      <c r="ABM2" s="33" t="s">
        <v>1223</v>
      </c>
      <c r="ABN2" s="33" t="s">
        <v>1219</v>
      </c>
      <c r="ABO2" s="33" t="s">
        <v>1220</v>
      </c>
      <c r="ABP2" s="33" t="s">
        <v>1472</v>
      </c>
      <c r="ABQ2" s="33" t="s">
        <v>1221</v>
      </c>
      <c r="ABR2" s="33" t="s">
        <v>1216</v>
      </c>
      <c r="ABS2" s="33" t="s">
        <v>1459</v>
      </c>
      <c r="ABT2" s="33" t="s">
        <v>1217</v>
      </c>
      <c r="ABU2" s="33" t="s">
        <v>1632</v>
      </c>
      <c r="ABV2" s="33" t="s">
        <v>1635</v>
      </c>
      <c r="ABW2" s="33" t="s">
        <v>1640</v>
      </c>
      <c r="ABX2" s="33" t="s">
        <v>1223</v>
      </c>
      <c r="ABY2" s="33" t="s">
        <v>1219</v>
      </c>
      <c r="ABZ2" s="33" t="s">
        <v>1220</v>
      </c>
      <c r="ACA2" s="33" t="s">
        <v>1221</v>
      </c>
      <c r="ACB2" s="33" t="s">
        <v>1216</v>
      </c>
      <c r="ACC2" s="33" t="s">
        <v>1459</v>
      </c>
      <c r="ACD2" s="33" t="s">
        <v>1217</v>
      </c>
      <c r="ACE2" s="33" t="s">
        <v>1632</v>
      </c>
      <c r="ACF2" s="33" t="s">
        <v>1635</v>
      </c>
      <c r="ACG2" s="33" t="s">
        <v>1222</v>
      </c>
      <c r="ACH2" s="33" t="s">
        <v>1223</v>
      </c>
      <c r="ACI2" s="33" t="s">
        <v>1219</v>
      </c>
      <c r="ACJ2" s="33" t="s">
        <v>1220</v>
      </c>
      <c r="ACK2" s="33" t="s">
        <v>1221</v>
      </c>
      <c r="ACL2" s="33" t="s">
        <v>1216</v>
      </c>
      <c r="ACM2" s="33" t="s">
        <v>1459</v>
      </c>
      <c r="ACN2" s="33" t="s">
        <v>1217</v>
      </c>
      <c r="ACO2" s="33" t="s">
        <v>1632</v>
      </c>
      <c r="ACP2" s="33" t="s">
        <v>1635</v>
      </c>
      <c r="ACQ2" s="33" t="s">
        <v>1599</v>
      </c>
      <c r="ACR2" s="33" t="s">
        <v>1223</v>
      </c>
      <c r="ACS2" s="33" t="s">
        <v>1219</v>
      </c>
      <c r="ACT2" s="33" t="s">
        <v>1220</v>
      </c>
      <c r="ACU2" s="33" t="s">
        <v>1472</v>
      </c>
      <c r="ACV2" s="33" t="s">
        <v>1221</v>
      </c>
      <c r="ACW2" s="33" t="s">
        <v>1216</v>
      </c>
      <c r="ACX2" s="33" t="s">
        <v>1459</v>
      </c>
      <c r="ACY2" s="33" t="s">
        <v>1217</v>
      </c>
      <c r="ACZ2" s="33" t="s">
        <v>1632</v>
      </c>
      <c r="ADA2" s="33" t="s">
        <v>1635</v>
      </c>
      <c r="ADB2" s="33" t="s">
        <v>1453</v>
      </c>
      <c r="ADC2" s="33" t="s">
        <v>1222</v>
      </c>
      <c r="ADD2" s="33" t="s">
        <v>1223</v>
      </c>
      <c r="ADE2" s="33" t="s">
        <v>1219</v>
      </c>
      <c r="ADF2" s="33" t="s">
        <v>1220</v>
      </c>
      <c r="ADG2" s="33" t="s">
        <v>1221</v>
      </c>
      <c r="ADH2" s="33" t="s">
        <v>1216</v>
      </c>
      <c r="ADI2" s="33" t="s">
        <v>1459</v>
      </c>
      <c r="ADJ2" s="33" t="s">
        <v>1217</v>
      </c>
      <c r="ADK2" s="33" t="s">
        <v>1632</v>
      </c>
      <c r="ADL2" s="33" t="s">
        <v>1635</v>
      </c>
      <c r="ADM2" s="33" t="s">
        <v>1453</v>
      </c>
      <c r="ADN2" s="33" t="s">
        <v>1222</v>
      </c>
      <c r="ADO2" s="33" t="s">
        <v>1223</v>
      </c>
      <c r="ADP2" s="33" t="s">
        <v>1219</v>
      </c>
      <c r="ADQ2" s="33" t="s">
        <v>1220</v>
      </c>
      <c r="ADR2" s="33" t="s">
        <v>1221</v>
      </c>
      <c r="ADS2" s="33" t="s">
        <v>1216</v>
      </c>
      <c r="ADT2" s="33" t="s">
        <v>1459</v>
      </c>
      <c r="ADU2" s="33" t="s">
        <v>1217</v>
      </c>
      <c r="ADV2" s="33" t="s">
        <v>1632</v>
      </c>
      <c r="ADW2" s="33" t="s">
        <v>1635</v>
      </c>
      <c r="ADX2" s="33" t="s">
        <v>1222</v>
      </c>
      <c r="ADY2" s="33" t="s">
        <v>1223</v>
      </c>
      <c r="ADZ2" s="33" t="s">
        <v>1219</v>
      </c>
      <c r="AEA2" s="33" t="s">
        <v>1220</v>
      </c>
      <c r="AEB2" s="33" t="s">
        <v>1221</v>
      </c>
      <c r="AEC2" s="33" t="s">
        <v>1216</v>
      </c>
      <c r="AED2" s="33" t="s">
        <v>1459</v>
      </c>
      <c r="AEE2" s="33" t="s">
        <v>1217</v>
      </c>
      <c r="AEF2" s="33" t="s">
        <v>1632</v>
      </c>
      <c r="AEG2" s="33" t="s">
        <v>1635</v>
      </c>
      <c r="AEH2" s="33" t="s">
        <v>1473</v>
      </c>
      <c r="AEI2" s="33" t="s">
        <v>1223</v>
      </c>
      <c r="AEJ2" s="33" t="s">
        <v>1219</v>
      </c>
      <c r="AEK2" s="33" t="s">
        <v>1220</v>
      </c>
      <c r="AEL2" s="33" t="s">
        <v>1472</v>
      </c>
      <c r="AEM2" s="33" t="s">
        <v>1221</v>
      </c>
      <c r="AEN2" s="33" t="s">
        <v>1216</v>
      </c>
      <c r="AEO2" s="33" t="s">
        <v>1459</v>
      </c>
      <c r="AEP2" s="33" t="s">
        <v>1217</v>
      </c>
      <c r="AEQ2" s="33" t="s">
        <v>1632</v>
      </c>
      <c r="AER2" s="33" t="s">
        <v>1635</v>
      </c>
      <c r="AES2" s="33" t="s">
        <v>1222</v>
      </c>
      <c r="AET2" s="33" t="s">
        <v>1223</v>
      </c>
      <c r="AEU2" s="33" t="s">
        <v>1219</v>
      </c>
      <c r="AEV2" s="33" t="s">
        <v>1220</v>
      </c>
      <c r="AEW2" s="33" t="s">
        <v>1221</v>
      </c>
      <c r="AEX2" s="33" t="s">
        <v>1216</v>
      </c>
      <c r="AEY2" s="33" t="s">
        <v>1459</v>
      </c>
      <c r="AEZ2" s="33" t="s">
        <v>1217</v>
      </c>
      <c r="AFA2" s="33" t="s">
        <v>1632</v>
      </c>
      <c r="AFB2" s="33" t="s">
        <v>1635</v>
      </c>
      <c r="AFC2" s="33" t="s">
        <v>1652</v>
      </c>
      <c r="AFD2" s="33" t="s">
        <v>1474</v>
      </c>
      <c r="AFE2" s="33" t="s">
        <v>1219</v>
      </c>
      <c r="AFF2" s="33" t="s">
        <v>1220</v>
      </c>
      <c r="AFG2" s="33" t="s">
        <v>1221</v>
      </c>
      <c r="AFH2" s="33" t="s">
        <v>1216</v>
      </c>
      <c r="AFI2" s="33" t="s">
        <v>1459</v>
      </c>
      <c r="AFJ2" s="33" t="s">
        <v>1217</v>
      </c>
      <c r="AFK2" s="33" t="s">
        <v>1632</v>
      </c>
      <c r="AFL2" s="33" t="s">
        <v>1635</v>
      </c>
      <c r="AFM2" s="33" t="s">
        <v>1552</v>
      </c>
      <c r="AFN2" s="33" t="s">
        <v>1223</v>
      </c>
      <c r="AFO2" s="33" t="s">
        <v>1219</v>
      </c>
      <c r="AFP2" s="33" t="s">
        <v>1220</v>
      </c>
      <c r="AFQ2" s="33" t="s">
        <v>1221</v>
      </c>
      <c r="AFR2" s="33" t="s">
        <v>1216</v>
      </c>
      <c r="AFS2" s="33" t="s">
        <v>1459</v>
      </c>
      <c r="AFT2" s="33" t="s">
        <v>1217</v>
      </c>
      <c r="AFU2" s="33" t="s">
        <v>1632</v>
      </c>
      <c r="AFV2" s="33" t="s">
        <v>1635</v>
      </c>
      <c r="AFW2" s="33" t="s">
        <v>1556</v>
      </c>
      <c r="AFX2" s="33" t="s">
        <v>1223</v>
      </c>
      <c r="AFY2" s="33" t="s">
        <v>1219</v>
      </c>
      <c r="AFZ2" s="33" t="s">
        <v>1220</v>
      </c>
      <c r="AGA2" s="33" t="s">
        <v>1221</v>
      </c>
      <c r="AGB2" s="33" t="s">
        <v>1216</v>
      </c>
      <c r="AGC2" s="33" t="s">
        <v>1459</v>
      </c>
      <c r="AGD2" s="33" t="s">
        <v>1217</v>
      </c>
      <c r="AGE2" s="33" t="s">
        <v>1632</v>
      </c>
      <c r="AGF2" s="33" t="s">
        <v>1635</v>
      </c>
      <c r="AGG2" s="33" t="s">
        <v>1556</v>
      </c>
      <c r="AGH2" s="33" t="s">
        <v>1223</v>
      </c>
      <c r="AGI2" s="33" t="s">
        <v>1219</v>
      </c>
      <c r="AGJ2" s="33" t="s">
        <v>1220</v>
      </c>
      <c r="AGK2" s="33" t="s">
        <v>1221</v>
      </c>
      <c r="AGL2" s="33" t="s">
        <v>1216</v>
      </c>
      <c r="AGM2" s="33" t="s">
        <v>1459</v>
      </c>
      <c r="AGN2" s="33" t="s">
        <v>1217</v>
      </c>
      <c r="AGO2" s="33" t="s">
        <v>1632</v>
      </c>
      <c r="AGP2" s="33" t="s">
        <v>1635</v>
      </c>
      <c r="AGQ2" s="33" t="s">
        <v>1640</v>
      </c>
      <c r="AGR2" s="33" t="s">
        <v>1223</v>
      </c>
      <c r="AGS2" s="33" t="s">
        <v>1219</v>
      </c>
      <c r="AGT2" s="33" t="s">
        <v>1220</v>
      </c>
      <c r="AGU2" s="33" t="s">
        <v>1221</v>
      </c>
      <c r="AGV2" s="33" t="s">
        <v>1216</v>
      </c>
      <c r="AGW2" s="33" t="s">
        <v>1459</v>
      </c>
      <c r="AGX2" s="33" t="s">
        <v>1217</v>
      </c>
      <c r="AGY2" s="33" t="s">
        <v>1632</v>
      </c>
      <c r="AGZ2" s="33" t="s">
        <v>1635</v>
      </c>
      <c r="AHA2" s="33" t="s">
        <v>1640</v>
      </c>
      <c r="AHB2" s="33" t="s">
        <v>1223</v>
      </c>
      <c r="AHC2" s="33" t="s">
        <v>1219</v>
      </c>
      <c r="AHD2" s="33" t="s">
        <v>1220</v>
      </c>
      <c r="AHE2" s="33" t="s">
        <v>1221</v>
      </c>
      <c r="AHF2" s="33" t="s">
        <v>1216</v>
      </c>
      <c r="AHG2" s="33" t="s">
        <v>1459</v>
      </c>
      <c r="AHH2" s="33" t="s">
        <v>1217</v>
      </c>
      <c r="AHI2" s="33" t="s">
        <v>1632</v>
      </c>
      <c r="AHJ2" s="33" t="s">
        <v>1635</v>
      </c>
      <c r="AHK2" s="33" t="s">
        <v>1640</v>
      </c>
      <c r="AHL2" s="33" t="s">
        <v>1223</v>
      </c>
      <c r="AHM2" s="33" t="s">
        <v>1219</v>
      </c>
      <c r="AHN2" s="33" t="s">
        <v>1220</v>
      </c>
      <c r="AHO2" s="33" t="s">
        <v>1221</v>
      </c>
      <c r="AHP2" s="33" t="s">
        <v>1216</v>
      </c>
      <c r="AHQ2" s="33" t="s">
        <v>1459</v>
      </c>
      <c r="AHR2" s="33" t="s">
        <v>1217</v>
      </c>
      <c r="AHS2" s="33" t="s">
        <v>1632</v>
      </c>
      <c r="AHT2" s="33" t="s">
        <v>1635</v>
      </c>
      <c r="AHU2" s="33" t="s">
        <v>1640</v>
      </c>
      <c r="AHV2" s="33" t="s">
        <v>1223</v>
      </c>
      <c r="AHW2" s="33" t="s">
        <v>1219</v>
      </c>
      <c r="AHX2" s="33" t="s">
        <v>1220</v>
      </c>
      <c r="AHY2" s="33" t="s">
        <v>1221</v>
      </c>
      <c r="AHZ2" s="33" t="s">
        <v>1216</v>
      </c>
      <c r="AIA2" s="33" t="s">
        <v>1459</v>
      </c>
      <c r="AIB2" s="33" t="s">
        <v>1217</v>
      </c>
      <c r="AIC2" s="33" t="s">
        <v>1632</v>
      </c>
      <c r="AID2" s="33" t="s">
        <v>1635</v>
      </c>
      <c r="AIE2" s="33" t="s">
        <v>1653</v>
      </c>
      <c r="AIF2" s="33" t="s">
        <v>1223</v>
      </c>
      <c r="AIG2" s="33" t="s">
        <v>1219</v>
      </c>
      <c r="AIH2" s="33" t="s">
        <v>1220</v>
      </c>
      <c r="AII2" s="33" t="s">
        <v>1221</v>
      </c>
      <c r="AIJ2" s="33" t="s">
        <v>1216</v>
      </c>
      <c r="AIK2" s="33" t="s">
        <v>1459</v>
      </c>
      <c r="AIL2" s="33" t="s">
        <v>1217</v>
      </c>
      <c r="AIM2" s="33" t="s">
        <v>1632</v>
      </c>
      <c r="AIN2" s="33" t="s">
        <v>1635</v>
      </c>
      <c r="AIO2" s="33" t="s">
        <v>1222</v>
      </c>
      <c r="AIP2" s="33" t="s">
        <v>1223</v>
      </c>
      <c r="AIQ2" s="33" t="s">
        <v>1219</v>
      </c>
      <c r="AIR2" s="33" t="s">
        <v>1220</v>
      </c>
      <c r="AIS2" s="33" t="s">
        <v>1221</v>
      </c>
      <c r="AIT2" s="33" t="s">
        <v>1216</v>
      </c>
      <c r="AIU2" s="33" t="s">
        <v>1459</v>
      </c>
      <c r="AIV2" s="33" t="s">
        <v>1217</v>
      </c>
      <c r="AIW2" s="33" t="s">
        <v>1632</v>
      </c>
      <c r="AIX2" s="33" t="s">
        <v>1635</v>
      </c>
      <c r="AIY2" s="33" t="s">
        <v>1640</v>
      </c>
      <c r="AIZ2" s="33" t="s">
        <v>1223</v>
      </c>
      <c r="AJA2" s="33" t="s">
        <v>1219</v>
      </c>
      <c r="AJB2" s="33" t="s">
        <v>1220</v>
      </c>
      <c r="AJC2" s="33" t="s">
        <v>1221</v>
      </c>
      <c r="AJD2" s="33" t="s">
        <v>1216</v>
      </c>
      <c r="AJE2" s="33" t="s">
        <v>1459</v>
      </c>
      <c r="AJF2" s="33" t="s">
        <v>1217</v>
      </c>
      <c r="AJG2" s="33" t="s">
        <v>1632</v>
      </c>
      <c r="AJH2" s="33" t="s">
        <v>1635</v>
      </c>
      <c r="AJI2" s="33" t="s">
        <v>1222</v>
      </c>
      <c r="AJJ2" s="33" t="s">
        <v>1223</v>
      </c>
      <c r="AJK2" s="33" t="s">
        <v>1219</v>
      </c>
      <c r="AJL2" s="33" t="s">
        <v>1220</v>
      </c>
      <c r="AJM2" s="33" t="s">
        <v>1221</v>
      </c>
      <c r="AJN2" s="33" t="s">
        <v>1216</v>
      </c>
      <c r="AJO2" s="33" t="s">
        <v>1459</v>
      </c>
      <c r="AJP2" s="33" t="s">
        <v>1217</v>
      </c>
      <c r="AJQ2" s="33" t="s">
        <v>1632</v>
      </c>
      <c r="AJR2" s="33" t="s">
        <v>1635</v>
      </c>
      <c r="AJS2" s="33" t="s">
        <v>1222</v>
      </c>
      <c r="AJT2" s="33" t="s">
        <v>1223</v>
      </c>
      <c r="AJU2" s="33" t="s">
        <v>1219</v>
      </c>
      <c r="AJV2" s="33" t="s">
        <v>1220</v>
      </c>
      <c r="AJW2" s="33" t="s">
        <v>1221</v>
      </c>
      <c r="AJX2" s="33" t="s">
        <v>1216</v>
      </c>
      <c r="AJY2" s="33" t="s">
        <v>1459</v>
      </c>
      <c r="AJZ2" s="33" t="s">
        <v>1217</v>
      </c>
      <c r="AKA2" s="33" t="s">
        <v>1632</v>
      </c>
      <c r="AKB2" s="33" t="s">
        <v>1635</v>
      </c>
      <c r="AKC2" s="33" t="s">
        <v>1222</v>
      </c>
      <c r="AKD2" s="33" t="s">
        <v>1223</v>
      </c>
      <c r="AKE2" s="33" t="s">
        <v>1219</v>
      </c>
      <c r="AKF2" s="33" t="s">
        <v>1220</v>
      </c>
      <c r="AKG2" s="33" t="s">
        <v>1221</v>
      </c>
      <c r="AKH2" s="33" t="s">
        <v>1216</v>
      </c>
      <c r="AKI2" s="33" t="s">
        <v>1459</v>
      </c>
      <c r="AKJ2" s="33" t="s">
        <v>1217</v>
      </c>
      <c r="AKK2" s="33" t="s">
        <v>1632</v>
      </c>
      <c r="AKL2" s="33" t="s">
        <v>1635</v>
      </c>
      <c r="AKM2" s="33" t="s">
        <v>1579</v>
      </c>
      <c r="AKN2" s="33" t="s">
        <v>1223</v>
      </c>
      <c r="AKO2" s="33" t="s">
        <v>1219</v>
      </c>
      <c r="AKP2" s="33" t="s">
        <v>1220</v>
      </c>
      <c r="AKQ2" s="33" t="s">
        <v>1221</v>
      </c>
      <c r="AKR2" s="33" t="s">
        <v>1216</v>
      </c>
      <c r="AKS2" s="33" t="s">
        <v>1459</v>
      </c>
      <c r="AKT2" s="33" t="s">
        <v>1217</v>
      </c>
      <c r="AKU2" s="33" t="s">
        <v>1632</v>
      </c>
      <c r="AKV2" s="33" t="s">
        <v>1635</v>
      </c>
      <c r="AKW2" s="33" t="s">
        <v>1446</v>
      </c>
      <c r="AKX2" s="33" t="s">
        <v>1222</v>
      </c>
      <c r="AKY2" s="33" t="s">
        <v>1223</v>
      </c>
      <c r="AKZ2" s="33" t="s">
        <v>1219</v>
      </c>
      <c r="ALA2" s="33" t="s">
        <v>1220</v>
      </c>
      <c r="ALB2" s="33" t="s">
        <v>1221</v>
      </c>
      <c r="ALC2" s="33" t="s">
        <v>1216</v>
      </c>
      <c r="ALD2" s="33" t="s">
        <v>1459</v>
      </c>
      <c r="ALE2" s="33" t="s">
        <v>1217</v>
      </c>
      <c r="ALF2" s="33" t="s">
        <v>1632</v>
      </c>
      <c r="ALG2" s="33" t="s">
        <v>1635</v>
      </c>
      <c r="ALH2" s="33" t="s">
        <v>1657</v>
      </c>
      <c r="ALI2" s="33" t="s">
        <v>1474</v>
      </c>
      <c r="ALJ2" s="33" t="s">
        <v>1219</v>
      </c>
      <c r="ALK2" s="33" t="s">
        <v>1220</v>
      </c>
      <c r="ALL2" s="33" t="s">
        <v>1221</v>
      </c>
      <c r="ALM2" s="33" t="s">
        <v>1216</v>
      </c>
      <c r="ALN2" s="33" t="s">
        <v>1459</v>
      </c>
      <c r="ALO2" s="33" t="s">
        <v>1217</v>
      </c>
      <c r="ALP2" s="33" t="s">
        <v>1632</v>
      </c>
      <c r="ALQ2" s="33" t="s">
        <v>1635</v>
      </c>
      <c r="ALR2" s="33" t="s">
        <v>1552</v>
      </c>
      <c r="ALS2" s="33" t="s">
        <v>1474</v>
      </c>
      <c r="ALT2" s="33" t="s">
        <v>1219</v>
      </c>
      <c r="ALU2" s="33" t="s">
        <v>1220</v>
      </c>
      <c r="ALV2" s="33" t="s">
        <v>1221</v>
      </c>
      <c r="ALW2" s="33" t="s">
        <v>1216</v>
      </c>
      <c r="ALX2" s="33" t="s">
        <v>1459</v>
      </c>
      <c r="ALY2" s="33" t="s">
        <v>1217</v>
      </c>
      <c r="ALZ2" s="33" t="s">
        <v>1632</v>
      </c>
      <c r="AMA2" s="33" t="s">
        <v>1635</v>
      </c>
      <c r="AMB2" s="33" t="s">
        <v>1672</v>
      </c>
      <c r="AMC2" s="33" t="s">
        <v>1223</v>
      </c>
      <c r="AMD2" s="33" t="s">
        <v>1219</v>
      </c>
      <c r="AME2" s="33" t="s">
        <v>1220</v>
      </c>
      <c r="AMF2" s="33" t="s">
        <v>1221</v>
      </c>
      <c r="AMG2" s="33" t="s">
        <v>1216</v>
      </c>
      <c r="AMH2" s="33" t="s">
        <v>1459</v>
      </c>
      <c r="AMI2" s="33" t="s">
        <v>1217</v>
      </c>
      <c r="AMJ2" s="33" t="s">
        <v>1632</v>
      </c>
      <c r="AMK2" s="33" t="s">
        <v>1635</v>
      </c>
      <c r="AML2" s="33" t="s">
        <v>1446</v>
      </c>
      <c r="AMM2" s="33" t="s">
        <v>1222</v>
      </c>
      <c r="AMN2" s="33" t="s">
        <v>1223</v>
      </c>
      <c r="AMO2" s="33" t="s">
        <v>1219</v>
      </c>
      <c r="AMP2" s="33" t="s">
        <v>1220</v>
      </c>
      <c r="AMQ2" s="33" t="s">
        <v>1221</v>
      </c>
      <c r="AMR2" s="33" t="s">
        <v>1216</v>
      </c>
      <c r="AMS2" s="33" t="s">
        <v>1459</v>
      </c>
      <c r="AMT2" s="33" t="s">
        <v>1217</v>
      </c>
      <c r="AMU2" s="33" t="s">
        <v>1632</v>
      </c>
      <c r="AMV2" s="33" t="s">
        <v>1635</v>
      </c>
      <c r="AMW2" s="33" t="s">
        <v>1557</v>
      </c>
      <c r="AMX2" s="33" t="s">
        <v>1223</v>
      </c>
      <c r="AMY2" s="33" t="s">
        <v>1219</v>
      </c>
      <c r="AMZ2" s="33" t="s">
        <v>1220</v>
      </c>
      <c r="ANA2" s="33" t="s">
        <v>1221</v>
      </c>
      <c r="ANB2" s="33" t="s">
        <v>1216</v>
      </c>
      <c r="ANC2" s="33" t="s">
        <v>1459</v>
      </c>
      <c r="AND2" s="33" t="s">
        <v>1217</v>
      </c>
      <c r="ANE2" s="33" t="s">
        <v>1632</v>
      </c>
      <c r="ANF2" s="33" t="s">
        <v>1635</v>
      </c>
      <c r="ANG2" s="33" t="s">
        <v>1642</v>
      </c>
      <c r="ANH2" s="33" t="s">
        <v>1223</v>
      </c>
      <c r="ANI2" s="33" t="s">
        <v>1219</v>
      </c>
      <c r="ANJ2" s="33" t="s">
        <v>1220</v>
      </c>
      <c r="ANK2" s="33" t="s">
        <v>1221</v>
      </c>
      <c r="ANL2" s="33" t="s">
        <v>1216</v>
      </c>
      <c r="ANM2" s="33" t="s">
        <v>1459</v>
      </c>
      <c r="ANN2" s="33" t="s">
        <v>1217</v>
      </c>
      <c r="ANO2" s="33" t="s">
        <v>1632</v>
      </c>
      <c r="ANP2" s="33" t="s">
        <v>1635</v>
      </c>
      <c r="ANQ2" s="33" t="s">
        <v>1222</v>
      </c>
      <c r="ANR2" s="33" t="s">
        <v>1223</v>
      </c>
      <c r="ANS2" s="33" t="s">
        <v>1219</v>
      </c>
      <c r="ANT2" s="33" t="s">
        <v>1220</v>
      </c>
      <c r="ANU2" s="33" t="s">
        <v>1221</v>
      </c>
      <c r="ANV2" s="33" t="s">
        <v>1216</v>
      </c>
      <c r="ANW2" s="33" t="s">
        <v>1459</v>
      </c>
      <c r="ANX2" s="33" t="s">
        <v>1217</v>
      </c>
      <c r="ANY2" s="33" t="s">
        <v>1632</v>
      </c>
      <c r="ANZ2" s="33" t="s">
        <v>1635</v>
      </c>
      <c r="AOA2" s="33" t="s">
        <v>1602</v>
      </c>
      <c r="AOB2" s="33" t="s">
        <v>1223</v>
      </c>
      <c r="AOC2" s="33" t="s">
        <v>1219</v>
      </c>
      <c r="AOD2" s="33" t="s">
        <v>1220</v>
      </c>
      <c r="AOE2" s="33" t="s">
        <v>1221</v>
      </c>
      <c r="AOF2" s="33" t="s">
        <v>1216</v>
      </c>
      <c r="AOG2" s="33" t="s">
        <v>1459</v>
      </c>
      <c r="AOH2" s="33" t="s">
        <v>1217</v>
      </c>
      <c r="AOI2" s="33" t="s">
        <v>1632</v>
      </c>
      <c r="AOJ2" s="33" t="s">
        <v>1635</v>
      </c>
      <c r="AOK2" s="33" t="s">
        <v>1602</v>
      </c>
      <c r="AOL2" s="33" t="s">
        <v>1223</v>
      </c>
      <c r="AOM2" s="33" t="s">
        <v>1219</v>
      </c>
      <c r="AON2" s="33" t="s">
        <v>1220</v>
      </c>
      <c r="AOO2" s="33" t="s">
        <v>1221</v>
      </c>
      <c r="AOP2" s="33" t="s">
        <v>1216</v>
      </c>
      <c r="AOQ2" s="33" t="s">
        <v>1459</v>
      </c>
      <c r="AOR2" s="33" t="s">
        <v>1217</v>
      </c>
      <c r="AOS2" s="33" t="s">
        <v>1632</v>
      </c>
      <c r="AOT2" s="33" t="s">
        <v>1635</v>
      </c>
      <c r="AOU2" s="33" t="s">
        <v>1446</v>
      </c>
      <c r="AOV2" s="33" t="s">
        <v>1222</v>
      </c>
      <c r="AOW2" s="33" t="s">
        <v>1223</v>
      </c>
      <c r="AOX2" s="33" t="s">
        <v>1219</v>
      </c>
      <c r="AOY2" s="33" t="s">
        <v>1220</v>
      </c>
      <c r="AOZ2" s="33" t="s">
        <v>1221</v>
      </c>
      <c r="APA2" s="33" t="s">
        <v>1216</v>
      </c>
      <c r="APB2" s="33" t="s">
        <v>1459</v>
      </c>
      <c r="APC2" s="33" t="s">
        <v>1217</v>
      </c>
      <c r="APD2" s="33" t="s">
        <v>1632</v>
      </c>
      <c r="APE2" s="33" t="s">
        <v>1635</v>
      </c>
      <c r="APF2" s="33" t="s">
        <v>1222</v>
      </c>
      <c r="APG2" s="33" t="s">
        <v>1223</v>
      </c>
      <c r="APH2" s="33" t="s">
        <v>1219</v>
      </c>
      <c r="API2" s="33" t="s">
        <v>1220</v>
      </c>
      <c r="APJ2" s="33" t="s">
        <v>1221</v>
      </c>
      <c r="APK2" s="33" t="s">
        <v>1216</v>
      </c>
      <c r="APL2" s="33" t="s">
        <v>1459</v>
      </c>
      <c r="APM2" s="33" t="s">
        <v>1217</v>
      </c>
      <c r="APN2" s="33" t="s">
        <v>1632</v>
      </c>
      <c r="APO2" s="33" t="s">
        <v>1635</v>
      </c>
      <c r="APP2" s="33" t="s">
        <v>1222</v>
      </c>
      <c r="APQ2" s="33" t="s">
        <v>1223</v>
      </c>
      <c r="APR2" s="33" t="s">
        <v>1219</v>
      </c>
      <c r="APS2" s="33" t="s">
        <v>1220</v>
      </c>
      <c r="APT2" s="33" t="s">
        <v>1221</v>
      </c>
      <c r="APU2" s="33" t="s">
        <v>1216</v>
      </c>
      <c r="APV2" s="33" t="s">
        <v>1459</v>
      </c>
      <c r="APW2" s="33" t="s">
        <v>1217</v>
      </c>
      <c r="APX2" s="33" t="s">
        <v>1632</v>
      </c>
      <c r="APY2" s="33" t="s">
        <v>1635</v>
      </c>
      <c r="APZ2" s="33" t="s">
        <v>1650</v>
      </c>
      <c r="AQA2" s="33" t="s">
        <v>1223</v>
      </c>
      <c r="AQB2" s="33" t="s">
        <v>1219</v>
      </c>
      <c r="AQC2" s="33" t="s">
        <v>1220</v>
      </c>
      <c r="AQD2" s="33" t="s">
        <v>1221</v>
      </c>
      <c r="AQE2" s="33" t="s">
        <v>1216</v>
      </c>
      <c r="AQF2" s="33" t="s">
        <v>1459</v>
      </c>
      <c r="AQG2" s="33" t="s">
        <v>1217</v>
      </c>
      <c r="AQH2" s="33" t="s">
        <v>1632</v>
      </c>
      <c r="AQI2" s="33" t="s">
        <v>1635</v>
      </c>
      <c r="AQJ2" s="33" t="s">
        <v>1222</v>
      </c>
      <c r="AQK2" s="33" t="s">
        <v>1223</v>
      </c>
      <c r="AQL2" s="33" t="s">
        <v>1219</v>
      </c>
      <c r="AQM2" s="33" t="s">
        <v>1220</v>
      </c>
      <c r="AQN2" s="33" t="s">
        <v>1221</v>
      </c>
      <c r="AQO2" s="33" t="s">
        <v>1216</v>
      </c>
      <c r="AQP2" s="33" t="s">
        <v>1459</v>
      </c>
      <c r="AQQ2" s="33" t="s">
        <v>1217</v>
      </c>
      <c r="AQR2" s="33" t="s">
        <v>1632</v>
      </c>
      <c r="AQS2" s="33" t="s">
        <v>1635</v>
      </c>
      <c r="AQT2" s="33" t="s">
        <v>1222</v>
      </c>
      <c r="AQU2" s="33" t="s">
        <v>1223</v>
      </c>
      <c r="AQV2" s="33" t="s">
        <v>1219</v>
      </c>
      <c r="AQW2" s="33" t="s">
        <v>1220</v>
      </c>
      <c r="AQX2" s="33" t="s">
        <v>1221</v>
      </c>
      <c r="AQY2" s="33" t="s">
        <v>1216</v>
      </c>
      <c r="AQZ2" s="33" t="s">
        <v>1459</v>
      </c>
      <c r="ARA2" s="33" t="s">
        <v>1217</v>
      </c>
      <c r="ARB2" s="33" t="s">
        <v>1632</v>
      </c>
      <c r="ARC2" s="33" t="s">
        <v>1635</v>
      </c>
      <c r="ARD2" s="33" t="s">
        <v>1694</v>
      </c>
      <c r="ARE2" s="33" t="s">
        <v>1223</v>
      </c>
      <c r="ARF2" s="33" t="s">
        <v>1219</v>
      </c>
      <c r="ARG2" s="33" t="s">
        <v>1220</v>
      </c>
      <c r="ARH2" s="33" t="s">
        <v>1221</v>
      </c>
      <c r="ARI2" s="33" t="s">
        <v>1216</v>
      </c>
      <c r="ARJ2" s="33" t="s">
        <v>1459</v>
      </c>
      <c r="ARK2" s="33" t="s">
        <v>1217</v>
      </c>
      <c r="ARL2" s="33" t="s">
        <v>1632</v>
      </c>
      <c r="ARM2" s="33" t="s">
        <v>1635</v>
      </c>
      <c r="ARN2" s="33" t="s">
        <v>1222</v>
      </c>
      <c r="ARO2" s="33" t="s">
        <v>1223</v>
      </c>
      <c r="ARP2" s="33" t="s">
        <v>1219</v>
      </c>
      <c r="ARQ2" s="33" t="s">
        <v>1220</v>
      </c>
      <c r="ARR2" s="33" t="s">
        <v>1221</v>
      </c>
      <c r="ARS2" s="33" t="s">
        <v>1216</v>
      </c>
      <c r="ART2" s="33" t="s">
        <v>1459</v>
      </c>
      <c r="ARU2" s="33" t="s">
        <v>1217</v>
      </c>
      <c r="ARV2" s="33" t="s">
        <v>1632</v>
      </c>
      <c r="ARW2" s="33" t="s">
        <v>1635</v>
      </c>
      <c r="ARX2" s="33" t="s">
        <v>1692</v>
      </c>
      <c r="ARY2" s="33" t="s">
        <v>1223</v>
      </c>
      <c r="ARZ2" s="33" t="s">
        <v>1219</v>
      </c>
      <c r="ASA2" s="33" t="s">
        <v>1220</v>
      </c>
      <c r="ASB2" s="33" t="s">
        <v>1221</v>
      </c>
      <c r="ASC2" s="33" t="s">
        <v>1216</v>
      </c>
      <c r="ASD2" s="33" t="s">
        <v>1459</v>
      </c>
      <c r="ASE2" s="33" t="s">
        <v>1217</v>
      </c>
      <c r="ASF2" s="33" t="s">
        <v>1632</v>
      </c>
      <c r="ASG2" s="33" t="s">
        <v>1635</v>
      </c>
      <c r="ASH2" s="33" t="s">
        <v>1640</v>
      </c>
      <c r="ASI2" s="33" t="s">
        <v>1223</v>
      </c>
      <c r="ASJ2" s="33" t="s">
        <v>1219</v>
      </c>
      <c r="ASK2" s="33" t="s">
        <v>1220</v>
      </c>
      <c r="ASL2" s="33" t="s">
        <v>1221</v>
      </c>
      <c r="ASM2" s="33" t="s">
        <v>1216</v>
      </c>
      <c r="ASN2" s="33" t="s">
        <v>1459</v>
      </c>
      <c r="ASO2" s="33" t="s">
        <v>1217</v>
      </c>
      <c r="ASP2" s="33" t="s">
        <v>1632</v>
      </c>
      <c r="ASQ2" s="33" t="s">
        <v>1635</v>
      </c>
      <c r="ASR2" s="33" t="s">
        <v>1672</v>
      </c>
      <c r="ASS2" s="33" t="s">
        <v>1223</v>
      </c>
      <c r="AST2" s="33" t="s">
        <v>1219</v>
      </c>
      <c r="ASU2" s="33" t="s">
        <v>1220</v>
      </c>
      <c r="ASV2" s="33" t="s">
        <v>1221</v>
      </c>
      <c r="ASW2" s="33" t="s">
        <v>1216</v>
      </c>
      <c r="ASX2" s="33" t="s">
        <v>1459</v>
      </c>
      <c r="ASY2" s="33" t="s">
        <v>1217</v>
      </c>
      <c r="ASZ2" s="33" t="s">
        <v>1632</v>
      </c>
      <c r="ATA2" s="33" t="s">
        <v>1635</v>
      </c>
      <c r="ATB2" s="33" t="s">
        <v>1640</v>
      </c>
      <c r="ATC2" s="33" t="s">
        <v>1223</v>
      </c>
      <c r="ATD2" s="33" t="s">
        <v>1219</v>
      </c>
      <c r="ATE2" s="33" t="s">
        <v>1220</v>
      </c>
      <c r="ATF2" s="33" t="s">
        <v>1221</v>
      </c>
      <c r="ATG2" s="33" t="s">
        <v>1216</v>
      </c>
      <c r="ATH2" s="33" t="s">
        <v>1459</v>
      </c>
      <c r="ATI2" s="33" t="s">
        <v>1217</v>
      </c>
      <c r="ATJ2" s="33" t="s">
        <v>1632</v>
      </c>
      <c r="ATK2" s="33" t="s">
        <v>1635</v>
      </c>
      <c r="ATL2" s="33" t="s">
        <v>1640</v>
      </c>
      <c r="ATM2" s="33" t="s">
        <v>1223</v>
      </c>
      <c r="ATN2" s="33" t="s">
        <v>1219</v>
      </c>
      <c r="ATO2" s="33" t="s">
        <v>1220</v>
      </c>
      <c r="ATP2" s="33" t="s">
        <v>1221</v>
      </c>
      <c r="ATQ2" s="33" t="s">
        <v>1216</v>
      </c>
      <c r="ATR2" s="33" t="s">
        <v>1459</v>
      </c>
      <c r="ATS2" s="33" t="s">
        <v>1217</v>
      </c>
      <c r="ATT2" s="33" t="s">
        <v>1632</v>
      </c>
      <c r="ATU2" s="33" t="s">
        <v>1635</v>
      </c>
      <c r="ATV2" s="33" t="s">
        <v>1222</v>
      </c>
      <c r="ATW2" s="33" t="s">
        <v>1223</v>
      </c>
      <c r="ATX2" s="33" t="s">
        <v>1219</v>
      </c>
      <c r="ATY2" s="33" t="s">
        <v>1220</v>
      </c>
      <c r="ATZ2" s="33" t="s">
        <v>1221</v>
      </c>
      <c r="AUA2" s="33" t="s">
        <v>1216</v>
      </c>
      <c r="AUB2" s="33" t="s">
        <v>1459</v>
      </c>
      <c r="AUC2" s="33" t="s">
        <v>1217</v>
      </c>
      <c r="AUD2" s="33" t="s">
        <v>1632</v>
      </c>
      <c r="AUE2" s="33" t="s">
        <v>1635</v>
      </c>
      <c r="AUF2" s="33" t="s">
        <v>1222</v>
      </c>
      <c r="AUG2" s="33" t="s">
        <v>1223</v>
      </c>
      <c r="AUH2" s="33" t="s">
        <v>1219</v>
      </c>
      <c r="AUI2" s="33" t="s">
        <v>1220</v>
      </c>
      <c r="AUJ2" s="33" t="s">
        <v>1221</v>
      </c>
      <c r="AUK2" s="33" t="s">
        <v>1216</v>
      </c>
      <c r="AUL2" s="33" t="s">
        <v>1459</v>
      </c>
      <c r="AUM2" s="33" t="s">
        <v>1217</v>
      </c>
      <c r="AUN2" s="33" t="s">
        <v>1632</v>
      </c>
      <c r="AUO2" s="33" t="s">
        <v>1635</v>
      </c>
      <c r="AUP2" s="33" t="s">
        <v>1222</v>
      </c>
      <c r="AUQ2" s="33" t="s">
        <v>1223</v>
      </c>
      <c r="AUR2" s="33" t="s">
        <v>1219</v>
      </c>
      <c r="AUS2" s="33" t="s">
        <v>1220</v>
      </c>
      <c r="AUT2" s="33" t="s">
        <v>1221</v>
      </c>
      <c r="AUU2" s="33" t="s">
        <v>1216</v>
      </c>
      <c r="AUV2" s="33" t="s">
        <v>1459</v>
      </c>
      <c r="AUW2" s="33" t="s">
        <v>1217</v>
      </c>
      <c r="AUX2" s="33" t="s">
        <v>1632</v>
      </c>
      <c r="AUY2" s="33" t="s">
        <v>1635</v>
      </c>
      <c r="AUZ2" s="33" t="s">
        <v>1222</v>
      </c>
      <c r="AVA2" s="33" t="s">
        <v>1223</v>
      </c>
      <c r="AVB2" s="33" t="s">
        <v>1219</v>
      </c>
      <c r="AVC2" s="33" t="s">
        <v>1220</v>
      </c>
      <c r="AVD2" s="33" t="s">
        <v>1221</v>
      </c>
      <c r="AVE2" s="33" t="s">
        <v>1216</v>
      </c>
      <c r="AVF2" s="33" t="s">
        <v>1459</v>
      </c>
      <c r="AVG2" s="33" t="s">
        <v>1217</v>
      </c>
      <c r="AVH2" s="33" t="s">
        <v>1632</v>
      </c>
      <c r="AVI2" s="33" t="s">
        <v>1635</v>
      </c>
      <c r="AVJ2" s="33" t="s">
        <v>1222</v>
      </c>
      <c r="AVK2" s="33" t="s">
        <v>1223</v>
      </c>
      <c r="AVL2" s="33" t="s">
        <v>1219</v>
      </c>
      <c r="AVM2" s="33" t="s">
        <v>1220</v>
      </c>
      <c r="AVN2" s="33" t="s">
        <v>1221</v>
      </c>
      <c r="AVO2" s="33" t="s">
        <v>1216</v>
      </c>
      <c r="AVP2" s="33" t="s">
        <v>1459</v>
      </c>
      <c r="AVQ2" s="33" t="s">
        <v>1217</v>
      </c>
      <c r="AVR2" s="33" t="s">
        <v>1632</v>
      </c>
      <c r="AVS2" s="33" t="s">
        <v>1635</v>
      </c>
      <c r="AVT2" s="33" t="s">
        <v>1222</v>
      </c>
      <c r="AVU2" s="33" t="s">
        <v>1223</v>
      </c>
      <c r="AVV2" s="33" t="s">
        <v>1219</v>
      </c>
      <c r="AVW2" s="33" t="s">
        <v>1220</v>
      </c>
      <c r="AVX2" s="33" t="s">
        <v>1221</v>
      </c>
      <c r="AVY2" s="33" t="s">
        <v>1216</v>
      </c>
      <c r="AVZ2" s="33" t="s">
        <v>1459</v>
      </c>
      <c r="AWA2" s="33" t="s">
        <v>1217</v>
      </c>
      <c r="AWB2" s="33" t="s">
        <v>1632</v>
      </c>
      <c r="AWC2" s="33" t="s">
        <v>1635</v>
      </c>
      <c r="AWD2" s="33" t="s">
        <v>1222</v>
      </c>
      <c r="AWE2" s="33" t="s">
        <v>1223</v>
      </c>
      <c r="AWF2" s="33" t="s">
        <v>1219</v>
      </c>
      <c r="AWG2" s="33" t="s">
        <v>1220</v>
      </c>
      <c r="AWH2" s="33" t="s">
        <v>1221</v>
      </c>
      <c r="AWI2" s="33" t="s">
        <v>1216</v>
      </c>
      <c r="AWJ2" s="33" t="s">
        <v>1459</v>
      </c>
      <c r="AWK2" s="33" t="s">
        <v>1217</v>
      </c>
      <c r="AWL2" s="33" t="s">
        <v>1632</v>
      </c>
      <c r="AWM2" s="33" t="s">
        <v>1635</v>
      </c>
      <c r="AWN2" s="33" t="s">
        <v>1651</v>
      </c>
      <c r="AWO2" s="33" t="s">
        <v>1223</v>
      </c>
      <c r="AWP2" s="33" t="s">
        <v>1219</v>
      </c>
      <c r="AWQ2" s="33" t="s">
        <v>1220</v>
      </c>
      <c r="AWR2" s="33" t="s">
        <v>1221</v>
      </c>
      <c r="AWS2" s="33" t="s">
        <v>1216</v>
      </c>
      <c r="AWT2" s="33" t="s">
        <v>1459</v>
      </c>
      <c r="AWU2" s="33" t="s">
        <v>1217</v>
      </c>
      <c r="AWV2" s="33" t="s">
        <v>1632</v>
      </c>
      <c r="AWW2" s="33" t="s">
        <v>1635</v>
      </c>
      <c r="AWX2" s="33" t="s">
        <v>1651</v>
      </c>
      <c r="AWY2" s="33" t="s">
        <v>1223</v>
      </c>
      <c r="AWZ2" s="33" t="s">
        <v>1219</v>
      </c>
      <c r="AXA2" s="33" t="s">
        <v>1220</v>
      </c>
      <c r="AXB2" s="33" t="s">
        <v>1221</v>
      </c>
      <c r="AXC2" s="33" t="s">
        <v>1216</v>
      </c>
      <c r="AXD2" s="33" t="s">
        <v>1459</v>
      </c>
      <c r="AXE2" s="33" t="s">
        <v>1217</v>
      </c>
      <c r="AXF2" s="33" t="s">
        <v>1632</v>
      </c>
      <c r="AXG2" s="33" t="s">
        <v>1635</v>
      </c>
      <c r="AXH2" s="33" t="s">
        <v>1523</v>
      </c>
      <c r="AXI2" s="33" t="s">
        <v>1223</v>
      </c>
      <c r="AXJ2" s="33" t="s">
        <v>1219</v>
      </c>
      <c r="AXK2" s="33" t="s">
        <v>1220</v>
      </c>
      <c r="AXL2" s="33" t="s">
        <v>1221</v>
      </c>
      <c r="AXM2" s="33" t="s">
        <v>1216</v>
      </c>
      <c r="AXN2" s="33" t="s">
        <v>1459</v>
      </c>
      <c r="AXO2" s="33" t="s">
        <v>1217</v>
      </c>
      <c r="AXP2" s="33" t="s">
        <v>1632</v>
      </c>
      <c r="AXQ2" s="33" t="s">
        <v>1635</v>
      </c>
      <c r="AXR2" s="33" t="s">
        <v>1523</v>
      </c>
      <c r="AXS2" s="33" t="s">
        <v>1223</v>
      </c>
      <c r="AXT2" s="33" t="s">
        <v>1219</v>
      </c>
      <c r="AXU2" s="33" t="s">
        <v>1220</v>
      </c>
      <c r="AXV2" s="33" t="s">
        <v>1221</v>
      </c>
      <c r="AXW2" s="33" t="s">
        <v>1216</v>
      </c>
      <c r="AXX2" s="33" t="s">
        <v>1459</v>
      </c>
      <c r="AXY2" s="33" t="s">
        <v>1217</v>
      </c>
      <c r="AXZ2" s="33" t="s">
        <v>1632</v>
      </c>
      <c r="AYA2" s="33" t="s">
        <v>1635</v>
      </c>
      <c r="AYB2" s="33" t="s">
        <v>1672</v>
      </c>
      <c r="AYC2" s="33" t="s">
        <v>1223</v>
      </c>
      <c r="AYD2" s="33" t="s">
        <v>1219</v>
      </c>
      <c r="AYE2" s="33" t="s">
        <v>1220</v>
      </c>
      <c r="AYF2" s="33" t="s">
        <v>1221</v>
      </c>
      <c r="AYG2" s="33" t="s">
        <v>1216</v>
      </c>
      <c r="AYH2" s="33" t="s">
        <v>1459</v>
      </c>
      <c r="AYI2" s="33" t="s">
        <v>1217</v>
      </c>
      <c r="AYJ2" s="33" t="s">
        <v>1632</v>
      </c>
      <c r="AYK2" s="33" t="s">
        <v>1635</v>
      </c>
      <c r="AYL2" s="33" t="s">
        <v>1446</v>
      </c>
      <c r="AYM2" s="33" t="s">
        <v>1222</v>
      </c>
      <c r="AYN2" s="33" t="s">
        <v>1223</v>
      </c>
      <c r="AYO2" s="33" t="s">
        <v>1219</v>
      </c>
      <c r="AYP2" s="33" t="s">
        <v>1220</v>
      </c>
      <c r="AYQ2" s="33" t="s">
        <v>1221</v>
      </c>
      <c r="AYR2" s="33" t="s">
        <v>1216</v>
      </c>
      <c r="AYS2" s="33" t="s">
        <v>1459</v>
      </c>
      <c r="AYT2" s="33" t="s">
        <v>1217</v>
      </c>
      <c r="AYU2" s="33" t="s">
        <v>1632</v>
      </c>
      <c r="AYV2" s="33" t="s">
        <v>1635</v>
      </c>
      <c r="AYW2" s="33" t="s">
        <v>1446</v>
      </c>
      <c r="AYX2" s="33" t="s">
        <v>1222</v>
      </c>
      <c r="AYY2" s="33" t="s">
        <v>1223</v>
      </c>
      <c r="AYZ2" s="33" t="s">
        <v>1219</v>
      </c>
      <c r="AZA2" s="33" t="s">
        <v>1220</v>
      </c>
      <c r="AZB2" s="33" t="s">
        <v>1221</v>
      </c>
      <c r="AZC2" s="33" t="s">
        <v>1216</v>
      </c>
      <c r="AZD2" s="33" t="s">
        <v>1459</v>
      </c>
      <c r="AZE2" s="33" t="s">
        <v>1217</v>
      </c>
      <c r="AZF2" s="33" t="s">
        <v>1632</v>
      </c>
      <c r="AZG2" s="33" t="s">
        <v>1635</v>
      </c>
      <c r="AZH2" s="33" t="s">
        <v>1222</v>
      </c>
      <c r="AZI2" s="33" t="s">
        <v>1223</v>
      </c>
      <c r="AZJ2" s="33" t="s">
        <v>1219</v>
      </c>
      <c r="AZK2" s="33" t="s">
        <v>1220</v>
      </c>
      <c r="AZL2" s="33" t="s">
        <v>1221</v>
      </c>
      <c r="AZM2" s="33" t="s">
        <v>1216</v>
      </c>
      <c r="AZN2" s="33" t="s">
        <v>1459</v>
      </c>
      <c r="AZO2" s="33" t="s">
        <v>1217</v>
      </c>
      <c r="AZP2" s="33" t="s">
        <v>1632</v>
      </c>
      <c r="AZQ2" s="33" t="s">
        <v>1635</v>
      </c>
      <c r="AZR2" s="33" t="s">
        <v>1634</v>
      </c>
      <c r="AZS2" s="33" t="s">
        <v>1223</v>
      </c>
      <c r="AZT2" s="33" t="s">
        <v>1219</v>
      </c>
      <c r="AZU2" s="33" t="s">
        <v>1220</v>
      </c>
      <c r="AZV2" s="33" t="s">
        <v>1221</v>
      </c>
      <c r="AZW2" s="33" t="s">
        <v>1216</v>
      </c>
      <c r="AZX2" s="33" t="s">
        <v>1459</v>
      </c>
      <c r="AZY2" s="33" t="s">
        <v>1217</v>
      </c>
      <c r="AZZ2" s="33" t="s">
        <v>1632</v>
      </c>
      <c r="BAA2" s="33" t="s">
        <v>1635</v>
      </c>
      <c r="BAB2" s="33" t="s">
        <v>1453</v>
      </c>
      <c r="BAC2" s="33" t="s">
        <v>1453</v>
      </c>
      <c r="BAD2" s="33" t="s">
        <v>1453</v>
      </c>
      <c r="BAE2" s="33" t="s">
        <v>1453</v>
      </c>
      <c r="BAF2" s="33" t="s">
        <v>1453</v>
      </c>
      <c r="BAG2" s="33" t="s">
        <v>1453</v>
      </c>
      <c r="BAH2" s="33" t="s">
        <v>1453</v>
      </c>
      <c r="BAI2" s="40" t="s">
        <v>1194</v>
      </c>
      <c r="BAJ2" s="40" t="s">
        <v>1195</v>
      </c>
      <c r="BAK2" s="40" t="s">
        <v>1196</v>
      </c>
      <c r="BAL2" s="40" t="s">
        <v>1442</v>
      </c>
      <c r="BAM2" s="40" t="s">
        <v>1753</v>
      </c>
      <c r="BAN2" s="40" t="s">
        <v>1754</v>
      </c>
      <c r="BAO2" s="40" t="s">
        <v>1197</v>
      </c>
      <c r="BAP2" s="40" t="s">
        <v>1198</v>
      </c>
      <c r="BAQ2" s="40" t="s">
        <v>1229</v>
      </c>
      <c r="BAR2" s="40" t="s">
        <v>1231</v>
      </c>
      <c r="BAS2" s="40" t="s">
        <v>1441</v>
      </c>
      <c r="BAT2" s="40" t="s">
        <v>1035</v>
      </c>
      <c r="BAU2" s="40" t="s">
        <v>1735</v>
      </c>
      <c r="BAV2" s="40" t="s">
        <v>1590</v>
      </c>
      <c r="BAW2" s="40" t="s">
        <v>1588</v>
      </c>
      <c r="BAX2" s="40" t="s">
        <v>1440</v>
      </c>
      <c r="BAY2" s="40" t="s">
        <v>1444</v>
      </c>
      <c r="BAZ2" s="40" t="s">
        <v>1736</v>
      </c>
      <c r="BBA2" s="40" t="s">
        <v>1679</v>
      </c>
      <c r="BBB2" s="40" t="s">
        <v>1464</v>
      </c>
      <c r="BBC2" s="40" t="s">
        <v>1496</v>
      </c>
      <c r="BBD2" s="40" t="s">
        <v>1629</v>
      </c>
      <c r="BBE2" s="40" t="s">
        <v>1630</v>
      </c>
      <c r="BBF2" s="40" t="s">
        <v>1737</v>
      </c>
      <c r="BBG2" s="40" t="s">
        <v>1741</v>
      </c>
      <c r="BBH2" s="40" t="s">
        <v>1750</v>
      </c>
      <c r="BBI2" s="40" t="s">
        <v>1751</v>
      </c>
      <c r="BBJ2" s="40" t="s">
        <v>1752</v>
      </c>
      <c r="BBK2" s="40"/>
      <c r="BBL2" s="40"/>
      <c r="BBM2" s="40"/>
      <c r="BBN2" s="40"/>
      <c r="BBO2" s="40"/>
      <c r="BBP2" s="40"/>
      <c r="BBQ2" s="40"/>
      <c r="BBR2" s="40"/>
      <c r="BBS2" s="40"/>
      <c r="BBT2" s="40"/>
      <c r="BBU2" s="40"/>
      <c r="BBV2" s="40"/>
      <c r="BBW2" s="40"/>
      <c r="BBX2" s="40"/>
      <c r="BBY2" s="40"/>
      <c r="BBZ2" s="41" t="s">
        <v>1211</v>
      </c>
      <c r="BCA2" s="41" t="s">
        <v>1201</v>
      </c>
      <c r="BCB2" s="41" t="s">
        <v>1431</v>
      </c>
      <c r="BCC2" s="41" t="s">
        <v>1434</v>
      </c>
      <c r="BCD2" s="41" t="s">
        <v>1435</v>
      </c>
      <c r="BCE2" s="41" t="s">
        <v>1257</v>
      </c>
      <c r="BCF2" s="41" t="s">
        <v>1597</v>
      </c>
      <c r="BCG2" s="41" t="s">
        <v>1445</v>
      </c>
      <c r="BCH2" s="41" t="s">
        <v>1452</v>
      </c>
      <c r="BCI2" s="66" t="s">
        <v>1742</v>
      </c>
      <c r="BCJ2" s="66"/>
      <c r="BCK2" s="41"/>
      <c r="BCL2" s="41"/>
      <c r="BCM2" s="41"/>
      <c r="BCN2" s="41"/>
      <c r="BCO2" s="41"/>
      <c r="BCP2" s="41" t="s">
        <v>1212</v>
      </c>
      <c r="BCQ2" s="41" t="s">
        <v>1207</v>
      </c>
      <c r="BCR2" s="65" t="s">
        <v>1206</v>
      </c>
      <c r="BCS2" s="65" t="s">
        <v>1738</v>
      </c>
      <c r="BCT2" s="41" t="s">
        <v>1739</v>
      </c>
      <c r="BCU2" s="41" t="s">
        <v>1743</v>
      </c>
      <c r="BCV2" s="41" t="s">
        <v>1744</v>
      </c>
      <c r="BCW2" s="41" t="s">
        <v>1745</v>
      </c>
      <c r="BCX2" s="41" t="s">
        <v>1740</v>
      </c>
      <c r="BCY2" s="41"/>
      <c r="BCZ2" s="41" t="s">
        <v>1212</v>
      </c>
      <c r="BDA2" s="41" t="s">
        <v>1488</v>
      </c>
      <c r="BDB2" s="41" t="s">
        <v>1210</v>
      </c>
      <c r="BDC2" s="41" t="s">
        <v>1587</v>
      </c>
      <c r="BDD2" s="41"/>
      <c r="BDE2" s="41"/>
      <c r="BDF2" s="41" t="s">
        <v>1438</v>
      </c>
      <c r="BDG2" s="41" t="s">
        <v>1213</v>
      </c>
      <c r="BDH2" s="41" t="s">
        <v>1592</v>
      </c>
      <c r="BDI2" s="41" t="s">
        <v>1515</v>
      </c>
      <c r="BDJ2" s="41" t="s">
        <v>1585</v>
      </c>
      <c r="BDK2" s="41" t="s">
        <v>1207</v>
      </c>
      <c r="BDL2" s="41" t="s">
        <v>1210</v>
      </c>
      <c r="BDM2" s="41" t="s">
        <v>1433</v>
      </c>
      <c r="BDN2" s="41" t="s">
        <v>1488</v>
      </c>
      <c r="BDO2" s="41" t="s">
        <v>1586</v>
      </c>
      <c r="BDP2" s="41" t="s">
        <v>1489</v>
      </c>
      <c r="BDQ2" s="41" t="s">
        <v>1212</v>
      </c>
      <c r="BDR2" s="41" t="s">
        <v>1206</v>
      </c>
      <c r="BDS2" s="41" t="s">
        <v>1209</v>
      </c>
      <c r="BDT2" s="41" t="s">
        <v>1214</v>
      </c>
      <c r="BDU2" s="41" t="s">
        <v>1210</v>
      </c>
      <c r="BDV2" s="41" t="s">
        <v>1207</v>
      </c>
      <c r="BDW2" s="41" t="s">
        <v>1232</v>
      </c>
      <c r="BDX2" s="41" t="s">
        <v>1443</v>
      </c>
      <c r="BDY2" s="41" t="s">
        <v>1433</v>
      </c>
      <c r="BDZ2" s="41" t="s">
        <v>1488</v>
      </c>
      <c r="BEA2" s="41" t="s">
        <v>1592</v>
      </c>
      <c r="BEB2" s="65"/>
      <c r="BEC2" s="41" t="s">
        <v>1212</v>
      </c>
      <c r="BED2" s="41" t="s">
        <v>1207</v>
      </c>
      <c r="BEE2" s="41" t="s">
        <v>1213</v>
      </c>
      <c r="BEF2" s="41" t="s">
        <v>1592</v>
      </c>
      <c r="BEG2" s="41" t="s">
        <v>1212</v>
      </c>
      <c r="BEH2" s="41"/>
      <c r="BEI2" s="41" t="s">
        <v>1212</v>
      </c>
      <c r="BEJ2" s="41" t="s">
        <v>1210</v>
      </c>
      <c r="BEK2" s="41"/>
      <c r="BEL2" s="41" t="s">
        <v>1212</v>
      </c>
      <c r="BEM2" s="41" t="s">
        <v>1488</v>
      </c>
      <c r="BEN2" s="41" t="s">
        <v>1207</v>
      </c>
      <c r="BEO2" s="41" t="s">
        <v>1206</v>
      </c>
      <c r="BEP2" s="41" t="s">
        <v>1585</v>
      </c>
      <c r="BEQ2" s="41" t="s">
        <v>1747</v>
      </c>
      <c r="BER2" s="41" t="s">
        <v>1212</v>
      </c>
      <c r="BES2" s="41" t="s">
        <v>1207</v>
      </c>
      <c r="BET2" s="41" t="s">
        <v>1206</v>
      </c>
      <c r="BEU2" s="41" t="s">
        <v>1585</v>
      </c>
      <c r="BEV2" s="41" t="s">
        <v>1747</v>
      </c>
      <c r="BEW2" s="41"/>
      <c r="BEX2" s="41" t="s">
        <v>1212</v>
      </c>
      <c r="BEY2" s="41" t="s">
        <v>1203</v>
      </c>
      <c r="BEZ2" s="41" t="s">
        <v>1204</v>
      </c>
      <c r="BFA2" s="41" t="s">
        <v>1210</v>
      </c>
      <c r="BFB2" s="41" t="s">
        <v>1203</v>
      </c>
      <c r="BFC2" s="41" t="s">
        <v>1204</v>
      </c>
      <c r="BFD2" s="41"/>
      <c r="BFE2" s="41" t="s">
        <v>1212</v>
      </c>
      <c r="BFF2" s="41" t="s">
        <v>1488</v>
      </c>
      <c r="BFG2" s="65" t="s">
        <v>1207</v>
      </c>
      <c r="BFH2" s="65" t="s">
        <v>1210</v>
      </c>
      <c r="BFI2" s="41" t="s">
        <v>1207</v>
      </c>
      <c r="BFJ2" s="41" t="s">
        <v>1433</v>
      </c>
      <c r="BFK2" s="41" t="s">
        <v>1733</v>
      </c>
      <c r="BFL2" s="41" t="s">
        <v>1734</v>
      </c>
      <c r="BFM2" s="41" t="s">
        <v>1212</v>
      </c>
      <c r="BFN2" s="41" t="s">
        <v>1436</v>
      </c>
      <c r="BFO2" s="41" t="s">
        <v>1207</v>
      </c>
      <c r="BFP2" s="41"/>
      <c r="BFQ2" s="41" t="s">
        <v>1212</v>
      </c>
      <c r="BFR2" s="41" t="s">
        <v>1749</v>
      </c>
      <c r="BFS2" s="41"/>
      <c r="BFT2" s="41" t="s">
        <v>1439</v>
      </c>
      <c r="BFU2" s="41" t="s">
        <v>1202</v>
      </c>
      <c r="BFV2" s="41" t="s">
        <v>1199</v>
      </c>
      <c r="BFW2" s="41"/>
      <c r="BFX2" s="41"/>
      <c r="BFY2" s="41"/>
      <c r="BFZ2" s="41"/>
      <c r="BGA2" s="41"/>
      <c r="BGB2" s="41"/>
      <c r="BGC2" s="41"/>
      <c r="BGD2" s="41"/>
      <c r="BGE2" s="41"/>
      <c r="BGF2" s="41"/>
      <c r="BGG2" s="41"/>
      <c r="BGH2" s="41"/>
      <c r="BGI2" s="41"/>
      <c r="BGJ2" s="41"/>
      <c r="BGK2" s="41"/>
      <c r="BGL2" s="41"/>
      <c r="BGM2" s="41"/>
      <c r="BGN2" s="41"/>
      <c r="BGO2" s="41"/>
      <c r="BGP2" s="41"/>
      <c r="BGQ2" s="41"/>
      <c r="BGR2" s="41"/>
      <c r="BGS2" s="41"/>
      <c r="BGT2" s="41"/>
      <c r="BGU2" s="41"/>
      <c r="BGV2" s="41"/>
      <c r="BGW2" s="41"/>
      <c r="BGX2" s="41"/>
      <c r="BGY2" s="41"/>
      <c r="BGZ2" s="41"/>
      <c r="BHA2" s="41"/>
      <c r="BHB2" s="41"/>
      <c r="BHC2" s="41"/>
      <c r="BHD2" s="41"/>
      <c r="BHE2" s="41"/>
      <c r="BHF2" s="41"/>
      <c r="BHG2" s="41"/>
      <c r="BHH2" s="41"/>
      <c r="BHI2" s="41"/>
      <c r="BHJ2" s="41"/>
      <c r="BHK2" s="41"/>
      <c r="BHL2" s="41"/>
      <c r="BHM2" s="41"/>
      <c r="BHN2" s="41"/>
      <c r="BHO2" s="41"/>
      <c r="BHP2" s="41"/>
      <c r="BHQ2" s="41"/>
      <c r="BHR2" s="41"/>
      <c r="BHS2" s="41"/>
      <c r="BHT2" s="70" t="s">
        <v>1631</v>
      </c>
      <c r="BHU2" s="70"/>
      <c r="BHV2" s="70"/>
      <c r="BHW2" s="70"/>
      <c r="BHX2" s="70"/>
      <c r="BHY2" s="70"/>
      <c r="BHZ2" s="70"/>
      <c r="BIA2" s="70"/>
      <c r="BIB2" s="70"/>
      <c r="BIC2" s="70"/>
      <c r="BID2" s="70"/>
      <c r="BIE2" s="70"/>
      <c r="BIF2" s="70"/>
      <c r="BIG2" s="70"/>
      <c r="BIH2" s="70"/>
      <c r="BII2" s="70"/>
      <c r="BIJ2" s="70"/>
      <c r="BIK2" s="70"/>
      <c r="BIL2" s="69" t="s">
        <v>1626</v>
      </c>
      <c r="BIM2" s="69" t="s">
        <v>1623</v>
      </c>
      <c r="BIN2" s="69" t="s">
        <v>1624</v>
      </c>
      <c r="BIO2" s="69" t="s">
        <v>1625</v>
      </c>
      <c r="BIP2" s="69" t="s">
        <v>1621</v>
      </c>
      <c r="BIQ2" s="69" t="s">
        <v>1508</v>
      </c>
      <c r="BIR2" s="69" t="s">
        <v>1509</v>
      </c>
      <c r="BIS2" s="69" t="s">
        <v>1510</v>
      </c>
      <c r="BIT2" s="69" t="s">
        <v>1511</v>
      </c>
      <c r="BIU2" s="69" t="s">
        <v>1622</v>
      </c>
      <c r="BIV2" s="69" t="s">
        <v>1512</v>
      </c>
      <c r="BIW2" s="69" t="s">
        <v>1452</v>
      </c>
      <c r="BIX2" s="69" t="s">
        <v>1628</v>
      </c>
      <c r="BIY2" s="69" t="s">
        <v>1627</v>
      </c>
      <c r="BIZ2" s="69"/>
      <c r="BJA2" s="69"/>
      <c r="BJB2" s="69"/>
      <c r="BJC2" s="69"/>
      <c r="BJD2" s="69"/>
      <c r="BJE2" s="69"/>
      <c r="BJF2" s="69"/>
      <c r="BJG2" s="69"/>
      <c r="BJH2" s="69"/>
      <c r="BJI2" s="69"/>
      <c r="BJJ2" s="69"/>
      <c r="BJK2" s="69"/>
    </row>
    <row r="3" spans="1:1623" x14ac:dyDescent="0.25">
      <c r="A3" s="27" t="s">
        <v>1189</v>
      </c>
      <c r="B3" s="27"/>
      <c r="C3" s="18"/>
      <c r="D3" s="19"/>
      <c r="E3" s="19"/>
      <c r="F3" s="19"/>
      <c r="G3" s="19"/>
      <c r="H3" s="19"/>
      <c r="I3" s="19"/>
      <c r="J3" s="19"/>
      <c r="K3" s="19"/>
      <c r="L3" s="20"/>
      <c r="M3" s="20"/>
      <c r="N3" s="20"/>
      <c r="O3" s="20"/>
      <c r="P3" s="20"/>
      <c r="Q3" s="20"/>
      <c r="R3" s="19"/>
      <c r="S3" s="19"/>
      <c r="T3" s="19"/>
      <c r="U3" s="19"/>
      <c r="V3" s="19"/>
      <c r="W3" s="20"/>
      <c r="X3" s="20"/>
      <c r="Y3" s="20"/>
      <c r="Z3" s="19"/>
      <c r="AA3" s="19"/>
      <c r="AB3" s="19"/>
      <c r="AC3" s="19"/>
      <c r="AD3" s="19"/>
      <c r="AE3" s="19"/>
      <c r="AF3" s="19"/>
      <c r="AG3" s="19"/>
      <c r="AH3" s="20"/>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19"/>
      <c r="CE3" s="19"/>
      <c r="CF3" s="19"/>
      <c r="CG3" s="19"/>
      <c r="CH3" s="19"/>
      <c r="CI3" s="19"/>
      <c r="CJ3" s="19"/>
      <c r="CK3" s="19"/>
      <c r="CL3" s="19"/>
      <c r="CM3" s="19"/>
      <c r="CN3" s="19"/>
      <c r="CO3" s="19"/>
      <c r="CP3" s="19"/>
      <c r="CQ3" s="19"/>
      <c r="CR3" s="19"/>
      <c r="CS3" s="19"/>
      <c r="CT3" s="19"/>
      <c r="CU3" s="19"/>
      <c r="CV3" s="19"/>
      <c r="CW3" s="19"/>
      <c r="CX3" s="19"/>
      <c r="CY3" s="19"/>
      <c r="CZ3" s="19"/>
      <c r="DA3" s="19"/>
      <c r="DB3" s="19"/>
      <c r="DC3" s="19"/>
      <c r="DD3" s="21"/>
      <c r="DE3" s="21"/>
      <c r="DF3" s="19"/>
      <c r="DG3" s="19"/>
      <c r="DH3" s="19"/>
      <c r="DI3" s="19"/>
      <c r="DJ3" s="19"/>
      <c r="DK3" s="19"/>
      <c r="DL3" s="19"/>
      <c r="DM3" s="19"/>
      <c r="DN3" s="19"/>
      <c r="DO3" s="19"/>
      <c r="DP3" s="19"/>
      <c r="DQ3" s="19"/>
      <c r="DR3" s="19"/>
      <c r="DS3" s="19"/>
      <c r="DT3" s="19"/>
      <c r="DU3" s="19"/>
      <c r="DV3" s="19"/>
      <c r="DW3" s="19"/>
      <c r="DX3" s="19"/>
      <c r="DY3" s="19"/>
      <c r="DZ3" s="19"/>
      <c r="EA3" s="19"/>
      <c r="EB3" s="19"/>
      <c r="EC3" s="20"/>
      <c r="ED3" s="20"/>
      <c r="EE3" s="20"/>
      <c r="EF3" s="20"/>
      <c r="EG3" s="20"/>
      <c r="EH3" s="20"/>
      <c r="EI3" s="20"/>
      <c r="EJ3" s="20"/>
      <c r="EK3" s="20"/>
      <c r="EL3" s="20"/>
      <c r="EM3" s="20"/>
      <c r="EN3" s="19"/>
      <c r="EO3" s="19"/>
      <c r="EP3" s="19"/>
      <c r="EQ3" s="19"/>
      <c r="ER3" s="19"/>
      <c r="ES3" s="19"/>
      <c r="ET3" s="19"/>
      <c r="EU3" s="19"/>
      <c r="EV3" s="20"/>
      <c r="EW3" s="20"/>
      <c r="EX3" s="20"/>
      <c r="EY3" s="19"/>
      <c r="EZ3" s="19"/>
      <c r="FA3" s="19"/>
      <c r="FB3" s="19"/>
      <c r="FC3" s="19"/>
      <c r="FD3" s="19"/>
      <c r="FE3" s="19"/>
      <c r="FF3" s="20"/>
      <c r="FG3" s="19"/>
      <c r="FH3" s="20"/>
      <c r="FI3" s="19"/>
      <c r="FJ3" s="19"/>
      <c r="FK3" s="19"/>
      <c r="FL3" s="19"/>
      <c r="FM3" s="19"/>
      <c r="FN3" s="19"/>
      <c r="FO3" s="19"/>
      <c r="FP3" s="19"/>
      <c r="FQ3" s="19"/>
      <c r="FR3" s="19"/>
      <c r="FS3" s="19"/>
      <c r="FT3" s="19"/>
      <c r="FU3" s="19"/>
      <c r="FV3" s="20"/>
      <c r="FW3" s="19"/>
      <c r="FX3" s="19"/>
      <c r="FY3" s="19"/>
      <c r="FZ3" s="19"/>
      <c r="GA3" s="19"/>
      <c r="GB3" s="19"/>
      <c r="GC3" s="19"/>
      <c r="GD3" s="19"/>
      <c r="GE3" s="19"/>
      <c r="GF3" s="19"/>
      <c r="GG3" s="19"/>
      <c r="GH3" s="19"/>
      <c r="GI3" s="19"/>
      <c r="GJ3" s="19"/>
      <c r="GK3" s="19"/>
      <c r="GL3" s="19"/>
      <c r="GM3" s="19"/>
      <c r="GN3" s="19"/>
      <c r="GO3" s="19"/>
      <c r="GP3" s="19"/>
      <c r="GQ3" s="19"/>
      <c r="GR3" s="19"/>
      <c r="GS3" s="19"/>
      <c r="GT3" s="19"/>
      <c r="GU3" s="21"/>
      <c r="GV3" s="19"/>
      <c r="GW3" s="19"/>
      <c r="GX3" s="19"/>
      <c r="GY3" s="19"/>
      <c r="GZ3" s="19"/>
      <c r="HA3" s="19"/>
      <c r="HB3" s="19"/>
      <c r="HC3" s="19"/>
      <c r="HD3" s="19"/>
      <c r="HE3" s="19"/>
      <c r="HF3" s="19"/>
      <c r="HG3" s="20"/>
      <c r="HH3" s="19"/>
      <c r="HI3" s="19"/>
      <c r="HJ3" s="19"/>
      <c r="HK3" s="19"/>
      <c r="HL3" s="19"/>
      <c r="HM3" s="19"/>
      <c r="HN3" s="19"/>
      <c r="HO3" s="19"/>
      <c r="HP3" s="19"/>
      <c r="HQ3" s="19"/>
      <c r="HR3" s="19"/>
      <c r="HS3" s="19"/>
      <c r="AUG3">
        <v>1</v>
      </c>
      <c r="AUK3">
        <v>29</v>
      </c>
      <c r="AUL3">
        <v>999</v>
      </c>
      <c r="AUM3">
        <v>0</v>
      </c>
      <c r="AUN3">
        <v>999</v>
      </c>
      <c r="AUO3">
        <v>6</v>
      </c>
      <c r="AZS3" s="18"/>
      <c r="BBD3">
        <v>1</v>
      </c>
      <c r="BBE3">
        <v>1</v>
      </c>
    </row>
    <row r="4" spans="1:1623" x14ac:dyDescent="0.25">
      <c r="A4" s="18">
        <v>7072184</v>
      </c>
      <c r="B4" s="61"/>
      <c r="C4">
        <v>12.441000000000001</v>
      </c>
      <c r="D4" s="19"/>
      <c r="E4" s="19"/>
      <c r="F4" s="19"/>
      <c r="G4" s="19"/>
      <c r="H4" s="19"/>
      <c r="I4" s="53"/>
      <c r="J4" s="19"/>
      <c r="K4" s="19"/>
      <c r="L4" s="20"/>
      <c r="M4" s="20"/>
      <c r="N4" s="20"/>
      <c r="O4" s="20"/>
      <c r="P4" s="20"/>
      <c r="Q4" s="20"/>
      <c r="R4" s="19"/>
      <c r="S4" s="19"/>
      <c r="T4" s="19"/>
      <c r="U4" s="19"/>
      <c r="V4" s="19"/>
      <c r="W4">
        <v>2.9</v>
      </c>
      <c r="X4" s="5">
        <v>18</v>
      </c>
      <c r="Y4">
        <v>108.5</v>
      </c>
      <c r="Z4" s="19"/>
      <c r="AA4" s="19"/>
      <c r="AB4" s="19"/>
      <c r="AC4" s="19"/>
      <c r="AD4" s="18">
        <v>2.4660000000000002</v>
      </c>
      <c r="AE4" s="18">
        <v>17</v>
      </c>
      <c r="AF4">
        <v>282</v>
      </c>
      <c r="AG4" s="18">
        <v>415</v>
      </c>
      <c r="AH4" s="44">
        <v>69</v>
      </c>
      <c r="AI4" s="23">
        <v>3.9600000000000003E-2</v>
      </c>
      <c r="AJ4" s="23"/>
      <c r="AK4" s="23"/>
      <c r="AL4" s="23"/>
      <c r="AM4" s="19"/>
      <c r="AN4" s="19"/>
      <c r="AO4" s="19"/>
      <c r="AP4" s="19"/>
      <c r="AQ4" s="19"/>
      <c r="AR4" s="19"/>
      <c r="AS4" s="19"/>
      <c r="AT4" s="19"/>
      <c r="AU4" s="19"/>
      <c r="AV4" s="19"/>
      <c r="AW4" s="19"/>
      <c r="AX4" s="19"/>
      <c r="AY4" s="19"/>
      <c r="AZ4" s="19"/>
      <c r="BA4" s="19"/>
      <c r="BB4" s="19"/>
      <c r="BC4" s="19"/>
      <c r="BD4" s="19"/>
      <c r="BE4">
        <v>916</v>
      </c>
      <c r="BG4" s="19"/>
      <c r="BH4" s="19"/>
      <c r="BI4" s="19"/>
      <c r="BJ4" s="19"/>
      <c r="BK4" s="19"/>
      <c r="BL4" s="19"/>
      <c r="BM4" s="19"/>
      <c r="BN4" s="19"/>
      <c r="BO4" s="19"/>
      <c r="BP4" s="19"/>
      <c r="BQ4" s="19"/>
      <c r="BR4" s="19"/>
      <c r="BS4" s="19"/>
      <c r="BT4" s="19"/>
      <c r="BU4" s="19"/>
      <c r="BV4">
        <v>190</v>
      </c>
      <c r="BW4" s="19"/>
      <c r="BX4" s="19"/>
      <c r="BY4" s="19"/>
      <c r="BZ4" s="19"/>
      <c r="CA4" s="19"/>
      <c r="CB4" s="19"/>
      <c r="CC4" s="19"/>
      <c r="CD4" s="19"/>
      <c r="CE4" s="19"/>
      <c r="CF4" s="19"/>
      <c r="CG4" s="19"/>
      <c r="CH4" s="19"/>
      <c r="CI4" s="19"/>
      <c r="CJ4" s="19"/>
      <c r="CK4" s="19"/>
      <c r="CL4" s="19"/>
      <c r="CM4" s="19"/>
      <c r="CN4" s="19"/>
      <c r="CO4" s="19"/>
      <c r="CP4" s="19"/>
      <c r="CQ4" s="19"/>
      <c r="CR4" s="19"/>
      <c r="CS4" s="19"/>
      <c r="CT4" s="19"/>
      <c r="CU4" s="19"/>
      <c r="CV4" s="19"/>
      <c r="CW4" s="19"/>
      <c r="CX4" s="19"/>
      <c r="CY4" s="19"/>
      <c r="CZ4" s="19"/>
      <c r="DA4" s="19"/>
      <c r="DB4" s="19"/>
      <c r="DC4" s="19"/>
      <c r="DD4">
        <v>5.423</v>
      </c>
      <c r="DF4" s="19"/>
      <c r="DG4" s="19"/>
      <c r="DH4" s="19"/>
      <c r="DI4" s="19"/>
      <c r="DJ4" s="19"/>
      <c r="DK4" s="19"/>
      <c r="DL4" s="19"/>
      <c r="DM4" s="19"/>
      <c r="DN4" s="19"/>
      <c r="DO4" s="19"/>
      <c r="DP4" s="19"/>
      <c r="DQ4" s="19"/>
      <c r="DR4" s="18">
        <v>11</v>
      </c>
      <c r="DS4" s="18"/>
      <c r="DT4" s="19"/>
      <c r="DU4" s="19"/>
      <c r="DV4" s="19"/>
      <c r="DW4" s="19"/>
      <c r="DX4" s="19"/>
      <c r="DY4" s="19"/>
      <c r="DZ4" s="19"/>
      <c r="EA4" s="19"/>
      <c r="EB4" s="19"/>
      <c r="EC4" s="18">
        <v>8</v>
      </c>
      <c r="ED4" s="18"/>
      <c r="EE4" s="18"/>
      <c r="EF4" s="18"/>
      <c r="EG4" s="18"/>
      <c r="EH4" s="18"/>
      <c r="EI4" s="18"/>
      <c r="EJ4" s="18"/>
      <c r="EK4" s="18"/>
      <c r="EL4" s="18"/>
      <c r="EM4" s="18"/>
      <c r="EN4" s="19"/>
      <c r="EO4" s="19"/>
      <c r="EP4" s="19"/>
      <c r="EQ4" s="19"/>
      <c r="ER4" s="19"/>
      <c r="ES4" s="19"/>
      <c r="ET4" s="19"/>
      <c r="EU4" s="19"/>
      <c r="EV4">
        <v>3.3</v>
      </c>
      <c r="EY4" s="19"/>
      <c r="EZ4" s="19"/>
      <c r="FA4" s="19"/>
      <c r="FB4" s="19"/>
      <c r="FC4" s="19"/>
      <c r="FD4" s="19"/>
      <c r="FE4" s="19"/>
      <c r="FF4" s="20"/>
      <c r="FG4" s="19"/>
      <c r="FH4">
        <v>2.4</v>
      </c>
      <c r="FI4" s="19"/>
      <c r="FJ4" s="19"/>
      <c r="FK4" s="19"/>
      <c r="FL4" s="19"/>
      <c r="FM4" s="19"/>
      <c r="FN4" s="19"/>
      <c r="FO4" s="19"/>
      <c r="FP4" s="19"/>
      <c r="FQ4" s="19"/>
      <c r="FR4" s="19"/>
      <c r="FS4" s="19"/>
      <c r="FT4" s="19"/>
      <c r="FU4" s="19"/>
      <c r="FV4" s="20"/>
      <c r="FW4" s="19"/>
      <c r="FX4" s="19"/>
      <c r="FY4" s="19"/>
      <c r="FZ4" s="19"/>
      <c r="GA4" s="19"/>
      <c r="GB4" s="19"/>
      <c r="GC4" s="19"/>
      <c r="GD4" s="19"/>
      <c r="GE4" s="19"/>
      <c r="GF4" s="19"/>
      <c r="GG4" s="19"/>
      <c r="GH4" s="19"/>
      <c r="GI4" s="19">
        <v>537</v>
      </c>
      <c r="GJ4" s="19"/>
      <c r="GK4" s="19"/>
      <c r="GL4" s="19"/>
      <c r="GM4" s="19"/>
      <c r="GN4" s="19"/>
      <c r="GO4" s="19"/>
      <c r="GP4" s="19"/>
      <c r="GQ4" s="19"/>
      <c r="GR4" s="19"/>
      <c r="GS4" s="19"/>
      <c r="GT4" s="19"/>
      <c r="GU4" s="18">
        <v>23000</v>
      </c>
      <c r="GV4" s="19"/>
      <c r="GW4" s="19"/>
      <c r="GX4" s="19"/>
      <c r="GY4" s="19"/>
      <c r="GZ4" s="19"/>
      <c r="HA4" s="19"/>
      <c r="HB4" s="19"/>
      <c r="HC4" s="19"/>
      <c r="HD4" s="19"/>
      <c r="HE4" s="19"/>
      <c r="HF4" s="19"/>
      <c r="HG4" s="20"/>
      <c r="HH4" s="19"/>
      <c r="HI4" s="19"/>
      <c r="HJ4" s="19"/>
      <c r="HK4" s="19"/>
      <c r="HL4" s="18">
        <v>80</v>
      </c>
      <c r="HM4" s="19"/>
      <c r="HN4" s="19"/>
      <c r="HO4" s="19"/>
      <c r="HP4" s="19"/>
      <c r="HQ4" s="19"/>
      <c r="HR4" s="19"/>
      <c r="HS4" s="19"/>
      <c r="IV4">
        <v>39</v>
      </c>
      <c r="IW4">
        <v>1</v>
      </c>
      <c r="IZ4">
        <v>1</v>
      </c>
      <c r="JF4">
        <v>1</v>
      </c>
      <c r="MA4">
        <v>75</v>
      </c>
      <c r="MB4">
        <v>1</v>
      </c>
      <c r="MD4">
        <v>1</v>
      </c>
      <c r="MG4">
        <v>1</v>
      </c>
      <c r="MI4">
        <v>0</v>
      </c>
      <c r="BAI4">
        <v>1</v>
      </c>
      <c r="BAJ4">
        <v>1</v>
      </c>
      <c r="BAK4">
        <v>1</v>
      </c>
      <c r="BAO4">
        <v>1</v>
      </c>
      <c r="BAP4">
        <v>1</v>
      </c>
      <c r="BBZ4">
        <v>45</v>
      </c>
      <c r="BCA4">
        <v>1</v>
      </c>
      <c r="BCZ4">
        <v>1</v>
      </c>
      <c r="BDG4">
        <v>1</v>
      </c>
      <c r="BDR4">
        <v>1</v>
      </c>
      <c r="BDS4">
        <v>1</v>
      </c>
      <c r="BDT4">
        <v>1</v>
      </c>
      <c r="BDU4">
        <v>1</v>
      </c>
      <c r="BDV4">
        <v>1</v>
      </c>
      <c r="BDZ4">
        <v>1</v>
      </c>
      <c r="BEY4">
        <v>1</v>
      </c>
      <c r="BEZ4">
        <v>1</v>
      </c>
      <c r="BFB4">
        <v>1</v>
      </c>
      <c r="BFC4">
        <v>1</v>
      </c>
      <c r="BFU4">
        <v>1</v>
      </c>
      <c r="BFV4">
        <v>1</v>
      </c>
      <c r="BHT4">
        <v>1</v>
      </c>
      <c r="BIL4">
        <v>1</v>
      </c>
      <c r="BIN4">
        <v>1</v>
      </c>
      <c r="BIT4">
        <v>1</v>
      </c>
      <c r="BIX4">
        <v>1</v>
      </c>
      <c r="BIY4">
        <v>1</v>
      </c>
    </row>
    <row r="5" spans="1:1623" x14ac:dyDescent="0.25">
      <c r="A5" s="18">
        <v>9108231</v>
      </c>
      <c r="B5" s="61"/>
      <c r="C5" s="19"/>
      <c r="D5" s="19"/>
      <c r="E5" s="19"/>
      <c r="F5" s="19"/>
      <c r="G5" s="19"/>
      <c r="H5" s="19"/>
      <c r="I5" s="19"/>
      <c r="J5" s="19"/>
      <c r="K5" s="19"/>
      <c r="L5" s="20"/>
      <c r="M5" s="20"/>
      <c r="N5" s="20"/>
      <c r="O5" s="20"/>
      <c r="P5" s="20"/>
      <c r="Q5" s="20"/>
      <c r="R5" s="19"/>
      <c r="S5" s="19"/>
      <c r="T5" s="19"/>
      <c r="U5" s="19"/>
      <c r="V5" s="19"/>
      <c r="W5" s="20"/>
      <c r="X5" s="20"/>
      <c r="Y5" s="20"/>
      <c r="Z5" s="19"/>
      <c r="AA5" s="19"/>
      <c r="AB5" s="19"/>
      <c r="AC5" s="19"/>
      <c r="AD5" s="19"/>
      <c r="AE5" s="19"/>
      <c r="AF5" s="19"/>
      <c r="AG5" s="19"/>
      <c r="AH5" s="20"/>
      <c r="AI5" s="23">
        <v>13120</v>
      </c>
      <c r="AJ5" s="23"/>
      <c r="AK5" s="23"/>
      <c r="AL5" s="23"/>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19"/>
      <c r="BM5" s="19"/>
      <c r="BN5" s="19"/>
      <c r="BO5" s="19"/>
      <c r="BP5" s="19"/>
      <c r="BQ5" s="19"/>
      <c r="BR5" s="19"/>
      <c r="BS5" s="19"/>
      <c r="BT5" s="19"/>
      <c r="BU5" s="19"/>
      <c r="BV5" s="19"/>
      <c r="BW5" s="19"/>
      <c r="BX5" s="19"/>
      <c r="BY5" s="19"/>
      <c r="BZ5" s="19"/>
      <c r="CA5" s="19"/>
      <c r="CB5" s="19"/>
      <c r="CC5" s="19"/>
      <c r="CD5" s="19"/>
      <c r="CE5" s="19"/>
      <c r="CF5" s="19"/>
      <c r="CG5" s="19"/>
      <c r="CH5" s="19"/>
      <c r="CI5" s="19"/>
      <c r="CJ5" s="19"/>
      <c r="CK5" s="19"/>
      <c r="CL5" s="19"/>
      <c r="CM5" s="19"/>
      <c r="CN5" s="19"/>
      <c r="CO5" s="19"/>
      <c r="CP5" s="19"/>
      <c r="CQ5" s="19"/>
      <c r="CR5" s="19"/>
      <c r="CS5" s="19"/>
      <c r="CT5" s="19"/>
      <c r="CU5" s="19"/>
      <c r="CV5" s="19"/>
      <c r="CW5" s="19"/>
      <c r="CX5" s="19"/>
      <c r="CY5" s="19"/>
      <c r="CZ5" s="19"/>
      <c r="DA5" s="19"/>
      <c r="DB5" s="19"/>
      <c r="DC5" s="19"/>
      <c r="DD5" s="21"/>
      <c r="DE5" s="21"/>
      <c r="DF5" s="19"/>
      <c r="DG5" s="19"/>
      <c r="DH5" s="19"/>
      <c r="DI5" s="19"/>
      <c r="DJ5" s="19"/>
      <c r="DK5" s="19"/>
      <c r="DL5" s="19"/>
      <c r="DM5" s="19"/>
      <c r="DN5" s="19"/>
      <c r="DO5" s="19"/>
      <c r="DP5" s="19"/>
      <c r="DQ5" s="19"/>
      <c r="DR5" s="19"/>
      <c r="DS5" s="19"/>
      <c r="DT5" s="19"/>
      <c r="DU5" s="19"/>
      <c r="DV5" s="19"/>
      <c r="DW5" s="19"/>
      <c r="DX5" s="19"/>
      <c r="DY5" s="19"/>
      <c r="DZ5" s="19"/>
      <c r="EA5" s="19"/>
      <c r="EB5" s="19"/>
      <c r="EC5" s="20"/>
      <c r="ED5" s="20"/>
      <c r="EE5" s="20"/>
      <c r="EF5" s="20"/>
      <c r="EG5" s="20"/>
      <c r="EH5" s="20"/>
      <c r="EI5" s="20"/>
      <c r="EJ5" s="20"/>
      <c r="EK5" s="20"/>
      <c r="EL5" s="20"/>
      <c r="EM5" s="20"/>
      <c r="EN5" s="19"/>
      <c r="EO5" s="19"/>
      <c r="EP5" s="19"/>
      <c r="EQ5" s="19"/>
      <c r="ER5" s="19"/>
      <c r="ES5" s="19"/>
      <c r="ET5" s="19"/>
      <c r="EU5" s="19"/>
      <c r="EV5" s="20"/>
      <c r="EW5" s="20"/>
      <c r="EX5" s="20"/>
      <c r="EY5" s="19"/>
      <c r="EZ5" s="19"/>
      <c r="FA5" s="19"/>
      <c r="FB5" s="19"/>
      <c r="FC5" s="19"/>
      <c r="FD5" s="19"/>
      <c r="FE5" s="19"/>
      <c r="FF5" s="20"/>
      <c r="FG5" s="19"/>
      <c r="FH5" s="20"/>
      <c r="FI5" s="19"/>
      <c r="FJ5" s="19"/>
      <c r="FK5" s="19"/>
      <c r="FL5" s="19"/>
      <c r="FM5" s="19"/>
      <c r="FN5" s="19"/>
      <c r="FO5" s="19"/>
      <c r="FP5" s="19"/>
      <c r="FQ5" s="19"/>
      <c r="FR5" s="19"/>
      <c r="FS5" s="19"/>
      <c r="FT5" s="19"/>
      <c r="FU5" s="19"/>
      <c r="FV5" s="20"/>
      <c r="FW5" s="19"/>
      <c r="FX5" s="19"/>
      <c r="FY5" s="19"/>
      <c r="FZ5" s="19"/>
      <c r="GA5" s="19"/>
      <c r="GB5" s="19"/>
      <c r="GC5" s="19"/>
      <c r="GD5" s="19"/>
      <c r="GE5" s="19"/>
      <c r="GF5" s="19"/>
      <c r="GG5" s="19"/>
      <c r="GH5" s="19"/>
      <c r="GI5">
        <v>193</v>
      </c>
      <c r="GJ5" s="19"/>
      <c r="GK5" s="19"/>
      <c r="GL5" s="19"/>
      <c r="GM5" s="19"/>
      <c r="GN5" s="19"/>
      <c r="GO5" s="19"/>
      <c r="GP5" s="19"/>
      <c r="GQ5" s="19"/>
      <c r="GR5" s="19"/>
      <c r="GS5" s="19"/>
      <c r="GT5" s="19"/>
      <c r="GU5" s="21"/>
      <c r="GV5" s="19"/>
      <c r="GW5" s="19"/>
      <c r="GX5" s="19"/>
      <c r="GY5" s="19"/>
      <c r="GZ5" s="19"/>
      <c r="HA5" s="19"/>
      <c r="HB5" s="19"/>
      <c r="HC5" s="19"/>
      <c r="HD5" s="19"/>
      <c r="HE5" s="19"/>
      <c r="HF5" s="19"/>
      <c r="HG5" s="20"/>
      <c r="HH5" s="19"/>
      <c r="HI5" s="19"/>
      <c r="HJ5" s="19"/>
      <c r="HK5" s="19"/>
      <c r="HL5" s="19"/>
      <c r="HM5" s="19"/>
      <c r="HN5" s="19"/>
      <c r="HO5" s="19"/>
      <c r="HP5" s="19"/>
      <c r="HQ5" s="19"/>
      <c r="HR5" s="19"/>
      <c r="HS5" s="19"/>
      <c r="IV5">
        <v>24</v>
      </c>
      <c r="IX5">
        <v>1</v>
      </c>
      <c r="JA5">
        <v>1</v>
      </c>
      <c r="JF5">
        <v>1</v>
      </c>
      <c r="JP5">
        <v>1</v>
      </c>
      <c r="KY5">
        <v>1</v>
      </c>
      <c r="LB5">
        <v>1</v>
      </c>
      <c r="MA5">
        <v>50</v>
      </c>
      <c r="MB5">
        <v>3</v>
      </c>
      <c r="ME5">
        <v>1</v>
      </c>
      <c r="MQ5">
        <v>1</v>
      </c>
      <c r="MR5">
        <v>3</v>
      </c>
      <c r="NB5">
        <v>1</v>
      </c>
      <c r="ND5">
        <v>3</v>
      </c>
      <c r="NN5">
        <v>1</v>
      </c>
      <c r="NO5">
        <v>3</v>
      </c>
      <c r="RK5" t="s">
        <v>1718</v>
      </c>
      <c r="SN5">
        <v>1000</v>
      </c>
      <c r="SO5">
        <v>3</v>
      </c>
      <c r="SR5">
        <v>1</v>
      </c>
      <c r="BAQ5">
        <v>1</v>
      </c>
      <c r="BAR5">
        <v>1</v>
      </c>
      <c r="BAT5">
        <v>1</v>
      </c>
      <c r="BAY5">
        <v>1</v>
      </c>
      <c r="BCE5">
        <v>1</v>
      </c>
      <c r="BCG5">
        <v>1</v>
      </c>
      <c r="BDB5">
        <v>1</v>
      </c>
      <c r="BDV5">
        <v>1</v>
      </c>
      <c r="BDW5">
        <v>1</v>
      </c>
      <c r="BDX5">
        <v>1</v>
      </c>
      <c r="BFA5">
        <v>1</v>
      </c>
    </row>
    <row r="6" spans="1:1623" x14ac:dyDescent="0.25">
      <c r="A6" s="7">
        <v>12061933</v>
      </c>
      <c r="B6" s="61"/>
      <c r="C6" s="19"/>
      <c r="D6" s="19"/>
      <c r="E6" s="19"/>
      <c r="F6" s="19"/>
      <c r="G6" s="19"/>
      <c r="H6" s="19"/>
      <c r="I6" s="19"/>
      <c r="J6" s="19"/>
      <c r="K6" s="19"/>
      <c r="L6" s="20"/>
      <c r="M6" s="20"/>
      <c r="N6" s="20"/>
      <c r="O6" s="20"/>
      <c r="P6" s="20"/>
      <c r="Q6" s="20"/>
      <c r="R6" s="19"/>
      <c r="S6" s="19"/>
      <c r="T6" s="19"/>
      <c r="U6" s="19"/>
      <c r="V6" s="19"/>
      <c r="W6" s="20"/>
      <c r="X6" s="20"/>
      <c r="Y6" s="20"/>
      <c r="Z6" s="19"/>
      <c r="AA6" s="19"/>
      <c r="AB6" s="19"/>
      <c r="AC6" s="19"/>
      <c r="AD6" s="19"/>
      <c r="AE6" s="19"/>
      <c r="AF6" s="19"/>
      <c r="AG6" s="19"/>
      <c r="AH6" s="20"/>
      <c r="AI6" s="20"/>
      <c r="AJ6" s="20"/>
      <c r="AK6" s="20"/>
      <c r="AL6" s="20"/>
      <c r="AM6" s="19"/>
      <c r="AN6" s="19"/>
      <c r="AO6" s="19"/>
      <c r="AP6" s="19"/>
      <c r="AQ6" s="19"/>
      <c r="AR6" s="19"/>
      <c r="AS6" s="19"/>
      <c r="AT6" s="19"/>
      <c r="AU6" s="19"/>
      <c r="AV6" s="19"/>
      <c r="AW6" s="19"/>
      <c r="AX6" s="19"/>
      <c r="AY6" s="19"/>
      <c r="AZ6" s="19"/>
      <c r="BA6" s="19"/>
      <c r="BB6" s="19"/>
      <c r="BC6" s="19"/>
      <c r="BD6" s="19"/>
      <c r="BE6" s="19"/>
      <c r="BF6" s="19"/>
      <c r="BG6" s="19"/>
      <c r="BH6" s="19"/>
      <c r="BI6" s="19"/>
      <c r="BJ6" s="19"/>
      <c r="BK6" s="19"/>
      <c r="BL6" s="19"/>
      <c r="BM6" s="19"/>
      <c r="BN6" s="19"/>
      <c r="BO6" s="19"/>
      <c r="BP6" s="19"/>
      <c r="BQ6" s="19"/>
      <c r="BR6" s="19"/>
      <c r="BS6" s="19"/>
      <c r="BT6" s="19"/>
      <c r="BU6" s="19"/>
      <c r="BV6" s="19"/>
      <c r="BW6" s="19"/>
      <c r="BX6" s="19"/>
      <c r="BY6" s="19"/>
      <c r="BZ6" s="19"/>
      <c r="CA6" s="19"/>
      <c r="CB6" s="19"/>
      <c r="CC6" s="19"/>
      <c r="CD6" s="19"/>
      <c r="CE6" s="19"/>
      <c r="CF6" s="19"/>
      <c r="CG6" s="19"/>
      <c r="CH6" s="19"/>
      <c r="CI6" s="19"/>
      <c r="CJ6" s="19"/>
      <c r="CK6" s="19"/>
      <c r="CL6" s="19"/>
      <c r="CM6" s="19"/>
      <c r="CN6" s="19"/>
      <c r="CO6" s="19"/>
      <c r="CP6" s="19"/>
      <c r="CQ6" s="19"/>
      <c r="CR6" s="19"/>
      <c r="CS6" s="19"/>
      <c r="CT6" s="19"/>
      <c r="CU6" s="19"/>
      <c r="CV6" s="19"/>
      <c r="CW6" s="19"/>
      <c r="CX6" s="19"/>
      <c r="CY6" s="19"/>
      <c r="CZ6" s="19"/>
      <c r="DA6" s="19"/>
      <c r="DB6" s="19"/>
      <c r="DC6" s="19"/>
      <c r="DD6" s="21"/>
      <c r="DE6" s="21"/>
      <c r="DF6" s="19"/>
      <c r="DG6" s="19"/>
      <c r="DH6" s="19"/>
      <c r="DI6" s="19"/>
      <c r="DJ6" s="19"/>
      <c r="DK6" s="19"/>
      <c r="DL6" s="19"/>
      <c r="DM6" s="19"/>
      <c r="DN6" s="19"/>
      <c r="DO6" s="19"/>
      <c r="DP6" s="19"/>
      <c r="DQ6" s="19"/>
      <c r="DR6" s="19"/>
      <c r="DS6" s="19"/>
      <c r="DT6" s="19"/>
      <c r="DU6" s="19"/>
      <c r="DV6" s="19"/>
      <c r="DW6" s="19"/>
      <c r="DX6" s="19"/>
      <c r="DY6" s="19"/>
      <c r="DZ6" s="19"/>
      <c r="EA6" s="19"/>
      <c r="EB6" s="19"/>
      <c r="EC6" s="20"/>
      <c r="ED6" s="20"/>
      <c r="EE6" s="20"/>
      <c r="EF6" s="20"/>
      <c r="EG6" s="20"/>
      <c r="EH6" s="20"/>
      <c r="EI6" s="20"/>
      <c r="EJ6" s="20"/>
      <c r="EK6" s="20"/>
      <c r="EL6" s="20"/>
      <c r="EM6" s="20"/>
      <c r="EN6" s="19"/>
      <c r="EO6" s="19"/>
      <c r="EP6" s="19"/>
      <c r="EQ6" s="19"/>
      <c r="ER6" s="19"/>
      <c r="ES6" s="19"/>
      <c r="ET6" s="19"/>
      <c r="EU6" s="19"/>
      <c r="EV6" s="20"/>
      <c r="EW6" s="20"/>
      <c r="EX6" s="20"/>
      <c r="EY6" s="19"/>
      <c r="EZ6" s="19"/>
      <c r="FA6" s="19"/>
      <c r="FB6" s="19"/>
      <c r="FC6" s="19"/>
      <c r="FD6" s="19"/>
      <c r="FE6" s="19"/>
      <c r="FF6" s="20"/>
      <c r="FG6" s="19"/>
      <c r="FH6" s="20"/>
      <c r="FI6" s="19"/>
      <c r="FJ6" s="19"/>
      <c r="FK6" s="19"/>
      <c r="FL6" s="19"/>
      <c r="FM6" s="19"/>
      <c r="FN6" s="19"/>
      <c r="FO6" s="19"/>
      <c r="FP6" s="19"/>
      <c r="FQ6" s="19"/>
      <c r="FR6" s="19"/>
      <c r="FS6" s="19"/>
      <c r="FT6" s="19"/>
      <c r="FU6" s="19"/>
      <c r="FV6" s="20"/>
      <c r="FW6" s="19"/>
      <c r="FX6" s="19"/>
      <c r="FY6" s="19"/>
      <c r="FZ6" s="19"/>
      <c r="GA6" s="19"/>
      <c r="GB6" s="19"/>
      <c r="GC6" s="19"/>
      <c r="GD6" s="19"/>
      <c r="GE6" s="19"/>
      <c r="GF6" s="19"/>
      <c r="GG6" s="19"/>
      <c r="GH6" s="19"/>
      <c r="GI6" s="19"/>
      <c r="GJ6" s="19"/>
      <c r="GK6" s="19"/>
      <c r="GL6" s="19"/>
      <c r="GM6" s="19"/>
      <c r="GN6" s="19"/>
      <c r="GO6" s="19"/>
      <c r="GP6" s="19"/>
      <c r="GQ6" s="19"/>
      <c r="GR6" s="19"/>
      <c r="GS6" s="19"/>
      <c r="GT6" s="19"/>
      <c r="GU6" s="21"/>
      <c r="GV6" s="19"/>
      <c r="GW6" s="19"/>
      <c r="GX6" s="19"/>
      <c r="GY6" s="19"/>
      <c r="GZ6" s="19"/>
      <c r="HA6" s="19"/>
      <c r="HB6" s="19"/>
      <c r="HC6" s="19"/>
      <c r="HD6" s="19"/>
      <c r="HE6" s="19"/>
      <c r="HF6" s="19"/>
      <c r="HG6" s="20"/>
      <c r="HH6" s="19"/>
      <c r="HI6" s="19"/>
      <c r="HJ6" s="19"/>
      <c r="HK6" s="19"/>
      <c r="HL6" s="19"/>
      <c r="HM6" s="19"/>
      <c r="HN6" s="19"/>
      <c r="HO6" s="19"/>
      <c r="HP6" s="19"/>
      <c r="HQ6" s="19"/>
      <c r="HR6" s="19"/>
      <c r="HS6" s="19"/>
      <c r="HT6" t="s">
        <v>22</v>
      </c>
      <c r="HU6" s="7" t="s">
        <v>24</v>
      </c>
      <c r="HV6" s="7" t="s">
        <v>26</v>
      </c>
      <c r="HW6" s="7" t="s">
        <v>28</v>
      </c>
      <c r="HX6" s="7" t="s">
        <v>30</v>
      </c>
      <c r="IV6">
        <v>31</v>
      </c>
      <c r="IX6">
        <v>1</v>
      </c>
      <c r="JA6">
        <v>1</v>
      </c>
      <c r="KO6">
        <v>1</v>
      </c>
      <c r="KP6">
        <v>1</v>
      </c>
      <c r="KR6">
        <v>1</v>
      </c>
      <c r="KS6">
        <v>1</v>
      </c>
      <c r="KX6">
        <v>1</v>
      </c>
      <c r="LZ6">
        <v>1</v>
      </c>
      <c r="OE6">
        <v>1</v>
      </c>
      <c r="ADB6">
        <v>1</v>
      </c>
      <c r="ADM6">
        <v>1</v>
      </c>
      <c r="BCB6">
        <v>1</v>
      </c>
      <c r="BCC6">
        <v>1</v>
      </c>
      <c r="BCD6">
        <v>1</v>
      </c>
      <c r="BCH6">
        <v>1</v>
      </c>
      <c r="BCZ6">
        <v>1</v>
      </c>
      <c r="BDF6">
        <v>1</v>
      </c>
      <c r="BDK6">
        <v>1</v>
      </c>
      <c r="BDL6">
        <v>1</v>
      </c>
      <c r="BDM6">
        <v>1</v>
      </c>
      <c r="BDQ6">
        <v>1</v>
      </c>
      <c r="BDU6">
        <v>1</v>
      </c>
      <c r="BDV6">
        <v>1</v>
      </c>
      <c r="BDY6">
        <v>1</v>
      </c>
      <c r="BFI6">
        <v>1</v>
      </c>
      <c r="BFJ6">
        <v>1</v>
      </c>
      <c r="BFN6">
        <v>1</v>
      </c>
      <c r="BFT6">
        <v>1</v>
      </c>
      <c r="BIL6">
        <v>1</v>
      </c>
      <c r="BIN6">
        <v>1</v>
      </c>
      <c r="BIO6">
        <v>1</v>
      </c>
      <c r="BIW6">
        <v>1</v>
      </c>
    </row>
    <row r="7" spans="1:1623" x14ac:dyDescent="0.25">
      <c r="A7" s="71">
        <v>95005911</v>
      </c>
      <c r="B7" s="55"/>
      <c r="C7" s="61"/>
      <c r="BV7">
        <v>40</v>
      </c>
      <c r="CM7">
        <v>70</v>
      </c>
      <c r="DX7">
        <v>16</v>
      </c>
      <c r="GI7">
        <v>5.3</v>
      </c>
      <c r="IV7">
        <v>56</v>
      </c>
      <c r="IX7">
        <v>1</v>
      </c>
      <c r="IY7">
        <v>26</v>
      </c>
      <c r="JB7">
        <v>26</v>
      </c>
      <c r="JC7">
        <v>1</v>
      </c>
      <c r="KK7">
        <v>1</v>
      </c>
      <c r="KL7">
        <v>1</v>
      </c>
      <c r="LH7">
        <v>1</v>
      </c>
      <c r="LZ7">
        <v>1</v>
      </c>
      <c r="MC7">
        <v>1</v>
      </c>
      <c r="MG7">
        <v>3</v>
      </c>
      <c r="MH7">
        <v>18</v>
      </c>
      <c r="MI7">
        <v>15</v>
      </c>
      <c r="MJ7" s="75">
        <v>0</v>
      </c>
      <c r="MK7">
        <v>3</v>
      </c>
      <c r="NJ7">
        <v>100</v>
      </c>
      <c r="NN7">
        <v>1</v>
      </c>
      <c r="NO7">
        <v>22</v>
      </c>
      <c r="NP7">
        <v>18</v>
      </c>
      <c r="NQ7">
        <v>0</v>
      </c>
      <c r="NR7">
        <v>3</v>
      </c>
      <c r="NS7">
        <v>4</v>
      </c>
      <c r="NT7">
        <v>1</v>
      </c>
      <c r="NW7">
        <v>1</v>
      </c>
      <c r="NZ7">
        <v>3</v>
      </c>
      <c r="OA7">
        <v>18</v>
      </c>
      <c r="OB7">
        <v>15</v>
      </c>
      <c r="OC7">
        <v>0</v>
      </c>
      <c r="OD7">
        <v>5</v>
      </c>
      <c r="PT7">
        <v>1</v>
      </c>
      <c r="PW7">
        <v>1</v>
      </c>
      <c r="PZ7">
        <v>3</v>
      </c>
      <c r="QA7">
        <v>18</v>
      </c>
      <c r="QB7">
        <v>15</v>
      </c>
      <c r="QC7">
        <v>0</v>
      </c>
      <c r="QD7">
        <v>5</v>
      </c>
      <c r="UV7">
        <v>1</v>
      </c>
      <c r="VA7">
        <v>1</v>
      </c>
      <c r="VB7" s="36">
        <v>27</v>
      </c>
      <c r="VC7">
        <v>999</v>
      </c>
      <c r="VD7">
        <v>0</v>
      </c>
      <c r="VE7">
        <v>2</v>
      </c>
      <c r="VF7">
        <v>5</v>
      </c>
      <c r="AKW7">
        <v>1</v>
      </c>
      <c r="AKZ7">
        <v>1</v>
      </c>
      <c r="AML7">
        <v>1</v>
      </c>
      <c r="AMQ7">
        <v>1</v>
      </c>
      <c r="AMR7" s="72">
        <v>24</v>
      </c>
      <c r="AMS7">
        <v>18</v>
      </c>
      <c r="AMT7">
        <v>0</v>
      </c>
      <c r="AMU7">
        <v>999</v>
      </c>
      <c r="AMV7">
        <v>6</v>
      </c>
      <c r="AOU7">
        <v>1</v>
      </c>
      <c r="AOZ7">
        <v>1</v>
      </c>
      <c r="APA7">
        <v>22</v>
      </c>
      <c r="APB7">
        <v>18</v>
      </c>
      <c r="APC7">
        <v>0</v>
      </c>
      <c r="APD7">
        <v>3</v>
      </c>
      <c r="APE7">
        <v>4</v>
      </c>
      <c r="AYL7">
        <v>1</v>
      </c>
      <c r="AYQ7">
        <v>1</v>
      </c>
      <c r="AYR7" s="36">
        <v>29</v>
      </c>
      <c r="AYS7">
        <v>999</v>
      </c>
      <c r="AYT7">
        <v>0</v>
      </c>
      <c r="AYU7">
        <v>999</v>
      </c>
      <c r="AYV7">
        <v>6</v>
      </c>
      <c r="AYW7">
        <v>1</v>
      </c>
      <c r="AYZ7">
        <v>1</v>
      </c>
      <c r="AZC7">
        <v>3</v>
      </c>
      <c r="AZD7">
        <v>18</v>
      </c>
      <c r="AZE7">
        <v>15</v>
      </c>
      <c r="AZF7">
        <v>0</v>
      </c>
      <c r="AZG7">
        <v>6</v>
      </c>
    </row>
    <row r="8" spans="1:1623" x14ac:dyDescent="0.25">
      <c r="A8" s="71">
        <v>99001908</v>
      </c>
      <c r="B8" s="55"/>
      <c r="C8" s="18"/>
      <c r="CM8">
        <v>25</v>
      </c>
      <c r="DD8">
        <v>253</v>
      </c>
      <c r="IV8">
        <v>81</v>
      </c>
      <c r="IX8">
        <v>1</v>
      </c>
      <c r="IY8" s="5">
        <v>24.6</v>
      </c>
      <c r="JA8">
        <v>1</v>
      </c>
      <c r="JB8">
        <v>46</v>
      </c>
      <c r="JM8">
        <v>1</v>
      </c>
      <c r="JR8">
        <v>1</v>
      </c>
      <c r="KQ8">
        <v>1</v>
      </c>
      <c r="LF8">
        <v>1</v>
      </c>
      <c r="LG8">
        <v>1</v>
      </c>
      <c r="MB8">
        <v>1</v>
      </c>
      <c r="ME8">
        <v>1</v>
      </c>
      <c r="MG8" s="36">
        <v>19</v>
      </c>
      <c r="MH8">
        <v>999</v>
      </c>
      <c r="MI8">
        <v>9</v>
      </c>
      <c r="MJ8" s="76">
        <v>0</v>
      </c>
      <c r="MK8">
        <v>4</v>
      </c>
      <c r="RM8">
        <v>1</v>
      </c>
      <c r="RO8">
        <v>4</v>
      </c>
      <c r="RP8">
        <v>19</v>
      </c>
      <c r="RQ8">
        <v>11</v>
      </c>
      <c r="RR8">
        <v>0</v>
      </c>
      <c r="RS8">
        <v>5</v>
      </c>
      <c r="WL8">
        <v>1</v>
      </c>
      <c r="WO8">
        <v>1</v>
      </c>
      <c r="WP8" s="73">
        <v>29</v>
      </c>
      <c r="WQ8">
        <v>999</v>
      </c>
      <c r="WR8">
        <v>0</v>
      </c>
      <c r="WS8">
        <v>999</v>
      </c>
      <c r="WT8">
        <v>5</v>
      </c>
      <c r="XY8">
        <v>5</v>
      </c>
      <c r="XZ8">
        <v>2</v>
      </c>
      <c r="YC8">
        <v>1</v>
      </c>
      <c r="YD8" s="73">
        <v>29</v>
      </c>
      <c r="YE8">
        <v>999</v>
      </c>
      <c r="YF8">
        <v>0</v>
      </c>
      <c r="YG8">
        <v>999</v>
      </c>
      <c r="YH8">
        <v>6</v>
      </c>
      <c r="AVX8">
        <v>1</v>
      </c>
      <c r="AVY8" s="72">
        <v>9</v>
      </c>
      <c r="AVZ8">
        <v>7</v>
      </c>
      <c r="AWA8">
        <v>0</v>
      </c>
      <c r="AWB8">
        <v>999</v>
      </c>
      <c r="AWC8">
        <v>6</v>
      </c>
      <c r="AZI8">
        <v>2</v>
      </c>
      <c r="AZL8">
        <v>1</v>
      </c>
      <c r="AZM8" s="72">
        <v>9</v>
      </c>
      <c r="AZN8">
        <v>7</v>
      </c>
      <c r="AZO8">
        <v>0</v>
      </c>
      <c r="AZP8">
        <v>999</v>
      </c>
      <c r="AZQ8">
        <v>6</v>
      </c>
      <c r="AZR8">
        <v>1</v>
      </c>
      <c r="AZS8">
        <v>2</v>
      </c>
      <c r="AZW8" s="73">
        <v>29</v>
      </c>
      <c r="AZX8">
        <v>999</v>
      </c>
      <c r="AZY8">
        <v>0</v>
      </c>
      <c r="AZZ8">
        <v>999</v>
      </c>
      <c r="BAA8">
        <v>6</v>
      </c>
      <c r="BAR8">
        <v>1</v>
      </c>
      <c r="BAT8">
        <v>1</v>
      </c>
      <c r="BBB8">
        <v>1</v>
      </c>
      <c r="BCP8">
        <v>1</v>
      </c>
      <c r="BDY8">
        <v>1</v>
      </c>
      <c r="BDZ8">
        <v>1</v>
      </c>
    </row>
    <row r="9" spans="1:1623" x14ac:dyDescent="0.25">
      <c r="A9" s="7">
        <v>99004067</v>
      </c>
      <c r="B9" s="55"/>
      <c r="C9" s="61"/>
      <c r="AI9" s="67">
        <v>0.215</v>
      </c>
      <c r="AJ9" s="67"/>
      <c r="BE9">
        <v>20</v>
      </c>
      <c r="BV9">
        <v>22</v>
      </c>
      <c r="CM9">
        <v>106</v>
      </c>
      <c r="DR9">
        <v>21.5</v>
      </c>
      <c r="FH9">
        <v>1.45</v>
      </c>
      <c r="GN9">
        <v>114.2</v>
      </c>
      <c r="IV9">
        <v>68</v>
      </c>
      <c r="IX9">
        <v>1</v>
      </c>
      <c r="IY9">
        <v>25.1</v>
      </c>
      <c r="JB9">
        <v>24</v>
      </c>
      <c r="JC9">
        <v>1</v>
      </c>
      <c r="JD9">
        <v>1</v>
      </c>
      <c r="JE9">
        <v>1</v>
      </c>
      <c r="JF9">
        <v>1</v>
      </c>
      <c r="JH9">
        <v>1</v>
      </c>
      <c r="JL9">
        <v>1</v>
      </c>
      <c r="JO9">
        <v>1</v>
      </c>
      <c r="JR9">
        <v>1</v>
      </c>
      <c r="KC9">
        <v>1</v>
      </c>
      <c r="KF9">
        <v>1</v>
      </c>
      <c r="KH9">
        <v>1</v>
      </c>
      <c r="KQ9">
        <v>1</v>
      </c>
      <c r="LP9">
        <v>1</v>
      </c>
      <c r="MA9">
        <v>46.5</v>
      </c>
      <c r="MB9" s="7" t="s">
        <v>1470</v>
      </c>
      <c r="ME9">
        <v>1</v>
      </c>
      <c r="MG9" s="73">
        <v>29</v>
      </c>
      <c r="MH9">
        <v>999</v>
      </c>
      <c r="MI9">
        <v>0</v>
      </c>
      <c r="MJ9">
        <v>999</v>
      </c>
      <c r="MK9">
        <v>4</v>
      </c>
      <c r="NJ9">
        <v>500</v>
      </c>
      <c r="NK9">
        <v>0.25</v>
      </c>
      <c r="NN9">
        <v>1</v>
      </c>
      <c r="NO9">
        <v>29</v>
      </c>
      <c r="NP9">
        <v>999</v>
      </c>
      <c r="NQ9">
        <v>0</v>
      </c>
      <c r="NR9">
        <v>999</v>
      </c>
      <c r="NS9">
        <v>5</v>
      </c>
      <c r="SX9">
        <v>500</v>
      </c>
      <c r="SY9">
        <v>2</v>
      </c>
      <c r="TB9">
        <v>1</v>
      </c>
      <c r="TC9">
        <v>14</v>
      </c>
      <c r="TD9">
        <v>11</v>
      </c>
      <c r="TE9">
        <v>0</v>
      </c>
      <c r="TF9">
        <v>2</v>
      </c>
      <c r="TG9">
        <v>4</v>
      </c>
      <c r="UL9">
        <v>10</v>
      </c>
      <c r="UM9" s="18">
        <v>1</v>
      </c>
      <c r="UP9">
        <v>1</v>
      </c>
      <c r="UQ9">
        <v>29</v>
      </c>
      <c r="UR9">
        <v>999</v>
      </c>
      <c r="US9">
        <v>0</v>
      </c>
      <c r="UT9">
        <v>999</v>
      </c>
      <c r="UU9">
        <v>5</v>
      </c>
      <c r="WU9">
        <v>1.5</v>
      </c>
      <c r="WV9">
        <v>1</v>
      </c>
      <c r="WY9">
        <v>1</v>
      </c>
      <c r="WZ9" s="73">
        <v>29</v>
      </c>
      <c r="XA9">
        <v>999</v>
      </c>
      <c r="XB9">
        <v>0</v>
      </c>
      <c r="XC9">
        <v>999</v>
      </c>
      <c r="XD9">
        <v>5</v>
      </c>
      <c r="ZD9">
        <v>3</v>
      </c>
      <c r="ZG9">
        <v>1</v>
      </c>
      <c r="ZI9" s="72">
        <v>15</v>
      </c>
      <c r="ZJ9">
        <v>11</v>
      </c>
      <c r="ZK9">
        <v>0</v>
      </c>
      <c r="ZL9">
        <v>999</v>
      </c>
      <c r="ZM9">
        <v>5</v>
      </c>
      <c r="ABC9">
        <v>1</v>
      </c>
      <c r="ABF9">
        <v>1</v>
      </c>
      <c r="ABG9" s="73">
        <v>29</v>
      </c>
      <c r="ABH9">
        <v>999</v>
      </c>
      <c r="ABI9">
        <v>0</v>
      </c>
      <c r="ABJ9">
        <v>999</v>
      </c>
      <c r="ABK9">
        <v>6</v>
      </c>
      <c r="AEH9">
        <v>96</v>
      </c>
      <c r="AEL9">
        <v>1</v>
      </c>
      <c r="AEN9" s="73">
        <v>29</v>
      </c>
      <c r="AEO9">
        <v>999</v>
      </c>
      <c r="AEP9">
        <v>0</v>
      </c>
      <c r="AEQ9">
        <v>999</v>
      </c>
      <c r="AER9">
        <v>6</v>
      </c>
      <c r="AES9">
        <v>2</v>
      </c>
      <c r="AET9">
        <v>1</v>
      </c>
      <c r="AEW9">
        <v>1</v>
      </c>
      <c r="AEX9" s="73">
        <v>29</v>
      </c>
      <c r="AEY9">
        <v>999</v>
      </c>
      <c r="AEZ9">
        <v>0</v>
      </c>
      <c r="AFA9">
        <v>999</v>
      </c>
      <c r="AFB9">
        <v>6</v>
      </c>
      <c r="AFC9">
        <v>1.25</v>
      </c>
      <c r="AFD9">
        <v>3</v>
      </c>
      <c r="AFG9">
        <v>1</v>
      </c>
      <c r="AFH9" s="72">
        <v>15</v>
      </c>
      <c r="AFI9">
        <v>11</v>
      </c>
      <c r="AFJ9">
        <v>0</v>
      </c>
      <c r="AFK9">
        <v>999</v>
      </c>
      <c r="AFL9">
        <v>5</v>
      </c>
      <c r="ALH9">
        <v>200</v>
      </c>
      <c r="ALI9">
        <v>3</v>
      </c>
      <c r="ALL9">
        <v>1</v>
      </c>
      <c r="ALM9">
        <v>14</v>
      </c>
      <c r="ALN9">
        <v>11</v>
      </c>
      <c r="ALO9">
        <v>0</v>
      </c>
      <c r="ALP9">
        <v>2</v>
      </c>
      <c r="ALQ9">
        <v>5</v>
      </c>
      <c r="ARO9" s="74">
        <v>3</v>
      </c>
      <c r="ARR9">
        <v>1</v>
      </c>
      <c r="ARS9" s="72">
        <v>15</v>
      </c>
      <c r="ART9">
        <v>11</v>
      </c>
      <c r="ARU9">
        <v>0</v>
      </c>
      <c r="ARV9">
        <v>999</v>
      </c>
      <c r="ARW9">
        <v>5</v>
      </c>
      <c r="BCP9">
        <v>1</v>
      </c>
      <c r="BDV9">
        <v>1</v>
      </c>
    </row>
    <row r="10" spans="1:1623" x14ac:dyDescent="0.25">
      <c r="A10" s="7">
        <v>97002136</v>
      </c>
      <c r="B10" s="61"/>
      <c r="C10" s="18"/>
      <c r="BE10">
        <v>189</v>
      </c>
      <c r="BV10">
        <v>44</v>
      </c>
      <c r="CM10">
        <v>440</v>
      </c>
      <c r="DD10">
        <v>462</v>
      </c>
      <c r="HR10" s="7" t="s">
        <v>30</v>
      </c>
      <c r="HS10" s="7" t="s">
        <v>30</v>
      </c>
      <c r="IV10">
        <v>71</v>
      </c>
      <c r="IX10">
        <v>1</v>
      </c>
      <c r="IY10">
        <v>24.4</v>
      </c>
      <c r="JB10">
        <v>45</v>
      </c>
      <c r="JF10">
        <v>1</v>
      </c>
      <c r="KB10">
        <v>1</v>
      </c>
      <c r="LI10">
        <v>1</v>
      </c>
      <c r="MF10">
        <v>1</v>
      </c>
      <c r="MG10" s="72">
        <v>22</v>
      </c>
      <c r="MH10">
        <v>17</v>
      </c>
      <c r="MI10">
        <v>0</v>
      </c>
      <c r="MJ10">
        <v>999</v>
      </c>
      <c r="MK10">
        <v>6</v>
      </c>
      <c r="XE10">
        <v>1</v>
      </c>
      <c r="XF10">
        <v>1</v>
      </c>
      <c r="XI10">
        <v>1</v>
      </c>
      <c r="XJ10" s="36">
        <v>28</v>
      </c>
      <c r="XK10">
        <v>24</v>
      </c>
      <c r="XL10">
        <v>0</v>
      </c>
      <c r="XM10">
        <v>3</v>
      </c>
      <c r="XN10">
        <v>6</v>
      </c>
      <c r="XP10">
        <v>1</v>
      </c>
      <c r="XS10">
        <v>1</v>
      </c>
      <c r="XT10" s="72">
        <v>21</v>
      </c>
      <c r="XU10">
        <v>17</v>
      </c>
      <c r="XV10">
        <v>0</v>
      </c>
      <c r="XW10">
        <v>999</v>
      </c>
      <c r="XX10">
        <v>2</v>
      </c>
      <c r="BAR10">
        <v>1</v>
      </c>
      <c r="BDK10">
        <v>1</v>
      </c>
      <c r="BDV10">
        <v>1</v>
      </c>
      <c r="BEC10">
        <v>1</v>
      </c>
      <c r="BEG10">
        <v>1</v>
      </c>
    </row>
    <row r="11" spans="1:1623" x14ac:dyDescent="0.25">
      <c r="B11" s="18"/>
      <c r="C11" s="19"/>
      <c r="D11" s="19"/>
      <c r="E11" s="19"/>
      <c r="F11" s="19"/>
      <c r="G11" s="19"/>
      <c r="H11" s="19"/>
      <c r="I11" s="19"/>
      <c r="J11" s="19"/>
      <c r="K11" s="19"/>
      <c r="L11" s="20"/>
      <c r="M11" s="20"/>
      <c r="N11" s="20"/>
      <c r="O11" s="20"/>
      <c r="P11" s="20"/>
      <c r="Q11" s="20"/>
      <c r="R11" s="19"/>
      <c r="S11" s="19"/>
      <c r="T11" s="19"/>
      <c r="U11" s="19"/>
      <c r="V11" s="19"/>
      <c r="W11" s="20"/>
      <c r="X11" s="20"/>
      <c r="Y11" s="20"/>
      <c r="Z11" s="19"/>
      <c r="AA11" s="19"/>
      <c r="AB11" s="19"/>
      <c r="AC11" s="19"/>
      <c r="AD11" s="19"/>
      <c r="AE11" s="19"/>
      <c r="AF11" s="19"/>
      <c r="AG11" s="19"/>
      <c r="AH11" s="20"/>
      <c r="AI11" s="20"/>
      <c r="AJ11" s="20"/>
      <c r="AK11" s="20"/>
      <c r="AL11" s="20"/>
      <c r="AM11" s="19"/>
      <c r="AN11" s="19"/>
      <c r="AO11" s="19"/>
      <c r="AP11" s="19"/>
      <c r="AQ11" s="19"/>
      <c r="AR11" s="19"/>
      <c r="AS11" s="19"/>
      <c r="AT11" s="19"/>
      <c r="AU11" s="19"/>
      <c r="AV11" s="19"/>
      <c r="AW11" s="19"/>
      <c r="AX11" s="19"/>
      <c r="AY11" s="19"/>
      <c r="AZ11" s="19"/>
      <c r="BA11" s="19"/>
      <c r="BB11" s="19"/>
      <c r="BC11" s="19"/>
      <c r="BD11" s="19"/>
      <c r="BE11" s="19"/>
      <c r="BF11" s="19"/>
      <c r="BG11" s="19"/>
      <c r="BH11" s="19"/>
      <c r="BI11" s="19"/>
      <c r="BJ11" s="19"/>
      <c r="BK11" s="19"/>
      <c r="BL11" s="19"/>
      <c r="BM11" s="19"/>
      <c r="BN11" s="19"/>
      <c r="BO11" s="19"/>
      <c r="BP11" s="19"/>
      <c r="BQ11" s="19"/>
      <c r="BR11" s="19"/>
      <c r="BS11" s="19"/>
      <c r="BT11" s="19"/>
      <c r="BU11" s="19"/>
      <c r="BV11" s="19"/>
      <c r="BW11" s="19"/>
      <c r="BX11" s="19"/>
      <c r="BY11" s="19"/>
      <c r="BZ11" s="19"/>
      <c r="CA11" s="19"/>
      <c r="CB11" s="19"/>
      <c r="CC11" s="19"/>
      <c r="CD11" s="19"/>
      <c r="CE11" s="19"/>
      <c r="CF11" s="19"/>
      <c r="CG11" s="19"/>
      <c r="CH11" s="19"/>
      <c r="CI11" s="19"/>
      <c r="CJ11" s="19"/>
      <c r="CK11" s="19"/>
      <c r="CL11" s="19"/>
      <c r="CM11" s="19"/>
      <c r="CN11" s="19"/>
      <c r="CO11" s="19"/>
      <c r="CP11" s="19"/>
      <c r="CQ11" s="19"/>
      <c r="CR11" s="19"/>
      <c r="CS11" s="19"/>
      <c r="CT11" s="19"/>
      <c r="CU11" s="19"/>
      <c r="CV11" s="19"/>
      <c r="CW11" s="19"/>
      <c r="CX11" s="19"/>
      <c r="CY11" s="19"/>
      <c r="CZ11" s="19"/>
      <c r="DA11" s="19"/>
      <c r="DB11" s="19"/>
      <c r="DC11" s="19"/>
      <c r="DD11" s="21"/>
      <c r="DE11" s="21"/>
      <c r="DF11" s="19"/>
      <c r="DG11" s="19"/>
      <c r="DH11" s="19"/>
      <c r="DI11" s="19"/>
      <c r="DJ11" s="19"/>
      <c r="DK11" s="19"/>
      <c r="DL11" s="19"/>
      <c r="DM11" s="19"/>
      <c r="DN11" s="19"/>
      <c r="DO11" s="19"/>
      <c r="DP11" s="19"/>
      <c r="DQ11" s="19"/>
      <c r="DR11" s="19"/>
      <c r="DS11" s="19"/>
      <c r="DT11" s="19"/>
      <c r="DU11" s="19"/>
      <c r="DV11" s="19"/>
      <c r="DW11" s="19"/>
      <c r="DX11" s="19"/>
      <c r="DY11" s="19"/>
      <c r="DZ11" s="19"/>
      <c r="EA11" s="19"/>
      <c r="EB11" s="19"/>
      <c r="EC11" s="20"/>
      <c r="ED11" s="20"/>
      <c r="EE11" s="20"/>
      <c r="EF11" s="20"/>
      <c r="EG11" s="20"/>
      <c r="EH11" s="20"/>
      <c r="EI11" s="20"/>
      <c r="EJ11" s="20"/>
      <c r="EK11" s="20"/>
      <c r="EL11" s="20"/>
      <c r="EM11" s="20"/>
      <c r="EN11" s="19"/>
      <c r="EO11" s="19"/>
      <c r="EP11" s="19"/>
      <c r="EQ11" s="19"/>
      <c r="ER11" s="19"/>
      <c r="ES11" s="19"/>
      <c r="ET11" s="19"/>
      <c r="EU11" s="19"/>
      <c r="EV11" s="20"/>
      <c r="EW11" s="20"/>
      <c r="EX11" s="20"/>
      <c r="EY11" s="19"/>
      <c r="EZ11" s="19"/>
      <c r="FA11" s="19"/>
      <c r="FB11" s="19"/>
      <c r="FC11" s="19"/>
      <c r="FD11" s="19"/>
      <c r="FE11" s="19"/>
      <c r="FF11" s="20"/>
      <c r="FG11" s="19"/>
      <c r="FH11" s="20"/>
      <c r="FI11" s="19"/>
      <c r="FJ11" s="19"/>
      <c r="FK11" s="19"/>
      <c r="FL11" s="19"/>
      <c r="FM11" s="19"/>
      <c r="FN11" s="19"/>
      <c r="FO11" s="19"/>
      <c r="FP11" s="19"/>
      <c r="FQ11" s="19"/>
      <c r="FR11" s="19"/>
      <c r="FS11" s="19"/>
      <c r="FT11" s="19"/>
      <c r="FU11" s="19"/>
      <c r="FV11" s="20"/>
      <c r="FW11" s="19"/>
      <c r="FX11" s="19"/>
      <c r="FY11" s="19"/>
      <c r="FZ11" s="19"/>
      <c r="GA11" s="19"/>
      <c r="GB11" s="19"/>
      <c r="GC11" s="19"/>
      <c r="GD11" s="19"/>
      <c r="GE11" s="19"/>
      <c r="GF11" s="19"/>
      <c r="GG11" s="19"/>
      <c r="GH11" s="19"/>
      <c r="GI11" s="19"/>
      <c r="GJ11" s="19"/>
      <c r="GK11" s="19"/>
      <c r="GL11" s="19"/>
      <c r="GM11" s="19"/>
      <c r="GN11" s="19"/>
      <c r="GO11" s="19"/>
      <c r="GP11" s="19"/>
      <c r="GQ11" s="19"/>
      <c r="GR11" s="19"/>
      <c r="GS11" s="19"/>
      <c r="GT11" s="19"/>
      <c r="GU11" s="21"/>
      <c r="GV11" s="19"/>
      <c r="GW11" s="19"/>
      <c r="GX11" s="19"/>
      <c r="GY11" s="19"/>
      <c r="GZ11" s="19"/>
      <c r="HA11" s="19"/>
      <c r="HB11" s="19"/>
      <c r="HC11" s="19"/>
      <c r="HD11" s="19"/>
      <c r="HE11" s="19"/>
      <c r="HF11" s="19"/>
      <c r="HG11" s="20"/>
      <c r="HH11" s="19"/>
      <c r="HI11" s="19"/>
      <c r="HJ11" s="19"/>
      <c r="HK11" s="19"/>
      <c r="HL11" s="19"/>
      <c r="HM11" s="19"/>
      <c r="HN11" s="19"/>
      <c r="HO11" s="19"/>
      <c r="HP11" s="19"/>
      <c r="HQ11" s="19"/>
      <c r="HR11" s="19"/>
      <c r="HS11" s="19"/>
    </row>
    <row r="12" spans="1:1623" x14ac:dyDescent="0.25">
      <c r="A12" s="27" t="s">
        <v>1076</v>
      </c>
      <c r="B12" s="27"/>
      <c r="C12" s="19"/>
      <c r="D12" s="19"/>
      <c r="E12" s="19"/>
      <c r="F12" s="19"/>
      <c r="G12" s="19"/>
      <c r="H12" s="19"/>
      <c r="I12" s="19"/>
      <c r="J12" s="19"/>
      <c r="K12" s="19"/>
      <c r="L12" s="20"/>
      <c r="M12" s="20"/>
      <c r="N12" s="20"/>
      <c r="O12" s="20"/>
      <c r="P12" s="20"/>
      <c r="Q12" s="20"/>
      <c r="R12" s="19"/>
      <c r="S12" s="19"/>
      <c r="T12" s="19"/>
      <c r="U12" s="19"/>
      <c r="V12" s="19"/>
      <c r="W12" s="20"/>
      <c r="X12" s="20"/>
      <c r="Y12" s="20"/>
      <c r="Z12" s="19"/>
      <c r="AA12" s="19"/>
      <c r="AB12" s="19"/>
      <c r="AC12" s="19"/>
      <c r="AD12" s="19"/>
      <c r="AE12" s="19"/>
      <c r="AF12" s="19"/>
      <c r="AG12" s="19"/>
      <c r="AH12" s="20"/>
      <c r="AI12" s="20"/>
      <c r="AJ12" s="20"/>
      <c r="AK12" s="20"/>
      <c r="AL12" s="20"/>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21"/>
      <c r="DE12" s="21"/>
      <c r="DF12" s="19"/>
      <c r="DG12" s="19"/>
      <c r="DH12" s="19"/>
      <c r="DI12" s="19"/>
      <c r="DJ12" s="19"/>
      <c r="DK12" s="19"/>
      <c r="DL12" s="19"/>
      <c r="DM12" s="19"/>
      <c r="DN12" s="19"/>
      <c r="DO12" s="19"/>
      <c r="DP12" s="19"/>
      <c r="DQ12" s="19"/>
      <c r="DR12" s="19"/>
      <c r="DS12" s="19"/>
      <c r="DT12" s="19"/>
      <c r="DU12" s="19"/>
      <c r="DV12" s="19"/>
      <c r="DW12" s="19"/>
      <c r="DX12" s="19"/>
      <c r="DY12" s="19"/>
      <c r="DZ12" s="19"/>
      <c r="EA12" s="19"/>
      <c r="EB12" s="19"/>
      <c r="EC12" s="20"/>
      <c r="ED12" s="20"/>
      <c r="EE12" s="20"/>
      <c r="EF12" s="20"/>
      <c r="EG12" s="20"/>
      <c r="EH12" s="20"/>
      <c r="EI12" s="20"/>
      <c r="EJ12" s="20"/>
      <c r="EK12" s="20"/>
      <c r="EL12" s="20"/>
      <c r="EM12" s="20"/>
      <c r="EN12" s="19"/>
      <c r="EO12" s="19"/>
      <c r="EP12" s="19"/>
      <c r="EQ12" s="19"/>
      <c r="ER12" s="19"/>
      <c r="ES12" s="19"/>
      <c r="ET12" s="19"/>
      <c r="EU12" s="19"/>
      <c r="EV12" s="20"/>
      <c r="EW12" s="20"/>
      <c r="EX12" s="20"/>
      <c r="EY12" s="19"/>
      <c r="EZ12" s="19"/>
      <c r="FA12" s="19"/>
      <c r="FB12" s="19"/>
      <c r="FC12" s="19"/>
      <c r="FD12" s="19"/>
      <c r="FE12" s="19"/>
      <c r="FF12" s="20"/>
      <c r="FG12" s="19"/>
      <c r="FH12" s="20"/>
      <c r="FI12" s="19"/>
      <c r="FJ12" s="19"/>
      <c r="FK12" s="19"/>
      <c r="FL12" s="19"/>
      <c r="FM12" s="19"/>
      <c r="FN12" s="19"/>
      <c r="FO12" s="19"/>
      <c r="FP12" s="19"/>
      <c r="FQ12" s="19"/>
      <c r="FR12" s="19"/>
      <c r="FS12" s="19"/>
      <c r="FT12" s="19"/>
      <c r="FU12" s="19"/>
      <c r="FV12" s="20"/>
      <c r="FW12" s="19"/>
      <c r="FX12" s="19"/>
      <c r="FY12" s="19"/>
      <c r="FZ12" s="19"/>
      <c r="GA12" s="19"/>
      <c r="GB12" s="19"/>
      <c r="GC12" s="19"/>
      <c r="GD12" s="19"/>
      <c r="GE12" s="19"/>
      <c r="GF12" s="19"/>
      <c r="GG12" s="19"/>
      <c r="GH12" s="19"/>
      <c r="GI12" s="19"/>
      <c r="GJ12" s="19"/>
      <c r="GK12" s="19"/>
      <c r="GL12" s="19"/>
      <c r="GM12" s="19"/>
      <c r="GN12" s="19"/>
      <c r="GO12" s="19"/>
      <c r="GP12" s="19"/>
      <c r="GQ12" s="19"/>
      <c r="GR12" s="19"/>
      <c r="GS12" s="19"/>
      <c r="GT12" s="19"/>
      <c r="GU12" s="21"/>
      <c r="GV12" s="19"/>
      <c r="GW12" s="19"/>
      <c r="GX12" s="19"/>
      <c r="GY12" s="19"/>
      <c r="GZ12" s="19"/>
      <c r="HA12" s="19"/>
      <c r="HB12" s="19"/>
      <c r="HC12" s="19"/>
      <c r="HD12" s="19"/>
      <c r="HE12" s="19"/>
      <c r="HF12" s="19"/>
      <c r="HG12" s="20"/>
      <c r="HH12" s="19"/>
      <c r="HI12" s="19"/>
      <c r="HJ12" s="19"/>
      <c r="HK12" s="19"/>
      <c r="HL12" s="19"/>
      <c r="HM12" s="19"/>
      <c r="HN12" s="19"/>
      <c r="HO12" s="19"/>
      <c r="HP12" s="19"/>
      <c r="HQ12" s="19"/>
      <c r="HR12" s="19"/>
      <c r="HS12" s="19"/>
    </row>
    <row r="13" spans="1:1623" x14ac:dyDescent="0.25">
      <c r="A13">
        <v>14242856</v>
      </c>
      <c r="B13" s="18"/>
      <c r="C13" s="19"/>
      <c r="D13" s="19"/>
      <c r="E13" s="19"/>
      <c r="F13" s="19"/>
      <c r="G13" s="19"/>
      <c r="H13" s="19"/>
      <c r="I13" s="19"/>
      <c r="J13" s="19"/>
      <c r="K13" s="19"/>
      <c r="L13" s="20"/>
      <c r="M13" s="20"/>
      <c r="N13" s="20"/>
      <c r="O13" s="20"/>
      <c r="P13" s="20"/>
      <c r="Q13" s="20"/>
      <c r="R13" s="19"/>
      <c r="S13" s="19"/>
      <c r="T13" s="19"/>
      <c r="U13" s="19"/>
      <c r="V13" s="19"/>
      <c r="W13" s="20"/>
      <c r="X13" s="20"/>
      <c r="Y13" s="20"/>
      <c r="Z13" s="19"/>
      <c r="AA13" s="19"/>
      <c r="AB13" s="19"/>
      <c r="AC13" s="19"/>
      <c r="AD13" s="19"/>
      <c r="AE13" s="19"/>
      <c r="AF13" s="19"/>
      <c r="AG13" s="19"/>
      <c r="AH13" s="20"/>
      <c r="AI13" s="23">
        <v>6770</v>
      </c>
      <c r="AJ13" s="23"/>
      <c r="AK13" s="20"/>
      <c r="AL13" s="20"/>
      <c r="AM13" s="19"/>
      <c r="AN13" s="19"/>
      <c r="AO13" s="19"/>
      <c r="AP13" s="19"/>
      <c r="AQ13" s="19"/>
      <c r="AR13" s="19"/>
      <c r="AS13" s="19"/>
      <c r="AT13" s="19"/>
      <c r="AU13" s="19"/>
      <c r="AV13" s="19"/>
      <c r="AW13" s="19"/>
      <c r="AX13" s="19"/>
      <c r="AY13" s="19"/>
      <c r="AZ13" s="19"/>
      <c r="BA13" s="19"/>
      <c r="BB13" s="19"/>
      <c r="BC13" s="19"/>
      <c r="BD13" s="19"/>
      <c r="BE13" s="19">
        <v>80</v>
      </c>
      <c r="BF13" s="19"/>
      <c r="BG13" s="19"/>
      <c r="BH13" s="19"/>
      <c r="BI13" s="19"/>
      <c r="BJ13" s="19"/>
      <c r="BK13" s="19"/>
      <c r="BL13" s="19"/>
      <c r="BM13" s="19"/>
      <c r="BN13" s="19"/>
      <c r="BO13" s="19"/>
      <c r="BP13" s="19"/>
      <c r="BQ13" s="19"/>
      <c r="BR13" s="19"/>
      <c r="BS13" s="19"/>
      <c r="BT13" s="19"/>
      <c r="BU13" s="19"/>
      <c r="BV13">
        <v>145</v>
      </c>
      <c r="BW13" s="19"/>
      <c r="BX13" s="19"/>
      <c r="BY13" s="19"/>
      <c r="BZ13" s="19"/>
      <c r="CA13" s="19"/>
      <c r="CB13" s="19"/>
      <c r="CC13" s="19"/>
      <c r="CD13" s="19"/>
      <c r="CE13" s="19"/>
      <c r="CF13" s="19"/>
      <c r="CG13" s="19"/>
      <c r="CH13" s="19"/>
      <c r="CI13" s="19"/>
      <c r="CJ13" s="19"/>
      <c r="CK13" s="19"/>
      <c r="CL13" s="19"/>
      <c r="CM13" s="19"/>
      <c r="CN13" s="19"/>
      <c r="CO13" s="19"/>
      <c r="CP13" s="19"/>
      <c r="CQ13" s="19"/>
      <c r="CR13" s="19"/>
      <c r="CS13" s="19"/>
      <c r="CT13" s="19"/>
      <c r="CU13" s="19"/>
      <c r="CV13" s="19"/>
      <c r="CW13" s="19"/>
      <c r="CX13" s="19"/>
      <c r="CY13" s="19"/>
      <c r="CZ13" s="19"/>
      <c r="DA13" s="19"/>
      <c r="DB13" s="19"/>
      <c r="DC13" s="19"/>
      <c r="DD13" s="21"/>
      <c r="DE13" s="21"/>
      <c r="DF13" s="19"/>
      <c r="DG13" s="19"/>
      <c r="DH13" s="19"/>
      <c r="DI13" s="19"/>
      <c r="DJ13" s="19"/>
      <c r="DK13" s="19"/>
      <c r="DL13" s="19"/>
      <c r="DM13" s="19"/>
      <c r="DN13" s="19"/>
      <c r="DO13" s="19"/>
      <c r="DP13" s="19"/>
      <c r="DQ13" s="19"/>
      <c r="DR13">
        <v>25</v>
      </c>
      <c r="DT13" s="19"/>
      <c r="DU13" s="19"/>
      <c r="DV13" s="19"/>
      <c r="DW13" s="19"/>
      <c r="DX13" s="19"/>
      <c r="DY13" s="19"/>
      <c r="DZ13" s="19"/>
      <c r="EA13" s="19"/>
      <c r="EB13" s="19"/>
      <c r="EC13">
        <v>12.1</v>
      </c>
      <c r="EN13" s="19"/>
      <c r="EO13" s="19"/>
      <c r="EP13" s="19"/>
      <c r="EQ13" s="19"/>
      <c r="ER13" s="19"/>
      <c r="ES13" s="19"/>
      <c r="ET13" s="19"/>
      <c r="EU13" s="19"/>
      <c r="EV13" s="23">
        <v>5</v>
      </c>
      <c r="EW13" s="20"/>
      <c r="EX13" s="20"/>
      <c r="EY13" s="19"/>
      <c r="EZ13" s="19"/>
      <c r="FA13" s="19"/>
      <c r="FB13" s="19"/>
      <c r="FC13" s="19"/>
      <c r="FD13" s="19"/>
      <c r="FE13" s="19"/>
      <c r="FF13" s="20"/>
      <c r="FG13" s="19"/>
      <c r="FH13" s="20"/>
      <c r="FI13" s="19"/>
      <c r="FJ13" s="19"/>
      <c r="FK13" s="19"/>
      <c r="FL13" s="19"/>
      <c r="FM13" s="19"/>
      <c r="FN13" s="19"/>
      <c r="FO13" s="19"/>
      <c r="FP13" s="19"/>
      <c r="FQ13" s="19"/>
      <c r="FR13" s="19"/>
      <c r="FS13" s="19"/>
      <c r="FT13" s="19"/>
      <c r="FU13" s="19"/>
      <c r="FV13" s="20"/>
      <c r="FW13" s="19"/>
      <c r="FX13" s="19"/>
      <c r="FY13" s="19"/>
      <c r="FZ13" s="19"/>
      <c r="GA13" s="19"/>
      <c r="GB13" s="19"/>
      <c r="GC13" s="19"/>
      <c r="GD13" s="19"/>
      <c r="GE13" s="19"/>
      <c r="GF13" s="19"/>
      <c r="GG13" s="19"/>
      <c r="GH13" s="19"/>
      <c r="GI13" s="19">
        <v>330</v>
      </c>
      <c r="GJ13" s="19"/>
      <c r="GK13" s="19"/>
      <c r="GL13" s="19"/>
      <c r="GM13" s="19"/>
      <c r="GN13" s="19"/>
      <c r="GO13" s="19"/>
      <c r="GP13" s="19"/>
      <c r="GQ13" s="19"/>
      <c r="GR13" s="19"/>
      <c r="GS13" s="19"/>
      <c r="GT13" s="19"/>
      <c r="GU13" s="21">
        <v>466000</v>
      </c>
      <c r="GV13" s="19"/>
      <c r="GW13" s="19"/>
      <c r="GX13" s="19"/>
      <c r="GY13" s="19"/>
      <c r="GZ13" s="19"/>
      <c r="HA13" s="19"/>
      <c r="HB13" s="19"/>
      <c r="HC13" s="19"/>
      <c r="HD13" s="19"/>
      <c r="HE13" s="19"/>
      <c r="HF13" s="19"/>
      <c r="HG13" s="20"/>
      <c r="HH13" s="19"/>
      <c r="HI13">
        <v>1</v>
      </c>
      <c r="HK13">
        <v>4</v>
      </c>
      <c r="HL13">
        <v>80</v>
      </c>
      <c r="HM13" s="19">
        <v>22</v>
      </c>
      <c r="HN13" s="19"/>
      <c r="HO13" s="19"/>
      <c r="HP13" s="19"/>
      <c r="HQ13" s="19"/>
      <c r="HR13" s="19"/>
      <c r="HS13" s="19"/>
      <c r="IV13">
        <v>21</v>
      </c>
      <c r="IX13">
        <v>1</v>
      </c>
      <c r="JA13">
        <v>1</v>
      </c>
      <c r="JB13">
        <v>28</v>
      </c>
      <c r="JF13">
        <v>1</v>
      </c>
      <c r="JH13">
        <v>1</v>
      </c>
      <c r="LQ13">
        <v>1</v>
      </c>
      <c r="ML13">
        <v>1</v>
      </c>
      <c r="BBZ13">
        <v>80</v>
      </c>
      <c r="BCA13">
        <v>1</v>
      </c>
      <c r="BCB13">
        <v>1</v>
      </c>
      <c r="BCZ13">
        <v>1</v>
      </c>
      <c r="BDF13">
        <v>1</v>
      </c>
      <c r="BDK13">
        <v>1</v>
      </c>
      <c r="BDN13">
        <v>1</v>
      </c>
      <c r="BDP13">
        <v>1</v>
      </c>
    </row>
    <row r="14" spans="1:1623" x14ac:dyDescent="0.25">
      <c r="A14">
        <v>99001183</v>
      </c>
      <c r="B14" s="18"/>
      <c r="C14" s="19"/>
      <c r="D14" s="19"/>
      <c r="E14" s="19"/>
      <c r="F14" s="19"/>
      <c r="G14" s="19"/>
      <c r="H14" s="19"/>
      <c r="I14" s="19"/>
      <c r="J14" s="19"/>
      <c r="K14" s="19"/>
      <c r="L14" s="20"/>
      <c r="M14" s="20"/>
      <c r="N14" s="20"/>
      <c r="O14" s="20"/>
      <c r="P14" s="20"/>
      <c r="Q14" s="20"/>
      <c r="R14" s="19"/>
      <c r="S14" s="19"/>
      <c r="T14" s="19"/>
      <c r="U14" s="19"/>
      <c r="V14" s="19"/>
      <c r="W14" s="20"/>
      <c r="X14" s="20"/>
      <c r="Y14" s="20"/>
      <c r="Z14" s="19"/>
      <c r="AA14" s="19"/>
      <c r="AB14" s="19"/>
      <c r="AC14" s="19"/>
      <c r="AD14" s="19"/>
      <c r="AE14" s="19"/>
      <c r="AF14" s="19"/>
      <c r="AG14" s="19"/>
      <c r="AH14" s="20"/>
      <c r="AI14" s="20"/>
      <c r="AJ14" s="20"/>
      <c r="AK14" s="20"/>
      <c r="AL14" s="20"/>
      <c r="AM14" s="19"/>
      <c r="AN14" s="19"/>
      <c r="AO14" s="19"/>
      <c r="AP14" s="19"/>
      <c r="AQ14" s="19"/>
      <c r="AR14" s="19"/>
      <c r="AS14" s="19"/>
      <c r="AT14" s="19">
        <v>116000</v>
      </c>
      <c r="AU14" s="19"/>
      <c r="AV14" s="19"/>
      <c r="AW14" s="19"/>
      <c r="AX14" s="19"/>
      <c r="AY14" s="19"/>
      <c r="AZ14" s="19"/>
      <c r="BA14" s="19"/>
      <c r="BB14" s="19"/>
      <c r="BC14" s="19"/>
      <c r="BD14" s="19"/>
      <c r="BE14" s="19"/>
      <c r="BF14" s="19"/>
      <c r="BG14" s="19"/>
      <c r="BH14" s="19"/>
      <c r="BI14" s="19"/>
      <c r="BJ14" s="19"/>
      <c r="BK14" s="19"/>
      <c r="BL14" s="19"/>
      <c r="BM14" s="19"/>
      <c r="BN14" s="19"/>
      <c r="BO14" s="19"/>
      <c r="BP14" s="19"/>
      <c r="BQ14" s="19"/>
      <c r="BR14" s="19"/>
      <c r="BS14" s="19"/>
      <c r="BT14" s="19"/>
      <c r="BU14" s="19"/>
      <c r="BW14" s="19"/>
      <c r="BX14" s="19"/>
      <c r="BY14" s="19"/>
      <c r="BZ14" s="19"/>
      <c r="CA14" s="19"/>
      <c r="CB14" s="19"/>
      <c r="CC14" s="19"/>
      <c r="CD14" s="19">
        <v>23</v>
      </c>
      <c r="CE14" s="19"/>
      <c r="CF14" s="19"/>
      <c r="CG14" s="19"/>
      <c r="CI14" s="19"/>
      <c r="CJ14" s="19"/>
      <c r="CK14" s="19"/>
      <c r="CL14" s="19"/>
      <c r="CM14" s="19"/>
      <c r="CN14" s="19"/>
      <c r="CO14" s="19"/>
      <c r="CP14" s="19"/>
      <c r="CQ14" s="19"/>
      <c r="CR14" s="19"/>
      <c r="CS14" s="19"/>
      <c r="CT14" s="19"/>
      <c r="CU14" s="19">
        <v>56</v>
      </c>
      <c r="CV14" s="19"/>
      <c r="CW14" s="19"/>
      <c r="CX14" s="19"/>
      <c r="CY14" s="19"/>
      <c r="CZ14" s="19"/>
      <c r="DB14" s="19"/>
      <c r="DC14" s="19"/>
      <c r="DD14" s="21"/>
      <c r="DE14" s="21"/>
      <c r="DF14" s="19"/>
      <c r="DG14" s="19"/>
      <c r="DH14" s="19"/>
      <c r="DI14" s="19"/>
      <c r="DJ14" s="19"/>
      <c r="DK14" s="19"/>
      <c r="DL14" s="19"/>
      <c r="DM14" s="19"/>
      <c r="DN14" s="19"/>
      <c r="DO14" s="19"/>
      <c r="DP14" s="19"/>
      <c r="DQ14" s="19"/>
      <c r="DT14" s="19"/>
      <c r="DU14" s="19"/>
      <c r="DV14" s="19"/>
      <c r="DW14" s="19"/>
      <c r="DX14" s="19"/>
      <c r="DY14" s="19"/>
      <c r="DZ14" s="19"/>
      <c r="EA14" s="19"/>
      <c r="EB14" s="19"/>
      <c r="EN14" s="19"/>
      <c r="EO14" s="19"/>
      <c r="EP14" s="19"/>
      <c r="EQ14" s="19"/>
      <c r="ER14" s="19"/>
      <c r="ES14" s="19"/>
      <c r="ET14" s="19"/>
      <c r="EU14" s="19"/>
      <c r="EV14" s="20"/>
      <c r="EW14" s="20"/>
      <c r="EX14" s="20"/>
      <c r="EY14" s="19"/>
      <c r="EZ14" s="19"/>
      <c r="FA14" s="19"/>
      <c r="FB14" s="19"/>
      <c r="FC14" s="19"/>
      <c r="FD14" s="19"/>
      <c r="FE14" s="19"/>
      <c r="FF14" s="20"/>
      <c r="FG14" s="19"/>
      <c r="FH14" s="20"/>
      <c r="FI14" s="19"/>
      <c r="FJ14" s="19"/>
      <c r="FK14" s="19"/>
      <c r="FL14" s="19"/>
      <c r="FM14" s="19"/>
      <c r="FN14" s="19"/>
      <c r="FO14" s="19"/>
      <c r="FP14" s="19"/>
      <c r="FQ14" s="19"/>
      <c r="FR14" s="19"/>
      <c r="FS14" s="19"/>
      <c r="FT14" s="19"/>
      <c r="FU14" s="19"/>
      <c r="FV14" s="20"/>
      <c r="FW14" s="19"/>
      <c r="FX14" s="19"/>
      <c r="FY14" s="19"/>
      <c r="FZ14" s="19"/>
      <c r="GA14" s="19"/>
      <c r="GB14" s="19"/>
      <c r="GC14" s="19"/>
      <c r="GD14" s="19"/>
      <c r="GE14" s="19"/>
      <c r="GF14" s="19"/>
      <c r="GG14" s="19"/>
      <c r="GH14" s="19"/>
      <c r="GI14" s="19"/>
      <c r="GJ14" s="19"/>
      <c r="GK14" s="19"/>
      <c r="GL14" s="19"/>
      <c r="GM14" s="19"/>
      <c r="GN14" s="19"/>
      <c r="GO14" s="19"/>
      <c r="GP14" s="19"/>
      <c r="GQ14" s="19"/>
      <c r="GR14" s="19"/>
      <c r="GS14" s="19"/>
      <c r="GT14" s="19"/>
      <c r="GU14" s="21"/>
      <c r="GV14" s="19"/>
      <c r="GW14" s="19"/>
      <c r="GX14" s="19"/>
      <c r="GY14" s="19"/>
      <c r="GZ14" s="19"/>
      <c r="HA14" s="19"/>
      <c r="HB14" s="19"/>
      <c r="HC14" s="19"/>
      <c r="HD14" s="19"/>
      <c r="HE14" s="19"/>
      <c r="HF14" s="19"/>
      <c r="HG14" s="20"/>
      <c r="HH14" s="19"/>
      <c r="HM14" s="19"/>
      <c r="HN14" s="19"/>
      <c r="HO14" s="19"/>
      <c r="HP14" s="19"/>
      <c r="HQ14" s="19"/>
      <c r="HR14" s="19"/>
      <c r="HS14" s="19"/>
      <c r="IV14">
        <v>69</v>
      </c>
      <c r="IX14">
        <v>1</v>
      </c>
      <c r="IY14">
        <v>20.100000000000001</v>
      </c>
      <c r="JA14">
        <v>1</v>
      </c>
      <c r="JB14">
        <v>16</v>
      </c>
      <c r="JZ14">
        <v>1</v>
      </c>
      <c r="KE14">
        <v>1</v>
      </c>
      <c r="KG14">
        <v>1</v>
      </c>
      <c r="MM14">
        <v>500</v>
      </c>
      <c r="MN14">
        <v>1</v>
      </c>
      <c r="MQ14">
        <v>1</v>
      </c>
      <c r="MR14" s="72">
        <v>10</v>
      </c>
      <c r="MS14">
        <v>2</v>
      </c>
      <c r="MT14">
        <v>0</v>
      </c>
      <c r="MU14">
        <v>999</v>
      </c>
      <c r="MV14">
        <v>2</v>
      </c>
      <c r="YT14">
        <v>1</v>
      </c>
      <c r="YW14">
        <v>1</v>
      </c>
      <c r="YX14" s="73">
        <v>29</v>
      </c>
      <c r="YY14">
        <v>999</v>
      </c>
      <c r="YZ14">
        <v>0</v>
      </c>
      <c r="ZA14">
        <v>999</v>
      </c>
      <c r="ZB14">
        <v>6</v>
      </c>
      <c r="ATW14">
        <v>1</v>
      </c>
      <c r="ATZ14">
        <v>1</v>
      </c>
      <c r="AUA14" s="73">
        <v>29</v>
      </c>
      <c r="AUB14">
        <v>999</v>
      </c>
      <c r="AUC14">
        <v>0</v>
      </c>
      <c r="AUD14">
        <v>999</v>
      </c>
      <c r="AUE14">
        <v>6</v>
      </c>
      <c r="BAR14">
        <v>1</v>
      </c>
      <c r="BBC14">
        <v>1</v>
      </c>
      <c r="BCP14">
        <v>1</v>
      </c>
      <c r="BDF14">
        <v>1</v>
      </c>
    </row>
    <row r="15" spans="1:1623" x14ac:dyDescent="0.25">
      <c r="A15" s="19"/>
      <c r="B15" s="19"/>
      <c r="C15" s="19"/>
      <c r="D15" s="19"/>
      <c r="E15" s="19"/>
      <c r="F15" s="19"/>
      <c r="G15" s="19"/>
      <c r="H15" s="19"/>
      <c r="I15" s="19"/>
      <c r="J15" s="19"/>
      <c r="K15" s="19"/>
      <c r="L15" s="20"/>
      <c r="M15" s="20"/>
      <c r="N15" s="20"/>
      <c r="O15" s="20"/>
      <c r="P15" s="20"/>
      <c r="Q15" s="20"/>
      <c r="R15" s="19"/>
      <c r="S15" s="19"/>
      <c r="T15" s="19"/>
      <c r="U15" s="19"/>
      <c r="V15" s="19"/>
      <c r="W15" s="20"/>
      <c r="X15" s="20"/>
      <c r="Y15" s="20"/>
      <c r="Z15" s="19"/>
      <c r="AA15" s="19"/>
      <c r="AB15" s="19"/>
      <c r="AC15" s="19"/>
      <c r="AD15" s="19"/>
      <c r="AE15" s="19"/>
      <c r="AF15" s="19"/>
      <c r="AG15" s="19"/>
      <c r="AH15" s="20"/>
      <c r="AI15" s="20"/>
      <c r="AJ15" s="20"/>
      <c r="AK15" s="20"/>
      <c r="AL15" s="20"/>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19"/>
      <c r="BR15" s="19"/>
      <c r="BS15" s="19"/>
      <c r="BT15" s="19"/>
      <c r="BU15" s="19"/>
      <c r="BV15" s="19"/>
      <c r="BW15" s="19"/>
      <c r="BX15" s="19"/>
      <c r="BY15" s="19"/>
      <c r="BZ15" s="19"/>
      <c r="CA15" s="19"/>
      <c r="CB15" s="19"/>
      <c r="CC15" s="19"/>
      <c r="CD15" s="19"/>
      <c r="CE15" s="19"/>
      <c r="CF15" s="19"/>
      <c r="CG15" s="19"/>
      <c r="CH15" s="19"/>
      <c r="CI15" s="19"/>
      <c r="CJ15" s="19"/>
      <c r="CK15" s="19"/>
      <c r="CL15" s="19"/>
      <c r="CM15" s="19"/>
      <c r="CN15" s="19"/>
      <c r="CO15" s="19"/>
      <c r="CP15" s="19"/>
      <c r="CQ15" s="19"/>
      <c r="CR15" s="19"/>
      <c r="CS15" s="19"/>
      <c r="CT15" s="19"/>
      <c r="CU15" s="19"/>
      <c r="CV15" s="19"/>
      <c r="CW15" s="19"/>
      <c r="CX15" s="19"/>
      <c r="CY15" s="19"/>
      <c r="CZ15" s="19"/>
      <c r="DA15" s="19"/>
      <c r="DB15" s="19"/>
      <c r="DC15" s="19"/>
      <c r="DD15" s="21"/>
      <c r="DE15" s="21"/>
      <c r="DF15" s="19"/>
      <c r="DG15" s="19"/>
      <c r="DH15" s="19"/>
      <c r="DI15" s="19"/>
      <c r="DJ15" s="19"/>
      <c r="DK15" s="19"/>
      <c r="DL15" s="19"/>
      <c r="DM15" s="19"/>
      <c r="DN15" s="19"/>
      <c r="DO15" s="19"/>
      <c r="DP15" s="19"/>
      <c r="DQ15" s="19"/>
      <c r="DR15" s="19"/>
      <c r="DS15" s="19"/>
      <c r="DT15" s="19"/>
      <c r="DU15" s="19"/>
      <c r="DV15" s="19"/>
      <c r="DW15" s="19"/>
      <c r="DX15" s="19"/>
      <c r="DY15" s="19"/>
      <c r="DZ15" s="19"/>
      <c r="EA15" s="19"/>
      <c r="EB15" s="19"/>
      <c r="EC15" s="20"/>
      <c r="ED15" s="20"/>
      <c r="EE15" s="20"/>
      <c r="EF15" s="20"/>
      <c r="EG15" s="20"/>
      <c r="EH15" s="20"/>
      <c r="EI15" s="20"/>
      <c r="EJ15" s="20"/>
      <c r="EK15" s="20"/>
      <c r="EL15" s="20"/>
      <c r="EM15" s="20"/>
      <c r="EN15" s="19"/>
      <c r="EO15" s="19"/>
      <c r="EP15" s="19"/>
      <c r="EQ15" s="19"/>
      <c r="ER15" s="19"/>
      <c r="ES15" s="19"/>
      <c r="ET15" s="19"/>
      <c r="EU15" s="19"/>
      <c r="EV15" s="20"/>
      <c r="EW15" s="20"/>
      <c r="EX15" s="20"/>
      <c r="EY15" s="19"/>
      <c r="EZ15" s="19"/>
      <c r="FA15" s="19"/>
      <c r="FB15" s="19"/>
      <c r="FC15" s="19"/>
      <c r="FD15" s="19"/>
      <c r="FE15" s="19"/>
      <c r="FF15" s="20"/>
      <c r="FG15" s="19"/>
      <c r="FH15" s="20"/>
      <c r="FI15" s="19"/>
      <c r="FJ15" s="19"/>
      <c r="FK15" s="19"/>
      <c r="FL15" s="19"/>
      <c r="FM15" s="19"/>
      <c r="FN15" s="19"/>
      <c r="FO15" s="19"/>
      <c r="FP15" s="19"/>
      <c r="FQ15" s="19"/>
      <c r="FR15" s="19"/>
      <c r="FS15" s="19"/>
      <c r="FT15" s="19"/>
      <c r="FU15" s="19"/>
      <c r="FV15" s="20"/>
      <c r="FW15" s="19"/>
      <c r="FX15" s="19"/>
      <c r="FY15" s="19"/>
      <c r="FZ15" s="19"/>
      <c r="GA15" s="19"/>
      <c r="GB15" s="19"/>
      <c r="GC15" s="19"/>
      <c r="GD15" s="19"/>
      <c r="GE15" s="19"/>
      <c r="GF15" s="19"/>
      <c r="GG15" s="19"/>
      <c r="GH15" s="19"/>
      <c r="GI15" s="19"/>
      <c r="GJ15" s="19"/>
      <c r="GK15" s="19"/>
      <c r="GL15" s="19"/>
      <c r="GM15" s="19"/>
      <c r="GN15" s="19"/>
      <c r="GO15" s="19"/>
      <c r="GP15" s="19"/>
      <c r="GQ15" s="19"/>
      <c r="GR15" s="19"/>
      <c r="GS15" s="19"/>
      <c r="GT15" s="19"/>
      <c r="GU15" s="21"/>
      <c r="GV15" s="19"/>
      <c r="GW15" s="19"/>
      <c r="GX15" s="19"/>
      <c r="GY15" s="19"/>
      <c r="GZ15" s="19"/>
      <c r="HA15" s="19"/>
      <c r="HB15" s="19"/>
      <c r="HC15" s="19"/>
      <c r="HD15" s="19"/>
      <c r="HE15" s="19"/>
      <c r="HF15" s="19"/>
      <c r="HG15" s="20"/>
      <c r="HH15" s="19"/>
      <c r="HI15" s="19"/>
      <c r="HJ15" s="19"/>
      <c r="HK15" s="19"/>
      <c r="HL15" s="19"/>
      <c r="HM15" s="19"/>
      <c r="HN15" s="19"/>
      <c r="HO15" s="19"/>
      <c r="HP15" s="19"/>
      <c r="HQ15" s="19"/>
      <c r="HR15" s="19"/>
      <c r="HS15" s="19"/>
    </row>
    <row r="16" spans="1:1623" x14ac:dyDescent="0.25">
      <c r="A16" s="49" t="s">
        <v>1188</v>
      </c>
      <c r="B16" s="49"/>
      <c r="C16" s="19"/>
      <c r="D16" s="19"/>
      <c r="E16" s="19"/>
      <c r="F16" s="19"/>
      <c r="G16" s="19"/>
      <c r="H16" s="19"/>
      <c r="I16" s="19"/>
      <c r="J16" s="19"/>
      <c r="K16" s="19"/>
      <c r="L16" s="20"/>
      <c r="M16" s="20"/>
      <c r="N16" s="20"/>
      <c r="O16" s="20"/>
      <c r="P16" s="20"/>
      <c r="Q16" s="20"/>
      <c r="R16" s="19"/>
      <c r="S16" s="19"/>
      <c r="T16" s="19"/>
      <c r="U16" s="19"/>
      <c r="V16" s="19"/>
      <c r="W16" s="20"/>
      <c r="X16" s="20"/>
      <c r="Y16" s="20"/>
      <c r="Z16" s="19"/>
      <c r="AA16" s="19"/>
      <c r="AB16" s="19"/>
      <c r="AC16" s="19"/>
      <c r="AD16" s="19"/>
      <c r="AE16" s="19"/>
      <c r="AF16" s="19"/>
      <c r="AG16" s="19"/>
      <c r="AH16" s="20"/>
      <c r="AI16" s="20"/>
      <c r="AJ16" s="20"/>
      <c r="AK16" s="20"/>
      <c r="AL16" s="20"/>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c r="CD16" s="19"/>
      <c r="CE16" s="19"/>
      <c r="CF16" s="19"/>
      <c r="CG16" s="19"/>
      <c r="CH16" s="19"/>
      <c r="CI16" s="19"/>
      <c r="CJ16" s="19"/>
      <c r="CK16" s="19"/>
      <c r="CL16" s="19"/>
      <c r="CM16" s="19"/>
      <c r="CN16" s="19"/>
      <c r="CO16" s="19"/>
      <c r="CP16" s="19"/>
      <c r="CQ16" s="19"/>
      <c r="CR16" s="19"/>
      <c r="CS16" s="19"/>
      <c r="CT16" s="19"/>
      <c r="CU16" s="19"/>
      <c r="CV16" s="19"/>
      <c r="CW16" s="19"/>
      <c r="CX16" s="19"/>
      <c r="CY16" s="19"/>
      <c r="CZ16" s="19"/>
      <c r="DA16" s="19"/>
      <c r="DB16" s="19"/>
      <c r="DC16" s="19"/>
      <c r="DD16" s="21"/>
      <c r="DE16" s="21"/>
      <c r="DF16" s="19"/>
      <c r="DG16" s="19"/>
      <c r="DH16" s="19"/>
      <c r="DI16" s="19"/>
      <c r="DJ16" s="19"/>
      <c r="DK16" s="19"/>
      <c r="DL16" s="19"/>
      <c r="DM16" s="19"/>
      <c r="DN16" s="19"/>
      <c r="DO16" s="19"/>
      <c r="DP16" s="19"/>
      <c r="DQ16" s="19"/>
      <c r="DR16" s="19"/>
      <c r="DS16" s="19"/>
      <c r="DT16" s="19"/>
      <c r="DU16" s="19"/>
      <c r="DV16" s="19"/>
      <c r="DW16" s="19"/>
      <c r="DX16" s="19"/>
      <c r="DY16" s="19"/>
      <c r="DZ16" s="19"/>
      <c r="EA16" s="19"/>
      <c r="EB16" s="19"/>
      <c r="EC16" s="20"/>
      <c r="ED16" s="20"/>
      <c r="EE16" s="20"/>
      <c r="EF16" s="20"/>
      <c r="EG16" s="20"/>
      <c r="EH16" s="20"/>
      <c r="EI16" s="20"/>
      <c r="EJ16" s="20"/>
      <c r="EK16" s="20"/>
      <c r="EL16" s="20"/>
      <c r="EM16" s="20"/>
      <c r="EN16" s="19"/>
      <c r="EO16" s="19"/>
      <c r="EP16" s="19"/>
      <c r="EQ16" s="19"/>
      <c r="ER16" s="19"/>
      <c r="ES16" s="19"/>
      <c r="ET16" s="19"/>
      <c r="EU16" s="19"/>
      <c r="EV16" s="20"/>
      <c r="EW16" s="20"/>
      <c r="EX16" s="20"/>
      <c r="EY16" s="19"/>
      <c r="EZ16" s="19"/>
      <c r="FA16" s="19"/>
      <c r="FB16" s="19"/>
      <c r="FC16" s="19"/>
      <c r="FD16" s="19"/>
      <c r="FE16" s="19"/>
      <c r="FF16" s="20"/>
      <c r="FG16" s="19"/>
      <c r="FH16" s="20"/>
      <c r="FI16" s="19"/>
      <c r="FJ16" s="19"/>
      <c r="FK16" s="19"/>
      <c r="FL16" s="19"/>
      <c r="FM16" s="19"/>
      <c r="FN16" s="19"/>
      <c r="FO16" s="19"/>
      <c r="FP16" s="19"/>
      <c r="FQ16" s="19"/>
      <c r="FR16" s="19"/>
      <c r="FS16" s="19"/>
      <c r="FT16" s="19"/>
      <c r="FU16" s="19"/>
      <c r="FV16" s="20"/>
      <c r="FW16" s="19"/>
      <c r="FX16" s="19"/>
      <c r="FY16" s="19"/>
      <c r="FZ16" s="19"/>
      <c r="GA16" s="19"/>
      <c r="GB16" s="19"/>
      <c r="GC16" s="19"/>
      <c r="GD16" s="19"/>
      <c r="GE16" s="19"/>
      <c r="GF16" s="19"/>
      <c r="GG16" s="19"/>
      <c r="GH16" s="19"/>
      <c r="GI16" s="19"/>
      <c r="GJ16" s="19"/>
      <c r="GK16" s="19"/>
      <c r="GL16" s="19"/>
      <c r="GM16" s="19"/>
      <c r="GN16" s="19"/>
      <c r="GO16" s="19"/>
      <c r="GP16" s="19"/>
      <c r="GQ16" s="19"/>
      <c r="GR16" s="19"/>
      <c r="GS16" s="19"/>
      <c r="GT16" s="19"/>
      <c r="GU16" s="21"/>
      <c r="GV16" s="19"/>
      <c r="GW16" s="19"/>
      <c r="GX16" s="19"/>
      <c r="GY16" s="19"/>
      <c r="GZ16" s="19"/>
      <c r="HA16" s="19"/>
      <c r="HB16" s="19"/>
      <c r="HC16" s="19"/>
      <c r="HD16" s="19"/>
      <c r="HE16" s="19"/>
      <c r="HF16" s="19"/>
      <c r="HG16" s="20"/>
      <c r="HH16" s="19"/>
      <c r="HI16" s="19"/>
      <c r="HJ16" s="19"/>
      <c r="HK16" s="19"/>
      <c r="HL16" s="19"/>
      <c r="HM16" s="19"/>
      <c r="HN16" s="19"/>
      <c r="HO16" s="19"/>
      <c r="HP16" s="19"/>
      <c r="HQ16" s="19"/>
      <c r="HR16" s="19"/>
      <c r="HS16" s="19"/>
    </row>
    <row r="17" spans="1:1608" x14ac:dyDescent="0.25">
      <c r="A17" s="44">
        <v>1480</v>
      </c>
      <c r="B17" s="56"/>
      <c r="C17" s="26"/>
      <c r="AR17" s="18">
        <v>11920</v>
      </c>
      <c r="BK17">
        <v>13</v>
      </c>
      <c r="BW17">
        <v>24</v>
      </c>
      <c r="CB17">
        <v>24</v>
      </c>
      <c r="CT17">
        <v>49</v>
      </c>
      <c r="DJ17">
        <v>222</v>
      </c>
      <c r="IV17">
        <v>57</v>
      </c>
      <c r="IX17">
        <v>1</v>
      </c>
      <c r="IY17">
        <v>28.9</v>
      </c>
      <c r="JB17">
        <v>14</v>
      </c>
      <c r="JV17">
        <v>1</v>
      </c>
      <c r="LR17">
        <v>1</v>
      </c>
      <c r="MX17">
        <v>500</v>
      </c>
      <c r="MY17">
        <v>1</v>
      </c>
      <c r="NB17">
        <v>1</v>
      </c>
      <c r="ND17">
        <v>2</v>
      </c>
      <c r="NE17">
        <v>1</v>
      </c>
      <c r="NF17">
        <v>1</v>
      </c>
      <c r="NG17">
        <v>2</v>
      </c>
      <c r="NH17">
        <v>3</v>
      </c>
      <c r="ABN17">
        <v>1</v>
      </c>
      <c r="BDG17">
        <v>1</v>
      </c>
      <c r="BDU17">
        <v>1</v>
      </c>
      <c r="BDV17">
        <v>1</v>
      </c>
      <c r="BDZ17">
        <v>1</v>
      </c>
    </row>
    <row r="18" spans="1:1608" x14ac:dyDescent="0.25">
      <c r="A18" s="18">
        <v>7063959</v>
      </c>
      <c r="B18" s="18"/>
      <c r="C18" s="19"/>
      <c r="D18" s="19"/>
      <c r="E18" s="19"/>
      <c r="F18" s="19"/>
      <c r="G18" s="19"/>
      <c r="H18" s="19"/>
      <c r="I18" s="19"/>
      <c r="J18" s="19"/>
      <c r="K18" s="19"/>
      <c r="L18" s="20"/>
      <c r="M18" s="20"/>
      <c r="N18" s="20"/>
      <c r="O18" s="20"/>
      <c r="P18" s="20"/>
      <c r="Q18" s="20"/>
      <c r="R18" s="19"/>
      <c r="S18" s="19"/>
      <c r="T18" s="19"/>
      <c r="U18" s="19"/>
      <c r="V18" s="19"/>
      <c r="W18" s="20"/>
      <c r="X18" s="20"/>
      <c r="Y18" s="20"/>
      <c r="Z18" s="19"/>
      <c r="AA18" s="19"/>
      <c r="AB18" s="19"/>
      <c r="AC18" s="19"/>
      <c r="AD18" s="19"/>
      <c r="AE18" s="19"/>
      <c r="AF18" s="19"/>
      <c r="AG18" s="19"/>
      <c r="AH18" s="20"/>
      <c r="AI18" s="20"/>
      <c r="AJ18" s="20"/>
      <c r="AK18" s="20"/>
      <c r="AL18" s="20"/>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c r="BR18" s="19"/>
      <c r="BS18" s="19"/>
      <c r="BT18" s="19"/>
      <c r="BU18" s="19"/>
      <c r="BV18" s="19"/>
      <c r="BW18" s="19"/>
      <c r="BX18" s="19"/>
      <c r="BY18" s="19"/>
      <c r="BZ18" s="19"/>
      <c r="CA18" s="19"/>
      <c r="CB18" s="19"/>
      <c r="CC18" s="19"/>
      <c r="CD18" s="19"/>
      <c r="CE18" s="19"/>
      <c r="CF18" s="19"/>
      <c r="CG18" s="19"/>
      <c r="CH18" s="19"/>
      <c r="CI18" s="19"/>
      <c r="CJ18" s="19"/>
      <c r="CK18" s="19"/>
      <c r="CL18" s="19"/>
      <c r="CM18" s="19"/>
      <c r="CN18" s="19"/>
      <c r="CO18" s="19"/>
      <c r="CP18" s="19"/>
      <c r="CQ18" s="19"/>
      <c r="CR18" s="19"/>
      <c r="CS18" s="19"/>
      <c r="CT18" s="19"/>
      <c r="CU18" s="19"/>
      <c r="CV18" s="19"/>
      <c r="CW18" s="19"/>
      <c r="CX18" s="19"/>
      <c r="CY18" s="19"/>
      <c r="CZ18" s="19"/>
      <c r="DA18" s="19"/>
      <c r="DB18" s="19"/>
      <c r="DC18" s="19"/>
      <c r="DD18" s="21"/>
      <c r="DE18" s="21"/>
      <c r="DF18" s="19"/>
      <c r="DG18" s="19"/>
      <c r="DH18" s="19"/>
      <c r="DI18" s="19"/>
      <c r="DJ18" s="19"/>
      <c r="DK18" s="19"/>
      <c r="DL18" s="19"/>
      <c r="DM18" s="19"/>
      <c r="DN18" s="19"/>
      <c r="DO18" s="19"/>
      <c r="DP18" s="19"/>
      <c r="DQ18" s="19"/>
      <c r="DR18" s="19"/>
      <c r="DS18" s="19"/>
      <c r="DT18" s="19"/>
      <c r="DU18" s="19"/>
      <c r="DV18" s="19"/>
      <c r="DW18" s="19"/>
      <c r="DX18" s="19"/>
      <c r="DY18" s="19"/>
      <c r="DZ18" s="19"/>
      <c r="EA18" s="19"/>
      <c r="EB18" s="19"/>
      <c r="EC18" s="20"/>
      <c r="ED18" s="20"/>
      <c r="EE18" s="20"/>
      <c r="EF18" s="20"/>
      <c r="EG18" s="20"/>
      <c r="EH18" s="20"/>
      <c r="EI18" s="20"/>
      <c r="EJ18" s="20"/>
      <c r="EK18" s="20"/>
      <c r="EL18" s="20"/>
      <c r="EM18" s="20"/>
      <c r="EN18" s="19"/>
      <c r="EO18" s="19"/>
      <c r="EP18" s="19"/>
      <c r="EQ18" s="19"/>
      <c r="ER18" s="19"/>
      <c r="ES18" s="19"/>
      <c r="ET18" s="19"/>
      <c r="EU18" s="19"/>
      <c r="EV18" s="20"/>
      <c r="EW18" s="20"/>
      <c r="EX18" s="20"/>
      <c r="EY18" s="19"/>
      <c r="EZ18" s="19"/>
      <c r="FA18" s="19"/>
      <c r="FB18" s="19"/>
      <c r="FC18" s="19"/>
      <c r="FD18" s="19"/>
      <c r="FE18" s="19"/>
      <c r="FF18" s="20"/>
      <c r="FG18" s="19"/>
      <c r="FH18" s="20"/>
      <c r="FI18" s="19"/>
      <c r="FJ18" s="19"/>
      <c r="FK18" s="19"/>
      <c r="FL18" s="19"/>
      <c r="FM18" s="19"/>
      <c r="FN18" s="19"/>
      <c r="FO18" s="19"/>
      <c r="FP18" s="19"/>
      <c r="FQ18" s="19"/>
      <c r="FR18" s="19"/>
      <c r="FS18" s="19"/>
      <c r="FT18" s="19"/>
      <c r="FU18" s="19"/>
      <c r="FV18" s="20"/>
      <c r="FW18" s="19"/>
      <c r="FX18" s="19"/>
      <c r="FY18" s="19"/>
      <c r="FZ18" s="19"/>
      <c r="GA18" s="19"/>
      <c r="GB18" s="19"/>
      <c r="GC18" s="19"/>
      <c r="GD18" s="19"/>
      <c r="GE18" s="19"/>
      <c r="GF18" s="19"/>
      <c r="GG18" s="19"/>
      <c r="GH18" s="19"/>
      <c r="GI18" s="19">
        <v>66</v>
      </c>
      <c r="GJ18" s="19"/>
      <c r="GK18" s="19"/>
      <c r="GL18" s="19"/>
      <c r="GM18" s="19"/>
      <c r="GN18" s="19"/>
      <c r="GO18" s="19"/>
      <c r="GP18" s="19"/>
      <c r="GQ18" s="19"/>
      <c r="GR18" s="19"/>
      <c r="GS18" s="19"/>
      <c r="GT18" s="19"/>
      <c r="GU18" s="21"/>
      <c r="GV18" s="19"/>
      <c r="GW18" s="19"/>
      <c r="GX18" s="19"/>
      <c r="GY18" s="19"/>
      <c r="GZ18" s="19"/>
      <c r="HA18" s="19"/>
      <c r="HB18" s="19"/>
      <c r="HC18" s="19"/>
      <c r="HD18" s="19"/>
      <c r="HE18" s="19"/>
      <c r="HF18" s="19"/>
      <c r="HG18" s="20"/>
      <c r="HH18" s="19"/>
      <c r="HI18" s="19"/>
      <c r="HJ18" s="19"/>
      <c r="HK18" s="19"/>
      <c r="HL18" s="19"/>
      <c r="HM18" s="19"/>
      <c r="HN18" s="19"/>
      <c r="HO18" s="19"/>
      <c r="HP18" s="19"/>
      <c r="HQ18" s="19"/>
      <c r="HR18" s="19"/>
      <c r="HS18" s="19"/>
      <c r="IV18">
        <v>43</v>
      </c>
      <c r="IX18">
        <v>1</v>
      </c>
      <c r="JA18">
        <v>1</v>
      </c>
      <c r="JB18">
        <v>20</v>
      </c>
      <c r="JR18">
        <v>1</v>
      </c>
      <c r="LJ18">
        <v>1</v>
      </c>
      <c r="MW18">
        <v>1</v>
      </c>
      <c r="NI18">
        <v>1</v>
      </c>
      <c r="AQN18">
        <v>1</v>
      </c>
      <c r="AQO18">
        <v>1</v>
      </c>
      <c r="BCA18">
        <v>1</v>
      </c>
      <c r="BDA18">
        <v>1</v>
      </c>
      <c r="BDF18">
        <v>1</v>
      </c>
      <c r="BDQ18">
        <v>1</v>
      </c>
      <c r="BDU18">
        <v>1</v>
      </c>
      <c r="BDZ18">
        <v>1</v>
      </c>
      <c r="BEC18">
        <v>1</v>
      </c>
      <c r="BEG18">
        <v>1</v>
      </c>
      <c r="BEJ18">
        <v>1</v>
      </c>
      <c r="BEM18">
        <v>1</v>
      </c>
      <c r="BFF18">
        <v>1</v>
      </c>
      <c r="BIL18">
        <v>1</v>
      </c>
      <c r="BIQ18">
        <v>1</v>
      </c>
      <c r="BIR18">
        <v>1</v>
      </c>
      <c r="BIS18">
        <v>1</v>
      </c>
      <c r="BIT18">
        <v>1</v>
      </c>
      <c r="BIV18">
        <v>1</v>
      </c>
    </row>
    <row r="19" spans="1:1608" x14ac:dyDescent="0.25">
      <c r="A19" s="7">
        <v>1003215</v>
      </c>
      <c r="B19" s="57"/>
      <c r="C19" s="19"/>
      <c r="D19" s="19"/>
      <c r="E19" s="19"/>
      <c r="F19" s="19"/>
      <c r="G19" s="19"/>
      <c r="H19" s="19"/>
      <c r="I19" s="19"/>
      <c r="J19" s="19"/>
      <c r="K19" s="19"/>
      <c r="L19" s="20"/>
      <c r="M19" s="20"/>
      <c r="N19" s="20"/>
      <c r="O19" s="20"/>
      <c r="P19" s="20"/>
      <c r="Q19" s="20"/>
      <c r="R19" s="19"/>
      <c r="S19" s="19"/>
      <c r="T19" s="19"/>
      <c r="U19" s="19"/>
      <c r="V19" s="19"/>
      <c r="W19" s="20"/>
      <c r="X19" s="20"/>
      <c r="Y19" s="20"/>
      <c r="Z19" s="19"/>
      <c r="AA19" s="19"/>
      <c r="AB19" s="19"/>
      <c r="AC19" s="19"/>
      <c r="AD19" s="19"/>
      <c r="AE19" s="19"/>
      <c r="AF19" s="19"/>
      <c r="AG19" s="19"/>
      <c r="AH19" s="20"/>
      <c r="AI19" s="20"/>
      <c r="AJ19" s="20"/>
      <c r="AK19" s="20"/>
      <c r="AL19" s="20"/>
      <c r="AM19" s="19"/>
      <c r="AN19" s="19"/>
      <c r="AO19" s="19"/>
      <c r="AP19" s="19"/>
      <c r="AQ19" s="19"/>
      <c r="AR19" s="19"/>
      <c r="AS19" s="19"/>
      <c r="AT19" s="19"/>
      <c r="AU19" s="19"/>
      <c r="AV19" s="19"/>
      <c r="AW19" s="19"/>
      <c r="AX19" s="19"/>
      <c r="AY19" s="19"/>
      <c r="AZ19" s="19"/>
      <c r="BA19" s="19"/>
      <c r="BB19" s="19"/>
      <c r="BC19" s="19"/>
      <c r="BD19" s="19"/>
      <c r="BE19" s="19">
        <v>20</v>
      </c>
      <c r="BF19" s="19"/>
      <c r="BG19" s="19"/>
      <c r="BH19" s="19"/>
      <c r="BI19" s="19"/>
      <c r="BJ19" s="19"/>
      <c r="BK19" s="19"/>
      <c r="BL19" s="19"/>
      <c r="BM19" s="19"/>
      <c r="BN19" s="19"/>
      <c r="BO19" s="19"/>
      <c r="BP19" s="19"/>
      <c r="BQ19" s="19"/>
      <c r="BR19" s="19"/>
      <c r="BS19" s="19"/>
      <c r="BT19" s="19"/>
      <c r="BU19" s="19"/>
      <c r="BV19" s="19">
        <v>27</v>
      </c>
      <c r="BW19" s="19"/>
      <c r="BX19" s="19"/>
      <c r="BY19" s="19"/>
      <c r="BZ19" s="19"/>
      <c r="CA19" s="19"/>
      <c r="CB19" s="19"/>
      <c r="CC19" s="19"/>
      <c r="CD19" s="19"/>
      <c r="CE19" s="19"/>
      <c r="CF19" s="19"/>
      <c r="CG19" s="19"/>
      <c r="CH19" s="19"/>
      <c r="CI19" s="19"/>
      <c r="CJ19" s="19"/>
      <c r="CK19" s="19"/>
      <c r="CL19" s="19"/>
      <c r="CM19" s="19"/>
      <c r="CN19" s="19"/>
      <c r="CO19" s="19"/>
      <c r="CP19" s="19"/>
      <c r="CQ19" s="19"/>
      <c r="CR19" s="19"/>
      <c r="CS19" s="19"/>
      <c r="CT19" s="19"/>
      <c r="CU19" s="19"/>
      <c r="CV19" s="19"/>
      <c r="CW19" s="19"/>
      <c r="CX19" s="19"/>
      <c r="CY19" s="19"/>
      <c r="CZ19" s="19"/>
      <c r="DA19" s="19"/>
      <c r="DB19" s="19"/>
      <c r="DC19" s="19"/>
      <c r="DD19" s="21">
        <v>248</v>
      </c>
      <c r="DE19" s="21"/>
      <c r="DF19" s="19"/>
      <c r="DG19" s="19"/>
      <c r="DH19" s="19"/>
      <c r="DI19" s="19"/>
      <c r="DJ19" s="19"/>
      <c r="DK19" s="19"/>
      <c r="DL19" s="19"/>
      <c r="DM19" s="19"/>
      <c r="DN19" s="19"/>
      <c r="DO19" s="19"/>
      <c r="DP19" s="19"/>
      <c r="DQ19" s="19"/>
      <c r="DR19" s="19"/>
      <c r="DS19" s="19"/>
      <c r="DT19" s="19"/>
      <c r="DU19" s="19"/>
      <c r="DV19" s="19"/>
      <c r="DW19" s="19"/>
      <c r="DX19" s="19"/>
      <c r="DY19" s="19"/>
      <c r="DZ19" s="19"/>
      <c r="EA19" s="19"/>
      <c r="EB19" s="19"/>
      <c r="EC19" s="20"/>
      <c r="ED19" s="20"/>
      <c r="EE19" s="20"/>
      <c r="EF19" s="20"/>
      <c r="EG19" s="20"/>
      <c r="EH19" s="20"/>
      <c r="EI19" s="20"/>
      <c r="EJ19" s="20"/>
      <c r="EK19" s="20"/>
      <c r="EL19" s="20"/>
      <c r="EM19" s="20"/>
      <c r="EN19" s="19"/>
      <c r="EO19" s="19"/>
      <c r="EP19" s="19"/>
      <c r="EQ19" s="19"/>
      <c r="ER19" s="19"/>
      <c r="ES19" s="19"/>
      <c r="ET19" s="19"/>
      <c r="EU19" s="19"/>
      <c r="EV19" s="20"/>
      <c r="EW19" s="20"/>
      <c r="EX19" s="20"/>
      <c r="EY19" s="19"/>
      <c r="EZ19" s="19"/>
      <c r="FA19" s="19"/>
      <c r="FB19" s="19"/>
      <c r="FC19" s="19"/>
      <c r="FD19" s="19"/>
      <c r="FE19" s="19"/>
      <c r="FF19">
        <v>2.9</v>
      </c>
      <c r="FG19" s="19"/>
      <c r="FH19" s="20"/>
      <c r="FI19" s="19"/>
      <c r="FJ19" s="19"/>
      <c r="FK19" s="19"/>
      <c r="FL19" s="19"/>
      <c r="FM19" s="19"/>
      <c r="FN19" s="19"/>
      <c r="FO19" s="19"/>
      <c r="FP19" s="19"/>
      <c r="FQ19" s="19"/>
      <c r="FR19" s="19"/>
      <c r="FS19" s="19"/>
      <c r="FT19" s="19"/>
      <c r="FU19" s="19"/>
      <c r="FV19">
        <v>196</v>
      </c>
      <c r="FW19" s="19"/>
      <c r="FX19" s="19"/>
      <c r="FY19" s="19"/>
      <c r="FZ19" s="19"/>
      <c r="GA19" s="19"/>
      <c r="GB19" s="19"/>
      <c r="GC19" s="19"/>
      <c r="GD19" s="19"/>
      <c r="GE19" s="19"/>
      <c r="GF19" s="19"/>
      <c r="GG19" s="19"/>
      <c r="GH19" s="19"/>
      <c r="GI19" s="19">
        <v>225</v>
      </c>
      <c r="GJ19" s="19"/>
      <c r="GK19" s="19"/>
      <c r="GL19" s="19"/>
      <c r="GM19" s="19"/>
      <c r="GN19" s="19"/>
      <c r="GO19" s="19"/>
      <c r="GP19" s="19"/>
      <c r="GQ19" s="19"/>
      <c r="GR19" s="19"/>
      <c r="GS19" s="19"/>
      <c r="GT19" s="19"/>
      <c r="GU19">
        <v>378000</v>
      </c>
      <c r="GV19" s="19"/>
      <c r="GW19" s="19"/>
      <c r="GX19" s="19"/>
      <c r="GY19" s="19"/>
      <c r="GZ19" s="19"/>
      <c r="HA19" s="19"/>
      <c r="HB19" s="19"/>
      <c r="HC19" s="19"/>
      <c r="HD19" s="19"/>
      <c r="HE19" s="19"/>
      <c r="HF19" s="19"/>
      <c r="HG19" s="23">
        <v>61</v>
      </c>
      <c r="HH19" s="19"/>
      <c r="HI19" s="19">
        <v>22.4</v>
      </c>
      <c r="HJ19" s="19"/>
      <c r="HK19" s="19">
        <v>8.1999999999999993</v>
      </c>
      <c r="HL19" s="19"/>
      <c r="HM19" s="19"/>
      <c r="HN19" s="19"/>
      <c r="HO19" s="19"/>
      <c r="HP19" s="19"/>
      <c r="HQ19" s="19"/>
      <c r="HR19" s="19"/>
      <c r="HS19" s="19"/>
      <c r="HY19" s="7" t="s">
        <v>84</v>
      </c>
      <c r="HZ19" s="7" t="s">
        <v>86</v>
      </c>
      <c r="IA19" s="7" t="s">
        <v>86</v>
      </c>
      <c r="IB19" s="7" t="s">
        <v>86</v>
      </c>
      <c r="IC19" s="7" t="s">
        <v>30</v>
      </c>
      <c r="ID19" s="7" t="s">
        <v>30</v>
      </c>
      <c r="IE19" s="7" t="s">
        <v>86</v>
      </c>
      <c r="IF19" s="7" t="s">
        <v>86</v>
      </c>
      <c r="IG19" s="7" t="s">
        <v>86</v>
      </c>
      <c r="IT19">
        <v>13000</v>
      </c>
      <c r="IV19">
        <v>28</v>
      </c>
      <c r="IX19">
        <v>1</v>
      </c>
      <c r="JA19">
        <v>1</v>
      </c>
      <c r="JB19">
        <v>22</v>
      </c>
      <c r="KU19">
        <v>1</v>
      </c>
      <c r="LS19">
        <v>1</v>
      </c>
      <c r="LU19">
        <v>1</v>
      </c>
      <c r="LV19">
        <v>1</v>
      </c>
      <c r="MY19">
        <v>1</v>
      </c>
      <c r="NB19">
        <v>1</v>
      </c>
      <c r="ND19" s="36">
        <v>29</v>
      </c>
      <c r="NE19">
        <v>999</v>
      </c>
      <c r="NF19">
        <v>0</v>
      </c>
      <c r="NG19">
        <v>3</v>
      </c>
      <c r="NH19">
        <v>5</v>
      </c>
      <c r="APP19">
        <v>200</v>
      </c>
      <c r="APQ19">
        <v>1</v>
      </c>
      <c r="APT19">
        <v>1</v>
      </c>
      <c r="APU19">
        <v>210</v>
      </c>
      <c r="APV19">
        <v>11</v>
      </c>
      <c r="APW19">
        <v>0</v>
      </c>
      <c r="APX19">
        <v>3</v>
      </c>
      <c r="APY19">
        <v>2</v>
      </c>
      <c r="BAR19">
        <v>1</v>
      </c>
      <c r="BAT19">
        <v>1</v>
      </c>
      <c r="BCC19">
        <v>1</v>
      </c>
      <c r="BCP19">
        <v>1</v>
      </c>
      <c r="BDI19">
        <v>1</v>
      </c>
      <c r="BDK19">
        <v>1</v>
      </c>
      <c r="BDN19">
        <v>1</v>
      </c>
      <c r="BDP19">
        <v>1</v>
      </c>
      <c r="BDU19">
        <v>1</v>
      </c>
      <c r="BDV19">
        <v>1</v>
      </c>
      <c r="BDZ19">
        <v>1</v>
      </c>
      <c r="BEL19">
        <v>1</v>
      </c>
      <c r="BEX19">
        <v>1</v>
      </c>
    </row>
    <row r="20" spans="1:1608" x14ac:dyDescent="0.25">
      <c r="A20" s="18">
        <v>99000802</v>
      </c>
      <c r="B20" s="57"/>
      <c r="C20" s="62"/>
      <c r="D20" s="19"/>
      <c r="E20" s="19"/>
      <c r="F20" s="19"/>
      <c r="G20" s="19"/>
      <c r="H20" s="19"/>
      <c r="I20" s="19"/>
      <c r="J20" s="19"/>
      <c r="K20" s="19"/>
      <c r="L20" s="20"/>
      <c r="M20" s="20"/>
      <c r="N20" s="20"/>
      <c r="O20" s="20"/>
      <c r="P20" s="20"/>
      <c r="Q20" s="20"/>
      <c r="R20" s="19"/>
      <c r="S20" s="19"/>
      <c r="T20" s="19"/>
      <c r="U20" s="19"/>
      <c r="V20" s="19"/>
      <c r="W20" s="20"/>
      <c r="X20" s="20"/>
      <c r="Y20" s="20"/>
      <c r="Z20" s="19"/>
      <c r="AA20" s="19"/>
      <c r="AB20" s="19"/>
      <c r="AC20" s="19"/>
      <c r="AD20" s="19"/>
      <c r="AE20" s="19"/>
      <c r="AF20" s="19"/>
      <c r="AG20" s="19"/>
      <c r="AH20" s="20"/>
      <c r="AI20" s="20"/>
      <c r="AJ20" s="20"/>
      <c r="AK20" s="20"/>
      <c r="AL20" s="20"/>
      <c r="AM20" s="19"/>
      <c r="AN20" s="51">
        <v>7.55</v>
      </c>
      <c r="AO20" s="19"/>
      <c r="AP20" s="19"/>
      <c r="AQ20" s="19"/>
      <c r="AR20" s="19"/>
      <c r="AS20" s="19"/>
      <c r="AT20" s="19"/>
      <c r="AU20" s="19"/>
      <c r="AV20" s="19"/>
      <c r="AW20" s="19"/>
      <c r="AX20" s="19"/>
      <c r="AY20" s="19"/>
      <c r="AZ20" s="19"/>
      <c r="BA20" s="19"/>
      <c r="BB20" s="19"/>
      <c r="BC20" s="19"/>
      <c r="BD20" s="19"/>
      <c r="BE20" s="19"/>
      <c r="BF20" s="19"/>
      <c r="BG20">
        <v>16</v>
      </c>
      <c r="BH20" s="19"/>
      <c r="BI20" s="19"/>
      <c r="BJ20" s="19"/>
      <c r="BK20" s="19"/>
      <c r="BL20" s="19"/>
      <c r="BM20" s="19"/>
      <c r="BN20" s="19"/>
      <c r="BO20" s="19"/>
      <c r="BP20" s="19"/>
      <c r="BQ20" s="19"/>
      <c r="BR20" s="19"/>
      <c r="BS20" s="19"/>
      <c r="BT20" s="19"/>
      <c r="BU20" s="19"/>
      <c r="BV20" s="19"/>
      <c r="BW20" s="19"/>
      <c r="BX20">
        <v>26</v>
      </c>
      <c r="BY20" s="19"/>
      <c r="BZ20" s="19"/>
      <c r="CA20" s="19"/>
      <c r="CB20" s="19"/>
      <c r="CC20" s="19"/>
      <c r="CD20" s="19"/>
      <c r="CE20" s="19"/>
      <c r="CF20" s="19"/>
      <c r="CG20" s="19"/>
      <c r="CH20" s="19"/>
      <c r="CI20" s="19"/>
      <c r="CJ20" s="19"/>
      <c r="CK20" s="19"/>
      <c r="CL20" s="19"/>
      <c r="CM20" s="19"/>
      <c r="CN20" s="19"/>
      <c r="CO20" s="19"/>
      <c r="CP20">
        <v>27</v>
      </c>
      <c r="CQ20" s="19"/>
      <c r="CR20" s="19"/>
      <c r="CS20" s="19"/>
      <c r="CT20" s="19"/>
      <c r="CU20" s="19"/>
      <c r="CV20" s="19"/>
      <c r="CW20" s="19"/>
      <c r="CX20" s="19"/>
      <c r="CY20" s="19"/>
      <c r="CZ20" s="19"/>
      <c r="DA20" s="19"/>
      <c r="DB20" s="19"/>
      <c r="DC20" s="19"/>
      <c r="DD20" s="21"/>
      <c r="DE20" s="21"/>
      <c r="DF20">
        <v>299</v>
      </c>
      <c r="DG20" s="19"/>
      <c r="DH20" s="19"/>
      <c r="DI20" s="19"/>
      <c r="DJ20" s="19"/>
      <c r="DK20" s="19"/>
      <c r="DL20" s="19"/>
      <c r="DM20" s="19"/>
      <c r="DN20" s="19"/>
      <c r="DO20" s="19"/>
      <c r="DP20" s="19"/>
      <c r="DQ20" s="19"/>
      <c r="DR20" s="19"/>
      <c r="DS20" s="19"/>
      <c r="DT20" s="19"/>
      <c r="DU20" s="19"/>
      <c r="DV20" s="19"/>
      <c r="DW20" s="19"/>
      <c r="DX20" s="19"/>
      <c r="DY20" s="19"/>
      <c r="DZ20" s="19"/>
      <c r="EA20" s="19"/>
      <c r="EB20" s="19"/>
      <c r="EC20" s="20"/>
      <c r="ED20" s="20"/>
      <c r="EE20" s="20"/>
      <c r="EF20" s="20"/>
      <c r="EG20" s="20"/>
      <c r="EH20" s="20"/>
      <c r="EI20" s="20"/>
      <c r="EJ20" s="20"/>
      <c r="EK20" s="20"/>
      <c r="EL20" s="20"/>
      <c r="EM20" s="20"/>
      <c r="EN20" s="19"/>
      <c r="EO20" s="19"/>
      <c r="EP20" s="19"/>
      <c r="EQ20" s="19"/>
      <c r="ER20" s="19"/>
      <c r="ES20" s="19"/>
      <c r="ET20" s="19"/>
      <c r="EU20" s="19"/>
      <c r="EV20" s="20"/>
      <c r="EW20" s="20"/>
      <c r="EX20" s="20"/>
      <c r="EY20" s="19"/>
      <c r="EZ20" s="19"/>
      <c r="FA20" s="19"/>
      <c r="FB20" s="19"/>
      <c r="FC20" s="19"/>
      <c r="FD20" s="19"/>
      <c r="FE20" s="19"/>
      <c r="FG20" s="19"/>
      <c r="FH20" s="20"/>
      <c r="FI20" s="19"/>
      <c r="FJ20" s="19"/>
      <c r="FK20" s="19"/>
      <c r="FL20" s="19"/>
      <c r="FM20" s="19"/>
      <c r="FN20" s="19"/>
      <c r="FO20" s="19"/>
      <c r="FP20" s="19"/>
      <c r="FQ20" s="19"/>
      <c r="FR20" s="19"/>
      <c r="FS20" s="19"/>
      <c r="FT20" s="19"/>
      <c r="FU20" s="19"/>
      <c r="FW20" s="19"/>
      <c r="FX20" s="19"/>
      <c r="FY20" s="19"/>
      <c r="FZ20" s="19"/>
      <c r="GA20" s="19"/>
      <c r="GB20" s="19"/>
      <c r="GC20" s="19"/>
      <c r="GD20" s="19"/>
      <c r="GE20" s="19"/>
      <c r="GF20" s="19"/>
      <c r="GG20" s="19"/>
      <c r="GH20" s="19"/>
      <c r="GI20" s="19"/>
      <c r="GJ20" s="19"/>
      <c r="GK20" s="19"/>
      <c r="GL20" s="19"/>
      <c r="GM20" s="19"/>
      <c r="GN20" s="19"/>
      <c r="GO20" s="19"/>
      <c r="GP20" s="19"/>
      <c r="GQ20" s="19"/>
      <c r="GR20" s="19"/>
      <c r="GS20" s="19"/>
      <c r="GT20" s="19"/>
      <c r="GV20" s="19"/>
      <c r="GW20" s="19"/>
      <c r="GX20" s="19"/>
      <c r="GY20" s="19"/>
      <c r="GZ20" s="19"/>
      <c r="HA20" s="19"/>
      <c r="HB20" s="19"/>
      <c r="HC20" s="19"/>
      <c r="HD20" s="19"/>
      <c r="HE20" s="19"/>
      <c r="HF20" s="19"/>
      <c r="HG20" s="20"/>
      <c r="HH20" s="19"/>
      <c r="HI20" s="19"/>
      <c r="HJ20" s="19"/>
      <c r="HK20" s="19"/>
      <c r="HL20" s="19"/>
      <c r="HM20" s="19"/>
      <c r="HN20" s="19"/>
      <c r="HO20" s="19"/>
      <c r="HP20" s="19"/>
      <c r="HQ20" s="19"/>
      <c r="HR20" s="19"/>
      <c r="HS20" s="19"/>
      <c r="IV20">
        <v>47</v>
      </c>
      <c r="IW20">
        <v>1</v>
      </c>
      <c r="IY20">
        <v>29.1</v>
      </c>
      <c r="JA20">
        <v>1</v>
      </c>
      <c r="JB20">
        <v>28</v>
      </c>
      <c r="KD20">
        <v>1</v>
      </c>
      <c r="KE20">
        <v>1</v>
      </c>
      <c r="KN20">
        <v>1</v>
      </c>
      <c r="MA20">
        <v>150</v>
      </c>
      <c r="MB20">
        <v>1</v>
      </c>
      <c r="ME20">
        <v>1</v>
      </c>
      <c r="MG20">
        <v>13</v>
      </c>
      <c r="MH20">
        <v>12</v>
      </c>
      <c r="MI20">
        <v>0</v>
      </c>
      <c r="MJ20" s="75">
        <v>0</v>
      </c>
      <c r="MK20">
        <v>3</v>
      </c>
      <c r="MX20">
        <v>500</v>
      </c>
      <c r="MY20">
        <v>3</v>
      </c>
      <c r="NB20">
        <v>1</v>
      </c>
      <c r="ND20" s="72">
        <v>2</v>
      </c>
      <c r="NE20">
        <v>0</v>
      </c>
      <c r="NF20">
        <v>0</v>
      </c>
      <c r="NG20">
        <v>999</v>
      </c>
      <c r="NH20">
        <v>4</v>
      </c>
      <c r="NJ20">
        <v>100</v>
      </c>
      <c r="NK20">
        <v>1</v>
      </c>
      <c r="NN20">
        <v>1</v>
      </c>
      <c r="NO20" s="36">
        <v>28</v>
      </c>
      <c r="NP20">
        <v>999</v>
      </c>
      <c r="NQ20">
        <v>0</v>
      </c>
      <c r="NR20">
        <v>0</v>
      </c>
      <c r="NS20">
        <v>5</v>
      </c>
      <c r="XO20">
        <v>300</v>
      </c>
      <c r="XP20">
        <v>1</v>
      </c>
      <c r="XS20">
        <v>1</v>
      </c>
      <c r="XT20">
        <v>13</v>
      </c>
      <c r="XU20">
        <v>12</v>
      </c>
      <c r="XV20">
        <v>0</v>
      </c>
      <c r="XW20">
        <v>0</v>
      </c>
      <c r="XX20">
        <v>3</v>
      </c>
      <c r="YI20">
        <v>10</v>
      </c>
      <c r="YJ20">
        <v>0.5</v>
      </c>
      <c r="YM20">
        <v>1</v>
      </c>
      <c r="YN20" s="36">
        <v>28</v>
      </c>
      <c r="YO20">
        <v>999</v>
      </c>
      <c r="YP20">
        <v>0</v>
      </c>
      <c r="YQ20">
        <v>0</v>
      </c>
      <c r="YR20">
        <v>6</v>
      </c>
      <c r="AWD20">
        <v>10</v>
      </c>
      <c r="AWE20">
        <v>4</v>
      </c>
      <c r="AWH20">
        <v>1</v>
      </c>
      <c r="AWI20">
        <v>2</v>
      </c>
      <c r="AWJ20">
        <v>26</v>
      </c>
      <c r="AWK20">
        <v>0</v>
      </c>
      <c r="AWL20">
        <v>0</v>
      </c>
      <c r="AWM20">
        <v>5</v>
      </c>
      <c r="BAR20">
        <v>1</v>
      </c>
      <c r="BAT20">
        <v>1</v>
      </c>
      <c r="BCC20">
        <v>1</v>
      </c>
      <c r="BCP20">
        <v>1</v>
      </c>
      <c r="BDF20">
        <v>1</v>
      </c>
      <c r="BDU20">
        <v>1</v>
      </c>
      <c r="BDV20">
        <v>1</v>
      </c>
    </row>
    <row r="21" spans="1:1608" x14ac:dyDescent="0.25">
      <c r="A21" s="18">
        <v>99000892</v>
      </c>
      <c r="B21" s="57"/>
      <c r="C21" s="19"/>
      <c r="D21" s="19"/>
      <c r="E21" s="19"/>
      <c r="F21" s="19"/>
      <c r="G21" s="19"/>
      <c r="H21" s="19"/>
      <c r="I21" s="19"/>
      <c r="J21" s="19"/>
      <c r="K21" s="19"/>
      <c r="L21" s="20"/>
      <c r="M21" s="20"/>
      <c r="N21" s="20"/>
      <c r="O21" s="20"/>
      <c r="P21" s="20"/>
      <c r="Q21" s="20"/>
      <c r="R21" s="19"/>
      <c r="S21" s="19"/>
      <c r="T21" s="19"/>
      <c r="U21" s="19"/>
      <c r="V21" s="19"/>
      <c r="W21" s="20"/>
      <c r="X21" s="20"/>
      <c r="Y21" s="20"/>
      <c r="Z21" s="19"/>
      <c r="AA21" s="19"/>
      <c r="AB21" s="19"/>
      <c r="AC21" s="19"/>
      <c r="AD21" s="19"/>
      <c r="AE21" s="19"/>
      <c r="AF21" s="19"/>
      <c r="AG21" s="19"/>
      <c r="AH21" s="20"/>
      <c r="AI21" s="20"/>
      <c r="AJ21" s="20"/>
      <c r="AK21" s="20"/>
      <c r="AL21" s="20"/>
      <c r="AM21" s="19"/>
      <c r="AN21" s="19"/>
      <c r="AO21" s="19"/>
      <c r="AP21" s="19"/>
      <c r="AQ21" s="19"/>
      <c r="AR21" s="19"/>
      <c r="AS21" s="19"/>
      <c r="AT21" s="19"/>
      <c r="AU21" s="19"/>
      <c r="AV21" s="19"/>
      <c r="AW21" s="19"/>
      <c r="AX21" s="19"/>
      <c r="AY21" s="19"/>
      <c r="AZ21" s="19"/>
      <c r="BA21" s="19"/>
      <c r="BB21" s="19"/>
      <c r="BC21" s="19"/>
      <c r="BD21" s="19"/>
      <c r="BE21" s="19"/>
      <c r="BF21" s="19"/>
      <c r="BG21" s="18">
        <v>65</v>
      </c>
      <c r="BH21" s="19"/>
      <c r="BI21" s="19"/>
      <c r="BJ21" s="19"/>
      <c r="BK21" s="19"/>
      <c r="BL21" s="19"/>
      <c r="BM21" s="19"/>
      <c r="BN21" s="19"/>
      <c r="BO21" s="19"/>
      <c r="BP21" s="19"/>
      <c r="BQ21" s="19"/>
      <c r="BR21" s="19"/>
      <c r="BS21" s="19"/>
      <c r="BT21" s="19"/>
      <c r="BU21" s="19"/>
      <c r="BV21" s="19"/>
      <c r="BW21" s="19"/>
      <c r="BX21" s="18">
        <v>65</v>
      </c>
      <c r="BY21" s="19"/>
      <c r="BZ21" s="19"/>
      <c r="CA21" s="19"/>
      <c r="CB21" s="19"/>
      <c r="CC21" s="19"/>
      <c r="CD21" s="19"/>
      <c r="CE21" s="19"/>
      <c r="CF21" s="19"/>
      <c r="CG21" s="19"/>
      <c r="CH21" s="19"/>
      <c r="CI21" s="19"/>
      <c r="CJ21" s="19"/>
      <c r="CK21" s="19"/>
      <c r="CL21" s="19"/>
      <c r="CM21" s="19"/>
      <c r="CN21" s="19"/>
      <c r="CO21" s="19"/>
      <c r="CP21">
        <v>6.93</v>
      </c>
      <c r="CQ21" s="19"/>
      <c r="CR21" s="19"/>
      <c r="CS21" s="19"/>
      <c r="CT21" s="19"/>
      <c r="CU21" s="19"/>
      <c r="CV21" s="19"/>
      <c r="CW21" s="19"/>
      <c r="CX21" s="19"/>
      <c r="CY21" s="19"/>
      <c r="CZ21" s="19"/>
      <c r="DA21" s="19"/>
      <c r="DB21" s="19"/>
      <c r="DC21" s="19"/>
      <c r="DD21" s="21"/>
      <c r="DE21" s="21"/>
      <c r="DG21" s="19"/>
      <c r="DH21" s="19"/>
      <c r="DI21" s="19"/>
      <c r="DJ21" s="19"/>
      <c r="DK21" s="19"/>
      <c r="DL21" s="19"/>
      <c r="DM21" s="19"/>
      <c r="DN21" s="19"/>
      <c r="DO21" s="19"/>
      <c r="DP21" s="19"/>
      <c r="DQ21" s="19"/>
      <c r="DR21" s="19"/>
      <c r="DS21" s="19"/>
      <c r="DT21" s="19"/>
      <c r="DU21" s="19"/>
      <c r="DV21" s="19"/>
      <c r="DW21" s="19"/>
      <c r="DX21" s="19"/>
      <c r="DY21" s="19"/>
      <c r="DZ21" s="19"/>
      <c r="EA21" s="19"/>
      <c r="EB21" s="19"/>
      <c r="EC21" s="20"/>
      <c r="ED21" s="20"/>
      <c r="EE21" s="20"/>
      <c r="EF21" s="20"/>
      <c r="EG21" s="20"/>
      <c r="EH21" s="20"/>
      <c r="EI21" s="20"/>
      <c r="EJ21" s="20"/>
      <c r="EK21" s="20"/>
      <c r="EL21" s="20"/>
      <c r="EM21" s="20"/>
      <c r="EN21" s="19"/>
      <c r="EO21" s="19"/>
      <c r="EP21" s="19"/>
      <c r="EQ21" s="19"/>
      <c r="ER21" s="19"/>
      <c r="ES21" s="19"/>
      <c r="ET21" s="19"/>
      <c r="EU21" s="19"/>
      <c r="EV21" s="20"/>
      <c r="EW21" s="20"/>
      <c r="EX21" s="20"/>
      <c r="EY21" s="19"/>
      <c r="EZ21" s="19"/>
      <c r="FA21" s="19"/>
      <c r="FB21" s="19"/>
      <c r="FC21" s="19"/>
      <c r="FD21" s="19"/>
      <c r="FE21" s="19"/>
      <c r="FG21" s="19"/>
      <c r="FH21" s="20"/>
      <c r="FI21" s="19"/>
      <c r="FJ21" s="19"/>
      <c r="FK21" s="19"/>
      <c r="FL21" s="19"/>
      <c r="FM21" s="19"/>
      <c r="FN21" s="19"/>
      <c r="FO21" s="19"/>
      <c r="FP21" s="19"/>
      <c r="FQ21" s="19"/>
      <c r="FR21" s="19"/>
      <c r="FS21" s="19"/>
      <c r="FT21" s="19"/>
      <c r="FU21" s="19"/>
      <c r="FW21" s="19"/>
      <c r="FX21" s="19"/>
      <c r="FY21" s="19"/>
      <c r="FZ21" s="19"/>
      <c r="GA21" s="19"/>
      <c r="GB21" s="19"/>
      <c r="GC21" s="19"/>
      <c r="GD21" s="19"/>
      <c r="GE21" s="19"/>
      <c r="GF21" s="19"/>
      <c r="GG21" s="19"/>
      <c r="GH21" s="19"/>
      <c r="GI21" s="19"/>
      <c r="GJ21" s="19"/>
      <c r="GK21" s="19"/>
      <c r="GL21" s="19"/>
      <c r="GM21" s="19"/>
      <c r="GN21" s="19"/>
      <c r="GO21" s="19"/>
      <c r="GP21" s="19"/>
      <c r="GQ21" s="19"/>
      <c r="GR21" s="19"/>
      <c r="GS21" s="19"/>
      <c r="GT21" s="19"/>
      <c r="GV21" s="19"/>
      <c r="GW21" s="19"/>
      <c r="GX21" s="19"/>
      <c r="GY21" s="19"/>
      <c r="GZ21" s="19"/>
      <c r="HA21" s="19"/>
      <c r="HB21" s="19"/>
      <c r="HC21" s="19"/>
      <c r="HD21" s="19"/>
      <c r="HE21" s="19"/>
      <c r="HF21" s="19"/>
      <c r="HG21" s="20"/>
      <c r="HH21" s="19"/>
      <c r="HI21" s="19"/>
      <c r="HJ21" s="19"/>
      <c r="HK21" s="19"/>
      <c r="HL21" s="19"/>
      <c r="HM21" s="19"/>
      <c r="HN21" s="19"/>
      <c r="HO21" s="19"/>
      <c r="HP21" s="19"/>
      <c r="HQ21" s="19"/>
      <c r="HR21" s="19"/>
      <c r="HS21" s="19"/>
      <c r="IV21">
        <v>56</v>
      </c>
      <c r="IW21">
        <v>1</v>
      </c>
      <c r="IY21">
        <v>27</v>
      </c>
      <c r="JA21">
        <v>1</v>
      </c>
      <c r="JB21">
        <v>16</v>
      </c>
      <c r="JF21">
        <v>1</v>
      </c>
      <c r="JN21">
        <v>1</v>
      </c>
      <c r="JW21">
        <v>1</v>
      </c>
      <c r="LK21">
        <v>1</v>
      </c>
      <c r="LL21">
        <v>1</v>
      </c>
      <c r="MY21">
        <v>3</v>
      </c>
      <c r="NB21">
        <v>1</v>
      </c>
      <c r="ND21" s="72">
        <v>8</v>
      </c>
      <c r="NE21">
        <v>6</v>
      </c>
      <c r="NF21">
        <v>0</v>
      </c>
      <c r="NG21">
        <v>999</v>
      </c>
      <c r="NH21">
        <v>4</v>
      </c>
      <c r="NJ21">
        <v>300</v>
      </c>
      <c r="NK21">
        <v>3</v>
      </c>
      <c r="NN21">
        <v>1</v>
      </c>
      <c r="NO21" s="72">
        <v>8</v>
      </c>
      <c r="NP21">
        <v>6</v>
      </c>
      <c r="NQ21">
        <v>0</v>
      </c>
      <c r="NR21">
        <v>999</v>
      </c>
      <c r="NS21">
        <v>4</v>
      </c>
      <c r="ADX21" s="74">
        <v>6</v>
      </c>
      <c r="ADY21">
        <v>1</v>
      </c>
      <c r="AEB21">
        <v>1</v>
      </c>
      <c r="AEC21" s="73">
        <v>29</v>
      </c>
      <c r="AED21">
        <v>999</v>
      </c>
      <c r="AEE21">
        <v>0</v>
      </c>
      <c r="AEF21">
        <v>999</v>
      </c>
      <c r="AEG21">
        <v>6</v>
      </c>
      <c r="AFM21">
        <v>1</v>
      </c>
      <c r="AFN21">
        <v>3</v>
      </c>
      <c r="AFQ21">
        <v>1</v>
      </c>
      <c r="AFR21" s="36">
        <v>9</v>
      </c>
      <c r="AFS21">
        <v>999</v>
      </c>
      <c r="AFT21">
        <v>19</v>
      </c>
      <c r="AFU21">
        <v>0</v>
      </c>
      <c r="AFV21">
        <v>8</v>
      </c>
      <c r="AFW21">
        <v>25</v>
      </c>
      <c r="AFX21">
        <v>3</v>
      </c>
      <c r="AGA21">
        <v>1</v>
      </c>
      <c r="AGB21" s="73">
        <v>29</v>
      </c>
      <c r="AGC21">
        <v>999</v>
      </c>
      <c r="AGD21">
        <v>0</v>
      </c>
      <c r="AGE21">
        <v>999</v>
      </c>
      <c r="AGF21">
        <v>6</v>
      </c>
      <c r="AMW21">
        <v>1</v>
      </c>
      <c r="AMX21">
        <v>2</v>
      </c>
      <c r="ANB21" s="72">
        <v>8</v>
      </c>
      <c r="ANC21">
        <v>6</v>
      </c>
      <c r="AND21">
        <v>0</v>
      </c>
      <c r="ANE21">
        <v>999</v>
      </c>
      <c r="ANF21">
        <v>5</v>
      </c>
      <c r="ANG21" s="74">
        <v>1</v>
      </c>
      <c r="ANK21">
        <v>1</v>
      </c>
      <c r="ANL21" s="72">
        <v>4</v>
      </c>
      <c r="ANM21">
        <v>2</v>
      </c>
      <c r="ANN21">
        <v>0</v>
      </c>
      <c r="ANO21">
        <v>999</v>
      </c>
      <c r="ANP21">
        <v>5</v>
      </c>
      <c r="APP21">
        <v>400</v>
      </c>
      <c r="APQ21">
        <v>2</v>
      </c>
      <c r="APT21">
        <v>1</v>
      </c>
      <c r="APU21" s="73">
        <v>29</v>
      </c>
      <c r="APV21">
        <v>35</v>
      </c>
      <c r="APW21">
        <v>0</v>
      </c>
      <c r="APX21">
        <v>999</v>
      </c>
      <c r="APY21">
        <v>3</v>
      </c>
      <c r="AXH21">
        <v>24</v>
      </c>
      <c r="AXI21">
        <v>1</v>
      </c>
      <c r="AXJ21">
        <v>1</v>
      </c>
      <c r="AXM21" s="36">
        <v>9</v>
      </c>
      <c r="AXN21">
        <v>999</v>
      </c>
      <c r="AXO21">
        <v>19</v>
      </c>
      <c r="AXP21">
        <v>0</v>
      </c>
      <c r="AXQ21">
        <v>6</v>
      </c>
      <c r="BCP21">
        <v>1</v>
      </c>
      <c r="BDF21">
        <v>1</v>
      </c>
      <c r="BDV21">
        <v>1</v>
      </c>
    </row>
    <row r="22" spans="1:1608" x14ac:dyDescent="0.25">
      <c r="A22" s="18">
        <v>1000192</v>
      </c>
      <c r="B22" s="57"/>
      <c r="C22" s="19"/>
      <c r="D22" s="19"/>
      <c r="E22" s="19"/>
      <c r="F22" s="19"/>
      <c r="G22" s="19"/>
      <c r="H22" s="19"/>
      <c r="I22" s="19"/>
      <c r="J22" s="19"/>
      <c r="K22" s="19"/>
      <c r="L22" s="20"/>
      <c r="M22" s="20"/>
      <c r="N22" s="20"/>
      <c r="O22" s="20"/>
      <c r="P22" s="20"/>
      <c r="Q22" s="20"/>
      <c r="R22" s="19"/>
      <c r="S22" s="19"/>
      <c r="T22" s="19"/>
      <c r="U22" s="19"/>
      <c r="V22" s="19"/>
      <c r="W22" s="20"/>
      <c r="X22" s="20"/>
      <c r="Y22" s="20"/>
      <c r="Z22" s="19"/>
      <c r="AA22" s="19"/>
      <c r="AB22" s="19"/>
      <c r="AC22" s="19"/>
      <c r="AD22" s="19"/>
      <c r="AE22" s="19"/>
      <c r="AF22" s="19"/>
      <c r="AG22" s="19"/>
      <c r="AH22" s="20"/>
      <c r="AI22" s="20"/>
      <c r="AJ22" s="21">
        <v>75000</v>
      </c>
      <c r="AK22" s="20"/>
      <c r="AL22" s="20"/>
      <c r="AM22" s="19"/>
      <c r="AN22" s="19"/>
      <c r="AO22" s="19"/>
      <c r="AP22" s="18">
        <v>4000</v>
      </c>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19"/>
      <c r="CH22" s="19"/>
      <c r="CI22" s="19"/>
      <c r="CJ22" s="19"/>
      <c r="CK22" s="19"/>
      <c r="CL22" s="19"/>
      <c r="CM22" s="19"/>
      <c r="CN22" s="19"/>
      <c r="CO22" s="19"/>
      <c r="CP22" s="19"/>
      <c r="CQ22" s="19"/>
      <c r="CR22">
        <v>240</v>
      </c>
      <c r="CS22" s="19"/>
      <c r="CT22" s="19"/>
      <c r="CU22" s="19"/>
      <c r="CV22" s="19"/>
      <c r="CW22" s="19"/>
      <c r="CX22" s="19"/>
      <c r="CY22" s="19"/>
      <c r="CZ22" s="19"/>
      <c r="DA22" s="19"/>
      <c r="DB22" s="19"/>
      <c r="DC22" s="19"/>
      <c r="DD22" s="21"/>
      <c r="DE22" s="21"/>
      <c r="DF22" s="19"/>
      <c r="DG22" s="19"/>
      <c r="DH22" s="19"/>
      <c r="DI22" s="19"/>
      <c r="DJ22" s="19"/>
      <c r="DK22" s="19"/>
      <c r="DL22" s="19"/>
      <c r="DM22" s="19"/>
      <c r="DN22" s="19"/>
      <c r="DO22" s="19"/>
      <c r="DP22" s="19"/>
      <c r="DQ22" s="19"/>
      <c r="DR22" s="19"/>
      <c r="DS22" s="19"/>
      <c r="DT22" s="19"/>
      <c r="DU22" s="19"/>
      <c r="DV22" s="19"/>
      <c r="DW22" s="52">
        <v>55</v>
      </c>
      <c r="DX22" s="19"/>
      <c r="DY22" s="19"/>
      <c r="DZ22" s="19"/>
      <c r="EA22" s="19"/>
      <c r="EB22" s="19"/>
      <c r="EC22" s="20"/>
      <c r="ED22" s="20"/>
      <c r="EE22" s="20"/>
      <c r="EF22" s="20"/>
      <c r="EG22" s="20"/>
      <c r="EH22" s="20"/>
      <c r="EI22" s="20"/>
      <c r="EJ22" s="20"/>
      <c r="EK22" s="20"/>
      <c r="EL22" s="20"/>
      <c r="EM22" s="20"/>
      <c r="EN22" s="19"/>
      <c r="EO22" s="19"/>
      <c r="EP22" s="19"/>
      <c r="EQ22" s="19"/>
      <c r="ER22" s="19"/>
      <c r="ES22" s="19"/>
      <c r="ET22" s="19"/>
      <c r="EU22" s="19"/>
      <c r="EV22" s="20"/>
      <c r="EW22" s="20"/>
      <c r="EX22" s="20"/>
      <c r="EY22" s="19"/>
      <c r="EZ22" s="19"/>
      <c r="FA22" s="19"/>
      <c r="FB22" s="19"/>
      <c r="FC22" s="19"/>
      <c r="FD22" s="19"/>
      <c r="FE22" s="19"/>
      <c r="FF22" s="20"/>
      <c r="FG22" s="19"/>
      <c r="FH22" s="20"/>
      <c r="FI22" s="19"/>
      <c r="FJ22" s="19"/>
      <c r="FK22" s="19"/>
      <c r="FL22" s="19"/>
      <c r="FM22" s="19"/>
      <c r="FN22" s="19"/>
      <c r="FO22" s="19"/>
      <c r="FP22" s="19"/>
      <c r="FQ22" s="19"/>
      <c r="FR22" s="19"/>
      <c r="FS22" s="19"/>
      <c r="FT22" s="19"/>
      <c r="FU22" s="19"/>
      <c r="FV22" s="20"/>
      <c r="FW22" s="19"/>
      <c r="FX22" s="19"/>
      <c r="FY22" s="19"/>
      <c r="FZ22" s="19"/>
      <c r="GA22" s="19"/>
      <c r="GB22" s="19"/>
      <c r="GC22" s="19"/>
      <c r="GD22" s="19"/>
      <c r="GE22" s="19"/>
      <c r="GF22" s="19"/>
      <c r="GG22" s="19"/>
      <c r="GH22" s="19"/>
      <c r="GI22" s="19"/>
      <c r="GJ22" s="18">
        <v>11</v>
      </c>
      <c r="GK22" s="19"/>
      <c r="GL22" s="19"/>
      <c r="GM22" s="19"/>
      <c r="GN22" s="19"/>
      <c r="GO22" s="19"/>
      <c r="GP22" s="19"/>
      <c r="GQ22" s="19"/>
      <c r="GR22" s="19"/>
      <c r="GS22" s="19"/>
      <c r="GT22" s="19"/>
      <c r="GU22" s="21"/>
      <c r="GV22" s="19"/>
      <c r="GW22" s="19"/>
      <c r="GX22" s="19"/>
      <c r="GY22" s="19"/>
      <c r="GZ22" s="19"/>
      <c r="HA22" s="19"/>
      <c r="HB22" s="19"/>
      <c r="HC22" s="19"/>
      <c r="HD22" s="19"/>
      <c r="HE22" s="19"/>
      <c r="HF22" s="19"/>
      <c r="HG22" s="20"/>
      <c r="HH22" s="19"/>
      <c r="HI22" s="19"/>
      <c r="HJ22" s="19"/>
      <c r="HK22" s="19"/>
      <c r="HL22" s="19"/>
      <c r="HM22" s="19"/>
      <c r="HN22" s="19"/>
      <c r="HO22" s="19"/>
      <c r="HP22" s="19"/>
      <c r="HQ22" s="19"/>
      <c r="HR22" s="19"/>
      <c r="HS22" s="19"/>
      <c r="IV22">
        <v>60</v>
      </c>
      <c r="IX22">
        <v>1</v>
      </c>
      <c r="IY22">
        <v>26.6</v>
      </c>
      <c r="JA22">
        <v>1</v>
      </c>
      <c r="JB22">
        <v>20</v>
      </c>
      <c r="JI22">
        <v>1</v>
      </c>
      <c r="JJ22">
        <v>1</v>
      </c>
      <c r="JQ22">
        <v>1</v>
      </c>
      <c r="JU22">
        <v>1</v>
      </c>
      <c r="JV22">
        <v>1</v>
      </c>
      <c r="JW22">
        <v>1</v>
      </c>
      <c r="KQ22">
        <v>1</v>
      </c>
      <c r="LK22">
        <v>1</v>
      </c>
      <c r="LM22">
        <v>1</v>
      </c>
      <c r="LP22">
        <v>1</v>
      </c>
      <c r="LT22">
        <v>1</v>
      </c>
      <c r="MX22" s="74">
        <v>1</v>
      </c>
      <c r="MY22">
        <v>1</v>
      </c>
      <c r="NB22">
        <v>1</v>
      </c>
      <c r="ND22">
        <v>2</v>
      </c>
      <c r="NE22">
        <v>24</v>
      </c>
      <c r="NF22">
        <v>0</v>
      </c>
      <c r="NH22">
        <v>4</v>
      </c>
      <c r="OZ22" s="73">
        <v>2</v>
      </c>
      <c r="PA22" s="73">
        <v>2</v>
      </c>
      <c r="PD22">
        <v>1</v>
      </c>
      <c r="PE22">
        <v>3</v>
      </c>
      <c r="PF22">
        <v>9</v>
      </c>
      <c r="PG22">
        <v>7</v>
      </c>
      <c r="PI22">
        <v>5</v>
      </c>
      <c r="PJ22" s="73">
        <v>2</v>
      </c>
      <c r="PK22" s="73">
        <v>1</v>
      </c>
      <c r="PN22">
        <v>1</v>
      </c>
      <c r="PO22">
        <v>2</v>
      </c>
      <c r="PP22">
        <v>8</v>
      </c>
      <c r="PQ22">
        <v>6</v>
      </c>
      <c r="PS22">
        <v>5</v>
      </c>
      <c r="PU22">
        <v>12</v>
      </c>
      <c r="PV22">
        <v>1</v>
      </c>
      <c r="PY22">
        <v>1</v>
      </c>
      <c r="PZ22">
        <v>1</v>
      </c>
      <c r="QA22">
        <v>4</v>
      </c>
      <c r="QB22">
        <v>4</v>
      </c>
      <c r="QD22">
        <v>4</v>
      </c>
      <c r="RT22">
        <v>2</v>
      </c>
      <c r="RU22">
        <v>1</v>
      </c>
      <c r="RX22">
        <v>1</v>
      </c>
      <c r="RY22">
        <v>1</v>
      </c>
      <c r="RZ22">
        <v>1</v>
      </c>
      <c r="SA22">
        <v>1</v>
      </c>
      <c r="SC22">
        <v>6</v>
      </c>
      <c r="ADX22" s="74">
        <v>1</v>
      </c>
      <c r="ADY22" s="74">
        <v>2</v>
      </c>
      <c r="AEB22">
        <v>1</v>
      </c>
      <c r="AEC22" s="73">
        <v>29</v>
      </c>
      <c r="AED22">
        <v>999</v>
      </c>
      <c r="AEE22">
        <v>0</v>
      </c>
      <c r="AEG22">
        <v>6</v>
      </c>
      <c r="AFC22">
        <v>20</v>
      </c>
      <c r="AFD22">
        <v>3</v>
      </c>
      <c r="AFG22">
        <v>1</v>
      </c>
      <c r="AFH22">
        <v>16</v>
      </c>
      <c r="AFI22">
        <v>23</v>
      </c>
      <c r="AFJ22">
        <v>9</v>
      </c>
      <c r="AFL22">
        <v>6</v>
      </c>
      <c r="AGQ22">
        <v>1</v>
      </c>
      <c r="AGR22">
        <v>1</v>
      </c>
      <c r="AGU22">
        <v>1</v>
      </c>
      <c r="AGV22" s="36">
        <v>2</v>
      </c>
      <c r="AGW22">
        <v>999</v>
      </c>
      <c r="AGX22">
        <v>27</v>
      </c>
      <c r="AGZ22">
        <v>7</v>
      </c>
      <c r="AHK22">
        <v>1</v>
      </c>
      <c r="AHL22" s="18">
        <v>2</v>
      </c>
      <c r="AHO22">
        <v>1</v>
      </c>
      <c r="AHP22" s="72">
        <v>8</v>
      </c>
      <c r="AHQ22">
        <v>7</v>
      </c>
      <c r="AHR22">
        <v>0</v>
      </c>
      <c r="AHT22">
        <v>5</v>
      </c>
      <c r="AHU22">
        <v>1</v>
      </c>
      <c r="AHV22">
        <v>1</v>
      </c>
      <c r="AHY22">
        <v>1</v>
      </c>
      <c r="AHZ22" s="72">
        <v>27</v>
      </c>
      <c r="AIA22">
        <v>26</v>
      </c>
      <c r="AID22">
        <v>6</v>
      </c>
      <c r="AIE22" s="74">
        <v>1</v>
      </c>
      <c r="AIF22">
        <v>4</v>
      </c>
      <c r="AII22">
        <v>1</v>
      </c>
      <c r="AIJ22">
        <v>15</v>
      </c>
      <c r="AIK22">
        <v>23</v>
      </c>
      <c r="AIL22">
        <v>9</v>
      </c>
      <c r="AIN22">
        <v>6</v>
      </c>
      <c r="AIP22">
        <v>2</v>
      </c>
      <c r="AIS22">
        <v>1</v>
      </c>
      <c r="AIT22">
        <v>7</v>
      </c>
      <c r="AIU22">
        <v>7</v>
      </c>
      <c r="AIV22">
        <v>0</v>
      </c>
      <c r="AIX22">
        <v>5</v>
      </c>
      <c r="AKM22">
        <v>1</v>
      </c>
      <c r="AKN22">
        <v>1</v>
      </c>
      <c r="AKR22">
        <v>1</v>
      </c>
      <c r="AKS22">
        <v>22</v>
      </c>
      <c r="AKT22">
        <v>22</v>
      </c>
      <c r="AKV22">
        <v>7</v>
      </c>
      <c r="APF22" s="74">
        <v>100</v>
      </c>
      <c r="APG22">
        <v>3</v>
      </c>
      <c r="APJ22">
        <v>1</v>
      </c>
      <c r="APK22" s="73">
        <v>29</v>
      </c>
      <c r="APL22">
        <v>999</v>
      </c>
      <c r="APM22">
        <v>0</v>
      </c>
      <c r="APO22">
        <v>3</v>
      </c>
      <c r="APZ22" s="73">
        <v>1</v>
      </c>
      <c r="AQA22">
        <v>1</v>
      </c>
      <c r="AQD22">
        <v>1</v>
      </c>
      <c r="AQE22" s="73">
        <v>29</v>
      </c>
      <c r="AQF22">
        <v>999</v>
      </c>
      <c r="AQG22">
        <v>0</v>
      </c>
      <c r="AQI22">
        <v>5</v>
      </c>
      <c r="ATB22">
        <v>1</v>
      </c>
      <c r="ATC22">
        <v>1</v>
      </c>
      <c r="ATF22">
        <v>1</v>
      </c>
      <c r="ATG22">
        <v>6</v>
      </c>
      <c r="ATH22">
        <v>6</v>
      </c>
      <c r="ATI22">
        <v>0</v>
      </c>
      <c r="ATK22">
        <v>5</v>
      </c>
      <c r="AWX22">
        <v>1</v>
      </c>
      <c r="AWY22">
        <v>3</v>
      </c>
      <c r="AXB22">
        <v>1</v>
      </c>
      <c r="AXC22" s="73">
        <v>29</v>
      </c>
      <c r="AXD22">
        <v>999</v>
      </c>
      <c r="AXE22">
        <v>0</v>
      </c>
      <c r="AXG22">
        <v>6</v>
      </c>
      <c r="BAR22">
        <v>1</v>
      </c>
      <c r="BCZ22">
        <v>1</v>
      </c>
      <c r="BDC22">
        <v>1</v>
      </c>
      <c r="BDF22">
        <v>1</v>
      </c>
      <c r="BDI22">
        <v>1</v>
      </c>
      <c r="BDJ22">
        <v>1</v>
      </c>
      <c r="BDO22">
        <v>1</v>
      </c>
      <c r="BDV22">
        <v>1</v>
      </c>
      <c r="BEC22">
        <v>1</v>
      </c>
    </row>
    <row r="23" spans="1:1608" x14ac:dyDescent="0.25">
      <c r="A23" s="18">
        <v>1506</v>
      </c>
      <c r="B23" s="57"/>
      <c r="C23" s="19"/>
      <c r="D23" s="19"/>
      <c r="E23" s="19"/>
      <c r="F23" s="19"/>
      <c r="G23" s="19"/>
      <c r="H23" s="19"/>
      <c r="I23" s="19"/>
      <c r="J23" s="19"/>
      <c r="K23" s="19"/>
      <c r="L23" s="20"/>
      <c r="M23" s="20"/>
      <c r="N23" s="20"/>
      <c r="O23" s="20"/>
      <c r="P23" s="20"/>
      <c r="Q23" s="20"/>
      <c r="R23" s="19"/>
      <c r="S23" s="19"/>
      <c r="T23" s="19"/>
      <c r="U23" s="19"/>
      <c r="V23" s="19"/>
      <c r="W23" s="20"/>
      <c r="X23" s="20"/>
      <c r="Y23" s="20"/>
      <c r="Z23" s="19"/>
      <c r="AA23" s="19"/>
      <c r="AB23" s="19"/>
      <c r="AC23" s="19"/>
      <c r="AD23" s="19"/>
      <c r="AE23" s="19"/>
      <c r="AF23" s="19"/>
      <c r="AG23" s="19"/>
      <c r="AH23" s="20"/>
      <c r="AI23" s="20"/>
      <c r="AJ23" s="20"/>
      <c r="AK23" s="20"/>
      <c r="AL23" s="20"/>
      <c r="AM23" s="19"/>
      <c r="AN23" s="19"/>
      <c r="AO23">
        <v>11.64</v>
      </c>
      <c r="AP23" s="19"/>
      <c r="AQ23" s="19"/>
      <c r="AR23" s="19"/>
      <c r="AS23" s="19"/>
      <c r="AT23" s="19"/>
      <c r="AU23" s="19"/>
      <c r="AV23" s="19"/>
      <c r="AW23" s="19"/>
      <c r="AX23" s="19"/>
      <c r="AY23" s="19"/>
      <c r="AZ23" s="19"/>
      <c r="BA23" s="19"/>
      <c r="BB23" s="19"/>
      <c r="BC23" s="19"/>
      <c r="BD23" s="19"/>
      <c r="BE23" s="19"/>
      <c r="BF23" s="19"/>
      <c r="BG23" s="19"/>
      <c r="BH23" s="19"/>
      <c r="BI23" s="19"/>
      <c r="BJ23" s="19"/>
      <c r="BK23">
        <v>15</v>
      </c>
      <c r="BL23" s="19"/>
      <c r="BM23" s="19"/>
      <c r="BN23" s="19"/>
      <c r="BO23" s="19"/>
      <c r="BP23" s="19"/>
      <c r="BQ23" s="19"/>
      <c r="BR23" s="19"/>
      <c r="BS23" s="19"/>
      <c r="BT23" s="19"/>
      <c r="BU23" s="19"/>
      <c r="BV23" s="19"/>
      <c r="BW23" s="19"/>
      <c r="BX23" s="19"/>
      <c r="BY23" s="19"/>
      <c r="BZ23" s="19"/>
      <c r="CA23" s="19"/>
      <c r="CB23">
        <v>28</v>
      </c>
      <c r="CC23" s="19"/>
      <c r="CD23" s="19"/>
      <c r="CE23" s="19"/>
      <c r="CF23" s="19"/>
      <c r="CG23" s="19"/>
      <c r="CH23" s="19"/>
      <c r="CI23" s="19"/>
      <c r="CJ23" s="19"/>
      <c r="CK23" s="19"/>
      <c r="CL23" s="19"/>
      <c r="CM23" s="19"/>
      <c r="CN23" s="19"/>
      <c r="CO23" s="19"/>
      <c r="CP23" s="19"/>
      <c r="CQ23" s="19"/>
      <c r="CR23" s="19"/>
      <c r="CS23" s="19"/>
      <c r="CT23">
        <v>45</v>
      </c>
      <c r="CU23" s="19"/>
      <c r="CV23" s="19"/>
      <c r="CW23" s="19"/>
      <c r="CX23" s="19"/>
      <c r="CY23" s="19"/>
      <c r="CZ23" s="19"/>
      <c r="DA23" s="19"/>
      <c r="DB23" s="19"/>
      <c r="DC23" s="19"/>
      <c r="DD23" s="21"/>
      <c r="DE23" s="21"/>
      <c r="DF23" s="19"/>
      <c r="DG23" s="19"/>
      <c r="DH23" s="19"/>
      <c r="DI23" s="19"/>
      <c r="DJ23">
        <v>144</v>
      </c>
      <c r="DK23" s="19"/>
      <c r="DL23" s="19"/>
      <c r="DM23" s="19"/>
      <c r="DN23" s="19"/>
      <c r="DO23" s="19"/>
      <c r="DP23" s="19"/>
      <c r="DQ23" s="19"/>
      <c r="DR23" s="19"/>
      <c r="DS23" s="19"/>
      <c r="DT23" s="19"/>
      <c r="DU23" s="19"/>
      <c r="DV23">
        <v>6.8</v>
      </c>
      <c r="DX23" s="19"/>
      <c r="DY23" s="19"/>
      <c r="DZ23" s="19"/>
      <c r="EA23" s="19"/>
      <c r="EB23" s="19"/>
      <c r="EC23" s="20"/>
      <c r="ED23" s="20"/>
      <c r="EE23" s="20"/>
      <c r="EF23" s="20"/>
      <c r="EG23" s="20"/>
      <c r="EH23" s="20"/>
      <c r="EI23" s="20"/>
      <c r="EJ23" s="20"/>
      <c r="EK23" s="20"/>
      <c r="EL23" s="20"/>
      <c r="EM23" s="20"/>
      <c r="EN23" s="19"/>
      <c r="EO23" s="19"/>
      <c r="EP23" s="19"/>
      <c r="EQ23" s="19"/>
      <c r="ER23" s="19"/>
      <c r="ES23" s="19"/>
      <c r="ET23" s="19"/>
      <c r="EU23" s="19"/>
      <c r="EV23" s="20"/>
      <c r="EW23" s="20"/>
      <c r="EX23" s="20"/>
      <c r="EY23" s="19"/>
      <c r="EZ23" s="19"/>
      <c r="FA23" s="19"/>
      <c r="FB23" s="19"/>
      <c r="FC23" s="19"/>
      <c r="FD23" s="19"/>
      <c r="FE23" s="19"/>
      <c r="FF23" s="20"/>
      <c r="FG23" s="19"/>
      <c r="FH23" s="20"/>
      <c r="FI23" s="19"/>
      <c r="FJ23" s="19"/>
      <c r="FK23" s="19"/>
      <c r="FL23" s="19"/>
      <c r="FM23" s="19"/>
      <c r="FN23" s="19"/>
      <c r="FO23" s="19"/>
      <c r="FP23" s="19"/>
      <c r="FQ23" s="19"/>
      <c r="FR23" s="19"/>
      <c r="FS23" s="19"/>
      <c r="FT23" s="19"/>
      <c r="FU23" s="19"/>
      <c r="FV23" s="20"/>
      <c r="FW23" s="19"/>
      <c r="FX23" s="19"/>
      <c r="FY23" s="19"/>
      <c r="FZ23" s="19"/>
      <c r="GA23" s="19"/>
      <c r="GB23" s="19"/>
      <c r="GC23" s="19"/>
      <c r="GD23" s="19"/>
      <c r="GE23" s="19"/>
      <c r="GF23" s="19"/>
      <c r="GG23" s="19"/>
      <c r="GH23" s="19"/>
      <c r="GI23" s="19"/>
      <c r="GJ23" s="19"/>
      <c r="GK23" s="19"/>
      <c r="GL23" s="19"/>
      <c r="GM23" s="19"/>
      <c r="GN23" s="19"/>
      <c r="GO23" s="19"/>
      <c r="GP23" s="19"/>
      <c r="GQ23" s="19"/>
      <c r="GR23" s="19"/>
      <c r="GS23" s="19"/>
      <c r="GT23" s="19"/>
      <c r="GU23" s="21"/>
      <c r="GV23" s="19"/>
      <c r="GW23" s="19"/>
      <c r="GX23" s="19"/>
      <c r="GY23" s="19"/>
      <c r="GZ23" s="19"/>
      <c r="HA23" s="19"/>
      <c r="HB23" s="19"/>
      <c r="HC23" s="19"/>
      <c r="HD23" s="19"/>
      <c r="HE23" s="19"/>
      <c r="HF23" s="19"/>
      <c r="HG23" s="20"/>
      <c r="HH23" s="19"/>
      <c r="HI23" s="19"/>
      <c r="HJ23" s="19"/>
      <c r="HK23" s="19"/>
      <c r="HL23" s="19"/>
      <c r="HM23" s="19"/>
      <c r="HN23" s="19"/>
      <c r="HO23" s="19"/>
      <c r="HP23" s="19"/>
      <c r="HQ23" s="19"/>
      <c r="HR23" s="19"/>
      <c r="HS23" s="19"/>
      <c r="IV23">
        <v>36</v>
      </c>
      <c r="IX23">
        <v>1</v>
      </c>
      <c r="IY23">
        <v>25.8</v>
      </c>
      <c r="JB23">
        <v>15</v>
      </c>
      <c r="JY23">
        <v>1</v>
      </c>
      <c r="KS23">
        <v>1</v>
      </c>
      <c r="MX23">
        <v>500</v>
      </c>
      <c r="MY23">
        <v>1</v>
      </c>
      <c r="NB23">
        <v>1</v>
      </c>
      <c r="ND23">
        <v>2</v>
      </c>
      <c r="NE23">
        <v>0</v>
      </c>
      <c r="NF23">
        <v>0</v>
      </c>
      <c r="NG23">
        <v>1</v>
      </c>
      <c r="SN23">
        <v>1</v>
      </c>
      <c r="SO23">
        <v>2</v>
      </c>
      <c r="SR23">
        <v>1</v>
      </c>
      <c r="SS23">
        <v>11</v>
      </c>
      <c r="ST23">
        <v>17</v>
      </c>
      <c r="SU23">
        <v>8</v>
      </c>
      <c r="SV23">
        <v>0</v>
      </c>
      <c r="SW23">
        <v>3</v>
      </c>
      <c r="TI23">
        <v>2</v>
      </c>
      <c r="TL23">
        <v>1</v>
      </c>
      <c r="TM23">
        <v>9</v>
      </c>
      <c r="TN23">
        <v>6</v>
      </c>
      <c r="TO23">
        <v>0</v>
      </c>
      <c r="TP23">
        <v>999</v>
      </c>
      <c r="BDH23">
        <v>1</v>
      </c>
      <c r="BDK23">
        <v>1</v>
      </c>
      <c r="BDV23">
        <v>1</v>
      </c>
      <c r="BEA23">
        <v>1</v>
      </c>
      <c r="BED23">
        <v>1</v>
      </c>
      <c r="BEE23">
        <v>1</v>
      </c>
      <c r="BEF23">
        <v>1</v>
      </c>
      <c r="BFG23">
        <v>1</v>
      </c>
      <c r="BFH23">
        <v>1</v>
      </c>
      <c r="BFO23">
        <v>1</v>
      </c>
    </row>
    <row r="24" spans="1:1608" x14ac:dyDescent="0.25">
      <c r="A24" s="18">
        <v>99000894</v>
      </c>
      <c r="B24" s="57"/>
      <c r="C24" s="19"/>
      <c r="D24" s="19"/>
      <c r="E24" s="19"/>
      <c r="F24" s="19"/>
      <c r="G24" s="19"/>
      <c r="H24" s="19"/>
      <c r="I24" s="19"/>
      <c r="J24" s="19"/>
      <c r="K24" s="19"/>
      <c r="L24" s="20"/>
      <c r="M24" s="20"/>
      <c r="N24" s="20"/>
      <c r="O24" s="20"/>
      <c r="P24" s="20"/>
      <c r="Q24" s="20"/>
      <c r="R24" s="19"/>
      <c r="S24" s="19"/>
      <c r="T24" s="19"/>
      <c r="U24" s="19"/>
      <c r="V24" s="19"/>
      <c r="W24" s="20"/>
      <c r="X24" s="20"/>
      <c r="Y24" s="20"/>
      <c r="Z24" s="19"/>
      <c r="AA24" s="19"/>
      <c r="AB24" s="19"/>
      <c r="AC24" s="19"/>
      <c r="AD24" s="19"/>
      <c r="AE24" s="19"/>
      <c r="AF24" s="19"/>
      <c r="AG24" s="19"/>
      <c r="AH24" s="20"/>
      <c r="AI24" s="20"/>
      <c r="AJ24" s="20"/>
      <c r="AN24" s="19"/>
      <c r="AO24" s="19"/>
      <c r="AP24" s="19"/>
      <c r="AQ24" s="19"/>
      <c r="AR24" s="19"/>
      <c r="AS24" s="19"/>
      <c r="AT24" s="19"/>
      <c r="AU24" s="19"/>
      <c r="AV24" s="19"/>
      <c r="AW24" s="19"/>
      <c r="AX24" s="19"/>
      <c r="AY24" s="19"/>
      <c r="AZ24" s="19"/>
      <c r="BA24" s="19"/>
      <c r="BB24" s="19"/>
      <c r="BC24">
        <v>14100</v>
      </c>
      <c r="BD24" s="19"/>
      <c r="BE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v>30</v>
      </c>
      <c r="CI24" s="19"/>
      <c r="CJ24" s="19"/>
      <c r="CK24" s="19"/>
      <c r="CL24" s="19"/>
      <c r="CM24" s="19"/>
      <c r="CP24" s="19"/>
      <c r="CQ24" s="19"/>
      <c r="CR24" s="19"/>
      <c r="CS24" s="19"/>
      <c r="CT24" s="19"/>
      <c r="CU24" s="19"/>
      <c r="CV24" s="19"/>
      <c r="CW24" s="19"/>
      <c r="CX24" s="19"/>
      <c r="CY24" s="19"/>
      <c r="CZ24" s="19"/>
      <c r="DA24">
        <v>72</v>
      </c>
      <c r="DB24" s="19"/>
      <c r="DC24" s="19"/>
      <c r="DD24" s="21"/>
      <c r="DF24" s="19"/>
      <c r="DG24" s="19"/>
      <c r="DH24" s="19"/>
      <c r="DI24" s="19"/>
      <c r="DJ24" s="19"/>
      <c r="DK24" s="19"/>
      <c r="DL24" s="19"/>
      <c r="DM24" s="19"/>
      <c r="DN24" s="19"/>
      <c r="DO24" s="19"/>
      <c r="DP24" s="19"/>
      <c r="DQ24" s="19"/>
      <c r="DR24" s="19"/>
      <c r="DS24" s="19"/>
      <c r="DU24" s="19"/>
      <c r="DV24" s="19"/>
      <c r="DW24" s="19"/>
      <c r="DX24" s="19"/>
      <c r="DY24" s="19"/>
      <c r="DZ24" s="19"/>
      <c r="EA24" s="19"/>
      <c r="EB24" s="19"/>
      <c r="EC24" s="20"/>
      <c r="ED24" s="20"/>
      <c r="EE24" s="20"/>
      <c r="EF24" s="20"/>
      <c r="EG24" s="20"/>
      <c r="EH24" s="20"/>
      <c r="EI24" s="20"/>
      <c r="EJ24" s="20"/>
      <c r="EK24" s="20"/>
      <c r="EL24" s="20"/>
      <c r="EM24" s="20"/>
      <c r="EN24" s="19"/>
      <c r="EO24" s="19"/>
      <c r="EP24" s="19"/>
      <c r="EQ24" s="19"/>
      <c r="ER24" s="19"/>
      <c r="ES24" s="19"/>
      <c r="ET24" s="19"/>
      <c r="EU24" s="19"/>
      <c r="EV24" s="20"/>
      <c r="EW24" s="20"/>
      <c r="EX24" s="20"/>
      <c r="EY24" s="19"/>
      <c r="EZ24" s="19"/>
      <c r="FA24" s="19"/>
      <c r="FB24" s="19"/>
      <c r="FC24" s="19"/>
      <c r="FD24" s="19"/>
      <c r="FE24" s="19"/>
      <c r="FF24" s="20"/>
      <c r="FG24" s="19"/>
      <c r="FH24" s="20"/>
      <c r="FI24" s="19"/>
      <c r="FJ24" s="19"/>
      <c r="FK24" s="19"/>
      <c r="FL24" s="19"/>
      <c r="FM24" s="19"/>
      <c r="FN24" s="19"/>
      <c r="FO24" s="19"/>
      <c r="FP24" s="19"/>
      <c r="FQ24" s="19"/>
      <c r="FR24" s="19"/>
      <c r="FS24" s="19"/>
      <c r="FT24" s="19"/>
      <c r="FU24" s="19"/>
      <c r="FV24" s="20"/>
      <c r="FW24" s="19"/>
      <c r="FX24" s="19"/>
      <c r="FY24" s="19"/>
      <c r="FZ24" s="19"/>
      <c r="GA24" s="19"/>
      <c r="GB24" s="19"/>
      <c r="GC24" s="19"/>
      <c r="GD24" s="19"/>
      <c r="GE24" s="19"/>
      <c r="GF24" s="19"/>
      <c r="GG24" s="19"/>
      <c r="GH24" s="19"/>
      <c r="GI24" s="19"/>
      <c r="GJ24" s="19"/>
      <c r="GK24" s="19"/>
      <c r="GL24" s="19"/>
      <c r="GM24" s="19"/>
      <c r="GN24" s="19"/>
      <c r="GP24" s="19"/>
      <c r="GQ24" s="19"/>
      <c r="GR24" s="19"/>
      <c r="GS24" s="19"/>
      <c r="GT24" s="19"/>
      <c r="GU24" s="21"/>
      <c r="GV24" s="19"/>
      <c r="GW24" s="19"/>
      <c r="GX24" s="19"/>
      <c r="GY24" s="19"/>
      <c r="GZ24" s="19"/>
      <c r="HA24" s="19"/>
      <c r="HB24" s="19"/>
      <c r="HC24" s="19"/>
      <c r="HD24" s="19"/>
      <c r="HE24" s="19"/>
      <c r="HF24" s="19"/>
      <c r="HG24" s="20"/>
      <c r="HH24" s="19"/>
      <c r="HI24" s="19"/>
      <c r="HJ24" s="19"/>
      <c r="HK24" s="19"/>
      <c r="HL24" s="19"/>
      <c r="HM24" s="19"/>
      <c r="HN24" s="19"/>
      <c r="HO24" s="19"/>
      <c r="HP24" s="19"/>
      <c r="HQ24" s="19"/>
      <c r="HR24" s="19"/>
      <c r="HS24" s="19"/>
      <c r="IV24">
        <v>58</v>
      </c>
      <c r="IX24">
        <v>1</v>
      </c>
      <c r="IY24">
        <v>22.6</v>
      </c>
      <c r="JA24">
        <v>1</v>
      </c>
      <c r="JB24">
        <v>27</v>
      </c>
      <c r="JC24">
        <v>1</v>
      </c>
      <c r="JD24">
        <v>1</v>
      </c>
      <c r="JE24">
        <v>1</v>
      </c>
      <c r="JK24">
        <v>1</v>
      </c>
      <c r="KM24">
        <v>1</v>
      </c>
      <c r="LM24">
        <v>1</v>
      </c>
      <c r="LN24">
        <v>1</v>
      </c>
      <c r="LP24">
        <v>1</v>
      </c>
      <c r="MX24" t="s">
        <v>1678</v>
      </c>
      <c r="MY24" s="10">
        <v>1</v>
      </c>
      <c r="NB24">
        <v>1</v>
      </c>
      <c r="ND24">
        <v>1</v>
      </c>
      <c r="NE24">
        <v>1</v>
      </c>
      <c r="NF24">
        <v>1</v>
      </c>
      <c r="NG24">
        <v>0</v>
      </c>
      <c r="NH24">
        <v>7</v>
      </c>
      <c r="QE24" s="10">
        <v>2</v>
      </c>
      <c r="QF24">
        <v>1</v>
      </c>
      <c r="QG24">
        <v>1</v>
      </c>
      <c r="QJ24">
        <v>2</v>
      </c>
      <c r="QK24">
        <v>2</v>
      </c>
      <c r="QL24">
        <v>1</v>
      </c>
      <c r="QM24">
        <v>0</v>
      </c>
      <c r="QN24">
        <v>5</v>
      </c>
      <c r="VG24">
        <v>7.5</v>
      </c>
      <c r="VH24">
        <v>1</v>
      </c>
      <c r="VK24">
        <v>1</v>
      </c>
      <c r="VL24">
        <v>1</v>
      </c>
      <c r="VM24">
        <v>2</v>
      </c>
      <c r="VN24">
        <v>2</v>
      </c>
      <c r="VO24">
        <v>0</v>
      </c>
      <c r="VP24">
        <v>4</v>
      </c>
      <c r="VQ24">
        <v>1</v>
      </c>
      <c r="VR24">
        <v>1</v>
      </c>
      <c r="VU24">
        <v>1</v>
      </c>
      <c r="VV24">
        <v>1</v>
      </c>
      <c r="VW24">
        <v>3</v>
      </c>
      <c r="VX24">
        <v>3</v>
      </c>
      <c r="VY24">
        <v>0</v>
      </c>
      <c r="VZ24">
        <v>4</v>
      </c>
      <c r="ACQ24" t="s">
        <v>1674</v>
      </c>
      <c r="ACR24">
        <v>3</v>
      </c>
      <c r="ACU24">
        <v>1</v>
      </c>
      <c r="ACW24">
        <v>9</v>
      </c>
      <c r="ACX24">
        <v>18</v>
      </c>
      <c r="ACY24">
        <v>10</v>
      </c>
      <c r="ACZ24">
        <v>0</v>
      </c>
      <c r="ADA24">
        <v>5</v>
      </c>
      <c r="ADX24" t="s">
        <v>1670</v>
      </c>
      <c r="ADY24">
        <v>1</v>
      </c>
      <c r="AEB24">
        <v>1</v>
      </c>
      <c r="AEC24">
        <v>16</v>
      </c>
      <c r="AED24">
        <v>18</v>
      </c>
      <c r="AEE24">
        <v>3</v>
      </c>
      <c r="AEF24">
        <v>999</v>
      </c>
      <c r="AEG24">
        <v>5</v>
      </c>
      <c r="AFW24">
        <v>10</v>
      </c>
      <c r="AFX24">
        <v>1</v>
      </c>
      <c r="AFY24">
        <v>1</v>
      </c>
      <c r="AGB24">
        <v>2</v>
      </c>
      <c r="AGC24">
        <v>2</v>
      </c>
      <c r="AGD24">
        <v>1</v>
      </c>
      <c r="AGE24">
        <v>0</v>
      </c>
      <c r="AGF24">
        <v>5</v>
      </c>
      <c r="AGG24">
        <v>250</v>
      </c>
      <c r="AGH24">
        <v>1</v>
      </c>
      <c r="AGK24">
        <v>1</v>
      </c>
      <c r="AGL24">
        <v>22</v>
      </c>
      <c r="AGM24">
        <v>18</v>
      </c>
      <c r="AGN24">
        <v>0</v>
      </c>
      <c r="AGO24">
        <v>999</v>
      </c>
      <c r="AGP24">
        <v>5</v>
      </c>
      <c r="AIE24" s="74">
        <v>1</v>
      </c>
      <c r="AIF24">
        <v>4</v>
      </c>
      <c r="AII24">
        <v>1</v>
      </c>
      <c r="AIJ24">
        <v>22</v>
      </c>
      <c r="AIK24">
        <v>18</v>
      </c>
      <c r="AIL24">
        <v>0</v>
      </c>
      <c r="AIM24">
        <v>999</v>
      </c>
      <c r="AIN24">
        <v>5</v>
      </c>
      <c r="ALH24" s="76">
        <v>1</v>
      </c>
      <c r="ALI24" s="10">
        <v>1</v>
      </c>
      <c r="ALJ24">
        <v>1</v>
      </c>
      <c r="ALM24">
        <v>11</v>
      </c>
      <c r="ALN24">
        <v>9</v>
      </c>
      <c r="ALO24">
        <v>0</v>
      </c>
      <c r="ALP24">
        <v>1</v>
      </c>
      <c r="ALQ24">
        <v>5</v>
      </c>
      <c r="AOA24" t="s">
        <v>1669</v>
      </c>
      <c r="AOB24">
        <v>1</v>
      </c>
      <c r="AOE24">
        <v>1</v>
      </c>
      <c r="AOF24">
        <v>10</v>
      </c>
      <c r="AOG24">
        <v>9</v>
      </c>
      <c r="AOH24">
        <v>0</v>
      </c>
      <c r="AOI24">
        <v>0</v>
      </c>
      <c r="AOJ24">
        <v>5</v>
      </c>
      <c r="AOK24">
        <v>2</v>
      </c>
      <c r="AOL24">
        <v>1</v>
      </c>
      <c r="AOM24">
        <v>1</v>
      </c>
      <c r="AOP24">
        <v>1</v>
      </c>
      <c r="AOQ24">
        <v>2</v>
      </c>
      <c r="AOR24">
        <v>2</v>
      </c>
      <c r="AOS24">
        <v>0</v>
      </c>
      <c r="AOT24">
        <v>5</v>
      </c>
      <c r="APF24" t="s">
        <v>1668</v>
      </c>
      <c r="APG24">
        <v>3</v>
      </c>
      <c r="APJ24">
        <v>1</v>
      </c>
      <c r="APK24">
        <v>16</v>
      </c>
      <c r="APL24">
        <v>18</v>
      </c>
      <c r="APM24">
        <v>3</v>
      </c>
      <c r="APN24">
        <v>999</v>
      </c>
      <c r="APO24">
        <v>3</v>
      </c>
      <c r="AUP24">
        <v>2</v>
      </c>
      <c r="AUQ24">
        <v>1</v>
      </c>
      <c r="AUR24">
        <v>1</v>
      </c>
      <c r="AUU24">
        <v>1</v>
      </c>
      <c r="AUV24">
        <v>2</v>
      </c>
      <c r="AUW24">
        <v>2</v>
      </c>
      <c r="AUX24">
        <v>0</v>
      </c>
      <c r="AUY24">
        <v>4</v>
      </c>
      <c r="AXR24">
        <v>1</v>
      </c>
      <c r="AXS24">
        <v>1</v>
      </c>
      <c r="AXT24">
        <v>1</v>
      </c>
      <c r="AXW24">
        <v>1</v>
      </c>
      <c r="AXX24">
        <v>2</v>
      </c>
      <c r="AXY24">
        <v>2</v>
      </c>
      <c r="AXZ24" s="10">
        <v>0</v>
      </c>
      <c r="AYA24">
        <v>5</v>
      </c>
      <c r="BAE24">
        <v>4</v>
      </c>
      <c r="BAF24">
        <v>1</v>
      </c>
      <c r="BAH24">
        <v>2</v>
      </c>
      <c r="BAT24">
        <v>1</v>
      </c>
      <c r="BCF24">
        <v>1</v>
      </c>
      <c r="BCP24">
        <v>1</v>
      </c>
      <c r="BDF24">
        <v>1</v>
      </c>
      <c r="BDV24">
        <v>1</v>
      </c>
    </row>
    <row r="25" spans="1:1608" x14ac:dyDescent="0.25">
      <c r="A25" s="18">
        <v>99000897</v>
      </c>
      <c r="B25" s="57"/>
      <c r="C25" s="18"/>
      <c r="BA25" s="15">
        <v>14800</v>
      </c>
      <c r="BV25" s="45">
        <v>37</v>
      </c>
      <c r="DD25">
        <v>284</v>
      </c>
      <c r="DU25">
        <v>9</v>
      </c>
      <c r="IV25">
        <v>36</v>
      </c>
      <c r="IX25">
        <v>1</v>
      </c>
      <c r="JA25">
        <v>1</v>
      </c>
      <c r="JB25">
        <v>19</v>
      </c>
      <c r="MX25" s="10">
        <v>75</v>
      </c>
      <c r="MY25">
        <v>3</v>
      </c>
      <c r="NC25">
        <v>1</v>
      </c>
      <c r="ND25">
        <v>2</v>
      </c>
      <c r="NE25">
        <v>0</v>
      </c>
      <c r="NF25">
        <v>0</v>
      </c>
      <c r="NG25">
        <v>999</v>
      </c>
      <c r="NH25">
        <v>5</v>
      </c>
      <c r="SN25">
        <v>500</v>
      </c>
      <c r="SO25">
        <v>3</v>
      </c>
      <c r="SR25">
        <v>1</v>
      </c>
      <c r="SS25" s="72">
        <v>4</v>
      </c>
      <c r="ST25">
        <v>2</v>
      </c>
      <c r="SU25">
        <v>0</v>
      </c>
      <c r="SV25">
        <v>999</v>
      </c>
      <c r="SW25">
        <v>4</v>
      </c>
      <c r="BAD25">
        <v>1</v>
      </c>
      <c r="BAT25">
        <v>1</v>
      </c>
      <c r="BBA25">
        <v>1</v>
      </c>
      <c r="BCE25">
        <v>1</v>
      </c>
      <c r="BCP25">
        <v>1</v>
      </c>
      <c r="BDF25">
        <v>1</v>
      </c>
      <c r="BDV25">
        <v>1</v>
      </c>
    </row>
    <row r="26" spans="1:1608" x14ac:dyDescent="0.25">
      <c r="A26" s="18">
        <v>99001245</v>
      </c>
      <c r="B26" s="57"/>
      <c r="C26" s="18"/>
      <c r="BH26">
        <v>31</v>
      </c>
      <c r="DG26">
        <v>681</v>
      </c>
      <c r="DV26">
        <v>24.7</v>
      </c>
      <c r="IV26">
        <v>4</v>
      </c>
      <c r="IX26">
        <v>1</v>
      </c>
      <c r="JA26">
        <v>1</v>
      </c>
      <c r="JB26">
        <v>8</v>
      </c>
      <c r="JK26">
        <v>1</v>
      </c>
      <c r="LA26">
        <v>1</v>
      </c>
      <c r="MX26">
        <v>250</v>
      </c>
      <c r="MY26" s="10">
        <v>2</v>
      </c>
      <c r="NC26">
        <v>1</v>
      </c>
      <c r="ND26" s="72">
        <v>3</v>
      </c>
      <c r="NE26">
        <v>1</v>
      </c>
      <c r="NF26">
        <v>0</v>
      </c>
      <c r="NG26">
        <v>999</v>
      </c>
      <c r="NH26">
        <v>4</v>
      </c>
      <c r="SD26">
        <v>75</v>
      </c>
      <c r="SE26" s="10">
        <v>1</v>
      </c>
      <c r="SH26">
        <v>1</v>
      </c>
      <c r="SI26" s="36">
        <v>5</v>
      </c>
      <c r="SJ26">
        <v>999</v>
      </c>
      <c r="SK26">
        <v>0</v>
      </c>
      <c r="SL26">
        <v>0</v>
      </c>
      <c r="SM26">
        <v>3</v>
      </c>
      <c r="ALR26">
        <v>1</v>
      </c>
      <c r="ALS26" s="10">
        <v>1</v>
      </c>
      <c r="ALV26">
        <v>1</v>
      </c>
      <c r="ALW26">
        <v>2</v>
      </c>
      <c r="ALX26">
        <v>1</v>
      </c>
      <c r="ALY26">
        <v>0</v>
      </c>
      <c r="ALZ26">
        <v>0</v>
      </c>
      <c r="AMA26">
        <v>5</v>
      </c>
      <c r="BAT26">
        <v>1</v>
      </c>
      <c r="BAW26">
        <v>1</v>
      </c>
      <c r="BCP26">
        <v>1</v>
      </c>
      <c r="BDF26">
        <v>1</v>
      </c>
      <c r="BDU26">
        <v>1</v>
      </c>
      <c r="BDV26">
        <v>1</v>
      </c>
      <c r="BDZ26">
        <v>1</v>
      </c>
    </row>
    <row r="27" spans="1:1608" x14ac:dyDescent="0.25">
      <c r="A27" s="18">
        <v>99001902</v>
      </c>
      <c r="B27" s="57"/>
      <c r="C27" s="18"/>
      <c r="AO27">
        <v>16500</v>
      </c>
      <c r="BH27">
        <v>50</v>
      </c>
      <c r="BY27">
        <v>29</v>
      </c>
      <c r="CQ27">
        <v>18</v>
      </c>
      <c r="DV27">
        <v>29</v>
      </c>
      <c r="IV27">
        <v>1</v>
      </c>
      <c r="IW27">
        <v>1</v>
      </c>
      <c r="JA27">
        <v>1</v>
      </c>
      <c r="JB27">
        <v>17</v>
      </c>
      <c r="JF27">
        <v>1</v>
      </c>
      <c r="KZ27">
        <v>1</v>
      </c>
      <c r="NC27">
        <v>1</v>
      </c>
      <c r="ND27">
        <v>11</v>
      </c>
      <c r="NE27">
        <v>15</v>
      </c>
      <c r="NF27">
        <v>5</v>
      </c>
      <c r="NG27">
        <v>0</v>
      </c>
      <c r="NH27">
        <v>4</v>
      </c>
      <c r="SR27">
        <v>1</v>
      </c>
      <c r="SS27">
        <v>8</v>
      </c>
      <c r="ST27">
        <v>14</v>
      </c>
      <c r="SU27">
        <v>7</v>
      </c>
      <c r="SV27">
        <v>0</v>
      </c>
      <c r="SW27">
        <v>3</v>
      </c>
      <c r="BAT27">
        <v>1</v>
      </c>
      <c r="BAV27">
        <v>1</v>
      </c>
      <c r="BCP27">
        <v>1</v>
      </c>
      <c r="BDF27">
        <v>1</v>
      </c>
      <c r="BDZ27">
        <v>1</v>
      </c>
    </row>
    <row r="28" spans="1:1608" x14ac:dyDescent="0.25">
      <c r="A28" s="18">
        <v>99001912</v>
      </c>
      <c r="B28" s="55"/>
      <c r="C28" s="57"/>
      <c r="D28" s="61"/>
      <c r="AO28">
        <v>10900</v>
      </c>
      <c r="BK28">
        <v>51</v>
      </c>
      <c r="CB28">
        <v>147</v>
      </c>
      <c r="CT28">
        <v>139</v>
      </c>
      <c r="DJ28">
        <v>131</v>
      </c>
      <c r="DV28">
        <v>15</v>
      </c>
      <c r="IV28">
        <v>37</v>
      </c>
      <c r="IX28">
        <v>1</v>
      </c>
      <c r="JA28">
        <v>1</v>
      </c>
      <c r="JB28">
        <v>35</v>
      </c>
      <c r="MD28">
        <v>1</v>
      </c>
      <c r="MG28">
        <v>3</v>
      </c>
      <c r="MH28">
        <v>1</v>
      </c>
      <c r="MI28">
        <v>0</v>
      </c>
      <c r="MJ28">
        <v>999</v>
      </c>
      <c r="MK28">
        <v>3</v>
      </c>
      <c r="ND28">
        <v>2</v>
      </c>
      <c r="NE28">
        <v>3</v>
      </c>
      <c r="NF28">
        <v>2</v>
      </c>
      <c r="NG28">
        <v>0</v>
      </c>
      <c r="NH28">
        <v>4</v>
      </c>
      <c r="SS28">
        <v>2</v>
      </c>
      <c r="ST28">
        <v>3</v>
      </c>
      <c r="SU28">
        <v>2</v>
      </c>
      <c r="SV28">
        <v>0</v>
      </c>
      <c r="SW28">
        <v>3</v>
      </c>
    </row>
    <row r="29" spans="1:1608" x14ac:dyDescent="0.25">
      <c r="A29" s="18">
        <v>99001913</v>
      </c>
      <c r="B29" s="57"/>
      <c r="C29" s="18"/>
      <c r="BH29">
        <v>28</v>
      </c>
      <c r="BY29">
        <v>24</v>
      </c>
      <c r="CQ29">
        <v>22</v>
      </c>
      <c r="DV29">
        <v>9</v>
      </c>
      <c r="IV29">
        <v>20</v>
      </c>
      <c r="IW29">
        <v>1</v>
      </c>
      <c r="IY29">
        <v>21</v>
      </c>
      <c r="JA29">
        <v>1</v>
      </c>
      <c r="JB29">
        <v>27</v>
      </c>
      <c r="JF29">
        <v>1</v>
      </c>
      <c r="JG29">
        <v>1</v>
      </c>
      <c r="JH29">
        <v>1</v>
      </c>
      <c r="JK29">
        <v>1</v>
      </c>
      <c r="LC29">
        <v>1</v>
      </c>
      <c r="NB29">
        <v>1</v>
      </c>
      <c r="ND29" s="18">
        <v>3</v>
      </c>
      <c r="NE29">
        <v>1</v>
      </c>
      <c r="NF29">
        <v>0</v>
      </c>
      <c r="NG29">
        <v>1</v>
      </c>
      <c r="NH29">
        <v>5</v>
      </c>
      <c r="NN29">
        <v>1</v>
      </c>
      <c r="NO29">
        <v>1</v>
      </c>
      <c r="NP29">
        <v>7</v>
      </c>
      <c r="NQ29">
        <v>7</v>
      </c>
      <c r="NR29">
        <v>0</v>
      </c>
      <c r="NS29">
        <v>5</v>
      </c>
      <c r="AJW29">
        <v>1</v>
      </c>
      <c r="AJX29" s="18">
        <v>29</v>
      </c>
      <c r="AJY29">
        <v>27</v>
      </c>
      <c r="AJZ29">
        <v>0</v>
      </c>
      <c r="AKA29">
        <v>1</v>
      </c>
      <c r="AKB29">
        <v>6</v>
      </c>
      <c r="ALH29">
        <v>200</v>
      </c>
      <c r="ALL29">
        <v>1</v>
      </c>
      <c r="ALM29" s="18">
        <v>3</v>
      </c>
      <c r="ALN29">
        <v>1</v>
      </c>
      <c r="ALO29">
        <v>0</v>
      </c>
      <c r="ALP29">
        <v>1</v>
      </c>
      <c r="ALQ29">
        <v>5</v>
      </c>
      <c r="ANQ29">
        <v>200</v>
      </c>
      <c r="ANU29">
        <v>1</v>
      </c>
      <c r="ANV29" s="18">
        <v>3</v>
      </c>
      <c r="ANW29">
        <v>1</v>
      </c>
      <c r="ANX29">
        <v>0</v>
      </c>
      <c r="ANY29">
        <v>1</v>
      </c>
      <c r="ANZ29">
        <v>5</v>
      </c>
      <c r="AQX29">
        <v>1</v>
      </c>
      <c r="AQY29">
        <v>3</v>
      </c>
      <c r="AQZ29">
        <v>1</v>
      </c>
      <c r="ARA29">
        <v>0</v>
      </c>
      <c r="ARB29">
        <v>1</v>
      </c>
      <c r="ARC29">
        <v>5</v>
      </c>
      <c r="BAR29">
        <v>1</v>
      </c>
      <c r="BAT29">
        <v>1</v>
      </c>
      <c r="BBA29">
        <v>1</v>
      </c>
      <c r="BCP29">
        <v>1</v>
      </c>
      <c r="BDV29">
        <v>1</v>
      </c>
      <c r="BDZ29">
        <v>1</v>
      </c>
    </row>
    <row r="30" spans="1:1608" x14ac:dyDescent="0.25">
      <c r="A30" s="18">
        <v>99001937</v>
      </c>
      <c r="B30" s="57"/>
      <c r="C30" s="18"/>
      <c r="BL30">
        <v>21</v>
      </c>
      <c r="CD30">
        <v>48</v>
      </c>
      <c r="CU30">
        <v>53</v>
      </c>
      <c r="DK30">
        <v>226</v>
      </c>
      <c r="IV30">
        <v>83</v>
      </c>
      <c r="IW30">
        <v>1</v>
      </c>
      <c r="IY30">
        <v>26.5</v>
      </c>
      <c r="JA30">
        <v>1</v>
      </c>
      <c r="JB30">
        <v>32</v>
      </c>
      <c r="JG30">
        <v>1</v>
      </c>
      <c r="JK30">
        <v>1</v>
      </c>
      <c r="JL30">
        <v>1</v>
      </c>
      <c r="JQ30">
        <v>1</v>
      </c>
      <c r="JS30">
        <v>1</v>
      </c>
      <c r="KF30">
        <v>1</v>
      </c>
      <c r="KI30">
        <v>1</v>
      </c>
      <c r="KJ30">
        <v>1</v>
      </c>
      <c r="KT30">
        <v>1</v>
      </c>
      <c r="KW30">
        <v>1</v>
      </c>
      <c r="LV30">
        <v>1</v>
      </c>
      <c r="MX30">
        <v>500</v>
      </c>
      <c r="NB30">
        <v>1</v>
      </c>
      <c r="ND30" s="18">
        <v>1</v>
      </c>
      <c r="NE30">
        <v>21</v>
      </c>
      <c r="NF30">
        <v>21</v>
      </c>
      <c r="NH30">
        <v>5</v>
      </c>
      <c r="ZE30">
        <v>1</v>
      </c>
      <c r="ZI30">
        <v>2</v>
      </c>
      <c r="ZJ30">
        <v>18</v>
      </c>
      <c r="ZK30">
        <v>17</v>
      </c>
      <c r="ZL30" s="10">
        <v>0</v>
      </c>
      <c r="ZM30">
        <v>5</v>
      </c>
      <c r="ZN30">
        <v>600</v>
      </c>
      <c r="ZO30">
        <v>1</v>
      </c>
      <c r="ZR30">
        <v>1</v>
      </c>
      <c r="ZS30" s="36">
        <v>23</v>
      </c>
      <c r="ZT30">
        <v>999</v>
      </c>
      <c r="ZU30">
        <v>6</v>
      </c>
      <c r="ZW30">
        <v>6</v>
      </c>
      <c r="AAR30">
        <v>1</v>
      </c>
      <c r="AAS30">
        <v>1</v>
      </c>
      <c r="AAV30">
        <v>1</v>
      </c>
      <c r="AAW30" s="73">
        <v>29</v>
      </c>
      <c r="AAX30">
        <v>28</v>
      </c>
      <c r="AAY30">
        <v>0</v>
      </c>
      <c r="AAZ30">
        <v>999</v>
      </c>
      <c r="ABA30">
        <v>6</v>
      </c>
      <c r="ADN30">
        <v>500</v>
      </c>
      <c r="ADP30">
        <v>1</v>
      </c>
      <c r="ADS30">
        <v>2</v>
      </c>
      <c r="ADT30">
        <v>5</v>
      </c>
      <c r="ADU30">
        <v>0</v>
      </c>
      <c r="ADW30">
        <v>5</v>
      </c>
      <c r="AFG30">
        <v>1</v>
      </c>
      <c r="AFH30">
        <v>1</v>
      </c>
      <c r="AFI30">
        <v>28</v>
      </c>
      <c r="AFJ30">
        <v>28</v>
      </c>
      <c r="AFL30">
        <v>6</v>
      </c>
      <c r="AGK30">
        <v>1</v>
      </c>
      <c r="AGL30">
        <v>1</v>
      </c>
      <c r="AGM30">
        <v>20</v>
      </c>
      <c r="AGN30">
        <v>20</v>
      </c>
      <c r="AGO30" s="10">
        <v>0</v>
      </c>
      <c r="AGP30">
        <v>5</v>
      </c>
      <c r="AGQ30">
        <v>1</v>
      </c>
      <c r="AGR30">
        <v>2</v>
      </c>
      <c r="AGU30">
        <v>1</v>
      </c>
      <c r="AGV30">
        <v>15</v>
      </c>
      <c r="AGW30">
        <v>20</v>
      </c>
      <c r="AGX30">
        <v>6</v>
      </c>
      <c r="AGZ30">
        <v>5</v>
      </c>
      <c r="AHA30">
        <v>1</v>
      </c>
      <c r="AHB30">
        <v>3</v>
      </c>
      <c r="AHE30">
        <v>1</v>
      </c>
      <c r="AHF30">
        <v>14</v>
      </c>
      <c r="AHG30">
        <v>19</v>
      </c>
      <c r="AHH30">
        <v>6</v>
      </c>
      <c r="AHJ30">
        <v>5</v>
      </c>
      <c r="AHP30">
        <v>16</v>
      </c>
      <c r="AHQ30">
        <v>21</v>
      </c>
      <c r="AHR30">
        <v>6</v>
      </c>
      <c r="AHT30">
        <v>6</v>
      </c>
      <c r="AIY30">
        <v>1</v>
      </c>
      <c r="AIZ30">
        <v>3</v>
      </c>
      <c r="AJC30">
        <v>1</v>
      </c>
      <c r="AJD30">
        <v>12</v>
      </c>
      <c r="AJE30">
        <v>17</v>
      </c>
      <c r="AJF30">
        <v>6</v>
      </c>
      <c r="AJH30">
        <v>4</v>
      </c>
      <c r="AJM30">
        <v>1</v>
      </c>
      <c r="AJN30">
        <v>9</v>
      </c>
      <c r="AJO30">
        <v>16</v>
      </c>
      <c r="AJP30">
        <v>6</v>
      </c>
      <c r="AJQ30" s="10">
        <v>0</v>
      </c>
      <c r="AJR30">
        <v>5</v>
      </c>
      <c r="AKG30">
        <v>1</v>
      </c>
      <c r="AKH30">
        <v>8</v>
      </c>
      <c r="AKI30">
        <v>19</v>
      </c>
      <c r="AKJ30">
        <v>6</v>
      </c>
      <c r="AKK30" s="10">
        <v>0</v>
      </c>
      <c r="AKL30">
        <v>4</v>
      </c>
      <c r="ARI30" s="36">
        <v>21</v>
      </c>
      <c r="ARJ30">
        <v>999</v>
      </c>
      <c r="ARK30">
        <v>3</v>
      </c>
      <c r="ARM30">
        <v>6</v>
      </c>
      <c r="ARX30" s="80" t="s">
        <v>1696</v>
      </c>
      <c r="ASC30" s="36">
        <v>21</v>
      </c>
      <c r="ASD30">
        <v>999</v>
      </c>
      <c r="ASE30">
        <v>3</v>
      </c>
      <c r="ASG30">
        <v>6</v>
      </c>
      <c r="ASH30">
        <v>5</v>
      </c>
      <c r="ASI30">
        <v>1</v>
      </c>
      <c r="ASL30">
        <v>1</v>
      </c>
      <c r="ASM30" s="72">
        <v>14</v>
      </c>
      <c r="ASN30">
        <v>27</v>
      </c>
      <c r="ASO30">
        <v>0</v>
      </c>
      <c r="ASQ30">
        <v>6</v>
      </c>
      <c r="BCP30">
        <v>1</v>
      </c>
      <c r="BDF30">
        <v>1</v>
      </c>
      <c r="BDV30">
        <v>1</v>
      </c>
    </row>
    <row r="31" spans="1:1608" x14ac:dyDescent="0.25">
      <c r="A31" s="18">
        <v>99001943</v>
      </c>
      <c r="B31" s="57"/>
      <c r="C31" s="18"/>
      <c r="AL31" s="18">
        <v>12700</v>
      </c>
      <c r="AM31" s="18"/>
      <c r="AN31" s="18"/>
      <c r="AO31" s="18">
        <v>12700</v>
      </c>
      <c r="BS31">
        <v>21</v>
      </c>
      <c r="CJ31">
        <v>27</v>
      </c>
      <c r="DB31">
        <v>162</v>
      </c>
      <c r="DS31" s="18">
        <v>9</v>
      </c>
      <c r="DV31" s="18">
        <v>9</v>
      </c>
      <c r="IV31">
        <v>53</v>
      </c>
      <c r="IX31">
        <v>1</v>
      </c>
      <c r="IY31">
        <v>19.600000000000001</v>
      </c>
      <c r="JA31">
        <v>1</v>
      </c>
      <c r="JB31">
        <v>35</v>
      </c>
      <c r="KA31">
        <v>1</v>
      </c>
      <c r="LO31">
        <v>1</v>
      </c>
      <c r="NC31">
        <v>1</v>
      </c>
      <c r="ND31" s="18">
        <v>2</v>
      </c>
      <c r="NE31">
        <v>4</v>
      </c>
      <c r="NF31">
        <v>3</v>
      </c>
      <c r="NG31">
        <v>0</v>
      </c>
      <c r="NH31">
        <v>4</v>
      </c>
      <c r="OR31">
        <v>1</v>
      </c>
      <c r="OU31">
        <v>1</v>
      </c>
      <c r="OV31">
        <v>22</v>
      </c>
      <c r="OW31">
        <v>21</v>
      </c>
      <c r="OY31">
        <v>7</v>
      </c>
      <c r="QQ31">
        <v>1</v>
      </c>
      <c r="QT31">
        <v>1</v>
      </c>
      <c r="QU31">
        <v>22</v>
      </c>
      <c r="QV31">
        <v>22</v>
      </c>
      <c r="QW31">
        <v>0</v>
      </c>
      <c r="QX31">
        <v>7</v>
      </c>
      <c r="RA31">
        <v>1</v>
      </c>
      <c r="RD31">
        <v>1</v>
      </c>
      <c r="RE31">
        <v>22</v>
      </c>
      <c r="RF31">
        <v>22</v>
      </c>
      <c r="RG31">
        <v>0</v>
      </c>
      <c r="RH31">
        <v>7</v>
      </c>
      <c r="VI31">
        <v>1</v>
      </c>
      <c r="VL31">
        <v>2</v>
      </c>
      <c r="VM31">
        <v>22</v>
      </c>
      <c r="VN31">
        <v>22</v>
      </c>
      <c r="VO31">
        <v>0</v>
      </c>
      <c r="VP31">
        <v>7</v>
      </c>
      <c r="WC31">
        <v>1</v>
      </c>
      <c r="WF31">
        <v>1</v>
      </c>
      <c r="WG31">
        <v>21</v>
      </c>
      <c r="WH31">
        <v>21</v>
      </c>
      <c r="WI31">
        <v>0</v>
      </c>
      <c r="WJ31">
        <v>7</v>
      </c>
      <c r="ZH31">
        <v>1</v>
      </c>
      <c r="ZI31">
        <v>1</v>
      </c>
      <c r="ZJ31">
        <v>22</v>
      </c>
      <c r="ZK31">
        <v>22</v>
      </c>
      <c r="ZL31">
        <v>0</v>
      </c>
      <c r="ZM31">
        <v>7</v>
      </c>
      <c r="ZZ31">
        <v>1</v>
      </c>
      <c r="AAC31">
        <v>2</v>
      </c>
      <c r="AAD31">
        <v>22</v>
      </c>
      <c r="AAE31">
        <v>22</v>
      </c>
      <c r="AAF31">
        <v>0</v>
      </c>
      <c r="AAG31">
        <v>7</v>
      </c>
      <c r="AAJ31">
        <v>1</v>
      </c>
      <c r="AAM31">
        <v>1</v>
      </c>
      <c r="AAN31">
        <v>22</v>
      </c>
      <c r="AAO31">
        <v>22</v>
      </c>
      <c r="AAP31">
        <v>0</v>
      </c>
      <c r="AAQ31">
        <v>7</v>
      </c>
      <c r="ABW31">
        <v>0.25</v>
      </c>
      <c r="ABX31">
        <v>1</v>
      </c>
      <c r="ACA31">
        <v>1</v>
      </c>
      <c r="ACB31" s="36">
        <v>12</v>
      </c>
      <c r="ACC31">
        <v>999</v>
      </c>
      <c r="ACD31">
        <v>5</v>
      </c>
      <c r="ACE31">
        <v>0</v>
      </c>
      <c r="ACF31">
        <v>6</v>
      </c>
      <c r="ACG31">
        <v>10</v>
      </c>
      <c r="ACK31">
        <v>1</v>
      </c>
      <c r="ACL31">
        <v>5</v>
      </c>
      <c r="ACM31">
        <v>24</v>
      </c>
      <c r="ACN31">
        <v>20</v>
      </c>
      <c r="ACO31">
        <v>0</v>
      </c>
      <c r="ACP31">
        <v>6</v>
      </c>
      <c r="ADZ31">
        <v>1</v>
      </c>
      <c r="AEC31">
        <v>3</v>
      </c>
      <c r="AED31">
        <v>22</v>
      </c>
      <c r="AEE31">
        <v>20</v>
      </c>
      <c r="AEF31">
        <v>0</v>
      </c>
      <c r="AEG31">
        <v>6</v>
      </c>
      <c r="AFY31">
        <v>1</v>
      </c>
      <c r="AGB31">
        <v>3</v>
      </c>
      <c r="AGC31">
        <v>22</v>
      </c>
      <c r="AGD31">
        <v>20</v>
      </c>
      <c r="AGE31">
        <v>0</v>
      </c>
      <c r="AGF31">
        <v>6</v>
      </c>
      <c r="ANR31">
        <v>2</v>
      </c>
      <c r="ANV31">
        <v>4</v>
      </c>
      <c r="ANW31">
        <v>3</v>
      </c>
      <c r="ANX31">
        <v>0</v>
      </c>
      <c r="ANY31">
        <v>0</v>
      </c>
      <c r="ANZ31">
        <v>4</v>
      </c>
      <c r="AOC31">
        <v>1</v>
      </c>
      <c r="AOF31">
        <v>3</v>
      </c>
      <c r="AOG31">
        <v>22</v>
      </c>
      <c r="AOH31">
        <v>20</v>
      </c>
      <c r="AOI31">
        <v>0</v>
      </c>
      <c r="AOJ31">
        <v>6</v>
      </c>
      <c r="APH31">
        <v>1</v>
      </c>
      <c r="APJ31">
        <v>1</v>
      </c>
      <c r="APK31" s="72">
        <v>22</v>
      </c>
      <c r="APL31">
        <v>19</v>
      </c>
      <c r="APM31">
        <v>0</v>
      </c>
      <c r="APN31">
        <v>999</v>
      </c>
      <c r="APO31">
        <v>3</v>
      </c>
      <c r="ATL31" t="s">
        <v>1712</v>
      </c>
      <c r="ATM31">
        <v>2</v>
      </c>
      <c r="ATP31">
        <v>1</v>
      </c>
      <c r="ATQ31">
        <v>4</v>
      </c>
      <c r="ATR31">
        <v>4</v>
      </c>
      <c r="ATS31">
        <v>0</v>
      </c>
      <c r="ATT31">
        <v>0</v>
      </c>
      <c r="ATU31">
        <v>7</v>
      </c>
      <c r="ATV31" t="s">
        <v>1715</v>
      </c>
      <c r="ATW31">
        <v>1</v>
      </c>
      <c r="ATZ31">
        <v>1</v>
      </c>
      <c r="AUA31" s="73">
        <v>27</v>
      </c>
      <c r="AUB31">
        <v>999</v>
      </c>
      <c r="AUC31">
        <v>0</v>
      </c>
      <c r="AUD31">
        <v>999</v>
      </c>
      <c r="AUE31">
        <v>6</v>
      </c>
      <c r="BAD31">
        <v>1</v>
      </c>
      <c r="BAE31">
        <v>2</v>
      </c>
      <c r="BAH31">
        <v>4</v>
      </c>
      <c r="BAT31">
        <v>1</v>
      </c>
      <c r="BCP31">
        <v>1</v>
      </c>
      <c r="BDV31">
        <v>1</v>
      </c>
      <c r="BDZ31">
        <v>1</v>
      </c>
    </row>
    <row r="32" spans="1:1608" x14ac:dyDescent="0.25">
      <c r="A32" s="18">
        <v>99001927</v>
      </c>
      <c r="B32" s="57"/>
      <c r="C32" s="18"/>
      <c r="G32" s="18"/>
      <c r="AI32">
        <v>10100</v>
      </c>
      <c r="BE32">
        <v>1425</v>
      </c>
      <c r="BV32">
        <v>2880</v>
      </c>
      <c r="CM32">
        <v>167</v>
      </c>
      <c r="DD32">
        <v>2013</v>
      </c>
      <c r="IV32">
        <v>50</v>
      </c>
      <c r="IX32">
        <v>1</v>
      </c>
      <c r="IY32">
        <v>26.7</v>
      </c>
      <c r="JA32">
        <v>1</v>
      </c>
      <c r="JB32">
        <v>47</v>
      </c>
      <c r="JC32">
        <v>1</v>
      </c>
      <c r="JG32">
        <v>1</v>
      </c>
      <c r="JI32">
        <v>1</v>
      </c>
      <c r="JK32">
        <v>1</v>
      </c>
      <c r="JT32">
        <v>1</v>
      </c>
      <c r="JX32">
        <v>1</v>
      </c>
      <c r="LA32">
        <v>1</v>
      </c>
      <c r="MY32">
        <v>3</v>
      </c>
      <c r="NB32">
        <v>1</v>
      </c>
      <c r="ND32" s="18">
        <v>3</v>
      </c>
      <c r="NE32">
        <v>0</v>
      </c>
      <c r="NF32">
        <v>0</v>
      </c>
      <c r="NG32">
        <v>2</v>
      </c>
      <c r="NH32">
        <v>4</v>
      </c>
      <c r="TR32">
        <v>150</v>
      </c>
      <c r="TS32">
        <v>2</v>
      </c>
      <c r="TV32">
        <v>1</v>
      </c>
      <c r="TW32">
        <v>2</v>
      </c>
      <c r="TX32">
        <v>1</v>
      </c>
      <c r="TY32">
        <v>0</v>
      </c>
      <c r="TZ32">
        <v>0</v>
      </c>
      <c r="UA32">
        <v>5</v>
      </c>
      <c r="UB32">
        <v>1</v>
      </c>
      <c r="UC32">
        <v>2</v>
      </c>
      <c r="UF32">
        <v>1</v>
      </c>
      <c r="UG32">
        <v>3</v>
      </c>
      <c r="UH32">
        <v>0</v>
      </c>
      <c r="UI32">
        <v>0</v>
      </c>
      <c r="UJ32">
        <v>2</v>
      </c>
      <c r="UK32">
        <v>4</v>
      </c>
      <c r="ALH32">
        <v>200</v>
      </c>
      <c r="ALI32">
        <v>3</v>
      </c>
      <c r="ALL32">
        <v>1</v>
      </c>
      <c r="ALM32">
        <v>4</v>
      </c>
      <c r="ALN32">
        <v>1</v>
      </c>
      <c r="ALO32">
        <v>0</v>
      </c>
      <c r="ALP32" s="10">
        <v>2</v>
      </c>
      <c r="ALQ32">
        <v>5</v>
      </c>
      <c r="AMB32">
        <v>15</v>
      </c>
      <c r="AMC32">
        <v>3</v>
      </c>
      <c r="AMF32">
        <v>1</v>
      </c>
      <c r="AMG32">
        <v>2</v>
      </c>
      <c r="AMH32">
        <v>1</v>
      </c>
      <c r="AMI32">
        <v>0</v>
      </c>
      <c r="AMJ32">
        <v>0</v>
      </c>
      <c r="AMK32">
        <v>5</v>
      </c>
      <c r="BAT32">
        <v>1</v>
      </c>
      <c r="BAW32">
        <v>1</v>
      </c>
      <c r="BCP32">
        <v>1</v>
      </c>
      <c r="BDF32">
        <v>1</v>
      </c>
      <c r="BDL32">
        <v>1</v>
      </c>
      <c r="BDV32">
        <v>1</v>
      </c>
      <c r="BDZ32">
        <v>1</v>
      </c>
    </row>
    <row r="33" spans="1:373 1248:1526" x14ac:dyDescent="0.25">
      <c r="A33" s="18"/>
      <c r="B33" s="18"/>
      <c r="C33" s="18"/>
    </row>
    <row r="34" spans="1:373 1248:1526" x14ac:dyDescent="0.25">
      <c r="A34" s="27" t="s">
        <v>1083</v>
      </c>
      <c r="B34" s="27"/>
      <c r="C34" s="19"/>
      <c r="D34" s="19"/>
      <c r="E34" s="19"/>
      <c r="F34" s="19"/>
      <c r="G34" s="19"/>
      <c r="H34" s="19"/>
      <c r="I34" s="19"/>
      <c r="J34" s="19"/>
      <c r="K34" s="19"/>
      <c r="L34" s="20"/>
      <c r="M34" s="20"/>
      <c r="N34" s="20"/>
      <c r="O34" s="20"/>
      <c r="P34" s="20"/>
      <c r="Q34" s="20"/>
      <c r="R34" s="19"/>
      <c r="S34" s="19"/>
      <c r="T34" s="19"/>
      <c r="U34" s="19"/>
      <c r="V34" s="19"/>
      <c r="W34" s="20"/>
      <c r="X34" s="20"/>
      <c r="Y34" s="20"/>
      <c r="Z34" s="19"/>
      <c r="AA34" s="19"/>
      <c r="AB34" s="19"/>
      <c r="AC34" s="19"/>
      <c r="AD34" s="19"/>
      <c r="AE34" s="19"/>
      <c r="AF34" s="19"/>
      <c r="AG34" s="19"/>
      <c r="AH34" s="20"/>
      <c r="AI34" s="20"/>
      <c r="AJ34" s="20"/>
      <c r="AK34" s="20"/>
      <c r="AL34" s="20"/>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c r="DD34" s="21"/>
      <c r="DE34" s="21"/>
      <c r="DF34" s="19"/>
      <c r="DG34" s="19"/>
      <c r="DH34" s="19"/>
      <c r="DI34" s="19"/>
      <c r="DJ34" s="19"/>
      <c r="DK34" s="19"/>
      <c r="DL34" s="19"/>
      <c r="DM34" s="19"/>
      <c r="DN34" s="19"/>
      <c r="DO34" s="19"/>
      <c r="DP34" s="19"/>
      <c r="DQ34" s="19"/>
      <c r="DR34" s="19"/>
      <c r="DS34" s="19"/>
      <c r="DT34" s="19"/>
      <c r="DU34" s="19"/>
      <c r="DV34" s="19"/>
      <c r="DW34" s="19"/>
      <c r="DX34" s="19"/>
      <c r="DY34" s="19"/>
      <c r="DZ34" s="19"/>
      <c r="EA34" s="19"/>
      <c r="EB34" s="19"/>
      <c r="EC34" s="20"/>
      <c r="ED34" s="20"/>
      <c r="EE34" s="20"/>
      <c r="EF34" s="20"/>
      <c r="EN34" s="19"/>
      <c r="EO34" s="19"/>
      <c r="EP34" s="19"/>
      <c r="EQ34" s="19"/>
      <c r="ER34" s="19"/>
      <c r="ES34" s="19"/>
      <c r="ET34" s="19"/>
      <c r="EU34" s="19"/>
      <c r="EV34" s="20"/>
      <c r="EW34" s="20"/>
      <c r="EX34" s="20"/>
      <c r="EY34" s="19"/>
      <c r="EZ34" s="19"/>
      <c r="FA34" s="19"/>
      <c r="FB34" s="19"/>
      <c r="FC34" s="19"/>
      <c r="FD34" s="19"/>
      <c r="FE34" s="19"/>
      <c r="FF34" s="20"/>
      <c r="FG34" s="19"/>
      <c r="FH34" s="20"/>
      <c r="FI34" s="19"/>
      <c r="FJ34" s="19"/>
      <c r="FK34" s="19"/>
      <c r="FL34" s="19"/>
      <c r="FM34" s="19"/>
      <c r="FN34" s="19"/>
      <c r="FO34" s="19"/>
      <c r="FP34" s="19"/>
      <c r="FQ34" s="19"/>
      <c r="FR34" s="19"/>
      <c r="FS34" s="19"/>
      <c r="FT34" s="19"/>
      <c r="FU34" s="19"/>
      <c r="FV34" s="20"/>
      <c r="FW34" s="19"/>
      <c r="FX34" s="19"/>
      <c r="FY34" s="19"/>
      <c r="FZ34" s="19"/>
      <c r="GA34" s="19"/>
      <c r="GB34" s="19"/>
      <c r="GC34" s="19"/>
      <c r="GD34" s="19"/>
      <c r="GE34" s="19"/>
      <c r="GF34" s="19"/>
      <c r="GG34" s="19"/>
      <c r="GH34" s="19"/>
      <c r="GI34" s="19"/>
      <c r="GJ34" s="19"/>
      <c r="GK34" s="19"/>
      <c r="GL34" s="19"/>
      <c r="GM34" s="19"/>
      <c r="GN34" s="19"/>
      <c r="GO34" s="19"/>
      <c r="GP34" s="19"/>
      <c r="GQ34" s="19"/>
      <c r="GR34" s="19"/>
      <c r="GS34" s="19"/>
      <c r="GT34" s="19"/>
      <c r="GU34" s="21"/>
      <c r="GV34" s="19"/>
      <c r="GW34" s="19"/>
      <c r="GX34" s="19"/>
      <c r="GY34" s="19"/>
      <c r="GZ34" s="19"/>
      <c r="HA34" s="19"/>
      <c r="HB34" s="19"/>
      <c r="HC34" s="19"/>
      <c r="HD34" s="19"/>
      <c r="HE34" s="19"/>
      <c r="HF34" s="19"/>
      <c r="HG34" s="20"/>
      <c r="HH34" s="19"/>
      <c r="HI34" s="19"/>
      <c r="HJ34" s="19"/>
      <c r="HK34" s="19"/>
      <c r="HL34" s="19"/>
      <c r="HM34" s="19"/>
      <c r="HN34" s="19"/>
      <c r="HO34" s="19"/>
      <c r="HP34" s="19"/>
      <c r="HQ34" s="19"/>
      <c r="HR34" s="19"/>
      <c r="HS34" s="19"/>
    </row>
    <row r="35" spans="1:373 1248:1526" x14ac:dyDescent="0.25">
      <c r="A35" s="18">
        <v>3000983</v>
      </c>
      <c r="B35" s="18"/>
      <c r="C35" s="19"/>
      <c r="D35" s="19"/>
      <c r="E35" s="19"/>
      <c r="F35" s="19"/>
      <c r="G35" s="19"/>
      <c r="H35" s="19"/>
      <c r="I35" s="19"/>
      <c r="J35" s="19"/>
      <c r="K35" s="19"/>
      <c r="L35" s="20"/>
      <c r="M35" s="20"/>
      <c r="N35" s="20"/>
      <c r="O35" s="20"/>
      <c r="P35" s="20"/>
      <c r="Q35" s="20"/>
      <c r="R35" s="19"/>
      <c r="S35" s="19"/>
      <c r="T35" s="19"/>
      <c r="U35" s="19"/>
      <c r="V35" s="19"/>
      <c r="W35" s="20"/>
      <c r="X35" s="20"/>
      <c r="Y35" s="20"/>
      <c r="Z35" s="19"/>
      <c r="AA35" s="19"/>
      <c r="AB35" s="19"/>
      <c r="AC35" s="19"/>
      <c r="AD35" s="19"/>
      <c r="AE35" s="19"/>
      <c r="AF35" s="19"/>
      <c r="AG35" s="19"/>
      <c r="AH35" s="20"/>
      <c r="AI35" s="20"/>
      <c r="AJ35" s="20"/>
      <c r="AK35" s="20"/>
      <c r="AL35" s="20"/>
      <c r="AM35" s="19"/>
      <c r="AN35" s="19"/>
      <c r="AO35" s="19"/>
      <c r="AP35" s="19"/>
      <c r="AQ35" s="19">
        <v>7900</v>
      </c>
      <c r="AR35" s="18">
        <v>10000</v>
      </c>
      <c r="AS35" s="19"/>
      <c r="AT35" s="19"/>
      <c r="AU35" s="19"/>
      <c r="AV35" s="19"/>
      <c r="AW35" s="19"/>
      <c r="AX35" s="19"/>
      <c r="AY35" s="19"/>
      <c r="AZ35" s="19"/>
      <c r="BA35" s="19"/>
      <c r="BB35" s="19"/>
      <c r="BC35" s="19"/>
      <c r="BD35">
        <v>8000</v>
      </c>
      <c r="BE35" s="19"/>
      <c r="BF35" s="19"/>
      <c r="BG35" s="19"/>
      <c r="BH35" s="19"/>
      <c r="BI35" s="19"/>
      <c r="BJ35">
        <v>28</v>
      </c>
      <c r="BK35">
        <v>131</v>
      </c>
      <c r="BL35" s="19"/>
      <c r="BM35" s="19"/>
      <c r="BN35" s="19"/>
      <c r="BO35" s="19"/>
      <c r="BP35" s="19"/>
      <c r="BQ35" s="19"/>
      <c r="BR35" s="19"/>
      <c r="BS35" s="19"/>
      <c r="BT35">
        <v>135</v>
      </c>
      <c r="BU35" s="19"/>
      <c r="BV35" s="19"/>
      <c r="BW35" s="19"/>
      <c r="BX35" s="19"/>
      <c r="BY35" s="19"/>
      <c r="BZ35" s="19"/>
      <c r="CA35">
        <v>28</v>
      </c>
      <c r="CB35">
        <v>241</v>
      </c>
      <c r="CC35" s="19"/>
      <c r="CD35" s="19"/>
      <c r="CE35" s="19"/>
      <c r="CF35" s="19"/>
      <c r="CG35" s="19"/>
      <c r="CH35" s="19"/>
      <c r="CI35" s="19"/>
      <c r="CJ35" s="19"/>
      <c r="CK35">
        <v>264</v>
      </c>
      <c r="CM35" s="19"/>
      <c r="CN35" s="19"/>
      <c r="CO35" s="19"/>
      <c r="CP35" s="19"/>
      <c r="CQ35" s="19"/>
      <c r="CR35" s="19"/>
      <c r="CS35">
        <v>22</v>
      </c>
      <c r="CT35">
        <v>943</v>
      </c>
      <c r="CU35" s="19"/>
      <c r="CV35" s="19"/>
      <c r="CW35" s="19"/>
      <c r="CX35" s="19"/>
      <c r="CY35" s="19"/>
      <c r="CZ35" s="19"/>
      <c r="DA35" s="19"/>
      <c r="DB35" s="19"/>
      <c r="DC35">
        <v>847</v>
      </c>
      <c r="DD35" s="21"/>
      <c r="DE35" s="21"/>
      <c r="DF35" s="19"/>
      <c r="DG35" s="19"/>
      <c r="DH35" s="19"/>
      <c r="DI35">
        <v>511</v>
      </c>
      <c r="DJ35">
        <v>511</v>
      </c>
      <c r="DK35" s="19"/>
      <c r="DL35" s="19"/>
      <c r="DM35" s="19"/>
      <c r="DN35" s="19"/>
      <c r="DO35" s="19"/>
      <c r="DP35" s="19"/>
      <c r="DQ35" s="19"/>
      <c r="DR35" s="19"/>
      <c r="DS35" s="19"/>
      <c r="DT35" s="19"/>
      <c r="DU35" s="19"/>
      <c r="DV35" s="19"/>
      <c r="DW35" s="19"/>
      <c r="DX35" s="19"/>
      <c r="DY35" s="19"/>
      <c r="DZ35" s="19"/>
      <c r="EA35" s="19"/>
      <c r="EB35" s="19"/>
      <c r="EC35" s="20"/>
      <c r="ED35" s="20"/>
      <c r="EE35" s="20"/>
      <c r="EF35" s="20"/>
      <c r="EG35">
        <v>14.1</v>
      </c>
      <c r="EH35" s="18">
        <v>8</v>
      </c>
      <c r="EI35" s="18"/>
      <c r="EJ35" s="18"/>
      <c r="EK35" s="18"/>
      <c r="EL35" s="18"/>
      <c r="EM35">
        <v>12.3</v>
      </c>
      <c r="EN35" s="19"/>
      <c r="EO35" s="19"/>
      <c r="EP35" s="19"/>
      <c r="EQ35" s="19"/>
      <c r="ER35" s="19"/>
      <c r="ES35" s="19"/>
      <c r="ET35" s="19"/>
      <c r="EU35" s="19"/>
      <c r="EV35" s="20"/>
      <c r="EW35" s="20"/>
      <c r="EX35" s="20"/>
      <c r="EY35" s="19"/>
      <c r="EZ35" s="19"/>
      <c r="FA35" s="19"/>
      <c r="FB35">
        <v>408</v>
      </c>
      <c r="FC35" s="19"/>
      <c r="FD35" s="19"/>
      <c r="FE35">
        <v>293</v>
      </c>
      <c r="FF35" s="20"/>
      <c r="FG35" s="19"/>
      <c r="FH35" s="20"/>
      <c r="FI35" s="19"/>
      <c r="FJ35" s="19"/>
      <c r="FK35" s="19"/>
      <c r="FL35" s="19"/>
      <c r="FM35" s="19"/>
      <c r="FN35" s="19"/>
      <c r="FO35" s="19"/>
      <c r="FP35" s="19"/>
      <c r="FQ35" s="19"/>
      <c r="FR35" s="19"/>
      <c r="FS35" s="19"/>
      <c r="FT35" s="19"/>
      <c r="FU35" s="19"/>
      <c r="FV35" s="20"/>
      <c r="FW35" s="19"/>
      <c r="FX35" s="19"/>
      <c r="FY35" s="19"/>
      <c r="FZ35" s="19"/>
      <c r="GA35" s="19"/>
      <c r="GB35" s="19"/>
      <c r="GC35" s="19"/>
      <c r="GD35" s="19"/>
      <c r="GE35" s="19"/>
      <c r="GF35">
        <v>632</v>
      </c>
      <c r="GH35">
        <v>162</v>
      </c>
      <c r="GI35" s="19"/>
      <c r="GJ35" s="19"/>
      <c r="GK35">
        <v>182</v>
      </c>
      <c r="GL35" s="19"/>
      <c r="GM35" s="19"/>
      <c r="GN35" s="19"/>
      <c r="GO35" s="19"/>
      <c r="GP35" s="19"/>
      <c r="GQ35" s="19"/>
      <c r="GR35" s="19"/>
      <c r="GS35" s="19"/>
      <c r="GT35" s="19"/>
      <c r="GU35" s="21"/>
      <c r="GV35" s="19"/>
      <c r="GW35" s="19"/>
      <c r="GX35" s="19"/>
      <c r="GY35">
        <v>121000</v>
      </c>
      <c r="HD35" s="19"/>
      <c r="HE35" s="19"/>
      <c r="HF35">
        <v>396000</v>
      </c>
      <c r="HG35" s="20"/>
      <c r="HH35" s="19"/>
      <c r="HI35" s="19"/>
      <c r="HJ35" s="19"/>
      <c r="HK35" s="19"/>
      <c r="HL35" s="19"/>
      <c r="HM35" s="19"/>
      <c r="HN35" s="19"/>
      <c r="HO35" s="19"/>
      <c r="HP35" s="19"/>
      <c r="HQ35" s="19"/>
      <c r="HR35" s="19"/>
      <c r="HS35" s="19"/>
      <c r="IV35">
        <v>21</v>
      </c>
      <c r="IX35">
        <v>1</v>
      </c>
      <c r="IY35">
        <v>26.73</v>
      </c>
      <c r="JA35">
        <v>1</v>
      </c>
      <c r="JG35">
        <v>1</v>
      </c>
      <c r="KV35">
        <v>1</v>
      </c>
      <c r="LC35">
        <v>1</v>
      </c>
      <c r="LD35">
        <v>1</v>
      </c>
      <c r="LE35">
        <v>1</v>
      </c>
      <c r="MM35">
        <v>800</v>
      </c>
      <c r="MN35">
        <v>1</v>
      </c>
      <c r="MQ35">
        <v>1</v>
      </c>
      <c r="MR35">
        <v>2</v>
      </c>
      <c r="MS35">
        <v>2</v>
      </c>
      <c r="MT35">
        <v>1</v>
      </c>
      <c r="MU35" s="10">
        <v>0</v>
      </c>
      <c r="NI35">
        <v>1</v>
      </c>
      <c r="AUZ35">
        <v>1000</v>
      </c>
      <c r="AVA35">
        <v>1</v>
      </c>
      <c r="AVD35">
        <v>1</v>
      </c>
      <c r="AVE35">
        <v>2</v>
      </c>
      <c r="AVF35">
        <v>2</v>
      </c>
      <c r="AVG35">
        <v>1</v>
      </c>
      <c r="AVH35" s="10">
        <v>0</v>
      </c>
      <c r="AVO35">
        <v>2</v>
      </c>
      <c r="AVP35">
        <v>3</v>
      </c>
      <c r="AVQ35">
        <v>2</v>
      </c>
      <c r="AVR35" s="10">
        <v>0</v>
      </c>
      <c r="AWN35">
        <v>1000</v>
      </c>
      <c r="AWO35">
        <v>1</v>
      </c>
      <c r="AWR35">
        <v>1</v>
      </c>
      <c r="AWS35">
        <v>2</v>
      </c>
      <c r="AWT35">
        <v>2</v>
      </c>
      <c r="AWU35">
        <v>1</v>
      </c>
      <c r="AWV35" s="10">
        <v>0</v>
      </c>
      <c r="BAM35">
        <v>1</v>
      </c>
      <c r="BAN35">
        <v>1</v>
      </c>
      <c r="BAT35">
        <v>1</v>
      </c>
      <c r="BAU35">
        <v>1</v>
      </c>
      <c r="BAZ35">
        <v>1</v>
      </c>
      <c r="BBF35">
        <v>1</v>
      </c>
      <c r="BBG35">
        <v>1</v>
      </c>
      <c r="BBH35">
        <v>1</v>
      </c>
      <c r="BBI35">
        <v>1</v>
      </c>
      <c r="BBJ35">
        <v>1</v>
      </c>
      <c r="BBZ35">
        <v>50</v>
      </c>
      <c r="BCE35">
        <v>1</v>
      </c>
      <c r="BCI35">
        <v>1</v>
      </c>
      <c r="BCP35">
        <v>1</v>
      </c>
      <c r="BCQ35">
        <v>1</v>
      </c>
      <c r="BCR35">
        <v>1</v>
      </c>
      <c r="BCS35">
        <v>1</v>
      </c>
      <c r="BCT35">
        <v>1</v>
      </c>
      <c r="BCU35">
        <v>1</v>
      </c>
      <c r="BCV35">
        <v>1</v>
      </c>
      <c r="BCW35">
        <v>1</v>
      </c>
      <c r="BCX35">
        <v>1</v>
      </c>
      <c r="BDF35">
        <v>1</v>
      </c>
      <c r="BEN35">
        <v>1</v>
      </c>
      <c r="BEO35">
        <v>1</v>
      </c>
      <c r="BEP35">
        <v>1</v>
      </c>
      <c r="BEQ35">
        <v>1</v>
      </c>
      <c r="BES35">
        <v>1</v>
      </c>
      <c r="BET35">
        <v>1</v>
      </c>
      <c r="BEU35">
        <v>1</v>
      </c>
      <c r="BEV35">
        <v>1</v>
      </c>
      <c r="BFI35">
        <v>1</v>
      </c>
      <c r="BFK35">
        <v>1</v>
      </c>
      <c r="BFL35">
        <v>1</v>
      </c>
      <c r="BFR35">
        <v>1</v>
      </c>
    </row>
    <row r="36" spans="1:373 1248:1526" x14ac:dyDescent="0.25">
      <c r="A36" s="79">
        <v>10064335</v>
      </c>
      <c r="B36" s="18"/>
      <c r="C36" s="19"/>
      <c r="D36" s="19"/>
      <c r="E36" s="19"/>
      <c r="F36" s="19"/>
      <c r="G36" s="19"/>
      <c r="H36" s="19"/>
      <c r="I36" s="19"/>
      <c r="J36" s="19"/>
      <c r="K36" s="19"/>
      <c r="L36" s="20"/>
      <c r="M36" s="20"/>
      <c r="N36" s="20"/>
      <c r="O36" s="20"/>
      <c r="P36" s="20"/>
      <c r="Q36" s="20"/>
      <c r="R36" s="19"/>
      <c r="S36" s="19"/>
      <c r="T36" s="19"/>
      <c r="U36" s="19"/>
      <c r="V36" s="19"/>
      <c r="W36" s="20"/>
      <c r="X36" s="20"/>
      <c r="Y36" s="20"/>
      <c r="Z36" s="19"/>
      <c r="AA36" s="19"/>
      <c r="AB36" s="19"/>
      <c r="AC36" s="19"/>
      <c r="AD36" s="19"/>
      <c r="AE36" s="19"/>
      <c r="AF36" s="19"/>
      <c r="AG36" s="19"/>
      <c r="AH36" s="20"/>
      <c r="AI36" s="20"/>
      <c r="AJ36" s="20"/>
      <c r="AK36" s="20"/>
      <c r="AL36" s="20"/>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v>75</v>
      </c>
      <c r="BQ36">
        <v>69</v>
      </c>
      <c r="BR36" s="19"/>
      <c r="BS36">
        <v>47</v>
      </c>
      <c r="BT36">
        <v>191</v>
      </c>
      <c r="BU36">
        <v>19</v>
      </c>
      <c r="BV36" s="19"/>
      <c r="BW36" s="19"/>
      <c r="BX36" s="19"/>
      <c r="BY36" s="19"/>
      <c r="BZ36" s="19"/>
      <c r="CA36" s="19"/>
      <c r="CB36" s="19"/>
      <c r="CC36" s="19"/>
      <c r="CD36" s="19"/>
      <c r="CE36">
        <v>52</v>
      </c>
      <c r="CH36">
        <v>101</v>
      </c>
      <c r="CI36" s="19"/>
      <c r="CJ36">
        <v>113</v>
      </c>
      <c r="CK36">
        <v>32</v>
      </c>
      <c r="CL36">
        <v>32</v>
      </c>
      <c r="CM36" s="19"/>
      <c r="CN36" s="19"/>
      <c r="CO36" s="19"/>
      <c r="CP36" s="19"/>
      <c r="CQ36" s="19"/>
      <c r="CR36" s="19"/>
      <c r="CS36" s="19"/>
      <c r="CT36" s="19"/>
      <c r="CU36" s="19"/>
      <c r="CV36" s="19"/>
      <c r="CW36">
        <v>126</v>
      </c>
      <c r="DA36">
        <v>140</v>
      </c>
      <c r="DB36">
        <v>171</v>
      </c>
      <c r="DC36">
        <v>183</v>
      </c>
      <c r="DD36" s="21"/>
      <c r="DE36" s="21"/>
      <c r="DF36" s="19"/>
      <c r="DG36" s="19"/>
      <c r="DH36" s="19"/>
      <c r="DI36" s="19"/>
      <c r="DJ36" s="19"/>
      <c r="DK36" s="19"/>
      <c r="DL36" s="19"/>
      <c r="DM36" s="19"/>
      <c r="DN36">
        <v>433</v>
      </c>
      <c r="DO36">
        <v>384</v>
      </c>
      <c r="DP36" s="19"/>
      <c r="DQ36">
        <v>263</v>
      </c>
      <c r="DR36" s="19"/>
      <c r="DS36" s="19"/>
      <c r="DT36" s="19"/>
      <c r="DU36" s="19"/>
      <c r="DV36" s="19"/>
      <c r="DW36" s="19"/>
      <c r="DX36" s="19"/>
      <c r="DY36" s="19"/>
      <c r="DZ36" s="19">
        <v>7</v>
      </c>
      <c r="EA36" s="19"/>
      <c r="EB36" s="19">
        <v>7</v>
      </c>
      <c r="EC36" s="20"/>
      <c r="ED36" s="20"/>
      <c r="EE36" s="20"/>
      <c r="EF36" s="20"/>
      <c r="EG36" s="20"/>
      <c r="EH36" s="20"/>
      <c r="EI36" s="20"/>
      <c r="EJ36" s="20"/>
      <c r="EK36" s="20"/>
      <c r="EL36" s="20"/>
      <c r="EM36" s="20"/>
      <c r="EN36" s="19"/>
      <c r="EO36" s="19"/>
      <c r="EP36" s="19"/>
      <c r="EQ36" s="19"/>
      <c r="ER36" s="19"/>
      <c r="ES36" s="19"/>
      <c r="ET36" s="19"/>
      <c r="EU36" s="19"/>
      <c r="EV36" s="20"/>
      <c r="EW36" s="20"/>
      <c r="EX36" s="20"/>
      <c r="EY36" s="19"/>
      <c r="EZ36" s="19"/>
      <c r="FA36" s="19"/>
      <c r="FB36" s="19"/>
      <c r="FC36" s="19"/>
      <c r="FD36" s="19"/>
      <c r="FE36" s="19"/>
      <c r="FF36" s="20"/>
      <c r="FG36" s="19"/>
      <c r="FH36" s="20"/>
      <c r="FI36" s="19"/>
      <c r="FJ36" s="19"/>
      <c r="FK36" s="19"/>
      <c r="FL36" s="19"/>
      <c r="FM36" s="19"/>
      <c r="FN36">
        <v>2.2599999999999998</v>
      </c>
      <c r="FQ36">
        <v>1.6</v>
      </c>
      <c r="FR36">
        <v>1.51</v>
      </c>
      <c r="FS36" s="19"/>
      <c r="FT36">
        <v>1.56</v>
      </c>
      <c r="FU36">
        <v>1.8</v>
      </c>
      <c r="FV36" s="20"/>
      <c r="FW36" s="19"/>
      <c r="FX36" s="19"/>
      <c r="FY36" s="19"/>
      <c r="FZ36" s="19"/>
      <c r="GA36" s="19"/>
      <c r="GB36" s="19"/>
      <c r="GC36" s="19"/>
      <c r="GD36" s="19"/>
      <c r="GE36" s="19"/>
      <c r="GF36" s="19"/>
      <c r="GG36" s="19"/>
      <c r="GH36" s="19"/>
      <c r="GI36" s="19"/>
      <c r="GJ36" s="19"/>
      <c r="GK36" s="19"/>
      <c r="GL36" s="19"/>
      <c r="GM36" s="19"/>
      <c r="GN36" s="19"/>
      <c r="GO36" s="19"/>
      <c r="GP36" s="19"/>
      <c r="GQ36">
        <v>125</v>
      </c>
      <c r="GR36">
        <v>140</v>
      </c>
      <c r="GS36">
        <v>107</v>
      </c>
      <c r="GT36">
        <v>98</v>
      </c>
      <c r="GU36" s="21"/>
      <c r="GV36" s="19"/>
      <c r="GW36" s="19"/>
      <c r="GX36" s="19"/>
      <c r="GY36" s="19"/>
      <c r="GZ36" s="19"/>
      <c r="HA36" s="19"/>
      <c r="HB36" s="19"/>
      <c r="HC36" s="19"/>
      <c r="HD36" s="18">
        <v>250000</v>
      </c>
      <c r="HE36" s="18"/>
      <c r="HF36" s="19">
        <v>60000</v>
      </c>
      <c r="HG36" s="20"/>
      <c r="HH36" s="19"/>
      <c r="HI36" s="19"/>
      <c r="HJ36" s="19"/>
      <c r="HK36" s="19"/>
      <c r="HL36" s="19"/>
      <c r="HM36" s="19"/>
      <c r="HN36" s="19"/>
      <c r="HO36" s="19"/>
      <c r="HP36" s="19"/>
      <c r="HQ36" s="19"/>
      <c r="HR36" s="19"/>
      <c r="HS36" s="19"/>
    </row>
    <row r="37" spans="1:373 1248:1526" x14ac:dyDescent="0.25">
      <c r="A37" s="19"/>
      <c r="B37" s="19"/>
      <c r="C37" s="19"/>
      <c r="D37" s="19"/>
      <c r="E37" s="19"/>
      <c r="F37" s="19"/>
      <c r="G37" s="19"/>
      <c r="H37" s="19"/>
      <c r="I37" s="19"/>
      <c r="J37" s="19"/>
      <c r="K37" s="19"/>
      <c r="L37" s="20"/>
      <c r="M37" s="20"/>
      <c r="N37" s="20"/>
      <c r="O37" s="20"/>
      <c r="P37" s="20"/>
      <c r="Q37" s="20"/>
      <c r="R37" s="19"/>
      <c r="S37" s="19"/>
      <c r="T37" s="19"/>
      <c r="U37" s="19"/>
      <c r="V37" s="19"/>
      <c r="W37" s="20"/>
      <c r="X37" s="20"/>
      <c r="Y37" s="20"/>
      <c r="Z37" s="19"/>
      <c r="AA37" s="19"/>
      <c r="AB37" s="19"/>
      <c r="AC37" s="19"/>
      <c r="AD37" s="19"/>
      <c r="AE37" s="19"/>
      <c r="AF37" s="19"/>
      <c r="AG37" s="19"/>
      <c r="AH37" s="20"/>
      <c r="AI37" s="20"/>
      <c r="AJ37" s="20"/>
      <c r="AK37" s="20"/>
      <c r="AL37" s="20"/>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19"/>
      <c r="CI37" s="19"/>
      <c r="CJ37" s="19"/>
      <c r="CK37" s="19"/>
      <c r="CL37" s="19"/>
      <c r="CM37" s="19"/>
      <c r="CN37" s="19"/>
      <c r="CO37" s="19"/>
      <c r="CP37" s="19"/>
      <c r="CQ37" s="19"/>
      <c r="CR37" s="19"/>
      <c r="CS37" s="19"/>
      <c r="CT37" s="19"/>
      <c r="CU37" s="19"/>
      <c r="CV37" s="19"/>
      <c r="CW37" s="19"/>
      <c r="CX37" s="19"/>
      <c r="CY37" s="19"/>
      <c r="CZ37" s="19"/>
      <c r="DA37" s="19"/>
      <c r="DB37" s="19"/>
      <c r="DC37" s="19"/>
      <c r="DD37" s="21"/>
      <c r="DE37" s="21"/>
      <c r="DF37" s="19"/>
      <c r="DG37" s="19"/>
      <c r="DH37" s="19"/>
      <c r="DI37" s="19"/>
      <c r="DJ37" s="19"/>
      <c r="DK37" s="19"/>
      <c r="DL37" s="19"/>
      <c r="DM37" s="19"/>
      <c r="DN37" s="19"/>
      <c r="DO37" s="19"/>
      <c r="DP37" s="19"/>
      <c r="DQ37" s="19"/>
      <c r="DR37" s="19"/>
      <c r="DS37" s="19"/>
      <c r="DT37" s="19"/>
      <c r="DU37" s="19"/>
      <c r="DV37" s="19"/>
      <c r="DW37" s="19"/>
      <c r="DX37" s="19"/>
      <c r="DY37" s="19"/>
      <c r="DZ37" s="19"/>
      <c r="EA37" s="19"/>
      <c r="EB37" s="19"/>
      <c r="EC37" s="20"/>
      <c r="ED37" s="20"/>
      <c r="EE37" s="20"/>
      <c r="EF37" s="20"/>
      <c r="EG37" s="20"/>
      <c r="EH37" s="20"/>
      <c r="EI37" s="20"/>
      <c r="EJ37" s="20"/>
      <c r="EK37" s="20"/>
      <c r="EL37" s="20"/>
      <c r="EM37" s="20"/>
      <c r="EN37" s="19"/>
      <c r="EO37" s="19"/>
      <c r="EP37" s="19"/>
      <c r="EQ37" s="19"/>
      <c r="ER37" s="19"/>
      <c r="ES37" s="19"/>
      <c r="ET37" s="19"/>
      <c r="EU37" s="19"/>
      <c r="EV37" s="20"/>
      <c r="EW37" s="20"/>
      <c r="EX37" s="20"/>
      <c r="EY37" s="19"/>
      <c r="EZ37" s="19"/>
      <c r="FA37" s="19"/>
      <c r="FB37" s="19"/>
      <c r="FC37" s="19"/>
      <c r="FD37" s="19"/>
      <c r="FE37" s="19"/>
      <c r="FF37" s="20"/>
      <c r="FG37" s="19"/>
      <c r="FH37" s="20"/>
      <c r="FI37" s="19"/>
      <c r="FJ37" s="19"/>
      <c r="FK37" s="19"/>
      <c r="FL37" s="19"/>
      <c r="FM37" s="19"/>
      <c r="FN37" s="19"/>
      <c r="FO37" s="19"/>
      <c r="FP37" s="19"/>
      <c r="FQ37" s="19"/>
      <c r="FR37" s="19"/>
      <c r="FS37" s="19"/>
      <c r="FT37" s="19"/>
      <c r="FU37" s="19"/>
      <c r="FV37" s="20"/>
      <c r="FW37" s="19"/>
      <c r="FX37" s="19"/>
      <c r="FY37" s="19"/>
      <c r="FZ37" s="19"/>
      <c r="GA37" s="19"/>
      <c r="GB37" s="19"/>
      <c r="GC37" s="19"/>
      <c r="GD37" s="19"/>
      <c r="GE37" s="19"/>
      <c r="GF37" s="19"/>
      <c r="GG37" s="19"/>
      <c r="GH37" s="19"/>
      <c r="GI37" s="19"/>
      <c r="GJ37" s="19"/>
      <c r="GK37" s="19"/>
      <c r="GL37" s="19"/>
      <c r="GM37" s="19"/>
      <c r="GN37" s="19"/>
      <c r="GO37" s="19"/>
      <c r="GP37" s="19"/>
      <c r="GQ37" s="19"/>
      <c r="GR37" s="19"/>
      <c r="GS37" s="19"/>
      <c r="GT37" s="19"/>
      <c r="GU37" s="21"/>
      <c r="GV37" s="19"/>
      <c r="GW37" s="19"/>
      <c r="GX37" s="19"/>
      <c r="GY37" s="19"/>
      <c r="GZ37" s="19"/>
      <c r="HA37" s="19"/>
      <c r="HB37" s="19"/>
      <c r="HC37" s="19"/>
      <c r="HD37" s="19"/>
      <c r="HE37" s="19"/>
      <c r="HF37" s="19"/>
      <c r="HG37" s="20"/>
      <c r="HH37" s="19"/>
      <c r="HI37" s="19"/>
      <c r="HJ37" s="19"/>
      <c r="HK37" s="19"/>
      <c r="HL37" s="19"/>
      <c r="HM37" s="19"/>
      <c r="HN37" s="19"/>
      <c r="HO37" s="19"/>
      <c r="HP37" s="19"/>
      <c r="HQ37" s="19"/>
      <c r="HR37" s="19"/>
      <c r="HS37" s="19"/>
    </row>
    <row r="38" spans="1:373 1248:1526" x14ac:dyDescent="0.25">
      <c r="A38" s="27" t="s">
        <v>1109</v>
      </c>
      <c r="B38" s="27"/>
      <c r="C38" s="19"/>
      <c r="D38" s="19"/>
      <c r="E38" s="19"/>
      <c r="F38" s="19"/>
      <c r="G38" s="19"/>
      <c r="H38" s="19"/>
      <c r="I38" s="19"/>
      <c r="J38" s="19"/>
      <c r="K38" s="19"/>
      <c r="L38" s="20"/>
      <c r="M38" s="20"/>
      <c r="N38" s="20"/>
      <c r="O38" s="20"/>
      <c r="P38" s="20"/>
      <c r="Q38" s="20"/>
      <c r="R38" s="19"/>
      <c r="S38" s="19"/>
      <c r="T38" s="19"/>
      <c r="U38" s="19"/>
      <c r="V38" s="19"/>
      <c r="W38" s="20"/>
      <c r="X38" s="20"/>
      <c r="Y38" s="20"/>
      <c r="Z38" s="19"/>
      <c r="AA38" s="19"/>
      <c r="AB38" s="19"/>
      <c r="AC38" s="19"/>
      <c r="AD38" s="19"/>
      <c r="AE38" s="19"/>
      <c r="AF38" s="19"/>
      <c r="AG38" s="19"/>
      <c r="AH38" s="20"/>
      <c r="AI38" s="20"/>
      <c r="AJ38" s="20"/>
      <c r="AK38" s="20"/>
      <c r="AL38" s="20"/>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19"/>
      <c r="CI38" s="19"/>
      <c r="CJ38" s="19"/>
      <c r="CK38" s="19"/>
      <c r="CL38" s="19"/>
      <c r="CM38" s="19"/>
      <c r="CN38" s="19"/>
      <c r="CO38" s="19"/>
      <c r="CP38" s="19"/>
      <c r="CQ38" s="19"/>
      <c r="CR38" s="19"/>
      <c r="CS38" s="19"/>
      <c r="CT38" s="19"/>
      <c r="CU38" s="19"/>
      <c r="CV38" s="19"/>
      <c r="CW38" s="19"/>
      <c r="CX38" s="19"/>
      <c r="CY38" s="19"/>
      <c r="CZ38" s="19"/>
      <c r="DA38" s="19"/>
      <c r="DB38" s="19"/>
      <c r="DC38" s="19"/>
      <c r="DD38" s="21"/>
      <c r="DE38" s="21"/>
      <c r="DF38" s="19"/>
      <c r="DG38" s="19"/>
      <c r="DH38" s="19"/>
      <c r="DI38" s="19"/>
      <c r="DJ38" s="19"/>
      <c r="DK38" s="19"/>
      <c r="DL38" s="19"/>
      <c r="DM38" s="19"/>
      <c r="DN38" s="19"/>
      <c r="DO38" s="19"/>
      <c r="DP38" s="19"/>
      <c r="DQ38" s="19"/>
      <c r="DR38" s="19"/>
      <c r="DS38" s="19"/>
      <c r="DT38" s="19"/>
      <c r="DU38" s="19"/>
      <c r="DV38" s="19"/>
      <c r="DW38" s="19"/>
      <c r="DX38" s="19"/>
      <c r="DY38" s="19"/>
      <c r="DZ38" s="19"/>
      <c r="EA38" s="19"/>
      <c r="EB38" s="19"/>
      <c r="EC38" s="20"/>
      <c r="ED38" s="20"/>
      <c r="EE38" s="20"/>
      <c r="EF38" s="20"/>
      <c r="EG38" s="20"/>
      <c r="EH38" s="20"/>
      <c r="EI38" s="20"/>
      <c r="EJ38" s="20"/>
      <c r="EK38" s="20"/>
      <c r="EL38" s="20"/>
      <c r="EM38" s="20"/>
      <c r="EN38" s="19"/>
      <c r="EO38" s="19"/>
      <c r="EP38" s="19"/>
      <c r="EQ38" s="19"/>
      <c r="ER38" s="19"/>
      <c r="ES38" s="19"/>
      <c r="ET38" s="19"/>
      <c r="EU38" s="19"/>
      <c r="EV38" s="20"/>
      <c r="EW38" s="20"/>
      <c r="EX38" s="20"/>
      <c r="EY38" s="19"/>
      <c r="EZ38" s="19"/>
      <c r="FA38" s="19"/>
      <c r="FB38" s="19"/>
      <c r="FC38" s="19"/>
      <c r="FD38" s="19"/>
      <c r="FE38" s="19"/>
      <c r="FF38" s="20"/>
      <c r="FG38" s="19"/>
      <c r="FH38" s="20"/>
      <c r="FI38" s="19"/>
      <c r="FJ38" s="19"/>
      <c r="FK38" s="19"/>
      <c r="FL38" s="19"/>
      <c r="FM38" s="19"/>
      <c r="FN38" s="19"/>
      <c r="FO38" s="19"/>
      <c r="FP38" s="19"/>
      <c r="FQ38" s="19"/>
      <c r="FR38" s="19"/>
      <c r="FS38" s="19"/>
      <c r="FT38" s="19"/>
      <c r="FU38" s="19"/>
      <c r="FV38" s="20"/>
      <c r="FW38" s="19"/>
      <c r="FX38" s="19"/>
      <c r="FY38" s="19"/>
      <c r="FZ38" s="19"/>
      <c r="GA38" s="19"/>
      <c r="GB38" s="19"/>
      <c r="GC38" s="19"/>
      <c r="GD38" s="19"/>
      <c r="GE38" s="19"/>
      <c r="GF38" s="19"/>
      <c r="GG38" s="19"/>
      <c r="GH38" s="19"/>
      <c r="GI38" s="19"/>
      <c r="GJ38" s="19"/>
      <c r="GK38" s="19"/>
      <c r="GL38" s="19"/>
      <c r="GM38" s="19"/>
      <c r="GN38" s="19"/>
      <c r="GO38" s="19"/>
      <c r="GP38" s="19"/>
      <c r="GQ38" s="19"/>
      <c r="GR38" s="19"/>
      <c r="GS38" s="19"/>
      <c r="GT38" s="19"/>
      <c r="GU38" s="21"/>
      <c r="GV38" s="19"/>
      <c r="GW38" s="19"/>
      <c r="GX38" s="19"/>
      <c r="GY38" s="19"/>
      <c r="GZ38" s="19"/>
      <c r="HA38" s="19"/>
      <c r="HB38" s="19"/>
      <c r="HC38" s="19"/>
      <c r="HD38" s="19"/>
      <c r="HE38" s="19"/>
      <c r="HF38" s="19"/>
      <c r="HG38" s="20"/>
      <c r="HH38" s="19"/>
      <c r="HI38" s="19"/>
      <c r="HJ38" s="19"/>
      <c r="HK38" s="19"/>
      <c r="HL38" s="19"/>
      <c r="HM38" s="19"/>
      <c r="HN38" s="19"/>
      <c r="HO38" s="19"/>
      <c r="HP38" s="19"/>
      <c r="HQ38" s="19"/>
      <c r="HR38" s="19"/>
      <c r="HS38" s="19"/>
    </row>
    <row r="39" spans="1:373 1248:1526" x14ac:dyDescent="0.25">
      <c r="A39">
        <v>1502</v>
      </c>
      <c r="B39" s="61"/>
      <c r="C39" s="19"/>
      <c r="D39" s="19"/>
      <c r="E39" s="19"/>
      <c r="F39" s="19"/>
      <c r="G39" s="19"/>
      <c r="H39" s="19"/>
      <c r="I39" s="19"/>
      <c r="J39" s="19"/>
      <c r="K39" s="19"/>
      <c r="L39" s="20"/>
      <c r="M39" s="20"/>
      <c r="N39" s="20"/>
      <c r="O39" s="20"/>
      <c r="P39" s="20"/>
      <c r="Q39" s="20"/>
      <c r="R39" s="19"/>
      <c r="S39" s="19"/>
      <c r="T39" s="19"/>
      <c r="U39" s="19"/>
      <c r="V39" s="19"/>
      <c r="W39" s="20"/>
      <c r="X39" s="20"/>
      <c r="Y39" s="20"/>
      <c r="Z39" s="19"/>
      <c r="AA39" s="19"/>
      <c r="AB39" s="19"/>
      <c r="AC39" s="19"/>
      <c r="AD39" s="19"/>
      <c r="AE39" s="19"/>
      <c r="AF39" s="19"/>
      <c r="AG39" s="19"/>
      <c r="AH39" s="20"/>
      <c r="AI39" s="20"/>
      <c r="AJ39" s="20"/>
      <c r="AK39" s="20"/>
      <c r="AL39" s="20"/>
      <c r="AM39" s="19"/>
      <c r="AN39" s="19"/>
      <c r="AO39" s="18">
        <v>8700</v>
      </c>
      <c r="AP39" s="19"/>
      <c r="AQ39" s="18">
        <v>7700</v>
      </c>
      <c r="AR39" s="19"/>
      <c r="AS39" s="19"/>
      <c r="AT39" s="19"/>
      <c r="AU39" s="19"/>
      <c r="AV39" s="19"/>
      <c r="AW39" s="19"/>
      <c r="AX39" s="19"/>
      <c r="AY39" s="19"/>
      <c r="AZ39" s="19"/>
      <c r="BA39" s="19"/>
      <c r="BB39" s="19"/>
      <c r="BC39" s="19"/>
      <c r="BD39" s="19"/>
      <c r="BE39" s="19"/>
      <c r="BF39" s="19"/>
      <c r="BG39" s="19"/>
      <c r="BH39">
        <v>52</v>
      </c>
      <c r="BI39" s="19"/>
      <c r="BJ39" s="19"/>
      <c r="BK39" s="19"/>
      <c r="BL39" s="19"/>
      <c r="BM39" s="19"/>
      <c r="BN39" s="19"/>
      <c r="BO39" s="19"/>
      <c r="BP39" s="19"/>
      <c r="BQ39" s="19"/>
      <c r="BR39" s="19"/>
      <c r="BS39" s="19"/>
      <c r="BT39" s="19"/>
      <c r="BU39" s="19"/>
      <c r="BV39" s="19"/>
      <c r="BW39" s="19"/>
      <c r="BX39" s="19"/>
      <c r="BY39">
        <v>82</v>
      </c>
      <c r="BZ39" s="19"/>
      <c r="CA39" s="19"/>
      <c r="CB39" s="19"/>
      <c r="CC39" s="19"/>
      <c r="CD39" s="19"/>
      <c r="CE39" s="19"/>
      <c r="CF39" s="19"/>
      <c r="CG39" s="19"/>
      <c r="CH39" s="19"/>
      <c r="CI39" s="19"/>
      <c r="CJ39" s="19"/>
      <c r="CK39" s="19"/>
      <c r="CL39" s="19"/>
      <c r="CM39" s="19"/>
      <c r="CN39" s="19"/>
      <c r="CO39" s="19"/>
      <c r="CP39" s="19"/>
      <c r="CQ39" s="19"/>
      <c r="CR39" s="19"/>
      <c r="CS39">
        <v>112</v>
      </c>
      <c r="CT39" s="19"/>
      <c r="CU39" s="19"/>
      <c r="CV39" s="19"/>
      <c r="CW39" s="19"/>
      <c r="CX39" s="19"/>
      <c r="CY39" s="19"/>
      <c r="CZ39" s="19"/>
      <c r="DA39" s="19"/>
      <c r="DB39" s="19"/>
      <c r="DC39" s="19"/>
      <c r="DD39" s="21"/>
      <c r="DE39" s="21"/>
      <c r="DF39" s="19"/>
      <c r="DG39" s="19"/>
      <c r="DH39" s="19"/>
      <c r="DI39">
        <v>351</v>
      </c>
      <c r="DJ39" s="19"/>
      <c r="DK39" s="19"/>
      <c r="DL39" s="19"/>
      <c r="DM39" s="19"/>
      <c r="DN39" s="19"/>
      <c r="DO39" s="19"/>
      <c r="DP39" s="19"/>
      <c r="DQ39" s="19"/>
      <c r="DR39" s="19"/>
      <c r="DS39" s="19"/>
      <c r="DT39" s="19"/>
      <c r="DU39" s="19"/>
      <c r="DV39" s="19"/>
      <c r="DW39" s="19"/>
      <c r="DX39">
        <v>12.6</v>
      </c>
      <c r="DZ39" s="19"/>
      <c r="EA39" s="19"/>
      <c r="EB39" s="19"/>
      <c r="EC39" s="20"/>
      <c r="ED39" s="20"/>
      <c r="EE39" s="20"/>
      <c r="EF39" s="20"/>
      <c r="EG39" s="20"/>
      <c r="EH39" s="20"/>
      <c r="EI39" s="20"/>
      <c r="EJ39" s="20"/>
      <c r="EK39" s="20"/>
      <c r="EL39" s="20"/>
      <c r="EM39" s="20"/>
      <c r="EN39" s="19"/>
      <c r="EO39" s="19"/>
      <c r="EP39" s="19"/>
      <c r="EQ39" s="19"/>
      <c r="ER39" s="19"/>
      <c r="ES39" s="19"/>
      <c r="ET39" s="19"/>
      <c r="EU39" s="19"/>
      <c r="EV39" s="20"/>
      <c r="EW39" s="20"/>
      <c r="EX39" s="20"/>
      <c r="EY39" s="19"/>
      <c r="EZ39" s="19"/>
      <c r="FA39" s="19"/>
      <c r="FB39" s="19"/>
      <c r="FC39" s="19"/>
      <c r="FD39" s="19"/>
      <c r="FE39" s="19"/>
      <c r="FF39" s="20"/>
      <c r="FG39" s="19"/>
      <c r="FH39" s="20"/>
      <c r="FI39" s="19"/>
      <c r="FJ39" s="19"/>
      <c r="FK39">
        <v>0.9</v>
      </c>
      <c r="FL39" s="19"/>
      <c r="FM39" s="19"/>
      <c r="FN39" s="19"/>
      <c r="FO39" s="19"/>
      <c r="FP39" s="19"/>
      <c r="FQ39" s="19"/>
      <c r="FR39" s="19"/>
      <c r="FS39" s="19"/>
      <c r="FT39" s="19"/>
      <c r="FU39" s="19"/>
      <c r="FV39" s="20"/>
      <c r="FW39" s="19"/>
      <c r="FX39" s="19"/>
      <c r="FY39" s="19"/>
      <c r="FZ39" s="19"/>
      <c r="GA39" s="19"/>
      <c r="GB39" s="19"/>
      <c r="GC39" s="19"/>
      <c r="GD39" s="19"/>
      <c r="GE39" s="19"/>
      <c r="GF39" s="19"/>
      <c r="GG39" s="19"/>
      <c r="GH39" s="19"/>
      <c r="GI39" s="19"/>
      <c r="GJ39" s="19"/>
      <c r="GK39" s="19"/>
      <c r="GL39" s="19"/>
      <c r="GM39" s="19"/>
      <c r="GN39" s="19"/>
      <c r="GO39" s="19"/>
      <c r="GP39" s="19"/>
      <c r="GQ39" s="19"/>
      <c r="GR39" s="19"/>
      <c r="GS39" s="19"/>
      <c r="GT39" s="19"/>
      <c r="GU39" s="21"/>
      <c r="GV39" s="19"/>
      <c r="GW39" s="19"/>
      <c r="GX39" s="19"/>
      <c r="GY39" s="19"/>
      <c r="GZ39" s="19"/>
      <c r="HA39" s="19"/>
      <c r="HB39" s="19"/>
      <c r="HC39" s="19"/>
      <c r="HD39" s="19"/>
      <c r="HE39" s="19"/>
      <c r="HF39" s="19"/>
      <c r="HG39" s="20"/>
      <c r="HH39" s="19"/>
      <c r="HI39" s="19"/>
      <c r="HJ39" s="19"/>
      <c r="HK39" s="19"/>
      <c r="HL39" s="19"/>
      <c r="HM39" s="19"/>
      <c r="HN39" s="19"/>
      <c r="HO39" s="19"/>
      <c r="HP39" s="19"/>
      <c r="HQ39" s="19"/>
      <c r="HR39" s="19"/>
      <c r="HS39" s="19"/>
    </row>
    <row r="40" spans="1:373 1248:1526" x14ac:dyDescent="0.25">
      <c r="A40" s="18">
        <v>4003543</v>
      </c>
      <c r="B40" s="55"/>
      <c r="C40" s="60"/>
      <c r="D40" s="62"/>
      <c r="E40" s="19"/>
      <c r="F40" s="19"/>
      <c r="G40" s="19"/>
      <c r="H40" s="19"/>
      <c r="I40" s="19"/>
      <c r="J40" s="19"/>
      <c r="K40" s="19"/>
      <c r="L40" s="20"/>
      <c r="M40" s="20"/>
      <c r="N40" s="20"/>
      <c r="O40" s="20"/>
      <c r="P40" s="20"/>
      <c r="Q40" s="20"/>
      <c r="R40" s="19"/>
      <c r="S40" s="19"/>
      <c r="T40" s="19"/>
      <c r="U40" s="19"/>
      <c r="V40" s="19"/>
      <c r="W40" s="20"/>
      <c r="X40" s="20"/>
      <c r="Y40" s="20"/>
      <c r="Z40" s="19"/>
      <c r="AA40" s="19"/>
      <c r="AB40" s="19"/>
      <c r="AC40" s="19"/>
      <c r="AD40" s="19"/>
      <c r="AE40" s="19"/>
      <c r="AF40" s="19"/>
      <c r="AG40" s="19"/>
      <c r="AH40" s="20"/>
      <c r="AI40" s="20"/>
      <c r="AJ40" s="20"/>
      <c r="AK40" s="20"/>
      <c r="AL40" s="20"/>
      <c r="AM40" s="19"/>
      <c r="AN40" s="19"/>
      <c r="AO40" s="18"/>
      <c r="AP40" s="19"/>
      <c r="AQ40" s="18"/>
      <c r="AR40" s="19"/>
      <c r="AS40" s="19"/>
      <c r="AT40" s="19"/>
      <c r="AU40" s="19"/>
      <c r="AV40" s="19"/>
      <c r="AW40" s="19"/>
      <c r="AX40" s="19"/>
      <c r="AY40" s="19"/>
      <c r="AZ40" s="19"/>
      <c r="BA40" s="19"/>
      <c r="BB40" s="19"/>
      <c r="BC40" s="19"/>
      <c r="BD40" s="19"/>
      <c r="BE40" s="19"/>
      <c r="BF40" s="19"/>
      <c r="BG40" s="19"/>
      <c r="BI40" s="19"/>
      <c r="BJ40" s="19"/>
      <c r="BK40" s="19"/>
      <c r="BL40" s="19"/>
      <c r="BM40">
        <v>39</v>
      </c>
      <c r="BO40" s="19"/>
      <c r="BP40">
        <v>25</v>
      </c>
      <c r="BQ40" s="19"/>
      <c r="BR40" s="19"/>
      <c r="BS40" s="19"/>
      <c r="BT40" s="19"/>
      <c r="BU40" s="19"/>
      <c r="BV40" s="19"/>
      <c r="BW40" s="19"/>
      <c r="BX40" s="19"/>
      <c r="BZ40" s="19"/>
      <c r="CA40" s="19"/>
      <c r="CB40" s="19"/>
      <c r="CC40" s="19"/>
      <c r="CD40">
        <v>53</v>
      </c>
      <c r="CE40" s="19"/>
      <c r="CF40">
        <v>38</v>
      </c>
      <c r="CH40" s="19"/>
      <c r="CI40" s="19"/>
      <c r="CJ40" s="19"/>
      <c r="CK40" s="19"/>
      <c r="CL40" s="19"/>
      <c r="CM40" s="19"/>
      <c r="CN40" s="19"/>
      <c r="CO40" s="19"/>
      <c r="CP40" s="19"/>
      <c r="CQ40" s="19"/>
      <c r="CR40" s="19"/>
      <c r="CT40" s="19"/>
      <c r="CU40" s="19"/>
      <c r="CV40" s="19"/>
      <c r="CW40" s="19"/>
      <c r="CX40" s="19"/>
      <c r="CY40" s="19"/>
      <c r="CZ40" s="19"/>
      <c r="DA40" s="19"/>
      <c r="DB40" s="19"/>
      <c r="DC40" s="19"/>
      <c r="DD40" s="21"/>
      <c r="DE40" s="21"/>
      <c r="DF40" s="19"/>
      <c r="DG40" s="19"/>
      <c r="DH40" s="19"/>
      <c r="DJ40" s="19"/>
      <c r="DK40" s="19"/>
      <c r="DL40" s="19"/>
      <c r="DM40" s="19"/>
      <c r="DN40" s="19"/>
      <c r="DO40" s="19"/>
      <c r="DP40" s="19"/>
      <c r="DQ40" s="19"/>
      <c r="DR40" s="19"/>
      <c r="DS40" s="19"/>
      <c r="DT40" s="19"/>
      <c r="DU40" s="19"/>
      <c r="DV40" s="19"/>
      <c r="DW40" s="19"/>
      <c r="DZ40" s="19"/>
      <c r="EA40" s="19"/>
      <c r="EB40" s="19"/>
      <c r="EC40" s="20"/>
      <c r="ED40" s="20"/>
      <c r="EE40" s="20"/>
      <c r="EF40" s="20"/>
      <c r="EG40" s="20"/>
      <c r="EH40" s="20"/>
      <c r="EI40" s="20"/>
      <c r="EJ40" s="20"/>
      <c r="EK40" s="20"/>
      <c r="EL40" s="20"/>
      <c r="EM40" s="20"/>
      <c r="EN40" s="19"/>
      <c r="EO40" s="19"/>
      <c r="EP40" s="19"/>
      <c r="EQ40" s="19"/>
      <c r="ER40" s="19"/>
      <c r="ES40" s="19"/>
      <c r="ET40" s="19"/>
      <c r="EU40" s="19"/>
      <c r="EV40" s="20"/>
      <c r="EW40" s="20"/>
      <c r="EX40" s="20"/>
      <c r="EY40" s="19"/>
      <c r="EZ40" s="19"/>
      <c r="FA40" s="19"/>
      <c r="FB40" s="19"/>
      <c r="FC40" s="19"/>
      <c r="FD40" s="19"/>
      <c r="FE40" s="19"/>
      <c r="FF40" s="20"/>
      <c r="FG40" s="19"/>
      <c r="FH40" s="20"/>
      <c r="FI40" s="19"/>
      <c r="FJ40" s="19"/>
      <c r="FL40" s="19"/>
      <c r="FM40">
        <v>1.2</v>
      </c>
      <c r="FN40" s="19"/>
      <c r="FO40">
        <v>0.9</v>
      </c>
      <c r="FQ40" s="19"/>
      <c r="FR40" s="19"/>
      <c r="FS40" s="19"/>
      <c r="FT40" s="19"/>
      <c r="FU40" s="19"/>
      <c r="FV40" s="20"/>
      <c r="FW40" s="19"/>
      <c r="FX40" s="19"/>
      <c r="FY40" s="19"/>
      <c r="FZ40" s="19"/>
      <c r="GA40" s="19"/>
      <c r="GB40" s="19"/>
      <c r="GC40" s="19"/>
      <c r="GD40" s="19"/>
      <c r="GE40" s="19"/>
      <c r="GF40" s="19"/>
      <c r="GG40" s="19"/>
      <c r="GH40" s="19"/>
      <c r="GI40" s="19"/>
      <c r="GJ40" s="19"/>
      <c r="GK40" s="19"/>
      <c r="GL40" s="19">
        <v>71.2</v>
      </c>
      <c r="GM40" s="19">
        <v>10.3</v>
      </c>
      <c r="GN40" s="19"/>
      <c r="GO40" s="19"/>
      <c r="GP40" s="19"/>
      <c r="GQ40" s="19"/>
      <c r="GR40" s="19"/>
      <c r="GS40" s="19"/>
      <c r="GT40" s="19"/>
      <c r="GU40" s="21"/>
      <c r="GV40" s="19"/>
      <c r="GW40" s="19"/>
      <c r="GX40" s="19"/>
      <c r="GY40" s="19"/>
      <c r="GZ40" s="19"/>
      <c r="HA40" s="19"/>
      <c r="HB40" s="19"/>
      <c r="HC40" s="19"/>
      <c r="HD40" s="19"/>
      <c r="HE40" s="19"/>
      <c r="HF40" s="19"/>
      <c r="HG40" s="20"/>
      <c r="HH40">
        <v>67</v>
      </c>
      <c r="HI40" s="19"/>
      <c r="HJ40" s="19"/>
      <c r="HK40" s="19"/>
      <c r="HL40" s="19"/>
      <c r="HM40" s="19"/>
      <c r="HN40" s="19"/>
      <c r="HO40" s="19"/>
      <c r="HP40" s="19"/>
      <c r="HQ40" s="19"/>
      <c r="HR40" s="19"/>
      <c r="HS40" s="19"/>
    </row>
    <row r="41" spans="1:373 1248:1526" x14ac:dyDescent="0.25">
      <c r="A41" s="18">
        <v>4900261</v>
      </c>
      <c r="B41" s="61"/>
      <c r="C41">
        <v>18000</v>
      </c>
      <c r="D41" s="19"/>
      <c r="E41">
        <v>18973</v>
      </c>
      <c r="F41">
        <v>12480</v>
      </c>
      <c r="G41">
        <v>13564</v>
      </c>
      <c r="H41" s="19"/>
      <c r="I41">
        <v>7207</v>
      </c>
      <c r="J41">
        <v>4544</v>
      </c>
      <c r="K41">
        <v>341</v>
      </c>
      <c r="L41">
        <v>258</v>
      </c>
      <c r="M41">
        <v>165</v>
      </c>
      <c r="N41">
        <v>132</v>
      </c>
      <c r="O41">
        <v>106</v>
      </c>
      <c r="P41">
        <v>71</v>
      </c>
      <c r="Q41">
        <v>24</v>
      </c>
      <c r="R41" s="19"/>
      <c r="S41" s="19"/>
      <c r="T41" s="19"/>
      <c r="U41" s="19"/>
      <c r="V41" s="19"/>
      <c r="W41" s="20"/>
      <c r="X41" s="20"/>
      <c r="Y41" s="20"/>
      <c r="Z41" s="19"/>
      <c r="AA41" s="19"/>
      <c r="AB41" s="19"/>
      <c r="AC41" s="19"/>
      <c r="AD41" s="19"/>
      <c r="AE41" s="19"/>
      <c r="AF41" s="19"/>
      <c r="AG41" s="19"/>
      <c r="AH41" s="20"/>
      <c r="AI41" s="20"/>
      <c r="AJ41" s="20"/>
      <c r="AK41" s="20"/>
      <c r="AL41" s="20"/>
      <c r="AM41" s="19"/>
      <c r="AN41" s="19"/>
      <c r="AO41" s="18"/>
      <c r="AP41" s="19"/>
      <c r="AQ41" s="18"/>
      <c r="AR41" s="19"/>
      <c r="AS41" s="19"/>
      <c r="AT41" s="19"/>
      <c r="AU41" s="19"/>
      <c r="AV41" s="19"/>
      <c r="AW41" s="19"/>
      <c r="AX41" s="19"/>
      <c r="AY41" s="19"/>
      <c r="AZ41" s="19"/>
      <c r="BA41" s="19"/>
      <c r="BB41" s="19"/>
      <c r="BC41" s="19"/>
      <c r="BD41" s="19"/>
      <c r="BE41" s="19"/>
      <c r="BF41" s="19"/>
      <c r="BG41" s="19"/>
      <c r="BH41">
        <v>668</v>
      </c>
      <c r="BI41">
        <v>454</v>
      </c>
      <c r="BJ41">
        <v>184</v>
      </c>
      <c r="BK41" s="19"/>
      <c r="BL41" s="19"/>
      <c r="BM41" s="19"/>
      <c r="BN41" s="19"/>
      <c r="BO41" s="19"/>
      <c r="BP41" s="19"/>
      <c r="BQ41" s="19"/>
      <c r="BR41" s="19"/>
      <c r="BS41" s="19"/>
      <c r="BT41" s="19"/>
      <c r="BU41" s="19"/>
      <c r="BV41" s="19"/>
      <c r="BW41" s="19"/>
      <c r="BX41" s="19"/>
      <c r="BZ41" s="19"/>
      <c r="CA41" s="19"/>
      <c r="CB41" s="19"/>
      <c r="CC41" s="19"/>
      <c r="CD41" s="19"/>
      <c r="CE41" s="19"/>
      <c r="CF41" s="19"/>
      <c r="CG41" s="19"/>
      <c r="CH41" s="19"/>
      <c r="CI41" s="19"/>
      <c r="CJ41" s="19"/>
      <c r="CK41" s="19"/>
      <c r="CL41" s="19"/>
      <c r="CM41" s="19"/>
      <c r="CN41" s="19"/>
      <c r="CO41" s="19"/>
      <c r="CP41" s="19"/>
      <c r="CQ41" s="19"/>
      <c r="CR41" s="19"/>
      <c r="CT41" s="19"/>
      <c r="CU41" s="19"/>
      <c r="CV41" s="19"/>
      <c r="CW41" s="19"/>
      <c r="CX41" s="19"/>
      <c r="CY41" s="19"/>
      <c r="CZ41" s="19"/>
      <c r="DA41" s="19"/>
      <c r="DB41" s="19"/>
      <c r="DC41" s="19"/>
      <c r="DD41" s="21"/>
      <c r="DE41" s="21"/>
      <c r="DF41" s="19"/>
      <c r="DG41">
        <v>1151</v>
      </c>
      <c r="DH41">
        <v>804</v>
      </c>
      <c r="DI41">
        <v>847</v>
      </c>
      <c r="DJ41" s="19"/>
      <c r="DK41" s="19"/>
      <c r="DL41">
        <v>772</v>
      </c>
      <c r="DM41">
        <v>577</v>
      </c>
      <c r="DN41" s="19"/>
      <c r="DO41" s="19"/>
      <c r="DP41">
        <v>365</v>
      </c>
      <c r="DQ41" s="19"/>
      <c r="DR41" s="19"/>
      <c r="DS41" s="19"/>
      <c r="DT41" s="19"/>
      <c r="DU41" s="19"/>
      <c r="DV41" s="19"/>
      <c r="DW41" s="19"/>
      <c r="DZ41" s="19"/>
      <c r="EA41" s="19"/>
      <c r="EB41" s="19"/>
      <c r="EC41" s="20"/>
      <c r="ED41" s="20"/>
      <c r="EE41" s="20"/>
      <c r="EF41" s="20"/>
      <c r="EG41" s="20"/>
      <c r="EH41" s="20"/>
      <c r="EI41" s="20"/>
      <c r="EJ41" s="20"/>
      <c r="EK41" s="20"/>
      <c r="EL41" s="20"/>
      <c r="EM41" s="20"/>
      <c r="EN41" s="19"/>
      <c r="EO41" s="19"/>
      <c r="EP41" s="19"/>
      <c r="EQ41" s="19"/>
      <c r="ER41" s="19"/>
      <c r="ES41" s="19"/>
      <c r="ET41" s="19"/>
      <c r="EU41" s="19"/>
      <c r="EV41" s="20"/>
      <c r="EW41" s="20"/>
      <c r="EX41" s="20"/>
      <c r="EY41" s="19"/>
      <c r="EZ41" s="19"/>
      <c r="FA41" s="19"/>
      <c r="FB41" s="19"/>
      <c r="FC41" s="19"/>
      <c r="FD41" s="19"/>
      <c r="FE41" s="19"/>
      <c r="FF41" s="20"/>
      <c r="FG41" s="19"/>
      <c r="FH41" s="20"/>
      <c r="FI41">
        <v>0.76</v>
      </c>
      <c r="FJ41">
        <v>0.53</v>
      </c>
      <c r="FK41">
        <v>0.86</v>
      </c>
      <c r="FL41" s="19"/>
      <c r="FM41">
        <v>0.71</v>
      </c>
      <c r="FN41" s="19"/>
      <c r="FO41" s="19"/>
      <c r="FP41">
        <v>0.79</v>
      </c>
      <c r="FQ41" s="19"/>
      <c r="FR41" s="19"/>
      <c r="FS41">
        <v>0.69</v>
      </c>
      <c r="FT41" s="19"/>
      <c r="FU41" s="19"/>
      <c r="FV41" s="20"/>
      <c r="FW41" s="19"/>
      <c r="FX41" s="19"/>
      <c r="FY41" s="19"/>
      <c r="FZ41" s="19"/>
      <c r="GA41" s="19"/>
      <c r="GB41" s="19"/>
      <c r="GC41" s="19"/>
      <c r="GD41" s="19"/>
      <c r="GE41" s="19"/>
      <c r="GF41" s="19"/>
      <c r="GG41" s="19"/>
      <c r="GH41" s="19"/>
      <c r="GI41" s="19"/>
      <c r="GJ41" s="19"/>
      <c r="GK41" s="19"/>
      <c r="GL41" s="19"/>
      <c r="GM41" s="19"/>
      <c r="GN41" s="19"/>
      <c r="GO41" s="19"/>
      <c r="GP41" s="19"/>
      <c r="GQ41" s="19"/>
      <c r="GR41" s="19"/>
      <c r="GS41" s="19"/>
      <c r="GT41" s="19"/>
      <c r="GU41" s="21"/>
      <c r="GV41" s="19"/>
      <c r="GW41" s="19"/>
      <c r="GX41" s="19"/>
      <c r="GY41" s="19"/>
      <c r="GZ41" s="19"/>
      <c r="HA41" s="19"/>
      <c r="HB41" s="19"/>
      <c r="HC41" s="19"/>
      <c r="HD41" s="19"/>
      <c r="HE41" s="19"/>
      <c r="HF41" s="19"/>
      <c r="HG41" s="20"/>
      <c r="HH41" s="19"/>
      <c r="HI41" s="19"/>
      <c r="HJ41" s="19"/>
      <c r="HK41" s="19"/>
      <c r="HL41" s="19"/>
      <c r="HM41" s="19"/>
      <c r="HN41" s="19"/>
      <c r="HO41" s="19"/>
      <c r="HP41" s="19"/>
      <c r="HQ41" s="19"/>
      <c r="HR41" s="19"/>
      <c r="HS41" s="19"/>
    </row>
    <row r="42" spans="1:373 1248:1526" x14ac:dyDescent="0.25">
      <c r="B42" s="18"/>
      <c r="C42" s="19"/>
      <c r="D42" s="19"/>
      <c r="E42" s="19"/>
      <c r="F42" s="19"/>
      <c r="G42" s="19"/>
      <c r="H42" s="19"/>
      <c r="I42" s="19"/>
      <c r="J42" s="19"/>
      <c r="K42" s="19"/>
      <c r="L42" s="20"/>
      <c r="M42" s="20"/>
      <c r="N42" s="20"/>
      <c r="O42" s="20"/>
      <c r="P42" s="20"/>
      <c r="Q42" s="20"/>
      <c r="R42" s="19"/>
      <c r="S42" s="19"/>
      <c r="T42" s="19"/>
      <c r="U42" s="19"/>
      <c r="V42" s="19"/>
      <c r="W42" s="20"/>
      <c r="X42" s="20"/>
      <c r="Y42" s="20"/>
      <c r="Z42" s="19"/>
      <c r="AA42" s="19"/>
      <c r="AB42" s="19"/>
      <c r="AC42" s="19"/>
      <c r="AD42" s="19"/>
      <c r="AE42" s="19"/>
      <c r="AF42" s="19"/>
      <c r="AG42" s="19"/>
      <c r="AH42" s="20"/>
      <c r="AI42" s="20"/>
      <c r="AJ42" s="20"/>
      <c r="AK42" s="20"/>
      <c r="AL42" s="20"/>
      <c r="AM42" s="19"/>
      <c r="AN42" s="19"/>
      <c r="AO42" s="18"/>
      <c r="AP42" s="19"/>
      <c r="AQ42" s="18"/>
      <c r="AR42" s="19"/>
      <c r="AS42" s="19"/>
      <c r="AT42" s="19"/>
      <c r="AU42" s="19"/>
      <c r="AV42" s="19"/>
      <c r="AW42" s="19"/>
      <c r="AX42" s="19"/>
      <c r="AY42" s="19"/>
      <c r="AZ42" s="19"/>
      <c r="BA42" s="19"/>
      <c r="BB42" s="19"/>
      <c r="BC42" s="19"/>
      <c r="BD42" s="19"/>
      <c r="BE42" s="19"/>
      <c r="BF42" s="19"/>
      <c r="BG42" s="19"/>
      <c r="BI42" s="19"/>
      <c r="BJ42" s="19"/>
      <c r="BK42" s="19"/>
      <c r="BL42" s="19"/>
      <c r="BM42" s="19"/>
      <c r="BN42" s="19"/>
      <c r="BO42" s="19"/>
      <c r="BP42" s="19"/>
      <c r="BQ42" s="19"/>
      <c r="BR42" s="19"/>
      <c r="BS42" s="19"/>
      <c r="BT42" s="19"/>
      <c r="BU42" s="19"/>
      <c r="BV42" s="19"/>
      <c r="BW42" s="19"/>
      <c r="BX42" s="19"/>
      <c r="BZ42" s="19"/>
      <c r="CA42" s="19"/>
      <c r="CB42" s="19"/>
      <c r="CC42" s="19"/>
      <c r="CD42" s="19"/>
      <c r="CE42" s="19"/>
      <c r="CF42" s="19"/>
      <c r="CG42" s="19"/>
      <c r="CH42" s="19"/>
      <c r="CI42" s="19"/>
      <c r="CJ42" s="19"/>
      <c r="CK42" s="19"/>
      <c r="CL42" s="19"/>
      <c r="CM42" s="19"/>
      <c r="CN42" s="19"/>
      <c r="CO42" s="19"/>
      <c r="CP42" s="19"/>
      <c r="CQ42" s="19"/>
      <c r="CR42" s="19"/>
      <c r="CT42" s="19"/>
      <c r="CU42" s="19"/>
      <c r="CV42" s="19"/>
      <c r="CW42" s="19"/>
      <c r="CX42" s="19"/>
      <c r="CY42" s="19"/>
      <c r="CZ42" s="19"/>
      <c r="DA42" s="19"/>
      <c r="DB42" s="19"/>
      <c r="DC42" s="19"/>
      <c r="DD42" s="21"/>
      <c r="DE42" s="21"/>
      <c r="DF42" s="19"/>
      <c r="DG42" s="19"/>
      <c r="DH42" s="19"/>
      <c r="DJ42" s="19"/>
      <c r="DK42" s="19"/>
      <c r="DL42" s="19"/>
      <c r="DM42" s="19"/>
      <c r="DN42" s="19"/>
      <c r="DO42" s="19"/>
      <c r="DP42" s="19"/>
      <c r="DQ42" s="19"/>
      <c r="DR42" s="19"/>
      <c r="DS42" s="19"/>
      <c r="DT42" s="19"/>
      <c r="DU42" s="19"/>
      <c r="DV42" s="19"/>
      <c r="DW42" s="19"/>
      <c r="DZ42" s="19"/>
      <c r="EA42" s="19"/>
      <c r="EB42" s="19"/>
      <c r="EC42" s="20"/>
      <c r="ED42" s="20"/>
      <c r="EE42" s="20"/>
      <c r="EF42" s="20"/>
      <c r="EG42" s="20"/>
      <c r="EH42" s="20"/>
      <c r="EI42" s="20"/>
      <c r="EJ42" s="20"/>
      <c r="EK42" s="20"/>
      <c r="EL42" s="20"/>
      <c r="EM42" s="20"/>
      <c r="EN42" s="19"/>
      <c r="EO42" s="19"/>
      <c r="EP42" s="19"/>
      <c r="EQ42" s="19"/>
      <c r="ER42" s="19"/>
      <c r="ES42" s="19"/>
      <c r="ET42" s="19"/>
      <c r="EU42" s="19"/>
      <c r="EV42" s="20"/>
      <c r="EW42" s="20"/>
      <c r="EX42" s="20"/>
      <c r="EY42" s="19"/>
      <c r="EZ42" s="19"/>
      <c r="FA42" s="19"/>
      <c r="FB42" s="19"/>
      <c r="FC42" s="19"/>
      <c r="FD42" s="19"/>
      <c r="FE42" s="19"/>
      <c r="FF42" s="20"/>
      <c r="FG42" s="19"/>
      <c r="FH42" s="20"/>
      <c r="FI42" s="19"/>
      <c r="FJ42" s="19"/>
      <c r="FL42" s="19"/>
      <c r="FM42" s="19"/>
      <c r="FN42" s="19"/>
      <c r="FO42" s="19"/>
      <c r="FP42" s="19"/>
      <c r="FQ42" s="19"/>
      <c r="FR42" s="19"/>
      <c r="FS42" s="19"/>
      <c r="FT42" s="19"/>
      <c r="FU42" s="19"/>
      <c r="FV42" s="20"/>
      <c r="FW42" s="19"/>
      <c r="FX42" s="19"/>
      <c r="FY42" s="19"/>
      <c r="FZ42" s="19"/>
      <c r="GA42" s="19"/>
      <c r="GB42" s="19"/>
      <c r="GC42" s="19"/>
      <c r="GD42" s="19"/>
      <c r="GE42" s="19"/>
      <c r="GF42" s="19"/>
      <c r="GG42" s="19"/>
      <c r="GH42" s="19"/>
      <c r="GI42" s="19"/>
      <c r="GJ42" s="19"/>
      <c r="GK42" s="19"/>
      <c r="GL42" s="19"/>
      <c r="GM42" s="19"/>
      <c r="GN42" s="19"/>
      <c r="GO42" s="19"/>
      <c r="GP42" s="19"/>
      <c r="GQ42" s="19"/>
      <c r="GR42" s="19"/>
      <c r="GS42" s="19"/>
      <c r="GT42" s="19"/>
      <c r="GU42" s="21"/>
      <c r="GV42" s="19"/>
      <c r="GW42" s="19"/>
      <c r="GX42" s="19"/>
      <c r="GY42" s="19"/>
      <c r="GZ42" s="19"/>
      <c r="HA42" s="19"/>
      <c r="HB42" s="19"/>
      <c r="HC42" s="19"/>
      <c r="HD42" s="19"/>
      <c r="HE42" s="19"/>
      <c r="HF42" s="19"/>
      <c r="HG42" s="20"/>
      <c r="HH42" s="19"/>
      <c r="HI42" s="19"/>
      <c r="HJ42" s="19"/>
      <c r="HK42" s="19"/>
      <c r="HL42" s="19"/>
      <c r="HM42" s="19"/>
      <c r="HN42" s="19"/>
      <c r="HO42" s="19"/>
      <c r="HP42" s="19"/>
      <c r="HQ42" s="19"/>
      <c r="HR42" s="19"/>
      <c r="HS42" s="19"/>
    </row>
    <row r="43" spans="1:373 1248:1526" x14ac:dyDescent="0.25">
      <c r="A43" s="27" t="s">
        <v>1128</v>
      </c>
      <c r="B43" s="27"/>
      <c r="C43" s="19"/>
      <c r="D43" s="19"/>
      <c r="E43" s="19"/>
      <c r="F43" s="19"/>
      <c r="G43" s="19"/>
      <c r="H43" s="19"/>
      <c r="I43" s="19"/>
      <c r="J43" s="19"/>
      <c r="K43" s="19"/>
      <c r="L43" s="20"/>
      <c r="M43" s="20"/>
      <c r="N43" s="20"/>
      <c r="O43" s="20"/>
      <c r="P43" s="20"/>
      <c r="Q43" s="20"/>
      <c r="R43" s="19"/>
      <c r="S43" s="19"/>
      <c r="T43" s="19"/>
      <c r="U43" s="19"/>
      <c r="V43" s="19"/>
      <c r="W43" s="20"/>
      <c r="X43" s="20"/>
      <c r="Y43" s="20"/>
      <c r="Z43" s="19"/>
      <c r="AA43" s="19"/>
      <c r="AB43" s="19"/>
      <c r="AC43" s="19"/>
      <c r="AD43" s="19"/>
      <c r="AE43" s="19"/>
      <c r="AF43" s="19"/>
      <c r="AG43" s="19"/>
      <c r="AH43" s="20"/>
      <c r="AI43" s="20"/>
      <c r="AJ43" s="20"/>
      <c r="AK43" s="20"/>
      <c r="AL43" s="20"/>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19"/>
      <c r="CI43" s="19"/>
      <c r="CJ43" s="19"/>
      <c r="CK43" s="19"/>
      <c r="CL43" s="19"/>
      <c r="CM43" s="19"/>
      <c r="CN43" s="19"/>
      <c r="CO43" s="19"/>
      <c r="CP43" s="19"/>
      <c r="CQ43" s="19"/>
      <c r="CR43" s="19"/>
      <c r="CS43" s="19"/>
      <c r="CT43" s="19"/>
      <c r="CU43" s="19"/>
      <c r="CV43" s="19"/>
      <c r="CW43" s="19"/>
      <c r="CX43" s="19"/>
      <c r="CY43" s="19"/>
      <c r="CZ43" s="19"/>
      <c r="DA43" s="19"/>
      <c r="DB43" s="19"/>
      <c r="DC43" s="19"/>
      <c r="DD43" s="21"/>
      <c r="DE43" s="21"/>
      <c r="DF43" s="19"/>
      <c r="DG43" s="19"/>
      <c r="DH43" s="19"/>
      <c r="DI43" s="19"/>
      <c r="DJ43" s="19"/>
      <c r="DK43" s="19"/>
      <c r="DL43" s="19"/>
      <c r="DM43" s="19"/>
      <c r="DN43" s="19"/>
      <c r="DO43" s="19"/>
      <c r="DP43" s="19"/>
      <c r="DQ43" s="19"/>
      <c r="DR43" s="19"/>
      <c r="DS43" s="19"/>
      <c r="DT43" s="19"/>
      <c r="DU43" s="19"/>
      <c r="DV43" s="19"/>
      <c r="DW43" s="19"/>
      <c r="DX43" s="19"/>
      <c r="DY43" s="19"/>
      <c r="DZ43" s="19"/>
      <c r="EA43" s="19"/>
      <c r="EB43" s="19"/>
      <c r="EC43" s="20"/>
      <c r="ED43" s="20"/>
      <c r="EE43" s="20"/>
      <c r="EF43" s="20"/>
      <c r="EG43" s="20"/>
      <c r="EH43" s="20"/>
      <c r="EI43" s="20"/>
      <c r="EJ43" s="20"/>
      <c r="EK43" s="20"/>
      <c r="EL43" s="20"/>
      <c r="EM43" s="20"/>
      <c r="EN43" s="19"/>
      <c r="EO43" s="19"/>
      <c r="EP43" s="19"/>
      <c r="EQ43" s="19"/>
      <c r="ER43" s="19"/>
      <c r="ES43" s="19"/>
      <c r="ET43" s="19"/>
      <c r="EU43" s="19"/>
      <c r="EV43" s="20"/>
      <c r="EW43" s="20"/>
      <c r="EX43" s="20"/>
      <c r="EY43" s="19"/>
      <c r="EZ43" s="19"/>
      <c r="FA43" s="19"/>
      <c r="FB43" s="19"/>
      <c r="FC43" s="19"/>
      <c r="FD43" s="19"/>
      <c r="FE43" s="19"/>
      <c r="FF43" s="20"/>
      <c r="FG43" s="19"/>
      <c r="FH43" s="20"/>
      <c r="FI43" s="19"/>
      <c r="FJ43" s="19"/>
      <c r="FK43" s="19"/>
      <c r="FL43" s="19"/>
      <c r="FM43" s="19"/>
      <c r="FN43" s="19"/>
      <c r="FO43" s="19"/>
      <c r="FP43" s="19"/>
      <c r="FQ43" s="19"/>
      <c r="FR43" s="19"/>
      <c r="FS43" s="19"/>
      <c r="FT43" s="19"/>
      <c r="FU43" s="19"/>
      <c r="FV43" s="20"/>
      <c r="FW43" s="19"/>
      <c r="FX43" s="19"/>
      <c r="FY43" s="19"/>
      <c r="FZ43" s="19"/>
      <c r="GA43" s="19"/>
      <c r="GB43" s="19"/>
      <c r="GC43" s="19"/>
      <c r="GD43" s="19"/>
      <c r="GE43" s="19"/>
      <c r="GF43" s="19"/>
      <c r="GG43" s="19"/>
      <c r="GH43" s="19"/>
      <c r="GI43" s="19"/>
      <c r="GJ43" s="19"/>
      <c r="GK43" s="19"/>
      <c r="GL43" s="19"/>
      <c r="GM43" s="19"/>
      <c r="GN43" s="19"/>
      <c r="GO43" s="19"/>
      <c r="GP43" s="19"/>
      <c r="GQ43" s="19"/>
      <c r="GR43" s="19"/>
      <c r="GS43" s="19"/>
      <c r="GT43" s="19"/>
      <c r="GU43" s="21"/>
      <c r="GV43" s="19"/>
      <c r="GW43" s="19"/>
      <c r="GX43" s="19"/>
      <c r="GY43" s="19"/>
      <c r="GZ43" s="19"/>
      <c r="HA43" s="19"/>
      <c r="HB43" s="19"/>
      <c r="HC43" s="19"/>
      <c r="HD43" s="19"/>
      <c r="HE43" s="19"/>
      <c r="HF43" s="19"/>
      <c r="HG43" s="20"/>
      <c r="HH43" s="19"/>
      <c r="HI43" s="19"/>
      <c r="HJ43" s="19"/>
      <c r="HK43" s="19"/>
      <c r="HL43" s="19"/>
      <c r="HM43" s="19"/>
      <c r="HN43" s="19"/>
      <c r="HO43" s="19"/>
      <c r="HP43" s="19"/>
      <c r="HQ43" s="19"/>
      <c r="HR43" s="19"/>
      <c r="HS43" s="19"/>
    </row>
    <row r="44" spans="1:373 1248:1526" x14ac:dyDescent="0.25">
      <c r="A44" s="7">
        <v>1505</v>
      </c>
      <c r="B44" s="57"/>
      <c r="C44" s="19"/>
      <c r="D44" s="19"/>
      <c r="E44" s="19"/>
      <c r="F44" s="19"/>
      <c r="G44" s="19"/>
      <c r="H44" s="19"/>
      <c r="I44" s="19"/>
      <c r="J44" s="19"/>
      <c r="K44" s="19"/>
      <c r="L44" s="20"/>
      <c r="M44" s="20"/>
      <c r="N44" s="20"/>
      <c r="O44" s="20"/>
      <c r="P44" s="20"/>
      <c r="Q44" s="20"/>
      <c r="R44" s="19"/>
      <c r="S44" s="19"/>
      <c r="T44" s="19"/>
      <c r="U44" s="19"/>
      <c r="V44" s="19"/>
      <c r="W44" s="20"/>
      <c r="X44" s="20"/>
      <c r="Y44" s="20"/>
      <c r="Z44" s="19"/>
      <c r="AA44" s="19"/>
      <c r="AB44" s="19"/>
      <c r="AC44" s="19"/>
      <c r="AD44" s="19"/>
      <c r="AE44" s="19"/>
      <c r="AF44" s="19"/>
      <c r="AG44" s="19"/>
      <c r="AH44" s="20"/>
      <c r="AI44" s="20"/>
      <c r="AJ44" s="20"/>
      <c r="AK44" s="20"/>
      <c r="AL44" s="20"/>
      <c r="AM44" s="19"/>
      <c r="AN44" s="19"/>
      <c r="AO44" s="19"/>
      <c r="AP44" s="19"/>
      <c r="AQ44" s="19"/>
      <c r="AR44" s="18">
        <v>12000</v>
      </c>
      <c r="AS44" s="19"/>
      <c r="AT44" s="19"/>
      <c r="AU44" s="19"/>
      <c r="AV44" s="18"/>
      <c r="AW44" s="18">
        <v>20000</v>
      </c>
      <c r="AX44" s="18"/>
      <c r="BA44" s="19"/>
      <c r="BB44" s="19"/>
      <c r="BC44" s="19"/>
      <c r="BD44" s="19"/>
      <c r="BE44" s="19"/>
      <c r="BF44" s="19"/>
      <c r="BG44" s="19"/>
      <c r="BH44" s="19"/>
      <c r="BI44" s="19"/>
      <c r="BJ44" s="19"/>
      <c r="BK44" s="19"/>
      <c r="BL44">
        <v>28</v>
      </c>
      <c r="BM44" s="19"/>
      <c r="BN44" s="19"/>
      <c r="BO44" s="19"/>
      <c r="BP44" s="19"/>
      <c r="BQ44" s="19"/>
      <c r="BR44" s="19"/>
      <c r="BS44" s="19"/>
      <c r="BT44" s="19"/>
      <c r="BU44" s="19"/>
      <c r="BV44" s="19"/>
      <c r="BW44" s="19"/>
      <c r="BX44" s="19"/>
      <c r="BY44" s="19"/>
      <c r="BZ44" s="19"/>
      <c r="CA44" s="19"/>
      <c r="CB44" s="19"/>
      <c r="CC44">
        <v>32</v>
      </c>
      <c r="CD44" s="19"/>
      <c r="CE44" s="19"/>
      <c r="CF44" s="19"/>
      <c r="CG44" s="19"/>
      <c r="CH44" s="19"/>
      <c r="CI44" s="19"/>
      <c r="CJ44" s="19"/>
      <c r="CK44" s="19"/>
      <c r="CL44" s="19"/>
      <c r="CM44" s="19"/>
      <c r="CN44" s="19"/>
      <c r="CO44" s="19"/>
      <c r="CP44" s="19"/>
      <c r="CQ44" s="19"/>
      <c r="CR44" s="19"/>
      <c r="CS44" s="19"/>
      <c r="CT44" s="19"/>
      <c r="CU44" s="19"/>
      <c r="CV44" s="19"/>
      <c r="CW44" s="19"/>
      <c r="CX44" s="19"/>
      <c r="CY44" s="19"/>
      <c r="CZ44" s="19"/>
      <c r="DA44" s="19"/>
      <c r="DB44" s="19"/>
      <c r="DC44" s="19"/>
      <c r="DD44" s="21"/>
      <c r="DE44" s="21"/>
      <c r="DF44" s="19"/>
      <c r="DG44" s="19"/>
      <c r="DH44" s="19"/>
      <c r="DI44" s="19"/>
      <c r="DJ44" s="19"/>
      <c r="DK44">
        <v>249</v>
      </c>
      <c r="DL44" s="19"/>
      <c r="DM44" s="19"/>
      <c r="DN44" s="19"/>
      <c r="DO44" s="19"/>
      <c r="DP44" s="19"/>
      <c r="DQ44" s="19"/>
      <c r="DR44" s="19"/>
      <c r="DS44" s="19"/>
      <c r="DT44" s="19"/>
      <c r="DU44" s="19"/>
      <c r="DV44" s="19"/>
      <c r="DW44" s="19"/>
      <c r="DX44" s="19"/>
      <c r="DY44">
        <v>9.9</v>
      </c>
      <c r="DZ44" s="19"/>
      <c r="EA44" s="19"/>
      <c r="EB44" s="19"/>
      <c r="EC44" s="20"/>
      <c r="ED44" s="20"/>
      <c r="EE44" s="20"/>
      <c r="EF44" s="20"/>
      <c r="EG44" s="20"/>
      <c r="EH44" s="20"/>
      <c r="EI44" s="20"/>
      <c r="EJ44" s="20"/>
      <c r="EK44" s="20"/>
      <c r="EL44" s="20"/>
      <c r="EM44" s="20"/>
      <c r="EN44" s="19"/>
      <c r="EO44" s="19"/>
      <c r="EP44" s="19"/>
      <c r="EQ44" s="19"/>
      <c r="ER44" s="19"/>
      <c r="ES44" s="19"/>
      <c r="ET44" s="19"/>
      <c r="EU44" s="19"/>
      <c r="EV44" s="20"/>
      <c r="EW44" s="20"/>
      <c r="EX44" s="20"/>
      <c r="EY44" s="19"/>
      <c r="EZ44" s="19"/>
      <c r="FA44" s="19"/>
      <c r="FB44" s="19"/>
      <c r="FC44" s="19"/>
      <c r="FD44" s="19"/>
      <c r="FE44" s="19"/>
      <c r="FF44" s="20"/>
      <c r="FG44" s="19"/>
      <c r="FH44" s="20"/>
      <c r="FI44" s="19"/>
      <c r="FJ44" s="19"/>
      <c r="FK44" s="19"/>
      <c r="FL44" s="19"/>
      <c r="FM44" s="19"/>
      <c r="FN44" s="19"/>
      <c r="FO44" s="19"/>
      <c r="FP44" s="19"/>
      <c r="FQ44" s="19"/>
      <c r="FR44" s="19"/>
      <c r="FS44" s="19"/>
      <c r="FT44" s="19"/>
      <c r="FU44" s="19"/>
      <c r="FV44" s="20"/>
      <c r="FW44" s="19"/>
      <c r="FX44" s="19"/>
      <c r="FY44" s="19"/>
      <c r="FZ44" s="19"/>
      <c r="GA44" s="19"/>
      <c r="GB44" s="19"/>
      <c r="GC44" s="19"/>
      <c r="GD44" s="19"/>
      <c r="GE44" s="19"/>
      <c r="GF44" s="19"/>
      <c r="GG44" s="19"/>
      <c r="GH44" s="19"/>
      <c r="GI44" s="19"/>
      <c r="GJ44" s="19"/>
      <c r="GK44" s="19"/>
      <c r="GL44" s="19"/>
      <c r="GM44" s="19"/>
      <c r="GN44" s="19"/>
      <c r="GO44" s="19"/>
      <c r="GP44" s="19"/>
      <c r="GQ44" s="19"/>
      <c r="GR44" s="19"/>
      <c r="GS44" s="19"/>
      <c r="GT44" s="19"/>
      <c r="GU44" s="21"/>
      <c r="GV44" s="19"/>
      <c r="GW44" s="19"/>
      <c r="GX44" s="19"/>
      <c r="GY44" s="19"/>
      <c r="GZ44" s="19"/>
      <c r="HA44" s="19"/>
      <c r="HB44" s="19"/>
      <c r="HC44" s="19"/>
      <c r="HD44" s="19"/>
      <c r="HE44" s="19"/>
      <c r="HF44" s="19"/>
      <c r="HG44" s="20"/>
      <c r="HH44" s="19"/>
      <c r="HI44" s="19"/>
      <c r="HJ44" s="19"/>
      <c r="HK44" s="19"/>
      <c r="HL44" s="19"/>
      <c r="HM44" s="19"/>
      <c r="HN44" s="19"/>
      <c r="HO44" s="19"/>
      <c r="HP44" s="19"/>
      <c r="HQ44" s="19"/>
      <c r="HR44" s="19"/>
      <c r="HS44" s="19"/>
      <c r="IU44" s="7" t="s">
        <v>1180</v>
      </c>
    </row>
    <row r="45" spans="1:373 1248:1526" x14ac:dyDescent="0.25">
      <c r="A45" s="18">
        <v>1000197</v>
      </c>
      <c r="B45" s="57"/>
      <c r="C45" s="19"/>
      <c r="D45" s="19"/>
      <c r="E45" s="19"/>
      <c r="F45" s="19"/>
      <c r="G45" s="19"/>
      <c r="H45" s="19"/>
      <c r="I45" s="19"/>
      <c r="J45" s="19"/>
      <c r="K45" s="19"/>
      <c r="L45" s="20"/>
      <c r="M45" s="20"/>
      <c r="N45" s="20"/>
      <c r="O45" s="20"/>
      <c r="P45" s="20"/>
      <c r="Q45" s="20"/>
      <c r="R45" s="19"/>
      <c r="S45" s="19"/>
      <c r="T45" s="19"/>
      <c r="U45" s="19"/>
      <c r="V45" s="19"/>
      <c r="W45" s="20"/>
      <c r="X45" s="20"/>
      <c r="Y45" s="20"/>
      <c r="Z45" s="19"/>
      <c r="AA45" s="19"/>
      <c r="AB45" s="19"/>
      <c r="AC45" s="19"/>
      <c r="AD45" s="19"/>
      <c r="AE45" s="19"/>
      <c r="AF45" s="19"/>
      <c r="AG45" s="19"/>
      <c r="AH45" s="20"/>
      <c r="AI45" s="20"/>
      <c r="AJ45" s="20"/>
      <c r="AK45" s="20"/>
      <c r="AL45" s="20"/>
      <c r="AM45" s="19"/>
      <c r="AN45" s="19"/>
      <c r="AP45" s="19"/>
      <c r="AQ45" s="19"/>
      <c r="AR45">
        <v>8900</v>
      </c>
      <c r="AS45">
        <v>10600</v>
      </c>
      <c r="AT45" s="19"/>
      <c r="AU45" s="19"/>
      <c r="AV45" s="19"/>
      <c r="AW45" s="19"/>
      <c r="AX45" s="19"/>
      <c r="AY45" s="19"/>
      <c r="AZ45" s="19"/>
      <c r="BA45" s="19"/>
      <c r="BB45" s="19"/>
      <c r="BD45" s="19"/>
      <c r="BE45" s="19"/>
      <c r="BF45" s="19"/>
      <c r="BG45" s="19"/>
      <c r="BH45" s="19"/>
      <c r="BI45" s="19"/>
      <c r="BJ45" s="19"/>
      <c r="BL45" s="19"/>
      <c r="BM45" s="19"/>
      <c r="BN45">
        <v>25</v>
      </c>
      <c r="BO45" s="19"/>
      <c r="BP45" s="19"/>
      <c r="BQ45" s="19"/>
      <c r="BR45" s="19"/>
      <c r="BS45" s="19"/>
      <c r="BT45" s="19"/>
      <c r="BU45" s="19"/>
      <c r="BV45" s="19"/>
      <c r="BW45" s="19"/>
      <c r="BX45" s="19"/>
      <c r="BY45" s="19"/>
      <c r="BZ45" s="19"/>
      <c r="CA45" s="19"/>
      <c r="CC45">
        <v>64</v>
      </c>
      <c r="CD45" s="19"/>
      <c r="CE45" s="19"/>
      <c r="CF45" s="19"/>
      <c r="CG45" s="19"/>
      <c r="CH45" s="19"/>
      <c r="CI45" s="19"/>
      <c r="CJ45" s="19"/>
      <c r="CK45" s="19"/>
      <c r="CL45" s="19"/>
      <c r="CM45" s="19"/>
      <c r="CN45" s="19"/>
      <c r="CO45" s="19"/>
      <c r="CP45" s="19"/>
      <c r="CQ45" s="19"/>
      <c r="CR45" s="19"/>
      <c r="CS45" s="19"/>
      <c r="CU45" s="19"/>
      <c r="CV45">
        <v>51</v>
      </c>
      <c r="CW45" s="19"/>
      <c r="CX45" s="19"/>
      <c r="CY45" s="19"/>
      <c r="CZ45" s="19"/>
      <c r="DA45" s="19"/>
      <c r="DB45" s="19"/>
      <c r="DC45" s="19"/>
      <c r="DD45" s="21"/>
      <c r="DE45" s="21"/>
      <c r="DF45" s="19"/>
      <c r="DG45" s="19"/>
      <c r="DH45" s="19"/>
      <c r="DI45" s="19"/>
      <c r="DK45" s="19"/>
      <c r="DL45" s="19"/>
      <c r="DM45" s="19"/>
      <c r="DN45" s="19"/>
      <c r="DO45" s="19"/>
      <c r="DP45" s="19"/>
      <c r="DQ45" s="19"/>
      <c r="DR45" s="19"/>
      <c r="DS45" s="19"/>
      <c r="DT45" s="19"/>
      <c r="DU45" s="19"/>
      <c r="DX45" s="52">
        <v>50</v>
      </c>
      <c r="DY45" s="19"/>
      <c r="DZ45" s="19"/>
      <c r="EA45" s="19"/>
      <c r="EB45" s="19"/>
      <c r="EC45" s="20"/>
      <c r="ED45" s="20"/>
      <c r="EE45" s="20"/>
      <c r="EF45" s="20"/>
      <c r="EG45" s="20"/>
      <c r="EH45" s="20"/>
      <c r="EI45" s="20"/>
      <c r="EJ45" s="20"/>
      <c r="EK45" s="20"/>
      <c r="EL45" s="20"/>
      <c r="EM45" s="20"/>
      <c r="EN45" s="19"/>
      <c r="EO45" s="19"/>
      <c r="EP45" s="19"/>
      <c r="EQ45" s="19"/>
      <c r="ER45" s="19"/>
      <c r="ES45" s="19"/>
      <c r="ET45" s="19"/>
      <c r="EU45" s="19"/>
      <c r="EV45" s="20"/>
      <c r="EW45" s="20"/>
      <c r="EX45" s="20"/>
      <c r="EY45" s="19"/>
      <c r="EZ45" s="19"/>
      <c r="FA45" s="19"/>
      <c r="FB45" s="19"/>
      <c r="FC45" s="19"/>
      <c r="FD45" s="19"/>
      <c r="FE45" s="19"/>
      <c r="FF45" s="20"/>
      <c r="FG45" s="19"/>
      <c r="FH45" s="20"/>
      <c r="FI45" s="19"/>
      <c r="FJ45" s="19"/>
      <c r="FK45" s="19"/>
      <c r="FL45" s="19"/>
      <c r="FM45" s="19"/>
      <c r="FN45" s="19"/>
      <c r="FO45" s="19"/>
      <c r="FP45" s="19"/>
      <c r="FQ45" s="19"/>
      <c r="FR45" s="19"/>
      <c r="FS45" s="19"/>
      <c r="FT45" s="19"/>
      <c r="FU45" s="19"/>
      <c r="FV45" s="20"/>
      <c r="FW45" s="19"/>
      <c r="FX45" s="19"/>
      <c r="FY45" s="19"/>
      <c r="FZ45" s="19"/>
      <c r="GA45" s="19"/>
      <c r="GB45" s="19"/>
      <c r="GC45" s="19"/>
      <c r="GD45" s="19"/>
      <c r="GE45" s="19"/>
      <c r="GF45" s="19"/>
      <c r="GG45" s="19"/>
      <c r="GH45" s="19"/>
      <c r="GI45" s="19"/>
      <c r="GJ45" s="19"/>
      <c r="GK45" s="19"/>
      <c r="GL45" s="19"/>
      <c r="GM45" s="19"/>
      <c r="GN45" s="19"/>
      <c r="GO45" s="19"/>
      <c r="GP45" s="19"/>
      <c r="GQ45" s="19"/>
      <c r="GR45" s="19"/>
      <c r="GS45" s="19"/>
      <c r="GT45" s="19"/>
      <c r="GU45" s="21"/>
      <c r="GV45" s="19"/>
      <c r="GW45" s="19"/>
      <c r="GX45" s="19"/>
      <c r="GY45" s="19"/>
      <c r="GZ45" s="19"/>
      <c r="HA45" s="19"/>
      <c r="HB45" s="19"/>
      <c r="HC45" s="19"/>
      <c r="HD45" s="19"/>
      <c r="HE45" s="19"/>
      <c r="HF45" s="19"/>
      <c r="HG45" s="20"/>
      <c r="HH45" s="19"/>
      <c r="HI45" s="19"/>
      <c r="HJ45" s="19"/>
      <c r="HK45" s="19"/>
      <c r="HL45" s="19"/>
      <c r="HM45" s="19"/>
      <c r="HN45" s="19"/>
      <c r="HO45" s="19"/>
      <c r="HP45" s="19"/>
      <c r="HQ45" s="19"/>
      <c r="HR45" s="19"/>
      <c r="HS45" s="19"/>
      <c r="IH45" s="18"/>
      <c r="II45" s="18"/>
      <c r="IJ45" s="18"/>
      <c r="IK45" s="18"/>
      <c r="IL45" s="18"/>
    </row>
    <row r="46" spans="1:373 1248:1526" x14ac:dyDescent="0.25">
      <c r="A46" s="7">
        <v>96018835</v>
      </c>
      <c r="B46" s="57"/>
      <c r="C46" s="53"/>
      <c r="D46" s="19"/>
      <c r="E46" s="19"/>
      <c r="F46" s="19"/>
      <c r="G46" s="19"/>
      <c r="H46" s="18">
        <v>40</v>
      </c>
      <c r="I46" s="19"/>
      <c r="J46" s="19"/>
      <c r="K46" s="19"/>
      <c r="L46" s="20"/>
      <c r="M46" s="20"/>
      <c r="N46" s="20"/>
      <c r="O46" s="20"/>
      <c r="P46" s="20"/>
      <c r="Q46" s="20"/>
      <c r="R46" s="19"/>
      <c r="S46">
        <v>67</v>
      </c>
      <c r="T46">
        <v>82</v>
      </c>
      <c r="U46" s="19"/>
      <c r="V46" s="19"/>
      <c r="W46" s="20"/>
      <c r="X46" s="20"/>
      <c r="Y46" s="20"/>
      <c r="Z46" s="19"/>
      <c r="AA46">
        <v>35</v>
      </c>
      <c r="AB46" s="19"/>
      <c r="AC46" s="19"/>
      <c r="AD46" s="19"/>
      <c r="AE46" s="19"/>
      <c r="AF46" s="19"/>
      <c r="AG46" s="19"/>
      <c r="AH46" s="20"/>
      <c r="AI46" s="46"/>
      <c r="AJ46" s="46"/>
      <c r="AK46" s="46"/>
      <c r="AL46" s="46"/>
      <c r="AM46" s="53">
        <v>2000</v>
      </c>
      <c r="AN46" s="53">
        <v>2900</v>
      </c>
      <c r="AO46" s="18">
        <v>3800</v>
      </c>
      <c r="AP46" s="18">
        <v>2100</v>
      </c>
      <c r="AQ46" s="19"/>
      <c r="AR46" s="18">
        <v>3000</v>
      </c>
      <c r="AS46" s="18"/>
      <c r="AT46" s="19"/>
      <c r="AU46" s="18">
        <v>6500</v>
      </c>
      <c r="AV46" s="19"/>
      <c r="AW46" s="19"/>
      <c r="AX46" s="18">
        <v>7900</v>
      </c>
      <c r="AY46" s="18"/>
      <c r="AZ46" s="18">
        <v>10100</v>
      </c>
      <c r="BA46" s="18">
        <v>7500</v>
      </c>
      <c r="BB46" s="19"/>
      <c r="BD46" s="19"/>
      <c r="BE46" s="19"/>
      <c r="BF46" s="19"/>
      <c r="BG46" s="18">
        <v>1083</v>
      </c>
      <c r="BH46" s="18">
        <v>435</v>
      </c>
      <c r="BI46" s="18">
        <v>155</v>
      </c>
      <c r="BJ46" s="19"/>
      <c r="BK46" s="18">
        <v>68</v>
      </c>
      <c r="BL46" s="19"/>
      <c r="BM46" s="18">
        <v>51</v>
      </c>
      <c r="BN46" s="18">
        <v>19</v>
      </c>
      <c r="BO46" s="19"/>
      <c r="BP46" s="18">
        <v>24</v>
      </c>
      <c r="BQ46" s="19"/>
      <c r="BR46" s="19"/>
      <c r="BS46" s="18">
        <v>175</v>
      </c>
      <c r="BT46" s="19"/>
      <c r="BU46" s="19"/>
      <c r="BV46" s="19"/>
      <c r="BW46" s="19"/>
      <c r="BX46" s="18">
        <v>1496</v>
      </c>
      <c r="BY46" s="18">
        <v>1029</v>
      </c>
      <c r="BZ46" s="18">
        <v>630</v>
      </c>
      <c r="CA46" s="19"/>
      <c r="CB46" s="18">
        <v>356</v>
      </c>
      <c r="CC46" s="18"/>
      <c r="CD46" s="19"/>
      <c r="CE46" s="19"/>
      <c r="CF46" s="18">
        <v>18</v>
      </c>
      <c r="CG46" s="18">
        <v>19</v>
      </c>
      <c r="CH46" s="19"/>
      <c r="CI46" s="19"/>
      <c r="CJ46" s="19"/>
      <c r="CK46" s="19"/>
      <c r="CL46" s="19"/>
      <c r="CM46" s="19"/>
      <c r="CN46" s="19"/>
      <c r="CO46" s="19">
        <v>246</v>
      </c>
      <c r="CP46" s="18">
        <v>201</v>
      </c>
      <c r="CQ46" s="18">
        <v>180</v>
      </c>
      <c r="CR46" s="18">
        <v>177</v>
      </c>
      <c r="CS46" s="19"/>
      <c r="CT46" s="18">
        <v>246</v>
      </c>
      <c r="CU46" s="19"/>
      <c r="CV46" s="18"/>
      <c r="CW46" s="19"/>
      <c r="CX46" s="18">
        <v>41</v>
      </c>
      <c r="CY46" s="18"/>
      <c r="CZ46" s="18">
        <v>70</v>
      </c>
      <c r="DA46" s="19"/>
      <c r="DB46" s="19"/>
      <c r="DC46" s="19"/>
      <c r="DD46" s="21"/>
      <c r="DE46" s="21"/>
      <c r="DF46">
        <v>1694</v>
      </c>
      <c r="DG46">
        <v>617</v>
      </c>
      <c r="DH46" s="19"/>
      <c r="DI46" s="19"/>
      <c r="DK46" s="19"/>
      <c r="DL46" s="19"/>
      <c r="DM46" s="19"/>
      <c r="DN46" s="19"/>
      <c r="DO46" s="19"/>
      <c r="DP46" s="19"/>
      <c r="DQ46" s="19"/>
      <c r="DR46" s="19"/>
      <c r="DS46" s="19"/>
      <c r="DT46" s="19"/>
      <c r="DU46" s="19"/>
      <c r="DX46" s="18"/>
      <c r="DY46">
        <v>5</v>
      </c>
      <c r="DZ46" s="19"/>
      <c r="EA46" s="19"/>
      <c r="EB46" s="19"/>
      <c r="EC46" s="20"/>
      <c r="ED46" s="18">
        <v>15.2</v>
      </c>
      <c r="EE46" s="18">
        <v>14.4</v>
      </c>
      <c r="EF46" s="18">
        <v>13.4</v>
      </c>
      <c r="EG46" s="23"/>
      <c r="EH46" s="18">
        <v>11.8</v>
      </c>
      <c r="EI46" s="18">
        <v>10.7</v>
      </c>
      <c r="EJ46" s="18">
        <v>8.6</v>
      </c>
      <c r="EK46" s="18">
        <v>10.5</v>
      </c>
      <c r="EL46" s="18">
        <v>10</v>
      </c>
      <c r="EM46" s="20"/>
      <c r="EN46" s="18">
        <v>3.9</v>
      </c>
      <c r="EO46" s="18">
        <v>4.0999999999999996</v>
      </c>
      <c r="EP46" s="18">
        <v>3.7</v>
      </c>
      <c r="EQ46" s="18">
        <v>3.9</v>
      </c>
      <c r="ER46" s="18">
        <v>8.4</v>
      </c>
      <c r="ES46" s="18">
        <v>7.2</v>
      </c>
      <c r="ET46" s="18">
        <v>8.3000000000000007</v>
      </c>
      <c r="EU46" s="18">
        <v>12.1</v>
      </c>
      <c r="EV46" s="20"/>
      <c r="EW46">
        <v>3.9</v>
      </c>
      <c r="EX46" s="18">
        <v>3.5</v>
      </c>
      <c r="EY46" s="18">
        <v>515</v>
      </c>
      <c r="EZ46" s="18">
        <v>311</v>
      </c>
      <c r="FA46" s="18">
        <v>288</v>
      </c>
      <c r="FB46" s="18">
        <v>381</v>
      </c>
      <c r="FC46" s="18">
        <v>187</v>
      </c>
      <c r="FD46" s="18">
        <v>326</v>
      </c>
      <c r="FE46" s="19"/>
      <c r="FF46" s="20"/>
      <c r="FG46">
        <v>2082</v>
      </c>
      <c r="FH46" s="20"/>
      <c r="FI46" s="19"/>
      <c r="FJ46" s="19"/>
      <c r="FK46" s="19"/>
      <c r="FL46" s="53">
        <v>1</v>
      </c>
      <c r="FM46" s="19"/>
      <c r="FN46" s="19"/>
      <c r="FO46" s="19"/>
      <c r="FP46" s="19"/>
      <c r="FQ46" s="19"/>
      <c r="FR46" s="19"/>
      <c r="FS46" s="19"/>
      <c r="FT46" s="19"/>
      <c r="FU46" s="19"/>
      <c r="FV46" s="20"/>
      <c r="FW46" s="18">
        <v>1400</v>
      </c>
      <c r="FX46" s="18">
        <v>1988</v>
      </c>
      <c r="FY46" s="18">
        <v>1758</v>
      </c>
      <c r="FZ46" s="18">
        <v>332</v>
      </c>
      <c r="GA46" s="18">
        <v>24</v>
      </c>
      <c r="GB46" s="18">
        <v>90</v>
      </c>
      <c r="GC46" s="18">
        <v>99</v>
      </c>
      <c r="GD46" s="53">
        <v>273</v>
      </c>
      <c r="GE46" s="53">
        <v>1000</v>
      </c>
      <c r="GF46" s="19">
        <v>892</v>
      </c>
      <c r="GG46" s="19">
        <v>342</v>
      </c>
      <c r="GH46" s="19"/>
      <c r="GI46" s="19"/>
      <c r="GJ46" s="19"/>
      <c r="GK46" s="19"/>
      <c r="GL46" s="19"/>
      <c r="GM46" s="19"/>
      <c r="GN46" s="19"/>
      <c r="GO46" s="19"/>
      <c r="GP46" s="18">
        <v>32.5</v>
      </c>
      <c r="GQ46" s="19"/>
      <c r="GR46" s="19"/>
      <c r="GS46" s="19"/>
      <c r="GT46" s="19"/>
      <c r="GU46" s="21"/>
      <c r="GV46" s="18">
        <v>90000</v>
      </c>
      <c r="GW46" s="18">
        <v>123000</v>
      </c>
      <c r="GX46" s="53">
        <v>107000</v>
      </c>
      <c r="GY46" s="46">
        <v>99000</v>
      </c>
      <c r="GZ46" s="46">
        <v>156000</v>
      </c>
      <c r="HA46" s="46">
        <v>239000</v>
      </c>
      <c r="HB46" s="46">
        <v>86000</v>
      </c>
      <c r="HC46" s="46">
        <v>61000</v>
      </c>
      <c r="HD46" s="19"/>
      <c r="HE46" s="19">
        <v>97000</v>
      </c>
      <c r="HF46" s="19"/>
      <c r="HG46" s="20"/>
      <c r="HH46" s="19"/>
      <c r="HI46" s="19"/>
      <c r="HJ46">
        <v>66</v>
      </c>
      <c r="HK46" s="19"/>
      <c r="HL46" s="19"/>
      <c r="HM46" s="19"/>
      <c r="HN46" s="19">
        <v>25</v>
      </c>
      <c r="HO46" s="19">
        <v>22</v>
      </c>
      <c r="HP46">
        <v>0.3</v>
      </c>
      <c r="HQ46">
        <v>0.3</v>
      </c>
      <c r="HR46" s="19"/>
      <c r="HS46" s="19"/>
      <c r="IH46" s="18">
        <v>141.5</v>
      </c>
      <c r="II46" s="18">
        <v>4.4000000000000004</v>
      </c>
      <c r="IJ46" s="18">
        <v>2.15</v>
      </c>
      <c r="IK46" s="18">
        <v>2.5499999999999998</v>
      </c>
      <c r="IL46" s="18">
        <v>1.28</v>
      </c>
      <c r="IM46" s="7" t="s">
        <v>86</v>
      </c>
      <c r="IN46">
        <v>39.5</v>
      </c>
      <c r="IO46">
        <v>38.700000000000003</v>
      </c>
      <c r="IP46">
        <v>200</v>
      </c>
      <c r="IQ46">
        <v>30</v>
      </c>
      <c r="IR46">
        <v>0.2</v>
      </c>
      <c r="IS46">
        <v>290</v>
      </c>
    </row>
    <row r="47" spans="1:373 1248:1526" x14ac:dyDescent="0.25">
      <c r="A47" s="18">
        <v>98008326</v>
      </c>
      <c r="B47" s="57"/>
      <c r="C47" s="19"/>
      <c r="D47" s="19"/>
      <c r="E47" s="19"/>
      <c r="F47" s="19"/>
      <c r="G47" s="19"/>
      <c r="H47" s="19"/>
      <c r="I47" s="19"/>
      <c r="J47" s="19"/>
      <c r="K47" s="19"/>
      <c r="L47" s="20"/>
      <c r="M47" s="20"/>
      <c r="N47" s="20"/>
      <c r="O47" s="20"/>
      <c r="P47" s="20"/>
      <c r="Q47" s="20"/>
      <c r="R47" s="19"/>
      <c r="S47" s="19"/>
      <c r="T47" s="19"/>
      <c r="U47" s="19"/>
      <c r="V47" s="19"/>
      <c r="W47" s="20"/>
      <c r="X47" s="20"/>
      <c r="Y47" s="20"/>
      <c r="Z47" s="19"/>
      <c r="AA47" s="19"/>
      <c r="AB47" s="19"/>
      <c r="AC47" s="19"/>
      <c r="AD47" s="19"/>
      <c r="AE47" s="19"/>
      <c r="AF47" s="19"/>
      <c r="AG47" s="19"/>
      <c r="AH47" s="20"/>
      <c r="AI47" s="20"/>
      <c r="AJ47" s="20"/>
      <c r="AK47">
        <v>6000</v>
      </c>
      <c r="AM47">
        <v>11400</v>
      </c>
      <c r="AN47" s="19"/>
      <c r="AO47" s="19"/>
      <c r="AP47" s="19"/>
      <c r="AQ47" s="19"/>
      <c r="AR47" s="19"/>
      <c r="AS47" s="19"/>
      <c r="AT47" s="19"/>
      <c r="AU47" s="19"/>
      <c r="AV47" s="19"/>
      <c r="AW47" s="19"/>
      <c r="AX47" s="19"/>
      <c r="AY47" s="19"/>
      <c r="AZ47" s="19"/>
      <c r="BA47" s="19"/>
      <c r="BB47" s="19"/>
      <c r="BC47" s="19"/>
      <c r="BD47" s="19"/>
      <c r="BE47" s="19"/>
      <c r="BF47" s="18">
        <v>28</v>
      </c>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19"/>
      <c r="CH47" s="19"/>
      <c r="CI47" s="19"/>
      <c r="CJ47" s="19"/>
      <c r="CK47" s="19"/>
      <c r="CL47" s="19"/>
      <c r="CM47" s="19"/>
      <c r="CN47">
        <v>27</v>
      </c>
      <c r="CP47" s="19"/>
      <c r="CQ47" s="19"/>
      <c r="CR47" s="19"/>
      <c r="CS47" s="19"/>
      <c r="CT47" s="19"/>
      <c r="CU47" s="19"/>
      <c r="CV47" s="19"/>
      <c r="CW47" s="19"/>
      <c r="CX47" s="19"/>
      <c r="CY47" s="19"/>
      <c r="CZ47" s="19"/>
      <c r="DA47" s="19"/>
      <c r="DB47" s="19"/>
      <c r="DC47" s="19"/>
      <c r="DD47" s="21"/>
      <c r="DE47">
        <v>249</v>
      </c>
      <c r="DF47" s="19"/>
      <c r="DG47" s="19"/>
      <c r="DH47" s="19"/>
      <c r="DI47" s="19"/>
      <c r="DJ47" s="19"/>
      <c r="DK47" s="19"/>
      <c r="DL47" s="19"/>
      <c r="DM47" s="19"/>
      <c r="DN47" s="19"/>
      <c r="DO47" s="19"/>
      <c r="DP47" s="19"/>
      <c r="DQ47" s="19"/>
      <c r="DR47" s="19"/>
      <c r="DS47" s="19"/>
      <c r="DT47">
        <v>10</v>
      </c>
      <c r="DU47" s="19"/>
      <c r="DV47" s="19"/>
      <c r="DW47" s="19"/>
      <c r="DX47" s="19"/>
      <c r="DY47" s="19"/>
      <c r="DZ47" s="19"/>
      <c r="EA47" s="19"/>
      <c r="EB47" s="19"/>
      <c r="EC47" s="20"/>
      <c r="ED47" s="20"/>
      <c r="EE47" s="20"/>
      <c r="EF47" s="20"/>
      <c r="EG47" s="20"/>
      <c r="EH47" s="20"/>
      <c r="EI47" s="20"/>
      <c r="EJ47" s="20"/>
      <c r="EK47" s="20"/>
      <c r="EL47" s="20"/>
      <c r="EM47" s="20"/>
      <c r="EN47" s="19"/>
      <c r="EO47" s="19"/>
      <c r="EP47" s="19"/>
      <c r="EQ47" s="19"/>
      <c r="ER47" s="19"/>
      <c r="ES47" s="19"/>
      <c r="ET47" s="19"/>
      <c r="EU47" s="19"/>
      <c r="EV47" s="20"/>
      <c r="EW47" s="20"/>
      <c r="EX47" s="20"/>
      <c r="EY47" s="19"/>
      <c r="EZ47" s="19"/>
      <c r="FA47" s="19"/>
      <c r="FB47" s="19"/>
      <c r="FC47" s="19"/>
      <c r="FD47" s="19"/>
      <c r="FE47" s="19"/>
      <c r="FF47" s="20"/>
      <c r="FG47" s="19"/>
      <c r="FH47" s="20"/>
      <c r="FI47" s="19"/>
      <c r="FJ47" s="19"/>
      <c r="FK47" s="19"/>
      <c r="FL47" s="19"/>
      <c r="FM47" s="19"/>
      <c r="FN47" s="19"/>
      <c r="FO47" s="19"/>
      <c r="FP47" s="19"/>
      <c r="FQ47" s="19"/>
      <c r="FR47" s="19"/>
      <c r="FS47" s="19"/>
      <c r="FT47" s="19"/>
      <c r="FU47" s="19"/>
      <c r="FV47" s="20"/>
      <c r="FW47" s="19"/>
      <c r="FX47" s="19"/>
      <c r="FY47" s="19"/>
      <c r="FZ47" s="19"/>
      <c r="GA47" s="19"/>
      <c r="GB47" s="19"/>
      <c r="GC47" s="19"/>
      <c r="GD47" s="19"/>
      <c r="GE47" s="19"/>
      <c r="GF47" s="19"/>
      <c r="GG47" s="19"/>
      <c r="GH47" s="19"/>
      <c r="GI47" s="19"/>
      <c r="GJ47" s="19"/>
      <c r="GK47" s="19"/>
      <c r="GL47" s="19"/>
      <c r="GM47" s="19"/>
      <c r="GN47" s="19"/>
      <c r="GO47">
        <v>25.4</v>
      </c>
      <c r="GP47" s="19"/>
      <c r="GQ47" s="19"/>
      <c r="GR47" s="19"/>
      <c r="GS47" s="19"/>
      <c r="GT47" s="19"/>
      <c r="GU47" s="21"/>
      <c r="GV47" s="19"/>
      <c r="GW47" s="19"/>
      <c r="GX47" s="19"/>
      <c r="GY47" s="19"/>
      <c r="GZ47" s="19"/>
      <c r="HA47" s="19"/>
      <c r="HB47" s="19"/>
      <c r="HC47" s="19"/>
      <c r="HD47" s="19"/>
      <c r="HE47" s="19"/>
      <c r="HG47" s="20"/>
      <c r="HH47" s="19"/>
      <c r="HI47" s="19"/>
      <c r="HJ47" s="19"/>
      <c r="HK47" s="19"/>
      <c r="HL47" s="19"/>
      <c r="HM47" s="19"/>
      <c r="HN47" s="19"/>
      <c r="HO47" s="19"/>
      <c r="HP47" s="19"/>
      <c r="HQ47" s="19"/>
      <c r="HR47" s="19"/>
      <c r="HS47" s="19"/>
      <c r="IH47" s="18"/>
      <c r="II47" s="18"/>
      <c r="IJ47" s="18"/>
      <c r="IK47" s="18"/>
      <c r="IL47" s="18"/>
    </row>
    <row r="48" spans="1:373 1248:1526" x14ac:dyDescent="0.25">
      <c r="A48">
        <v>99000717</v>
      </c>
      <c r="B48" s="57"/>
      <c r="C48" s="19"/>
      <c r="D48" s="19"/>
      <c r="E48" s="19"/>
      <c r="F48" s="19"/>
      <c r="G48" s="19"/>
      <c r="H48" s="19"/>
      <c r="I48" s="19"/>
      <c r="J48" s="19"/>
      <c r="K48" s="19"/>
      <c r="L48" s="20"/>
      <c r="M48" s="20"/>
      <c r="N48" s="20"/>
      <c r="O48" s="20"/>
      <c r="P48" s="20"/>
      <c r="Q48" s="20"/>
      <c r="R48" s="19"/>
      <c r="S48" s="19"/>
      <c r="T48" s="19"/>
      <c r="U48" s="19"/>
      <c r="V48" s="19"/>
      <c r="W48" s="20"/>
      <c r="X48" s="20"/>
      <c r="Y48" s="20"/>
      <c r="Z48" s="19"/>
      <c r="AA48" s="19"/>
      <c r="AB48" s="19"/>
      <c r="AC48" s="19"/>
      <c r="AD48" s="19"/>
      <c r="AE48" s="19"/>
      <c r="AF48" s="19"/>
      <c r="AG48" s="19"/>
      <c r="AH48" s="20"/>
      <c r="AI48" s="20"/>
      <c r="AJ48" s="20"/>
      <c r="AN48" s="19"/>
      <c r="AO48" s="19"/>
      <c r="AP48" s="19"/>
      <c r="AQ48" s="19"/>
      <c r="AR48" s="19"/>
      <c r="AS48" s="19"/>
      <c r="AT48" s="19"/>
      <c r="AU48" s="19"/>
      <c r="AV48" s="19"/>
      <c r="AW48" s="19"/>
      <c r="AX48" s="19"/>
      <c r="AY48">
        <v>7700</v>
      </c>
      <c r="AZ48" s="19"/>
      <c r="BA48" s="19"/>
      <c r="BB48">
        <v>4300</v>
      </c>
      <c r="BC48" s="19"/>
      <c r="BD48" s="19"/>
      <c r="BE48" s="19"/>
      <c r="BG48" s="19"/>
      <c r="BH48" s="19"/>
      <c r="BI48" s="19"/>
      <c r="BJ48" s="19"/>
      <c r="BK48" s="19"/>
      <c r="BL48" s="19"/>
      <c r="BM48" s="19"/>
      <c r="BN48" s="19"/>
      <c r="BO48" s="19"/>
      <c r="BP48" s="19"/>
      <c r="BQ48" s="19"/>
      <c r="BR48">
        <v>31</v>
      </c>
      <c r="BS48" s="19"/>
      <c r="BT48" s="19"/>
      <c r="BU48" s="19"/>
      <c r="BV48" s="19"/>
      <c r="BW48" s="19"/>
      <c r="BX48" s="19"/>
      <c r="BY48" s="19"/>
      <c r="BZ48" s="19"/>
      <c r="CA48" s="19"/>
      <c r="CB48" s="19"/>
      <c r="CC48" s="19"/>
      <c r="CD48" s="19"/>
      <c r="CE48" s="19"/>
      <c r="CF48" s="19"/>
      <c r="CG48" s="19"/>
      <c r="CH48" s="19"/>
      <c r="CI48">
        <v>30</v>
      </c>
      <c r="CJ48" s="19"/>
      <c r="CK48" s="19"/>
      <c r="CL48" s="19"/>
      <c r="CM48" s="19"/>
      <c r="CP48" s="19"/>
      <c r="CQ48" s="19"/>
      <c r="CR48" s="19"/>
      <c r="CS48" s="19"/>
      <c r="CT48" s="19"/>
      <c r="CU48" s="19"/>
      <c r="CV48" s="19"/>
      <c r="CW48" s="19"/>
      <c r="CX48" s="19"/>
      <c r="CY48">
        <v>75</v>
      </c>
      <c r="CZ48" s="19"/>
      <c r="DA48" s="19"/>
      <c r="DB48" s="19"/>
      <c r="DC48" s="19"/>
      <c r="DD48" s="21"/>
      <c r="DF48" s="19"/>
      <c r="DG48" s="19"/>
      <c r="DH48" s="19"/>
      <c r="DI48" s="19"/>
      <c r="DJ48">
        <v>487</v>
      </c>
      <c r="DK48" s="19"/>
      <c r="DL48" s="19"/>
      <c r="DM48" s="19"/>
      <c r="DN48" s="19"/>
      <c r="DO48" s="19"/>
      <c r="DP48" s="19"/>
      <c r="DQ48" s="19"/>
      <c r="DR48" s="19"/>
      <c r="DS48" s="19"/>
      <c r="DU48" s="19"/>
      <c r="DV48" s="19"/>
      <c r="DW48" s="19"/>
      <c r="DX48" s="19"/>
      <c r="DY48" s="19"/>
      <c r="DZ48" s="19"/>
      <c r="EA48">
        <v>11</v>
      </c>
      <c r="EB48" s="19"/>
      <c r="EC48" s="20"/>
      <c r="ED48" s="20"/>
      <c r="EE48" s="20"/>
      <c r="EF48" s="20"/>
      <c r="EG48" s="20"/>
      <c r="EH48" s="20"/>
      <c r="EI48" s="20"/>
      <c r="EJ48" s="20"/>
      <c r="EK48" s="20"/>
      <c r="EL48" s="20"/>
      <c r="EM48" s="20"/>
      <c r="EN48" s="19"/>
      <c r="EO48" s="19"/>
      <c r="EP48" s="19"/>
      <c r="EQ48" s="19"/>
      <c r="ER48" s="19"/>
      <c r="ES48" s="19"/>
      <c r="ET48" s="19"/>
      <c r="EU48" s="19"/>
      <c r="EV48" s="20"/>
      <c r="EW48" s="20"/>
      <c r="EX48" s="20"/>
      <c r="EY48" s="19"/>
      <c r="EZ48" s="19"/>
      <c r="FA48" s="19"/>
      <c r="FB48" s="19"/>
      <c r="FC48" s="19"/>
      <c r="FD48" s="19"/>
      <c r="FE48" s="19"/>
      <c r="FF48" s="20"/>
      <c r="FG48" s="19"/>
      <c r="FH48" s="20"/>
      <c r="FI48" s="19"/>
      <c r="FJ48" s="19"/>
      <c r="FK48" s="19"/>
      <c r="FL48" s="19"/>
      <c r="FM48" s="19"/>
      <c r="FN48" s="19"/>
      <c r="FO48" s="19"/>
      <c r="FP48" s="19"/>
      <c r="FQ48" s="19"/>
      <c r="FR48" s="19"/>
      <c r="FS48" s="19"/>
      <c r="FT48" s="19"/>
      <c r="FU48" s="19"/>
      <c r="FV48" s="20"/>
      <c r="FW48" s="19"/>
      <c r="FX48" s="19"/>
      <c r="FY48" s="19"/>
      <c r="FZ48" s="19"/>
      <c r="GA48" s="19"/>
      <c r="GB48" s="19"/>
      <c r="GC48" s="19"/>
      <c r="GD48" s="19"/>
      <c r="GE48" s="19"/>
      <c r="GF48" s="19"/>
      <c r="GG48" s="19"/>
      <c r="GH48" s="19"/>
      <c r="GI48" s="19"/>
      <c r="GJ48" s="19"/>
      <c r="GK48" s="19"/>
      <c r="GL48" s="19"/>
      <c r="GM48" s="19"/>
      <c r="GN48" s="19"/>
      <c r="GP48" s="19"/>
      <c r="GQ48" s="19"/>
      <c r="GR48" s="19"/>
      <c r="GS48" s="19"/>
      <c r="GT48" s="19"/>
      <c r="GU48" s="21"/>
      <c r="GV48" s="19"/>
      <c r="GW48" s="19"/>
      <c r="GX48" s="19"/>
      <c r="GY48" s="19"/>
      <c r="GZ48" s="19"/>
      <c r="HA48" s="19"/>
      <c r="HB48" s="19"/>
      <c r="HC48" s="19"/>
      <c r="HD48" s="19"/>
      <c r="HE48" s="19"/>
      <c r="HF48" s="19"/>
      <c r="HG48" s="20"/>
      <c r="HH48" s="19"/>
      <c r="HI48" s="19"/>
      <c r="HJ48" s="19"/>
      <c r="HK48" s="19"/>
      <c r="HL48" s="19"/>
      <c r="HM48" s="19"/>
      <c r="HN48" s="19"/>
      <c r="HO48" s="19"/>
      <c r="HP48" s="19"/>
      <c r="HQ48" s="19"/>
      <c r="HR48" s="19"/>
      <c r="HS48" s="19"/>
      <c r="IH48" s="18"/>
      <c r="II48" s="18"/>
      <c r="IJ48" s="18"/>
      <c r="IK48" s="18"/>
      <c r="IL48" s="18"/>
    </row>
    <row r="49" spans="1:227" x14ac:dyDescent="0.25">
      <c r="B49" s="18"/>
    </row>
    <row r="50" spans="1:227" x14ac:dyDescent="0.25">
      <c r="A50" s="18"/>
      <c r="B50" s="18"/>
      <c r="C50" s="19"/>
      <c r="D50" s="19"/>
      <c r="E50" s="19"/>
      <c r="F50" s="19"/>
      <c r="G50" s="19"/>
      <c r="H50" s="19"/>
      <c r="I50" s="19"/>
      <c r="J50" s="19"/>
      <c r="K50" s="19"/>
      <c r="L50" s="20"/>
      <c r="M50" s="20"/>
      <c r="N50" s="20"/>
      <c r="O50" s="20"/>
      <c r="P50" s="20"/>
      <c r="Q50" s="20"/>
      <c r="R50" s="19"/>
      <c r="S50" s="19"/>
      <c r="T50" s="19"/>
      <c r="U50" s="19"/>
      <c r="V50" s="19"/>
      <c r="W50" s="20"/>
      <c r="X50" s="20"/>
      <c r="Y50" s="20"/>
      <c r="Z50" s="19"/>
      <c r="AA50" s="19"/>
      <c r="AB50" s="19"/>
      <c r="AC50" s="19"/>
      <c r="AD50" s="19"/>
      <c r="AE50" s="19"/>
      <c r="AF50" s="19"/>
      <c r="AG50" s="19"/>
      <c r="AH50" s="20"/>
      <c r="AI50" s="20"/>
      <c r="AJ50" s="20"/>
      <c r="AN50" s="19"/>
      <c r="AO50" s="19"/>
      <c r="AP50" s="19"/>
      <c r="AQ50" s="19"/>
      <c r="AR50" s="19"/>
      <c r="AS50" s="19"/>
      <c r="AT50" s="19"/>
      <c r="AU50" s="19"/>
      <c r="AV50" s="19"/>
      <c r="AW50" s="19"/>
      <c r="AX50" s="19"/>
      <c r="AY50" s="19"/>
      <c r="AZ50" s="19"/>
      <c r="BA50" s="19"/>
      <c r="BB50" s="19"/>
      <c r="BC50" s="19"/>
      <c r="BD50" s="19"/>
      <c r="BE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19"/>
      <c r="CH50" s="19"/>
      <c r="CI50" s="19"/>
      <c r="CJ50" s="19"/>
      <c r="CK50" s="19"/>
      <c r="CL50" s="19"/>
      <c r="CM50" s="19"/>
      <c r="CP50" s="19"/>
      <c r="CQ50" s="19"/>
      <c r="CR50" s="19"/>
      <c r="CS50" s="19"/>
      <c r="CT50" s="19"/>
      <c r="CU50" s="19"/>
      <c r="CV50" s="19"/>
      <c r="CW50" s="19"/>
      <c r="CX50" s="19"/>
      <c r="CY50" s="19"/>
      <c r="CZ50" s="19"/>
      <c r="DA50" s="19"/>
      <c r="DB50" s="19"/>
      <c r="DC50" s="19"/>
      <c r="DD50" s="21"/>
      <c r="DF50" s="19"/>
      <c r="DG50" s="19"/>
      <c r="DH50" s="19"/>
      <c r="DI50" s="19"/>
      <c r="DJ50" s="19"/>
      <c r="DK50" s="19"/>
      <c r="DL50" s="19"/>
      <c r="DM50" s="19"/>
      <c r="DN50" s="19"/>
      <c r="DO50" s="19"/>
      <c r="DP50" s="19"/>
      <c r="DQ50" s="19"/>
      <c r="DR50" s="19"/>
      <c r="DS50" s="19"/>
      <c r="DU50" s="19"/>
      <c r="DV50" s="19"/>
      <c r="DW50" s="19"/>
      <c r="DX50" s="19"/>
      <c r="DY50" s="19"/>
      <c r="DZ50" s="19"/>
      <c r="EA50" s="19"/>
      <c r="EB50" s="19"/>
      <c r="EC50" s="20"/>
      <c r="ED50" s="20"/>
      <c r="EE50" s="20"/>
      <c r="EF50" s="20"/>
      <c r="EG50" s="20"/>
      <c r="EH50" s="20"/>
      <c r="EI50" s="20"/>
      <c r="EJ50" s="20"/>
      <c r="EK50" s="20"/>
      <c r="EL50" s="20"/>
      <c r="EM50" s="20"/>
      <c r="EN50" s="19"/>
      <c r="EO50" s="19"/>
      <c r="EP50" s="19"/>
      <c r="EQ50" s="19"/>
      <c r="ER50" s="19"/>
      <c r="ES50" s="19"/>
      <c r="ET50" s="19"/>
      <c r="EU50" s="19"/>
      <c r="EV50" s="20"/>
      <c r="EW50" s="20"/>
      <c r="EX50" s="20"/>
      <c r="EY50" s="19"/>
      <c r="EZ50" s="19"/>
      <c r="FA50" s="19"/>
      <c r="FB50" s="19"/>
      <c r="FC50" s="19"/>
      <c r="FD50" s="19"/>
      <c r="FE50" s="19"/>
      <c r="FF50" s="20"/>
      <c r="FG50" s="19"/>
      <c r="FH50" s="20"/>
      <c r="FI50" s="19"/>
      <c r="FJ50" s="19"/>
      <c r="FK50" s="19"/>
      <c r="FL50" s="19"/>
      <c r="FM50" s="19"/>
      <c r="FN50" s="19"/>
      <c r="FO50" s="19"/>
      <c r="FP50" s="19"/>
      <c r="FQ50" s="19"/>
      <c r="FR50" s="19"/>
      <c r="FS50" s="19"/>
      <c r="FT50" s="19"/>
      <c r="FU50" s="19"/>
      <c r="FV50" s="20"/>
      <c r="FW50" s="19"/>
      <c r="FX50" s="19"/>
      <c r="FY50" s="19"/>
      <c r="FZ50" s="19"/>
      <c r="GA50" s="19"/>
      <c r="GB50" s="19"/>
      <c r="GC50" s="19"/>
      <c r="GD50" s="19"/>
      <c r="GE50" s="19"/>
      <c r="GF50" s="19"/>
      <c r="GG50" s="19"/>
      <c r="GH50" s="19"/>
      <c r="GI50" s="19"/>
      <c r="GJ50" s="19"/>
      <c r="GK50" s="19"/>
      <c r="GL50" s="19"/>
      <c r="GM50" s="19"/>
      <c r="GN50" s="19"/>
      <c r="GP50" s="19"/>
      <c r="GQ50" s="19"/>
      <c r="GR50" s="19"/>
      <c r="GS50" s="19"/>
      <c r="GT50" s="19"/>
      <c r="GU50" s="21"/>
      <c r="GV50" s="19"/>
      <c r="GW50" s="19"/>
      <c r="GX50" s="19"/>
      <c r="GY50" s="19"/>
      <c r="GZ50" s="19"/>
      <c r="HA50" s="19"/>
      <c r="HB50" s="19"/>
      <c r="HC50" s="19"/>
      <c r="HD50" s="19"/>
      <c r="HE50" s="19"/>
      <c r="HF50" s="19"/>
      <c r="HG50" s="20"/>
      <c r="HH50" s="19"/>
      <c r="HI50" s="19"/>
      <c r="HJ50" s="19"/>
      <c r="HK50" s="19"/>
      <c r="HL50" s="19"/>
      <c r="HM50" s="19"/>
      <c r="HN50" s="19"/>
      <c r="HO50" s="19"/>
      <c r="HP50" s="19"/>
      <c r="HQ50" s="19"/>
      <c r="HR50" s="19"/>
      <c r="HS50" s="19"/>
    </row>
    <row r="51" spans="1:227" x14ac:dyDescent="0.25">
      <c r="A51" s="18"/>
      <c r="B51" s="18"/>
      <c r="C51" s="19"/>
      <c r="D51" s="19"/>
      <c r="E51" s="19"/>
      <c r="F51" s="19"/>
      <c r="G51" s="19"/>
      <c r="H51" s="19"/>
      <c r="I51" s="19"/>
      <c r="J51" s="19"/>
      <c r="K51" s="19"/>
      <c r="L51" s="20"/>
      <c r="M51" s="20"/>
      <c r="N51" s="20"/>
      <c r="O51" s="20"/>
      <c r="P51" s="20"/>
      <c r="Q51" s="20"/>
      <c r="R51" s="19"/>
      <c r="S51" s="19"/>
      <c r="T51" s="19"/>
      <c r="U51" s="19"/>
      <c r="V51" s="19"/>
      <c r="W51" s="20"/>
      <c r="X51" s="20"/>
      <c r="Y51" s="20"/>
      <c r="Z51" s="19"/>
      <c r="AA51" s="19"/>
      <c r="AB51" s="19"/>
      <c r="AC51" s="19"/>
      <c r="AD51" s="19"/>
      <c r="AE51" s="19"/>
      <c r="AF51" s="19"/>
      <c r="AG51" s="19"/>
      <c r="AH51" s="20"/>
      <c r="AI51" s="20"/>
      <c r="AJ51" s="20"/>
      <c r="AN51" s="19"/>
      <c r="AO51" s="19"/>
      <c r="AP51" s="19"/>
      <c r="AQ51" s="19"/>
      <c r="AR51" s="19"/>
      <c r="AS51" s="19"/>
      <c r="AT51" s="19"/>
      <c r="AU51" s="19"/>
      <c r="AV51" s="19"/>
      <c r="AW51" s="19"/>
      <c r="AX51" s="19"/>
      <c r="AY51" s="19"/>
      <c r="AZ51" s="19"/>
      <c r="BA51" s="19"/>
      <c r="BB51" s="19"/>
      <c r="BC51" s="19"/>
      <c r="BD51" s="19"/>
      <c r="BE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19"/>
      <c r="CH51" s="19"/>
      <c r="CI51" s="19"/>
      <c r="CJ51" s="19"/>
      <c r="CK51" s="19"/>
      <c r="CL51" s="19"/>
      <c r="CM51" s="19"/>
      <c r="CP51" s="19"/>
      <c r="CQ51" s="19"/>
      <c r="CR51" s="19"/>
      <c r="CS51" s="19"/>
      <c r="CT51" s="19"/>
      <c r="CU51" s="19"/>
      <c r="CV51" s="19"/>
      <c r="CW51" s="19"/>
      <c r="CX51" s="19"/>
      <c r="CY51" s="19"/>
      <c r="CZ51" s="19"/>
      <c r="DA51" s="19"/>
      <c r="DB51" s="19"/>
      <c r="DC51" s="19"/>
      <c r="DD51" s="21"/>
      <c r="DF51" s="19"/>
      <c r="DG51" s="19"/>
      <c r="DH51" s="19"/>
      <c r="DI51" s="19"/>
      <c r="DJ51" s="19"/>
      <c r="DK51" s="19"/>
      <c r="DL51" s="19"/>
      <c r="DM51" s="19"/>
      <c r="DN51" s="19"/>
      <c r="DO51" s="19"/>
      <c r="DP51" s="19"/>
      <c r="DQ51" s="19"/>
      <c r="DR51" s="19"/>
      <c r="DS51" s="19"/>
      <c r="DU51" s="19"/>
      <c r="DV51" s="19"/>
      <c r="DW51" s="19"/>
      <c r="DX51" s="19"/>
      <c r="DY51" s="19"/>
      <c r="DZ51" s="19"/>
      <c r="EA51" s="19"/>
      <c r="EB51" s="19"/>
      <c r="EC51" s="20"/>
      <c r="ED51" s="20"/>
      <c r="EE51" s="20"/>
      <c r="EF51" s="20"/>
      <c r="EG51" s="20"/>
      <c r="EH51" s="20"/>
      <c r="EI51" s="20"/>
      <c r="EJ51" s="20"/>
      <c r="EK51" s="20"/>
      <c r="EL51" s="20"/>
      <c r="EM51" s="20"/>
      <c r="EN51" s="19"/>
      <c r="EO51" s="19"/>
      <c r="EP51" s="19"/>
      <c r="EQ51" s="19"/>
      <c r="ER51" s="19"/>
      <c r="ES51" s="19"/>
      <c r="ET51" s="19"/>
      <c r="EU51" s="19"/>
      <c r="EV51" s="20"/>
      <c r="EW51" s="20"/>
      <c r="EX51" s="20"/>
      <c r="EY51" s="19"/>
      <c r="EZ51" s="19"/>
      <c r="FA51" s="19"/>
      <c r="FB51" s="19"/>
      <c r="FC51" s="19"/>
      <c r="FD51" s="19"/>
      <c r="FE51" s="19"/>
      <c r="FF51" s="20"/>
      <c r="FG51" s="19"/>
      <c r="FH51" s="20"/>
      <c r="FI51" s="19"/>
      <c r="FJ51" s="19"/>
      <c r="FK51" s="19"/>
      <c r="FL51" s="19"/>
      <c r="FM51" s="19"/>
      <c r="FN51" s="19"/>
      <c r="FO51" s="19"/>
      <c r="FP51" s="19"/>
      <c r="FQ51" s="19"/>
      <c r="FR51" s="19"/>
      <c r="FS51" s="19"/>
      <c r="FT51" s="19"/>
      <c r="FU51" s="19"/>
      <c r="FV51" s="20"/>
      <c r="FW51" s="19"/>
      <c r="FX51" s="19"/>
      <c r="FY51" s="19"/>
      <c r="FZ51" s="19"/>
      <c r="GA51" s="19"/>
      <c r="GB51" s="19"/>
      <c r="GC51" s="19"/>
      <c r="GD51" s="19"/>
      <c r="GE51" s="19"/>
      <c r="GF51" s="19"/>
      <c r="GG51" s="19"/>
      <c r="GH51" s="19"/>
      <c r="GI51" s="19"/>
      <c r="GJ51" s="19"/>
      <c r="GK51" s="19"/>
      <c r="GL51" s="19"/>
      <c r="GM51" s="19"/>
      <c r="GN51" s="19"/>
      <c r="GP51" s="19"/>
      <c r="GQ51" s="19"/>
      <c r="GR51" s="19"/>
      <c r="GS51" s="19"/>
      <c r="GT51" s="19"/>
      <c r="GU51" s="21"/>
      <c r="GV51" s="19"/>
      <c r="GW51" s="19"/>
      <c r="GX51" s="19"/>
      <c r="GY51" s="19"/>
      <c r="GZ51" s="19"/>
      <c r="HA51" s="19"/>
      <c r="HB51" s="19"/>
      <c r="HC51" s="19"/>
      <c r="HD51" s="19"/>
      <c r="HE51" s="19"/>
      <c r="HF51" s="19"/>
      <c r="HG51" s="20"/>
      <c r="HH51" s="19"/>
      <c r="HI51" s="19"/>
      <c r="HJ51" s="19"/>
      <c r="HK51" s="19"/>
      <c r="HL51" s="19"/>
      <c r="HM51" s="19"/>
      <c r="HN51" s="19"/>
      <c r="HO51" s="19"/>
      <c r="HP51" s="19"/>
      <c r="HQ51" s="19"/>
      <c r="HR51" s="19"/>
      <c r="HS51" s="19"/>
    </row>
    <row r="52" spans="1:227" x14ac:dyDescent="0.25">
      <c r="A52" s="19"/>
      <c r="B52" s="19"/>
      <c r="C52" s="19"/>
      <c r="D52" s="19"/>
      <c r="E52" s="19"/>
      <c r="F52" s="19"/>
      <c r="G52" s="19"/>
      <c r="H52" s="19"/>
      <c r="I52" s="19"/>
      <c r="J52" s="19"/>
      <c r="K52" s="19"/>
      <c r="L52" s="20"/>
      <c r="M52" s="20"/>
      <c r="N52" s="20"/>
      <c r="O52" s="20"/>
      <c r="P52" s="20"/>
      <c r="Q52" s="20"/>
      <c r="R52" s="19"/>
      <c r="S52" s="19"/>
      <c r="T52" s="19"/>
      <c r="U52" s="19"/>
      <c r="V52" s="19"/>
      <c r="W52" s="20"/>
      <c r="X52" s="20"/>
      <c r="Y52" s="20"/>
      <c r="Z52" s="19"/>
      <c r="AA52" s="19"/>
      <c r="AB52" s="19"/>
      <c r="AC52" s="19"/>
      <c r="AD52" s="19"/>
      <c r="AE52" s="19"/>
      <c r="AF52" s="19"/>
      <c r="AG52" s="19"/>
      <c r="AH52" s="20"/>
      <c r="AI52" s="20"/>
      <c r="AJ52" s="20"/>
      <c r="AK52" s="20"/>
      <c r="AL52" s="20"/>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19"/>
      <c r="CH52" s="19"/>
      <c r="CI52" s="19"/>
      <c r="CJ52" s="19"/>
      <c r="CK52" s="19"/>
      <c r="CL52" s="19"/>
      <c r="CM52" s="19"/>
      <c r="CN52" s="19"/>
      <c r="CO52" s="19"/>
      <c r="CP52" s="19"/>
      <c r="CQ52" s="19"/>
      <c r="CR52" s="19"/>
      <c r="CS52" s="19"/>
      <c r="CT52" s="19"/>
      <c r="CU52" s="19"/>
      <c r="CV52" s="19"/>
      <c r="CW52" s="19"/>
      <c r="CX52" s="19"/>
      <c r="CY52" s="19"/>
      <c r="CZ52" s="19"/>
      <c r="DA52" s="19"/>
      <c r="DB52" s="19"/>
      <c r="DC52" s="19"/>
      <c r="DD52" s="21"/>
      <c r="DE52" s="21"/>
      <c r="DF52" s="19"/>
      <c r="DG52" s="19"/>
      <c r="DH52" s="19"/>
      <c r="DI52" s="19"/>
      <c r="DJ52" s="19"/>
      <c r="DK52" s="19"/>
      <c r="DL52" s="19"/>
      <c r="DM52" s="19"/>
      <c r="DN52" s="19"/>
      <c r="DO52" s="19"/>
      <c r="DP52" s="19"/>
      <c r="DQ52" s="19"/>
      <c r="DR52" s="19"/>
      <c r="DS52" s="19"/>
      <c r="DT52" s="19"/>
      <c r="DU52" s="19"/>
      <c r="DV52" s="19"/>
      <c r="DW52" s="19"/>
      <c r="DX52" s="19"/>
      <c r="DY52" s="19"/>
      <c r="DZ52" s="19"/>
      <c r="EA52" s="19"/>
      <c r="EB52" s="19"/>
      <c r="EC52" s="20"/>
      <c r="ED52" s="20"/>
      <c r="EE52" s="20"/>
      <c r="EF52" s="20"/>
      <c r="EG52" s="20"/>
      <c r="EH52" s="20"/>
      <c r="EI52" s="20"/>
      <c r="EJ52" s="20"/>
      <c r="EK52" s="20"/>
      <c r="EL52" s="20"/>
      <c r="EM52" s="20"/>
      <c r="EN52" s="19"/>
      <c r="EO52" s="19"/>
      <c r="EP52" s="19"/>
      <c r="EQ52" s="19"/>
      <c r="ER52" s="19"/>
      <c r="ES52" s="19"/>
      <c r="ET52" s="19"/>
      <c r="EU52" s="19"/>
      <c r="EV52" s="20"/>
      <c r="EW52" s="20"/>
      <c r="EX52" s="20"/>
      <c r="EY52" s="19"/>
      <c r="EZ52" s="19"/>
      <c r="FA52" s="19"/>
      <c r="FB52" s="19"/>
      <c r="FC52" s="19"/>
      <c r="FD52" s="19"/>
      <c r="FE52" s="19"/>
      <c r="FF52" s="20"/>
      <c r="FG52" s="19"/>
      <c r="FH52" s="20"/>
      <c r="FI52" s="19"/>
      <c r="FJ52" s="19"/>
      <c r="FK52" s="19"/>
      <c r="FL52" s="19"/>
      <c r="FM52" s="19"/>
      <c r="FN52" s="19"/>
      <c r="FO52" s="19"/>
      <c r="FP52" s="19"/>
      <c r="FQ52" s="19"/>
      <c r="FR52" s="19"/>
      <c r="FS52" s="19"/>
      <c r="FT52" s="19"/>
      <c r="FU52" s="19"/>
      <c r="FV52" s="20"/>
      <c r="FW52" s="19"/>
      <c r="FX52" s="19"/>
      <c r="FY52" s="19"/>
      <c r="FZ52" s="19"/>
      <c r="GA52" s="19"/>
      <c r="GB52" s="19"/>
      <c r="GC52" s="19"/>
      <c r="GD52" s="19"/>
      <c r="GE52" s="19"/>
      <c r="GF52" s="19"/>
      <c r="GG52" s="19"/>
      <c r="GH52" s="19"/>
      <c r="GI52" s="19"/>
      <c r="GJ52" s="19"/>
      <c r="GK52" s="19"/>
      <c r="GL52" s="19"/>
      <c r="GM52" s="19"/>
      <c r="GN52" s="19"/>
      <c r="GO52" s="19"/>
      <c r="GP52" s="19"/>
      <c r="GQ52" s="19"/>
      <c r="GR52" s="19"/>
      <c r="GS52" s="19"/>
      <c r="GT52" s="19"/>
      <c r="GU52" s="21"/>
      <c r="GV52" s="19"/>
      <c r="GW52" s="19"/>
      <c r="GX52" s="19"/>
      <c r="GY52" s="19"/>
      <c r="GZ52" s="19"/>
      <c r="HA52" s="19"/>
      <c r="HB52" s="19"/>
      <c r="HC52" s="19"/>
      <c r="HD52" s="19"/>
      <c r="HE52" s="19"/>
      <c r="HF52" s="19"/>
      <c r="HG52" s="20"/>
      <c r="HH52" s="19"/>
      <c r="HI52" s="19"/>
      <c r="HJ52" s="19"/>
      <c r="HK52" s="19"/>
      <c r="HL52" s="19"/>
      <c r="HM52" s="19"/>
      <c r="HN52" s="19"/>
      <c r="HO52" s="19"/>
      <c r="HP52" s="19"/>
      <c r="HQ52" s="19"/>
      <c r="HR52" s="19"/>
      <c r="HS52" s="19"/>
    </row>
    <row r="53" spans="1:227" x14ac:dyDescent="0.25">
      <c r="C53" t="s">
        <v>1492</v>
      </c>
    </row>
    <row r="56" spans="1:227" x14ac:dyDescent="0.25">
      <c r="B56" t="s">
        <v>1617</v>
      </c>
      <c r="C56" t="s">
        <v>1726</v>
      </c>
    </row>
    <row r="61" spans="1:227" x14ac:dyDescent="0.25">
      <c r="A61" s="26"/>
    </row>
    <row r="62" spans="1:227" x14ac:dyDescent="0.25">
      <c r="B62" s="18"/>
    </row>
    <row r="63" spans="1:227" x14ac:dyDescent="0.25">
      <c r="B63" s="18"/>
    </row>
    <row r="64" spans="1:227" x14ac:dyDescent="0.25">
      <c r="B64" s="18"/>
    </row>
    <row r="65" spans="1:3" x14ac:dyDescent="0.25">
      <c r="B65" s="18"/>
    </row>
    <row r="66" spans="1:3" x14ac:dyDescent="0.25">
      <c r="B66" s="18"/>
    </row>
    <row r="67" spans="1:3" x14ac:dyDescent="0.25">
      <c r="B67" s="18"/>
    </row>
    <row r="68" spans="1:3" x14ac:dyDescent="0.25">
      <c r="B68" s="18"/>
    </row>
    <row r="69" spans="1:3" x14ac:dyDescent="0.25">
      <c r="B69" s="18"/>
    </row>
    <row r="70" spans="1:3" x14ac:dyDescent="0.25">
      <c r="B70" s="18"/>
    </row>
    <row r="71" spans="1:3" x14ac:dyDescent="0.25">
      <c r="B71" s="18"/>
    </row>
    <row r="72" spans="1:3" x14ac:dyDescent="0.25">
      <c r="B72" s="18"/>
    </row>
    <row r="74" spans="1:3" x14ac:dyDescent="0.25">
      <c r="C74" t="s">
        <v>1343</v>
      </c>
    </row>
    <row r="75" spans="1:3" x14ac:dyDescent="0.25">
      <c r="C75" t="s">
        <v>1568</v>
      </c>
    </row>
    <row r="76" spans="1:3" x14ac:dyDescent="0.25">
      <c r="A76" s="18"/>
      <c r="B76" s="18"/>
      <c r="C76" s="18" t="s">
        <v>1351</v>
      </c>
    </row>
    <row r="77" spans="1:3" x14ac:dyDescent="0.25">
      <c r="A77" s="18"/>
      <c r="B77" s="18"/>
      <c r="C77" s="18"/>
    </row>
    <row r="82" spans="2:9" x14ac:dyDescent="0.25">
      <c r="C82" t="s">
        <v>1177</v>
      </c>
    </row>
    <row r="83" spans="2:9" x14ac:dyDescent="0.25">
      <c r="C83" t="s">
        <v>1176</v>
      </c>
    </row>
    <row r="84" spans="2:9" x14ac:dyDescent="0.25">
      <c r="C84" t="s">
        <v>1175</v>
      </c>
    </row>
    <row r="86" spans="2:9" x14ac:dyDescent="0.25">
      <c r="I86">
        <v>0</v>
      </c>
    </row>
    <row r="88" spans="2:9" x14ac:dyDescent="0.25">
      <c r="B88" t="s">
        <v>1643</v>
      </c>
      <c r="C88" s="35" t="s">
        <v>1344</v>
      </c>
    </row>
    <row r="89" spans="2:9" x14ac:dyDescent="0.25">
      <c r="C89" s="52" t="s">
        <v>1345</v>
      </c>
    </row>
    <row r="90" spans="2:9" x14ac:dyDescent="0.25">
      <c r="B90" t="s">
        <v>1644</v>
      </c>
      <c r="C90" s="74" t="s">
        <v>1654</v>
      </c>
    </row>
    <row r="91" spans="2:9" x14ac:dyDescent="0.25">
      <c r="C91" s="74" t="s">
        <v>1656</v>
      </c>
    </row>
    <row r="92" spans="2:9" x14ac:dyDescent="0.25">
      <c r="C92" t="s">
        <v>1655</v>
      </c>
      <c r="E92" s="36" t="s">
        <v>1645</v>
      </c>
    </row>
    <row r="93" spans="2:9" x14ac:dyDescent="0.25">
      <c r="E93" s="73" t="s">
        <v>1646</v>
      </c>
    </row>
    <row r="94" spans="2:9" x14ac:dyDescent="0.25">
      <c r="E94" s="72" t="s">
        <v>1647</v>
      </c>
    </row>
    <row r="95" spans="2:9" x14ac:dyDescent="0.25">
      <c r="C95" t="s">
        <v>1648</v>
      </c>
      <c r="E95" s="18"/>
    </row>
    <row r="100" spans="1:3" x14ac:dyDescent="0.25">
      <c r="C100" s="34" t="s">
        <v>154</v>
      </c>
    </row>
    <row r="101" spans="1:3" x14ac:dyDescent="0.25">
      <c r="C101" s="35" t="s">
        <v>1193</v>
      </c>
    </row>
    <row r="102" spans="1:3" x14ac:dyDescent="0.25">
      <c r="C102" s="36" t="s">
        <v>1191</v>
      </c>
    </row>
    <row r="103" spans="1:3" x14ac:dyDescent="0.25">
      <c r="C103" s="37" t="s">
        <v>1192</v>
      </c>
    </row>
    <row r="104" spans="1:3" x14ac:dyDescent="0.25">
      <c r="C104" s="39" t="s">
        <v>1227</v>
      </c>
    </row>
    <row r="105" spans="1:3" x14ac:dyDescent="0.25">
      <c r="C105" s="43" t="s">
        <v>1228</v>
      </c>
    </row>
    <row r="106" spans="1:3" x14ac:dyDescent="0.25">
      <c r="C106" s="47" t="s">
        <v>1252</v>
      </c>
    </row>
    <row r="107" spans="1:3" x14ac:dyDescent="0.25">
      <c r="C107" s="68" t="s">
        <v>1507</v>
      </c>
    </row>
    <row r="111" spans="1:3" x14ac:dyDescent="0.25">
      <c r="A111" s="48" t="s">
        <v>1253</v>
      </c>
      <c r="B111" s="48"/>
    </row>
    <row r="112" spans="1:3" x14ac:dyDescent="0.25">
      <c r="A112" s="28" t="s">
        <v>1255</v>
      </c>
      <c r="B112" s="28"/>
    </row>
    <row r="113" spans="1:6" x14ac:dyDescent="0.25">
      <c r="A113" s="54">
        <v>6016435</v>
      </c>
      <c r="B113" t="s">
        <v>1257</v>
      </c>
    </row>
    <row r="114" spans="1:6" x14ac:dyDescent="0.25">
      <c r="A114">
        <v>8045149</v>
      </c>
      <c r="B114" t="s">
        <v>1322</v>
      </c>
    </row>
    <row r="115" spans="1:6" x14ac:dyDescent="0.25">
      <c r="A115">
        <v>10023001</v>
      </c>
      <c r="B115" t="s">
        <v>1258</v>
      </c>
    </row>
    <row r="116" spans="1:6" x14ac:dyDescent="0.25">
      <c r="A116" s="54">
        <v>10027526</v>
      </c>
      <c r="B116" t="s">
        <v>1259</v>
      </c>
      <c r="F116" s="54" t="s">
        <v>1419</v>
      </c>
    </row>
    <row r="117" spans="1:6" x14ac:dyDescent="0.25">
      <c r="A117">
        <v>14222171</v>
      </c>
      <c r="B117" t="s">
        <v>1260</v>
      </c>
    </row>
    <row r="119" spans="1:6" x14ac:dyDescent="0.25">
      <c r="A119" s="28" t="s">
        <v>1261</v>
      </c>
    </row>
    <row r="120" spans="1:6" x14ac:dyDescent="0.25">
      <c r="A120">
        <v>8057159</v>
      </c>
      <c r="B120" t="s">
        <v>1262</v>
      </c>
    </row>
    <row r="121" spans="1:6" x14ac:dyDescent="0.25">
      <c r="A121">
        <v>9140312</v>
      </c>
      <c r="B121" t="s">
        <v>1263</v>
      </c>
    </row>
    <row r="122" spans="1:6" x14ac:dyDescent="0.25">
      <c r="A122">
        <v>12008230</v>
      </c>
      <c r="B122" t="s">
        <v>1264</v>
      </c>
    </row>
    <row r="123" spans="1:6" x14ac:dyDescent="0.25">
      <c r="A123">
        <v>12088444</v>
      </c>
      <c r="B123" t="s">
        <v>1265</v>
      </c>
    </row>
    <row r="124" spans="1:6" x14ac:dyDescent="0.25">
      <c r="A124">
        <v>12090163</v>
      </c>
      <c r="B124" t="s">
        <v>1266</v>
      </c>
    </row>
    <row r="125" spans="1:6" x14ac:dyDescent="0.25">
      <c r="A125">
        <v>12100613</v>
      </c>
      <c r="B125" t="s">
        <v>1267</v>
      </c>
    </row>
    <row r="126" spans="1:6" x14ac:dyDescent="0.25">
      <c r="A126">
        <v>12111434</v>
      </c>
      <c r="B126" t="s">
        <v>1268</v>
      </c>
    </row>
    <row r="127" spans="1:6" x14ac:dyDescent="0.25">
      <c r="A127">
        <v>13118872</v>
      </c>
      <c r="B127" t="s">
        <v>1269</v>
      </c>
    </row>
    <row r="129" spans="1:29" x14ac:dyDescent="0.25">
      <c r="A129" s="28" t="s">
        <v>1270</v>
      </c>
    </row>
    <row r="130" spans="1:29" x14ac:dyDescent="0.25">
      <c r="A130" s="54">
        <v>9074418</v>
      </c>
      <c r="B130" s="57" t="s">
        <v>1271</v>
      </c>
    </row>
    <row r="132" spans="1:29" x14ac:dyDescent="0.25">
      <c r="A132" s="28" t="s">
        <v>1273</v>
      </c>
    </row>
    <row r="133" spans="1:29" x14ac:dyDescent="0.25">
      <c r="A133">
        <v>8146347</v>
      </c>
      <c r="B133" t="s">
        <v>1294</v>
      </c>
    </row>
    <row r="134" spans="1:29" x14ac:dyDescent="0.25">
      <c r="A134">
        <v>11004391</v>
      </c>
      <c r="B134" t="s">
        <v>1314</v>
      </c>
    </row>
    <row r="135" spans="1:29" x14ac:dyDescent="0.25">
      <c r="A135" s="18"/>
    </row>
    <row r="136" spans="1:29" x14ac:dyDescent="0.25">
      <c r="A136" s="49" t="s">
        <v>1346</v>
      </c>
    </row>
    <row r="137" spans="1:29" x14ac:dyDescent="0.25">
      <c r="A137" s="18">
        <v>1006143</v>
      </c>
      <c r="B137" s="55" t="s">
        <v>1353</v>
      </c>
    </row>
    <row r="138" spans="1:29" x14ac:dyDescent="0.25">
      <c r="A138" s="18">
        <v>5014014</v>
      </c>
      <c r="B138" t="s">
        <v>1377</v>
      </c>
    </row>
    <row r="139" spans="1:29" x14ac:dyDescent="0.25">
      <c r="A139" s="18">
        <v>6006917</v>
      </c>
      <c r="B139" s="55" t="s">
        <v>1378</v>
      </c>
      <c r="G139" t="s">
        <v>1375</v>
      </c>
    </row>
    <row r="140" spans="1:29" x14ac:dyDescent="0.25">
      <c r="A140" s="18">
        <v>6034449</v>
      </c>
      <c r="B140" t="s">
        <v>1379</v>
      </c>
    </row>
    <row r="141" spans="1:29" x14ac:dyDescent="0.25">
      <c r="A141" s="18"/>
    </row>
    <row r="142" spans="1:29" x14ac:dyDescent="0.25">
      <c r="A142" s="49" t="s">
        <v>1393</v>
      </c>
    </row>
    <row r="143" spans="1:29" x14ac:dyDescent="0.25">
      <c r="A143" s="18">
        <v>1263</v>
      </c>
      <c r="B143" s="56" t="s">
        <v>1394</v>
      </c>
      <c r="C143" s="26"/>
      <c r="D143">
        <v>124</v>
      </c>
      <c r="E143">
        <v>41</v>
      </c>
      <c r="R143" t="s">
        <v>972</v>
      </c>
      <c r="T143">
        <v>20</v>
      </c>
      <c r="U143">
        <v>75</v>
      </c>
      <c r="V143">
        <v>74</v>
      </c>
      <c r="Z143" t="s">
        <v>973</v>
      </c>
      <c r="AA143">
        <v>61</v>
      </c>
      <c r="AB143" t="s">
        <v>974</v>
      </c>
      <c r="AC143" t="s">
        <v>975</v>
      </c>
    </row>
    <row r="144" spans="1:29" x14ac:dyDescent="0.25">
      <c r="A144" s="18">
        <v>98004910</v>
      </c>
      <c r="B144" t="s">
        <v>1404</v>
      </c>
    </row>
    <row r="145" spans="1:6" x14ac:dyDescent="0.25">
      <c r="A145" s="18">
        <v>98005277</v>
      </c>
      <c r="B145" s="57" t="s">
        <v>1405</v>
      </c>
    </row>
    <row r="146" spans="1:6" x14ac:dyDescent="0.25">
      <c r="A146" s="18"/>
    </row>
    <row r="147" spans="1:6" x14ac:dyDescent="0.25">
      <c r="A147" s="49" t="s">
        <v>1406</v>
      </c>
      <c r="B147" s="28" t="s">
        <v>1406</v>
      </c>
    </row>
    <row r="148" spans="1:6" x14ac:dyDescent="0.25">
      <c r="A148">
        <v>12012030</v>
      </c>
      <c r="B148" t="s">
        <v>1412</v>
      </c>
    </row>
    <row r="150" spans="1:6" x14ac:dyDescent="0.25">
      <c r="A150" s="28" t="s">
        <v>1414</v>
      </c>
    </row>
    <row r="151" spans="1:6" x14ac:dyDescent="0.25">
      <c r="A151" s="54">
        <v>7103068</v>
      </c>
      <c r="B151" s="57" t="s">
        <v>1415</v>
      </c>
      <c r="F151" s="54" t="s">
        <v>1420</v>
      </c>
    </row>
    <row r="152" spans="1:6" x14ac:dyDescent="0.25">
      <c r="A152">
        <v>11240728</v>
      </c>
      <c r="B152" t="s">
        <v>1417</v>
      </c>
    </row>
    <row r="155" spans="1:6" x14ac:dyDescent="0.25">
      <c r="A155" s="50" t="s">
        <v>1254</v>
      </c>
      <c r="B155" s="28"/>
    </row>
    <row r="157" spans="1:6" x14ac:dyDescent="0.25">
      <c r="A157" s="28" t="s">
        <v>1273</v>
      </c>
    </row>
    <row r="158" spans="1:6" x14ac:dyDescent="0.25">
      <c r="A158" s="54">
        <v>5013780</v>
      </c>
      <c r="B158" s="57" t="s">
        <v>1274</v>
      </c>
      <c r="F158" s="54" t="s">
        <v>1419</v>
      </c>
    </row>
    <row r="159" spans="1:6" x14ac:dyDescent="0.25">
      <c r="A159" s="54">
        <v>5015869</v>
      </c>
      <c r="B159" t="s">
        <v>1275</v>
      </c>
    </row>
    <row r="160" spans="1:6" x14ac:dyDescent="0.25">
      <c r="A160" s="54">
        <v>5016969</v>
      </c>
      <c r="B160" s="18" t="s">
        <v>1276</v>
      </c>
    </row>
    <row r="161" spans="1:6" x14ac:dyDescent="0.25">
      <c r="A161" s="54">
        <v>6006554</v>
      </c>
      <c r="B161" t="s">
        <v>1277</v>
      </c>
      <c r="F161" s="54" t="s">
        <v>1419</v>
      </c>
    </row>
    <row r="162" spans="1:6" x14ac:dyDescent="0.25">
      <c r="A162" s="18">
        <v>6023231</v>
      </c>
      <c r="B162" s="55" t="s">
        <v>1278</v>
      </c>
    </row>
    <row r="163" spans="1:6" x14ac:dyDescent="0.25">
      <c r="A163">
        <v>6010712</v>
      </c>
      <c r="B163" t="s">
        <v>1279</v>
      </c>
    </row>
    <row r="164" spans="1:6" x14ac:dyDescent="0.25">
      <c r="A164">
        <v>6010715</v>
      </c>
      <c r="B164" t="s">
        <v>1279</v>
      </c>
    </row>
    <row r="165" spans="1:6" x14ac:dyDescent="0.25">
      <c r="A165">
        <v>6010719</v>
      </c>
      <c r="B165" t="s">
        <v>1279</v>
      </c>
    </row>
    <row r="166" spans="1:6" x14ac:dyDescent="0.25">
      <c r="A166">
        <v>6010722</v>
      </c>
      <c r="B166" t="s">
        <v>1279</v>
      </c>
    </row>
    <row r="167" spans="1:6" x14ac:dyDescent="0.25">
      <c r="A167" s="54">
        <v>6011198</v>
      </c>
      <c r="B167" t="s">
        <v>1279</v>
      </c>
    </row>
    <row r="168" spans="1:6" x14ac:dyDescent="0.25">
      <c r="A168">
        <v>6012681</v>
      </c>
      <c r="B168" t="s">
        <v>1280</v>
      </c>
    </row>
    <row r="169" spans="1:6" x14ac:dyDescent="0.25">
      <c r="A169">
        <v>6014511</v>
      </c>
      <c r="B169" t="s">
        <v>1281</v>
      </c>
    </row>
    <row r="170" spans="1:6" x14ac:dyDescent="0.25">
      <c r="A170">
        <v>6045127</v>
      </c>
      <c r="B170" t="s">
        <v>1282</v>
      </c>
    </row>
    <row r="171" spans="1:6" x14ac:dyDescent="0.25">
      <c r="A171">
        <v>7000458</v>
      </c>
      <c r="B171" t="s">
        <v>1283</v>
      </c>
    </row>
    <row r="172" spans="1:6" x14ac:dyDescent="0.25">
      <c r="A172">
        <v>7015502</v>
      </c>
      <c r="B172" t="s">
        <v>1284</v>
      </c>
    </row>
    <row r="173" spans="1:6" x14ac:dyDescent="0.25">
      <c r="A173">
        <v>7025847</v>
      </c>
      <c r="B173" t="s">
        <v>1281</v>
      </c>
    </row>
    <row r="174" spans="1:6" x14ac:dyDescent="0.25">
      <c r="A174">
        <v>7082707</v>
      </c>
      <c r="B174" t="s">
        <v>1284</v>
      </c>
    </row>
    <row r="175" spans="1:6" x14ac:dyDescent="0.25">
      <c r="A175" s="54">
        <v>7083159</v>
      </c>
      <c r="B175" t="s">
        <v>1285</v>
      </c>
    </row>
    <row r="176" spans="1:6" x14ac:dyDescent="0.25">
      <c r="A176" s="54">
        <v>7084659</v>
      </c>
      <c r="B176" t="s">
        <v>1286</v>
      </c>
    </row>
    <row r="177" spans="1:6" x14ac:dyDescent="0.25">
      <c r="A177">
        <v>7076814</v>
      </c>
      <c r="B177" t="s">
        <v>1281</v>
      </c>
    </row>
    <row r="178" spans="1:6" x14ac:dyDescent="0.25">
      <c r="A178">
        <v>7076815</v>
      </c>
      <c r="B178" t="s">
        <v>1287</v>
      </c>
    </row>
    <row r="179" spans="1:6" x14ac:dyDescent="0.25">
      <c r="A179">
        <v>7089231</v>
      </c>
      <c r="B179" t="s">
        <v>1281</v>
      </c>
    </row>
    <row r="180" spans="1:6" x14ac:dyDescent="0.25">
      <c r="A180">
        <v>7116004</v>
      </c>
      <c r="B180" t="s">
        <v>1281</v>
      </c>
    </row>
    <row r="181" spans="1:6" x14ac:dyDescent="0.25">
      <c r="A181">
        <v>8003819</v>
      </c>
      <c r="B181" t="s">
        <v>1288</v>
      </c>
    </row>
    <row r="182" spans="1:6" x14ac:dyDescent="0.25">
      <c r="A182" s="54">
        <v>8061313</v>
      </c>
      <c r="B182" t="s">
        <v>1285</v>
      </c>
    </row>
    <row r="183" spans="1:6" x14ac:dyDescent="0.25">
      <c r="A183">
        <v>8091779</v>
      </c>
      <c r="B183" t="s">
        <v>1289</v>
      </c>
    </row>
    <row r="184" spans="1:6" x14ac:dyDescent="0.25">
      <c r="A184" s="54">
        <v>8097989</v>
      </c>
      <c r="B184" t="s">
        <v>1290</v>
      </c>
    </row>
    <row r="185" spans="1:6" x14ac:dyDescent="0.25">
      <c r="A185">
        <v>8112522</v>
      </c>
      <c r="B185" t="s">
        <v>1291</v>
      </c>
    </row>
    <row r="186" spans="1:6" x14ac:dyDescent="0.25">
      <c r="A186">
        <v>8127397</v>
      </c>
      <c r="B186" t="s">
        <v>1292</v>
      </c>
    </row>
    <row r="187" spans="1:6" x14ac:dyDescent="0.25">
      <c r="A187">
        <v>8130089</v>
      </c>
      <c r="B187" t="s">
        <v>1279</v>
      </c>
    </row>
    <row r="188" spans="1:6" x14ac:dyDescent="0.25">
      <c r="A188">
        <v>8130998</v>
      </c>
      <c r="B188" t="s">
        <v>1293</v>
      </c>
    </row>
    <row r="189" spans="1:6" x14ac:dyDescent="0.25">
      <c r="A189">
        <v>8146902</v>
      </c>
      <c r="B189" t="s">
        <v>1295</v>
      </c>
    </row>
    <row r="190" spans="1:6" x14ac:dyDescent="0.25">
      <c r="A190">
        <v>9002836</v>
      </c>
      <c r="B190" t="s">
        <v>1296</v>
      </c>
    </row>
    <row r="191" spans="1:6" x14ac:dyDescent="0.25">
      <c r="A191" s="54">
        <v>9003331</v>
      </c>
      <c r="B191" t="s">
        <v>1297</v>
      </c>
      <c r="F191" s="54" t="s">
        <v>1420</v>
      </c>
    </row>
    <row r="192" spans="1:6" x14ac:dyDescent="0.25">
      <c r="A192">
        <v>9003370</v>
      </c>
      <c r="B192" t="s">
        <v>1298</v>
      </c>
    </row>
    <row r="193" spans="1:6" x14ac:dyDescent="0.25">
      <c r="A193">
        <v>9013015</v>
      </c>
      <c r="B193" t="s">
        <v>1299</v>
      </c>
    </row>
    <row r="194" spans="1:6" x14ac:dyDescent="0.25">
      <c r="A194">
        <v>9016278</v>
      </c>
      <c r="B194" t="s">
        <v>1277</v>
      </c>
    </row>
    <row r="195" spans="1:6" x14ac:dyDescent="0.25">
      <c r="A195">
        <v>9030684</v>
      </c>
      <c r="B195" s="18" t="s">
        <v>1300</v>
      </c>
    </row>
    <row r="196" spans="1:6" x14ac:dyDescent="0.25">
      <c r="A196">
        <v>9031387</v>
      </c>
      <c r="B196" s="18" t="s">
        <v>1300</v>
      </c>
    </row>
    <row r="197" spans="1:6" x14ac:dyDescent="0.25">
      <c r="A197">
        <v>9038676</v>
      </c>
      <c r="B197" t="s">
        <v>1301</v>
      </c>
    </row>
    <row r="198" spans="1:6" x14ac:dyDescent="0.25">
      <c r="A198">
        <v>9039416</v>
      </c>
      <c r="B198" t="s">
        <v>1296</v>
      </c>
    </row>
    <row r="199" spans="1:6" x14ac:dyDescent="0.25">
      <c r="A199" s="54">
        <v>9042861</v>
      </c>
      <c r="B199" t="s">
        <v>1302</v>
      </c>
      <c r="F199" s="54" t="s">
        <v>1420</v>
      </c>
    </row>
    <row r="200" spans="1:6" x14ac:dyDescent="0.25">
      <c r="A200">
        <v>9044899</v>
      </c>
      <c r="B200" t="s">
        <v>1284</v>
      </c>
    </row>
    <row r="201" spans="1:6" x14ac:dyDescent="0.25">
      <c r="A201">
        <v>9052398</v>
      </c>
      <c r="B201" t="s">
        <v>1282</v>
      </c>
    </row>
    <row r="202" spans="1:6" x14ac:dyDescent="0.25">
      <c r="A202">
        <v>9085204</v>
      </c>
      <c r="B202" t="s">
        <v>1303</v>
      </c>
    </row>
    <row r="203" spans="1:6" x14ac:dyDescent="0.25">
      <c r="A203" s="54">
        <v>9090323</v>
      </c>
      <c r="B203" t="s">
        <v>1304</v>
      </c>
      <c r="F203" s="54" t="s">
        <v>1421</v>
      </c>
    </row>
    <row r="204" spans="1:6" x14ac:dyDescent="0.25">
      <c r="A204">
        <v>9097281</v>
      </c>
      <c r="B204" t="s">
        <v>1281</v>
      </c>
    </row>
    <row r="205" spans="1:6" x14ac:dyDescent="0.25">
      <c r="A205">
        <v>9105492</v>
      </c>
      <c r="B205" t="s">
        <v>1291</v>
      </c>
    </row>
    <row r="206" spans="1:6" x14ac:dyDescent="0.25">
      <c r="A206">
        <v>9125095</v>
      </c>
      <c r="B206" t="s">
        <v>1305</v>
      </c>
    </row>
    <row r="207" spans="1:6" x14ac:dyDescent="0.25">
      <c r="A207">
        <v>9138268</v>
      </c>
      <c r="B207" t="s">
        <v>1306</v>
      </c>
    </row>
    <row r="208" spans="1:6" x14ac:dyDescent="0.25">
      <c r="A208">
        <v>9138470</v>
      </c>
      <c r="B208" t="s">
        <v>1282</v>
      </c>
    </row>
    <row r="209" spans="1:7" x14ac:dyDescent="0.25">
      <c r="A209">
        <v>9150676</v>
      </c>
      <c r="B209" t="s">
        <v>1297</v>
      </c>
    </row>
    <row r="210" spans="1:7" x14ac:dyDescent="0.25">
      <c r="A210">
        <v>10010926</v>
      </c>
      <c r="B210" t="s">
        <v>1307</v>
      </c>
    </row>
    <row r="211" spans="1:7" x14ac:dyDescent="0.25">
      <c r="A211">
        <v>10016588</v>
      </c>
      <c r="B211" t="s">
        <v>1285</v>
      </c>
    </row>
    <row r="212" spans="1:7" x14ac:dyDescent="0.25">
      <c r="A212">
        <v>10027550</v>
      </c>
      <c r="B212" t="s">
        <v>1308</v>
      </c>
    </row>
    <row r="213" spans="1:7" x14ac:dyDescent="0.25">
      <c r="A213">
        <v>10030897</v>
      </c>
      <c r="B213" t="s">
        <v>1309</v>
      </c>
    </row>
    <row r="214" spans="1:7" x14ac:dyDescent="0.25">
      <c r="A214">
        <v>10091530</v>
      </c>
      <c r="B214" t="s">
        <v>1290</v>
      </c>
    </row>
    <row r="215" spans="1:7" x14ac:dyDescent="0.25">
      <c r="A215">
        <v>10102052</v>
      </c>
      <c r="B215" t="s">
        <v>1310</v>
      </c>
    </row>
    <row r="216" spans="1:7" x14ac:dyDescent="0.25">
      <c r="A216">
        <v>10104735</v>
      </c>
      <c r="B216" t="s">
        <v>1311</v>
      </c>
    </row>
    <row r="217" spans="1:7" x14ac:dyDescent="0.25">
      <c r="A217" s="54">
        <v>10109552</v>
      </c>
      <c r="B217" t="s">
        <v>1282</v>
      </c>
    </row>
    <row r="218" spans="1:7" x14ac:dyDescent="0.25">
      <c r="A218">
        <v>10131550</v>
      </c>
      <c r="B218" t="s">
        <v>1285</v>
      </c>
    </row>
    <row r="219" spans="1:7" x14ac:dyDescent="0.25">
      <c r="A219">
        <v>10131607</v>
      </c>
      <c r="B219" t="s">
        <v>1274</v>
      </c>
      <c r="G219" s="18"/>
    </row>
    <row r="220" spans="1:7" x14ac:dyDescent="0.25">
      <c r="A220">
        <v>10145202</v>
      </c>
      <c r="B220" t="s">
        <v>1291</v>
      </c>
    </row>
    <row r="221" spans="1:7" x14ac:dyDescent="0.25">
      <c r="A221">
        <v>10158770</v>
      </c>
      <c r="B221" s="18" t="s">
        <v>1276</v>
      </c>
    </row>
    <row r="222" spans="1:7" x14ac:dyDescent="0.25">
      <c r="A222">
        <v>10162949</v>
      </c>
      <c r="B222" t="s">
        <v>1312</v>
      </c>
    </row>
    <row r="223" spans="1:7" x14ac:dyDescent="0.25">
      <c r="A223">
        <v>10171633</v>
      </c>
      <c r="B223" t="s">
        <v>1313</v>
      </c>
    </row>
    <row r="224" spans="1:7" x14ac:dyDescent="0.25">
      <c r="A224">
        <v>10180409</v>
      </c>
      <c r="B224" t="s">
        <v>1297</v>
      </c>
    </row>
    <row r="225" spans="1:6" x14ac:dyDescent="0.25">
      <c r="A225">
        <v>11005762</v>
      </c>
      <c r="B225" t="s">
        <v>1290</v>
      </c>
    </row>
    <row r="226" spans="1:6" x14ac:dyDescent="0.25">
      <c r="A226">
        <v>11014307</v>
      </c>
      <c r="B226" t="s">
        <v>1315</v>
      </c>
    </row>
    <row r="227" spans="1:6" x14ac:dyDescent="0.25">
      <c r="A227">
        <v>11014313</v>
      </c>
      <c r="B227" t="s">
        <v>1291</v>
      </c>
    </row>
    <row r="228" spans="1:6" x14ac:dyDescent="0.25">
      <c r="A228">
        <v>11018341</v>
      </c>
      <c r="B228" t="s">
        <v>1286</v>
      </c>
    </row>
    <row r="229" spans="1:6" x14ac:dyDescent="0.25">
      <c r="A229">
        <v>11021445</v>
      </c>
      <c r="B229" t="s">
        <v>1274</v>
      </c>
    </row>
    <row r="230" spans="1:6" x14ac:dyDescent="0.25">
      <c r="A230">
        <v>11025151</v>
      </c>
      <c r="B230" t="s">
        <v>1291</v>
      </c>
    </row>
    <row r="231" spans="1:6" x14ac:dyDescent="0.25">
      <c r="A231">
        <v>11039110</v>
      </c>
      <c r="B231" t="s">
        <v>1316</v>
      </c>
    </row>
    <row r="232" spans="1:6" x14ac:dyDescent="0.25">
      <c r="A232">
        <v>11084088</v>
      </c>
      <c r="B232" t="s">
        <v>1282</v>
      </c>
    </row>
    <row r="233" spans="1:6" x14ac:dyDescent="0.25">
      <c r="A233">
        <v>11108410</v>
      </c>
      <c r="B233" t="s">
        <v>1317</v>
      </c>
      <c r="F233" s="54" t="s">
        <v>1420</v>
      </c>
    </row>
    <row r="234" spans="1:6" x14ac:dyDescent="0.25">
      <c r="A234" s="54">
        <v>11139605</v>
      </c>
      <c r="B234" t="s">
        <v>1282</v>
      </c>
    </row>
    <row r="235" spans="1:6" x14ac:dyDescent="0.25">
      <c r="A235">
        <v>11201694</v>
      </c>
      <c r="B235" t="s">
        <v>1282</v>
      </c>
    </row>
    <row r="236" spans="1:6" x14ac:dyDescent="0.25">
      <c r="A236">
        <v>11209748</v>
      </c>
      <c r="B236" t="s">
        <v>1276</v>
      </c>
    </row>
    <row r="237" spans="1:6" x14ac:dyDescent="0.25">
      <c r="A237">
        <v>11242543</v>
      </c>
      <c r="B237" t="s">
        <v>1318</v>
      </c>
    </row>
    <row r="238" spans="1:6" x14ac:dyDescent="0.25">
      <c r="A238">
        <v>11247293</v>
      </c>
      <c r="B238" t="s">
        <v>1319</v>
      </c>
    </row>
    <row r="239" spans="1:6" x14ac:dyDescent="0.25">
      <c r="A239" s="54">
        <v>12006449</v>
      </c>
      <c r="B239" t="s">
        <v>1291</v>
      </c>
      <c r="F239" s="54" t="s">
        <v>1419</v>
      </c>
    </row>
    <row r="240" spans="1:6" x14ac:dyDescent="0.25">
      <c r="A240">
        <v>12049136</v>
      </c>
      <c r="B240" t="s">
        <v>1320</v>
      </c>
    </row>
    <row r="241" spans="1:2" x14ac:dyDescent="0.25">
      <c r="A241" s="54">
        <v>12087508</v>
      </c>
      <c r="B241" t="s">
        <v>1289</v>
      </c>
    </row>
    <row r="242" spans="1:2" x14ac:dyDescent="0.25">
      <c r="A242">
        <v>12088753</v>
      </c>
      <c r="B242" t="s">
        <v>1321</v>
      </c>
    </row>
    <row r="243" spans="1:2" x14ac:dyDescent="0.25">
      <c r="A243">
        <v>12229481</v>
      </c>
      <c r="B243" t="s">
        <v>1285</v>
      </c>
    </row>
    <row r="244" spans="1:2" x14ac:dyDescent="0.25">
      <c r="A244">
        <v>12258821</v>
      </c>
      <c r="B244" t="s">
        <v>1304</v>
      </c>
    </row>
    <row r="245" spans="1:2" x14ac:dyDescent="0.25">
      <c r="A245">
        <v>12309729</v>
      </c>
      <c r="B245" t="s">
        <v>1281</v>
      </c>
    </row>
    <row r="246" spans="1:2" x14ac:dyDescent="0.25">
      <c r="A246">
        <v>12314941</v>
      </c>
      <c r="B246" t="s">
        <v>1282</v>
      </c>
    </row>
    <row r="247" spans="1:2" x14ac:dyDescent="0.25">
      <c r="A247">
        <v>12323945</v>
      </c>
      <c r="B247" t="s">
        <v>1282</v>
      </c>
    </row>
    <row r="248" spans="1:2" x14ac:dyDescent="0.25">
      <c r="A248">
        <v>13005942</v>
      </c>
      <c r="B248" t="s">
        <v>1277</v>
      </c>
    </row>
    <row r="250" spans="1:2" x14ac:dyDescent="0.25">
      <c r="A250" s="28" t="s">
        <v>1346</v>
      </c>
    </row>
    <row r="251" spans="1:2" x14ac:dyDescent="0.25">
      <c r="A251">
        <v>324</v>
      </c>
      <c r="B251" t="s">
        <v>1347</v>
      </c>
    </row>
    <row r="252" spans="1:2" x14ac:dyDescent="0.25">
      <c r="A252">
        <v>3842</v>
      </c>
      <c r="B252" t="s">
        <v>1348</v>
      </c>
    </row>
    <row r="253" spans="1:2" x14ac:dyDescent="0.25">
      <c r="A253">
        <v>3909</v>
      </c>
      <c r="B253" t="s">
        <v>1349</v>
      </c>
    </row>
    <row r="254" spans="1:2" x14ac:dyDescent="0.25">
      <c r="A254">
        <v>4663</v>
      </c>
      <c r="B254" t="s">
        <v>1350</v>
      </c>
    </row>
    <row r="255" spans="1:2" x14ac:dyDescent="0.25">
      <c r="A255">
        <v>1005522</v>
      </c>
      <c r="B255" t="s">
        <v>1352</v>
      </c>
    </row>
    <row r="256" spans="1:2" x14ac:dyDescent="0.25">
      <c r="A256">
        <v>1007631</v>
      </c>
      <c r="B256" t="s">
        <v>1354</v>
      </c>
    </row>
    <row r="257" spans="1:2" x14ac:dyDescent="0.25">
      <c r="A257">
        <v>1009760</v>
      </c>
      <c r="B257" t="s">
        <v>1355</v>
      </c>
    </row>
    <row r="258" spans="1:2" x14ac:dyDescent="0.25">
      <c r="A258">
        <v>2000646</v>
      </c>
      <c r="B258" t="s">
        <v>1356</v>
      </c>
    </row>
    <row r="259" spans="1:2" x14ac:dyDescent="0.25">
      <c r="A259">
        <v>2003761</v>
      </c>
      <c r="B259" t="s">
        <v>1358</v>
      </c>
    </row>
    <row r="260" spans="1:2" x14ac:dyDescent="0.25">
      <c r="A260">
        <v>2004061</v>
      </c>
      <c r="B260" t="s">
        <v>1357</v>
      </c>
    </row>
    <row r="261" spans="1:2" x14ac:dyDescent="0.25">
      <c r="A261">
        <v>2006469</v>
      </c>
      <c r="B261" t="s">
        <v>1359</v>
      </c>
    </row>
    <row r="262" spans="1:2" x14ac:dyDescent="0.25">
      <c r="A262">
        <v>2006739</v>
      </c>
      <c r="B262" t="s">
        <v>1360</v>
      </c>
    </row>
    <row r="263" spans="1:2" x14ac:dyDescent="0.25">
      <c r="A263">
        <v>2007360</v>
      </c>
      <c r="B263" t="s">
        <v>1361</v>
      </c>
    </row>
    <row r="264" spans="1:2" x14ac:dyDescent="0.25">
      <c r="A264">
        <v>2007648</v>
      </c>
      <c r="B264" t="s">
        <v>1352</v>
      </c>
    </row>
    <row r="265" spans="1:2" x14ac:dyDescent="0.25">
      <c r="A265">
        <v>2011811</v>
      </c>
      <c r="B265" t="s">
        <v>1352</v>
      </c>
    </row>
    <row r="266" spans="1:2" x14ac:dyDescent="0.25">
      <c r="A266">
        <v>2012411</v>
      </c>
      <c r="B266" t="s">
        <v>1285</v>
      </c>
    </row>
    <row r="267" spans="1:2" x14ac:dyDescent="0.25">
      <c r="A267">
        <v>2012826</v>
      </c>
      <c r="B267" t="s">
        <v>1362</v>
      </c>
    </row>
    <row r="268" spans="1:2" x14ac:dyDescent="0.25">
      <c r="A268">
        <v>3003602</v>
      </c>
      <c r="B268" t="s">
        <v>1363</v>
      </c>
    </row>
    <row r="269" spans="1:2" x14ac:dyDescent="0.25">
      <c r="A269" s="18">
        <v>3005132</v>
      </c>
      <c r="B269" s="55" t="s">
        <v>1364</v>
      </c>
    </row>
    <row r="270" spans="1:2" x14ac:dyDescent="0.25">
      <c r="A270">
        <v>3007918</v>
      </c>
      <c r="B270" t="s">
        <v>1281</v>
      </c>
    </row>
    <row r="271" spans="1:2" x14ac:dyDescent="0.25">
      <c r="A271">
        <v>3008510</v>
      </c>
      <c r="B271" t="s">
        <v>1365</v>
      </c>
    </row>
    <row r="272" spans="1:2" x14ac:dyDescent="0.25">
      <c r="A272">
        <v>3009119</v>
      </c>
      <c r="B272" t="s">
        <v>1281</v>
      </c>
    </row>
    <row r="273" spans="1:2" x14ac:dyDescent="0.25">
      <c r="A273">
        <v>3009936</v>
      </c>
      <c r="B273" t="s">
        <v>1285</v>
      </c>
    </row>
    <row r="274" spans="1:2" x14ac:dyDescent="0.25">
      <c r="A274">
        <v>3010565</v>
      </c>
      <c r="B274" t="s">
        <v>1281</v>
      </c>
    </row>
    <row r="275" spans="1:2" x14ac:dyDescent="0.25">
      <c r="A275">
        <v>3011094</v>
      </c>
      <c r="B275" t="s">
        <v>1357</v>
      </c>
    </row>
    <row r="276" spans="1:2" x14ac:dyDescent="0.25">
      <c r="A276">
        <v>3014643</v>
      </c>
      <c r="B276" t="s">
        <v>1281</v>
      </c>
    </row>
    <row r="277" spans="1:2" x14ac:dyDescent="0.25">
      <c r="A277">
        <v>3016056</v>
      </c>
      <c r="B277" t="s">
        <v>1280</v>
      </c>
    </row>
    <row r="278" spans="1:2" x14ac:dyDescent="0.25">
      <c r="A278">
        <v>3018383</v>
      </c>
      <c r="B278" t="s">
        <v>1285</v>
      </c>
    </row>
    <row r="279" spans="1:2" x14ac:dyDescent="0.25">
      <c r="A279">
        <v>3017227</v>
      </c>
      <c r="B279" t="s">
        <v>1281</v>
      </c>
    </row>
    <row r="280" spans="1:2" x14ac:dyDescent="0.25">
      <c r="A280">
        <v>3900219</v>
      </c>
      <c r="B280" t="s">
        <v>1280</v>
      </c>
    </row>
    <row r="281" spans="1:2" x14ac:dyDescent="0.25">
      <c r="A281">
        <v>3900721</v>
      </c>
      <c r="B281" t="s">
        <v>1366</v>
      </c>
    </row>
    <row r="282" spans="1:2" x14ac:dyDescent="0.25">
      <c r="A282">
        <v>3900911</v>
      </c>
      <c r="B282" t="s">
        <v>1367</v>
      </c>
    </row>
    <row r="283" spans="1:2" x14ac:dyDescent="0.25">
      <c r="A283">
        <v>4000158</v>
      </c>
      <c r="B283" t="s">
        <v>1281</v>
      </c>
    </row>
    <row r="284" spans="1:2" x14ac:dyDescent="0.25">
      <c r="A284">
        <v>4000304</v>
      </c>
      <c r="B284" t="s">
        <v>1355</v>
      </c>
    </row>
    <row r="285" spans="1:2" x14ac:dyDescent="0.25">
      <c r="A285">
        <v>4000702</v>
      </c>
      <c r="B285" t="s">
        <v>1359</v>
      </c>
    </row>
    <row r="286" spans="1:2" x14ac:dyDescent="0.25">
      <c r="A286">
        <v>4001905</v>
      </c>
      <c r="B286" t="s">
        <v>1368</v>
      </c>
    </row>
    <row r="287" spans="1:2" x14ac:dyDescent="0.25">
      <c r="A287">
        <v>4002206</v>
      </c>
      <c r="B287" t="s">
        <v>1369</v>
      </c>
    </row>
    <row r="288" spans="1:2" x14ac:dyDescent="0.25">
      <c r="A288">
        <v>4002715</v>
      </c>
      <c r="B288" t="s">
        <v>1280</v>
      </c>
    </row>
    <row r="289" spans="1:9" x14ac:dyDescent="0.25">
      <c r="A289">
        <v>4003924</v>
      </c>
      <c r="B289" t="s">
        <v>1355</v>
      </c>
    </row>
    <row r="290" spans="1:9" x14ac:dyDescent="0.25">
      <c r="A290">
        <v>4004302</v>
      </c>
      <c r="B290" t="s">
        <v>1370</v>
      </c>
    </row>
    <row r="291" spans="1:9" x14ac:dyDescent="0.25">
      <c r="A291">
        <v>4004463</v>
      </c>
      <c r="B291" t="s">
        <v>1281</v>
      </c>
    </row>
    <row r="292" spans="1:9" x14ac:dyDescent="0.25">
      <c r="A292">
        <v>4006051</v>
      </c>
      <c r="B292" t="s">
        <v>1279</v>
      </c>
    </row>
    <row r="293" spans="1:9" x14ac:dyDescent="0.25">
      <c r="A293">
        <v>4008140</v>
      </c>
      <c r="B293" t="s">
        <v>1376</v>
      </c>
    </row>
    <row r="294" spans="1:9" x14ac:dyDescent="0.25">
      <c r="A294">
        <v>4009906</v>
      </c>
      <c r="B294" t="s">
        <v>1371</v>
      </c>
    </row>
    <row r="295" spans="1:9" x14ac:dyDescent="0.25">
      <c r="A295">
        <v>4011027</v>
      </c>
      <c r="B295" t="s">
        <v>1372</v>
      </c>
    </row>
    <row r="296" spans="1:9" x14ac:dyDescent="0.25">
      <c r="A296">
        <v>4011920</v>
      </c>
      <c r="B296" t="s">
        <v>1280</v>
      </c>
    </row>
    <row r="297" spans="1:9" x14ac:dyDescent="0.25">
      <c r="A297">
        <v>4012248</v>
      </c>
      <c r="B297" t="s">
        <v>1373</v>
      </c>
    </row>
    <row r="298" spans="1:9" x14ac:dyDescent="0.25">
      <c r="A298">
        <v>4013287</v>
      </c>
      <c r="B298" t="s">
        <v>1297</v>
      </c>
    </row>
    <row r="299" spans="1:9" x14ac:dyDescent="0.25">
      <c r="A299">
        <v>4013603</v>
      </c>
      <c r="B299" t="s">
        <v>1374</v>
      </c>
    </row>
    <row r="300" spans="1:9" x14ac:dyDescent="0.25">
      <c r="A300">
        <v>5002712</v>
      </c>
      <c r="B300" t="s">
        <v>1355</v>
      </c>
    </row>
    <row r="301" spans="1:9" x14ac:dyDescent="0.25">
      <c r="A301">
        <v>5004654</v>
      </c>
      <c r="B301" t="s">
        <v>1285</v>
      </c>
    </row>
    <row r="302" spans="1:9" x14ac:dyDescent="0.25">
      <c r="A302" s="54">
        <v>5006761</v>
      </c>
      <c r="B302" s="57" t="s">
        <v>1374</v>
      </c>
      <c r="E302" t="s">
        <v>1375</v>
      </c>
      <c r="I302" s="54" t="s">
        <v>1422</v>
      </c>
    </row>
    <row r="303" spans="1:9" x14ac:dyDescent="0.25">
      <c r="A303">
        <v>5008807</v>
      </c>
      <c r="B303" t="s">
        <v>1349</v>
      </c>
    </row>
    <row r="304" spans="1:9" x14ac:dyDescent="0.25">
      <c r="A304">
        <v>5009400</v>
      </c>
      <c r="B304" t="s">
        <v>1376</v>
      </c>
      <c r="E304" t="s">
        <v>1375</v>
      </c>
    </row>
    <row r="305" spans="1:6" x14ac:dyDescent="0.25">
      <c r="A305">
        <v>5013211</v>
      </c>
      <c r="B305" t="s">
        <v>1357</v>
      </c>
    </row>
    <row r="306" spans="1:6" x14ac:dyDescent="0.25">
      <c r="A306">
        <v>5013494</v>
      </c>
      <c r="B306" t="s">
        <v>1281</v>
      </c>
    </row>
    <row r="307" spans="1:6" x14ac:dyDescent="0.25">
      <c r="A307" s="54">
        <v>5016255</v>
      </c>
      <c r="B307" s="57" t="s">
        <v>1359</v>
      </c>
      <c r="F307" t="s">
        <v>1423</v>
      </c>
    </row>
    <row r="308" spans="1:6" x14ac:dyDescent="0.25">
      <c r="A308">
        <v>6005884</v>
      </c>
      <c r="B308" t="s">
        <v>1279</v>
      </c>
    </row>
    <row r="309" spans="1:6" x14ac:dyDescent="0.25">
      <c r="A309">
        <v>6012448</v>
      </c>
      <c r="B309" t="s">
        <v>1281</v>
      </c>
    </row>
    <row r="310" spans="1:6" x14ac:dyDescent="0.25">
      <c r="A310">
        <v>7000457</v>
      </c>
      <c r="B310" t="s">
        <v>1285</v>
      </c>
    </row>
    <row r="311" spans="1:6" x14ac:dyDescent="0.25">
      <c r="A311" s="54">
        <v>7072644</v>
      </c>
      <c r="B311" t="s">
        <v>1380</v>
      </c>
    </row>
    <row r="312" spans="1:6" x14ac:dyDescent="0.25">
      <c r="A312">
        <v>7076472</v>
      </c>
      <c r="B312" t="s">
        <v>1355</v>
      </c>
    </row>
    <row r="313" spans="1:6" x14ac:dyDescent="0.25">
      <c r="A313">
        <v>7126387</v>
      </c>
      <c r="B313" t="s">
        <v>1373</v>
      </c>
    </row>
    <row r="314" spans="1:6" x14ac:dyDescent="0.25">
      <c r="A314">
        <v>10185935</v>
      </c>
      <c r="B314" t="s">
        <v>1285</v>
      </c>
    </row>
    <row r="315" spans="1:6" x14ac:dyDescent="0.25">
      <c r="A315">
        <v>11061215</v>
      </c>
      <c r="B315" t="s">
        <v>1285</v>
      </c>
    </row>
    <row r="316" spans="1:6" x14ac:dyDescent="0.25">
      <c r="A316">
        <v>93008468</v>
      </c>
      <c r="B316" t="s">
        <v>1359</v>
      </c>
    </row>
    <row r="317" spans="1:6" x14ac:dyDescent="0.25">
      <c r="A317">
        <v>93016155</v>
      </c>
      <c r="B317" t="s">
        <v>1355</v>
      </c>
    </row>
    <row r="318" spans="1:6" x14ac:dyDescent="0.25">
      <c r="A318">
        <v>93016241</v>
      </c>
      <c r="B318" t="s">
        <v>1285</v>
      </c>
    </row>
    <row r="319" spans="1:6" x14ac:dyDescent="0.25">
      <c r="A319">
        <v>93018845</v>
      </c>
      <c r="B319" t="s">
        <v>1354</v>
      </c>
    </row>
    <row r="320" spans="1:6" x14ac:dyDescent="0.25">
      <c r="A320">
        <v>94003884</v>
      </c>
      <c r="B320" t="s">
        <v>1355</v>
      </c>
    </row>
    <row r="321" spans="1:2" x14ac:dyDescent="0.25">
      <c r="A321">
        <v>94003919</v>
      </c>
      <c r="B321" t="s">
        <v>1354</v>
      </c>
    </row>
    <row r="322" spans="1:2" x14ac:dyDescent="0.25">
      <c r="A322">
        <v>94006009</v>
      </c>
      <c r="B322" t="s">
        <v>1381</v>
      </c>
    </row>
    <row r="323" spans="1:2" x14ac:dyDescent="0.25">
      <c r="A323">
        <v>94014126</v>
      </c>
      <c r="B323" t="s">
        <v>1374</v>
      </c>
    </row>
    <row r="324" spans="1:2" x14ac:dyDescent="0.25">
      <c r="A324">
        <v>94900361</v>
      </c>
      <c r="B324" t="s">
        <v>1281</v>
      </c>
    </row>
    <row r="325" spans="1:2" x14ac:dyDescent="0.25">
      <c r="A325" s="18">
        <v>94901890</v>
      </c>
      <c r="B325" s="55" t="s">
        <v>1382</v>
      </c>
    </row>
    <row r="326" spans="1:2" x14ac:dyDescent="0.25">
      <c r="A326">
        <v>95001046</v>
      </c>
      <c r="B326" t="s">
        <v>1373</v>
      </c>
    </row>
    <row r="327" spans="1:2" x14ac:dyDescent="0.25">
      <c r="A327">
        <v>95003255</v>
      </c>
      <c r="B327" t="s">
        <v>1354</v>
      </c>
    </row>
    <row r="328" spans="1:2" x14ac:dyDescent="0.25">
      <c r="A328">
        <v>95003777</v>
      </c>
      <c r="B328" t="s">
        <v>1383</v>
      </c>
    </row>
    <row r="329" spans="1:2" x14ac:dyDescent="0.25">
      <c r="A329">
        <v>95007023</v>
      </c>
      <c r="B329" t="s">
        <v>1285</v>
      </c>
    </row>
    <row r="330" spans="1:2" x14ac:dyDescent="0.25">
      <c r="A330">
        <v>95900316</v>
      </c>
      <c r="B330" t="s">
        <v>1384</v>
      </c>
    </row>
    <row r="331" spans="1:2" x14ac:dyDescent="0.25">
      <c r="A331">
        <v>96004031</v>
      </c>
      <c r="B331" t="s">
        <v>1374</v>
      </c>
    </row>
    <row r="332" spans="1:2" x14ac:dyDescent="0.25">
      <c r="A332">
        <v>96900455</v>
      </c>
      <c r="B332" t="s">
        <v>1285</v>
      </c>
    </row>
    <row r="333" spans="1:2" x14ac:dyDescent="0.25">
      <c r="A333">
        <v>97004458</v>
      </c>
      <c r="B333" t="s">
        <v>1382</v>
      </c>
    </row>
    <row r="334" spans="1:2" x14ac:dyDescent="0.25">
      <c r="A334">
        <v>97009212</v>
      </c>
      <c r="B334" t="s">
        <v>1355</v>
      </c>
    </row>
    <row r="335" spans="1:2" x14ac:dyDescent="0.25">
      <c r="A335">
        <v>98006038</v>
      </c>
      <c r="B335" t="s">
        <v>1285</v>
      </c>
    </row>
    <row r="336" spans="1:2" x14ac:dyDescent="0.25">
      <c r="A336">
        <v>98009041</v>
      </c>
      <c r="B336" t="s">
        <v>1385</v>
      </c>
    </row>
    <row r="337" spans="1:2" x14ac:dyDescent="0.25">
      <c r="A337">
        <v>99000714</v>
      </c>
      <c r="B337" t="s">
        <v>1354</v>
      </c>
    </row>
    <row r="338" spans="1:2" x14ac:dyDescent="0.25">
      <c r="A338">
        <v>99002655</v>
      </c>
      <c r="B338" t="s">
        <v>1349</v>
      </c>
    </row>
    <row r="339" spans="1:2" x14ac:dyDescent="0.25">
      <c r="A339">
        <v>99007116</v>
      </c>
      <c r="B339" t="s">
        <v>1360</v>
      </c>
    </row>
    <row r="340" spans="1:2" x14ac:dyDescent="0.25">
      <c r="A340">
        <v>99901293</v>
      </c>
      <c r="B340" t="s">
        <v>1386</v>
      </c>
    </row>
    <row r="341" spans="1:2" x14ac:dyDescent="0.25">
      <c r="A341">
        <v>99901604</v>
      </c>
      <c r="B341" t="s">
        <v>1281</v>
      </c>
    </row>
    <row r="343" spans="1:2" x14ac:dyDescent="0.25">
      <c r="A343" s="28" t="s">
        <v>1387</v>
      </c>
    </row>
    <row r="344" spans="1:2" x14ac:dyDescent="0.25">
      <c r="A344">
        <v>4289</v>
      </c>
      <c r="B344" t="s">
        <v>1374</v>
      </c>
    </row>
    <row r="345" spans="1:2" x14ac:dyDescent="0.25">
      <c r="A345">
        <v>500245</v>
      </c>
      <c r="B345" t="s">
        <v>1382</v>
      </c>
    </row>
    <row r="346" spans="1:2" x14ac:dyDescent="0.25">
      <c r="A346">
        <v>2002573</v>
      </c>
      <c r="B346" t="s">
        <v>1359</v>
      </c>
    </row>
    <row r="347" spans="1:2" x14ac:dyDescent="0.25">
      <c r="A347">
        <v>2003539</v>
      </c>
      <c r="B347" t="s">
        <v>1388</v>
      </c>
    </row>
    <row r="348" spans="1:2" x14ac:dyDescent="0.25">
      <c r="A348">
        <v>2003649</v>
      </c>
      <c r="B348" t="s">
        <v>1354</v>
      </c>
    </row>
    <row r="349" spans="1:2" x14ac:dyDescent="0.25">
      <c r="A349">
        <v>2005572</v>
      </c>
      <c r="B349" t="s">
        <v>1374</v>
      </c>
    </row>
    <row r="350" spans="1:2" x14ac:dyDescent="0.25">
      <c r="A350">
        <v>2013117</v>
      </c>
      <c r="B350" t="s">
        <v>1285</v>
      </c>
    </row>
    <row r="351" spans="1:2" x14ac:dyDescent="0.25">
      <c r="A351">
        <v>3008204</v>
      </c>
      <c r="B351" t="s">
        <v>1359</v>
      </c>
    </row>
    <row r="352" spans="1:2" x14ac:dyDescent="0.25">
      <c r="A352">
        <v>3009633</v>
      </c>
      <c r="B352" t="s">
        <v>1354</v>
      </c>
    </row>
    <row r="353" spans="1:6" x14ac:dyDescent="0.25">
      <c r="A353">
        <v>3010583</v>
      </c>
      <c r="B353" t="s">
        <v>1285</v>
      </c>
    </row>
    <row r="354" spans="1:6" x14ac:dyDescent="0.25">
      <c r="A354">
        <v>3011892</v>
      </c>
      <c r="B354" t="s">
        <v>1285</v>
      </c>
    </row>
    <row r="355" spans="1:6" x14ac:dyDescent="0.25">
      <c r="A355">
        <v>4001382</v>
      </c>
      <c r="B355" t="s">
        <v>1349</v>
      </c>
    </row>
    <row r="356" spans="1:6" x14ac:dyDescent="0.25">
      <c r="A356" s="54">
        <v>5013714</v>
      </c>
      <c r="B356" s="57" t="s">
        <v>1349</v>
      </c>
      <c r="F356" s="54" t="s">
        <v>1423</v>
      </c>
    </row>
    <row r="357" spans="1:6" x14ac:dyDescent="0.25">
      <c r="A357">
        <v>5018675</v>
      </c>
      <c r="B357" t="s">
        <v>1285</v>
      </c>
    </row>
    <row r="358" spans="1:6" x14ac:dyDescent="0.25">
      <c r="A358">
        <v>6000832</v>
      </c>
      <c r="B358" t="s">
        <v>1388</v>
      </c>
    </row>
    <row r="359" spans="1:6" x14ac:dyDescent="0.25">
      <c r="A359">
        <v>6050168</v>
      </c>
      <c r="B359" t="s">
        <v>1285</v>
      </c>
    </row>
    <row r="360" spans="1:6" x14ac:dyDescent="0.25">
      <c r="A360">
        <v>6062742</v>
      </c>
      <c r="B360" t="s">
        <v>1354</v>
      </c>
    </row>
    <row r="361" spans="1:6" x14ac:dyDescent="0.25">
      <c r="A361">
        <v>7003242</v>
      </c>
      <c r="B361" t="s">
        <v>1359</v>
      </c>
    </row>
    <row r="362" spans="1:6" x14ac:dyDescent="0.25">
      <c r="A362">
        <v>8016252</v>
      </c>
      <c r="B362" t="s">
        <v>1391</v>
      </c>
    </row>
    <row r="363" spans="1:6" x14ac:dyDescent="0.25">
      <c r="A363">
        <v>12022536</v>
      </c>
      <c r="B363" t="s">
        <v>1392</v>
      </c>
    </row>
    <row r="364" spans="1:6" x14ac:dyDescent="0.25">
      <c r="A364">
        <v>13020792</v>
      </c>
      <c r="B364" t="s">
        <v>1349</v>
      </c>
    </row>
    <row r="365" spans="1:6" x14ac:dyDescent="0.25">
      <c r="A365">
        <v>97005797</v>
      </c>
      <c r="B365" t="s">
        <v>1285</v>
      </c>
    </row>
    <row r="366" spans="1:6" x14ac:dyDescent="0.25">
      <c r="A366">
        <v>99000345</v>
      </c>
      <c r="B366" t="s">
        <v>1373</v>
      </c>
    </row>
    <row r="368" spans="1:6" x14ac:dyDescent="0.25">
      <c r="A368" s="28" t="s">
        <v>1393</v>
      </c>
    </row>
    <row r="369" spans="1:2" x14ac:dyDescent="0.25">
      <c r="A369" s="18">
        <v>5281</v>
      </c>
      <c r="B369" s="57" t="s">
        <v>1373</v>
      </c>
    </row>
    <row r="370" spans="1:2" x14ac:dyDescent="0.25">
      <c r="A370" s="18">
        <v>200085</v>
      </c>
      <c r="B370" s="57" t="s">
        <v>1285</v>
      </c>
    </row>
    <row r="371" spans="1:2" x14ac:dyDescent="0.25">
      <c r="A371" s="18">
        <v>200149</v>
      </c>
      <c r="B371" s="57" t="s">
        <v>1359</v>
      </c>
    </row>
    <row r="372" spans="1:2" x14ac:dyDescent="0.25">
      <c r="A372" s="18">
        <v>500129</v>
      </c>
      <c r="B372" s="57" t="s">
        <v>1395</v>
      </c>
    </row>
    <row r="373" spans="1:2" x14ac:dyDescent="0.25">
      <c r="A373" s="18">
        <v>1002033</v>
      </c>
      <c r="B373" s="57" t="s">
        <v>1359</v>
      </c>
    </row>
    <row r="374" spans="1:2" x14ac:dyDescent="0.25">
      <c r="A374" s="18">
        <v>1002241</v>
      </c>
      <c r="B374" s="57" t="s">
        <v>1383</v>
      </c>
    </row>
    <row r="375" spans="1:2" x14ac:dyDescent="0.25">
      <c r="A375" s="18">
        <v>1003457</v>
      </c>
      <c r="B375" s="57" t="s">
        <v>1373</v>
      </c>
    </row>
    <row r="376" spans="1:2" x14ac:dyDescent="0.25">
      <c r="A376" s="18">
        <v>1006310</v>
      </c>
      <c r="B376" s="57" t="s">
        <v>1392</v>
      </c>
    </row>
    <row r="377" spans="1:2" x14ac:dyDescent="0.25">
      <c r="A377" s="18">
        <v>1007842</v>
      </c>
      <c r="B377" s="57" t="s">
        <v>1361</v>
      </c>
    </row>
    <row r="378" spans="1:2" x14ac:dyDescent="0.25">
      <c r="A378" s="18">
        <v>2005223</v>
      </c>
      <c r="B378" s="57" t="s">
        <v>1354</v>
      </c>
    </row>
    <row r="379" spans="1:2" x14ac:dyDescent="0.25">
      <c r="A379" s="18">
        <v>2006107</v>
      </c>
      <c r="B379" s="57" t="s">
        <v>1354</v>
      </c>
    </row>
    <row r="380" spans="1:2" x14ac:dyDescent="0.25">
      <c r="A380" s="18">
        <v>2008127</v>
      </c>
      <c r="B380" s="57" t="s">
        <v>1349</v>
      </c>
    </row>
    <row r="381" spans="1:2" x14ac:dyDescent="0.25">
      <c r="A381" s="18">
        <v>2010754</v>
      </c>
      <c r="B381" s="57" t="s">
        <v>1285</v>
      </c>
    </row>
    <row r="382" spans="1:2" x14ac:dyDescent="0.25">
      <c r="A382" s="18">
        <v>2012014</v>
      </c>
      <c r="B382" s="57" t="s">
        <v>1396</v>
      </c>
    </row>
    <row r="383" spans="1:2" x14ac:dyDescent="0.25">
      <c r="A383" s="18">
        <v>3000152</v>
      </c>
      <c r="B383" s="57" t="s">
        <v>1285</v>
      </c>
    </row>
    <row r="384" spans="1:2" x14ac:dyDescent="0.25">
      <c r="A384" s="18">
        <v>3014566</v>
      </c>
      <c r="B384" s="57" t="s">
        <v>1392</v>
      </c>
    </row>
    <row r="385" spans="1:2" x14ac:dyDescent="0.25">
      <c r="A385" s="18">
        <v>3015058</v>
      </c>
      <c r="B385" s="57" t="s">
        <v>1397</v>
      </c>
    </row>
    <row r="386" spans="1:2" x14ac:dyDescent="0.25">
      <c r="A386" s="18">
        <v>3017084</v>
      </c>
      <c r="B386" s="57" t="s">
        <v>1285</v>
      </c>
    </row>
    <row r="387" spans="1:2" x14ac:dyDescent="0.25">
      <c r="A387" s="18">
        <v>3019249</v>
      </c>
      <c r="B387" s="57" t="s">
        <v>1397</v>
      </c>
    </row>
    <row r="388" spans="1:2" x14ac:dyDescent="0.25">
      <c r="A388" s="18">
        <v>4000996</v>
      </c>
      <c r="B388" s="57" t="s">
        <v>1398</v>
      </c>
    </row>
    <row r="389" spans="1:2" x14ac:dyDescent="0.25">
      <c r="A389">
        <v>4003768</v>
      </c>
      <c r="B389" s="57" t="s">
        <v>1399</v>
      </c>
    </row>
    <row r="390" spans="1:2" x14ac:dyDescent="0.25">
      <c r="A390">
        <v>4006540</v>
      </c>
      <c r="B390" s="57" t="s">
        <v>1285</v>
      </c>
    </row>
    <row r="391" spans="1:2" x14ac:dyDescent="0.25">
      <c r="A391">
        <v>4007054</v>
      </c>
      <c r="B391" s="57" t="s">
        <v>1397</v>
      </c>
    </row>
    <row r="392" spans="1:2" x14ac:dyDescent="0.25">
      <c r="A392">
        <v>4009308</v>
      </c>
      <c r="B392" s="57" t="s">
        <v>1392</v>
      </c>
    </row>
    <row r="393" spans="1:2" x14ac:dyDescent="0.25">
      <c r="A393">
        <v>4011002</v>
      </c>
      <c r="B393" s="57" t="s">
        <v>1397</v>
      </c>
    </row>
    <row r="394" spans="1:2" x14ac:dyDescent="0.25">
      <c r="A394">
        <v>4900268</v>
      </c>
      <c r="B394" s="57" t="s">
        <v>1373</v>
      </c>
    </row>
    <row r="395" spans="1:2" x14ac:dyDescent="0.25">
      <c r="A395">
        <v>5001097</v>
      </c>
      <c r="B395" s="57" t="s">
        <v>1392</v>
      </c>
    </row>
    <row r="396" spans="1:2" x14ac:dyDescent="0.25">
      <c r="A396">
        <v>5001098</v>
      </c>
      <c r="B396" s="57" t="s">
        <v>1392</v>
      </c>
    </row>
    <row r="397" spans="1:2" x14ac:dyDescent="0.25">
      <c r="A397">
        <v>5005508</v>
      </c>
      <c r="B397" s="57" t="s">
        <v>1362</v>
      </c>
    </row>
    <row r="398" spans="1:2" x14ac:dyDescent="0.25">
      <c r="A398">
        <v>5005517</v>
      </c>
      <c r="B398" s="57" t="s">
        <v>1362</v>
      </c>
    </row>
    <row r="399" spans="1:2" x14ac:dyDescent="0.25">
      <c r="A399">
        <v>5005523</v>
      </c>
      <c r="B399" s="57" t="s">
        <v>1362</v>
      </c>
    </row>
    <row r="400" spans="1:2" x14ac:dyDescent="0.25">
      <c r="A400">
        <v>5005557</v>
      </c>
      <c r="B400" s="57" t="s">
        <v>1362</v>
      </c>
    </row>
    <row r="401" spans="1:2" x14ac:dyDescent="0.25">
      <c r="A401">
        <v>5006152</v>
      </c>
      <c r="B401" s="57" t="s">
        <v>1349</v>
      </c>
    </row>
    <row r="402" spans="1:2" x14ac:dyDescent="0.25">
      <c r="A402">
        <v>5006717</v>
      </c>
      <c r="B402" s="57" t="s">
        <v>1362</v>
      </c>
    </row>
    <row r="403" spans="1:2" x14ac:dyDescent="0.25">
      <c r="A403">
        <v>5006719</v>
      </c>
      <c r="B403" s="57" t="s">
        <v>1362</v>
      </c>
    </row>
    <row r="404" spans="1:2" x14ac:dyDescent="0.25">
      <c r="A404">
        <v>5006726</v>
      </c>
      <c r="B404" s="57" t="s">
        <v>1362</v>
      </c>
    </row>
    <row r="405" spans="1:2" x14ac:dyDescent="0.25">
      <c r="A405">
        <v>5006732</v>
      </c>
      <c r="B405" s="57" t="s">
        <v>1362</v>
      </c>
    </row>
    <row r="406" spans="1:2" x14ac:dyDescent="0.25">
      <c r="A406">
        <v>5006733</v>
      </c>
      <c r="B406" s="57" t="s">
        <v>1362</v>
      </c>
    </row>
    <row r="407" spans="1:2" x14ac:dyDescent="0.25">
      <c r="A407">
        <v>5006736</v>
      </c>
      <c r="B407" s="57" t="s">
        <v>1362</v>
      </c>
    </row>
    <row r="408" spans="1:2" x14ac:dyDescent="0.25">
      <c r="A408">
        <v>5006764</v>
      </c>
      <c r="B408" s="57" t="s">
        <v>1362</v>
      </c>
    </row>
    <row r="409" spans="1:2" x14ac:dyDescent="0.25">
      <c r="A409">
        <v>5006917</v>
      </c>
      <c r="B409" s="57" t="s">
        <v>1400</v>
      </c>
    </row>
    <row r="410" spans="1:2" x14ac:dyDescent="0.25">
      <c r="A410">
        <v>5011824</v>
      </c>
      <c r="B410" s="57" t="s">
        <v>1401</v>
      </c>
    </row>
    <row r="411" spans="1:2" x14ac:dyDescent="0.25">
      <c r="A411">
        <v>5016179</v>
      </c>
      <c r="B411" s="57" t="s">
        <v>1349</v>
      </c>
    </row>
    <row r="412" spans="1:2" x14ac:dyDescent="0.25">
      <c r="A412">
        <v>5018677</v>
      </c>
      <c r="B412" s="57" t="s">
        <v>1285</v>
      </c>
    </row>
    <row r="413" spans="1:2" x14ac:dyDescent="0.25">
      <c r="A413">
        <v>8012361</v>
      </c>
      <c r="B413" t="s">
        <v>1392</v>
      </c>
    </row>
    <row r="414" spans="1:2" x14ac:dyDescent="0.25">
      <c r="A414">
        <v>7079011</v>
      </c>
      <c r="B414" s="57" t="s">
        <v>1373</v>
      </c>
    </row>
    <row r="415" spans="1:2" x14ac:dyDescent="0.25">
      <c r="A415">
        <v>8055349</v>
      </c>
      <c r="B415" t="s">
        <v>1349</v>
      </c>
    </row>
    <row r="416" spans="1:2" x14ac:dyDescent="0.25">
      <c r="A416">
        <v>8135416</v>
      </c>
      <c r="B416" s="57" t="s">
        <v>1349</v>
      </c>
    </row>
    <row r="417" spans="1:2" x14ac:dyDescent="0.25">
      <c r="A417">
        <v>93018945</v>
      </c>
      <c r="B417" s="57" t="s">
        <v>1402</v>
      </c>
    </row>
    <row r="418" spans="1:2" x14ac:dyDescent="0.25">
      <c r="A418">
        <v>94009028</v>
      </c>
      <c r="B418" s="57" t="s">
        <v>1349</v>
      </c>
    </row>
    <row r="419" spans="1:2" x14ac:dyDescent="0.25">
      <c r="A419">
        <v>95005907</v>
      </c>
      <c r="B419" s="57" t="s">
        <v>1285</v>
      </c>
    </row>
    <row r="420" spans="1:2" x14ac:dyDescent="0.25">
      <c r="A420">
        <v>95900164</v>
      </c>
      <c r="B420" s="57" t="s">
        <v>1349</v>
      </c>
    </row>
    <row r="421" spans="1:2" x14ac:dyDescent="0.25">
      <c r="A421">
        <v>96015811</v>
      </c>
      <c r="B421" s="57" t="s">
        <v>1349</v>
      </c>
    </row>
    <row r="422" spans="1:2" x14ac:dyDescent="0.25">
      <c r="A422">
        <v>97001240</v>
      </c>
      <c r="B422" t="s">
        <v>1403</v>
      </c>
    </row>
    <row r="423" spans="1:2" x14ac:dyDescent="0.25">
      <c r="A423">
        <v>97005366</v>
      </c>
      <c r="B423" s="57" t="s">
        <v>1392</v>
      </c>
    </row>
    <row r="424" spans="1:2" x14ac:dyDescent="0.25">
      <c r="A424">
        <v>98000595</v>
      </c>
      <c r="B424" s="57" t="s">
        <v>1392</v>
      </c>
    </row>
    <row r="425" spans="1:2" x14ac:dyDescent="0.25">
      <c r="A425">
        <v>98002692</v>
      </c>
      <c r="B425" s="57" t="s">
        <v>1354</v>
      </c>
    </row>
    <row r="426" spans="1:2" x14ac:dyDescent="0.25">
      <c r="A426">
        <v>99001815</v>
      </c>
      <c r="B426" s="57" t="s">
        <v>1392</v>
      </c>
    </row>
    <row r="428" spans="1:2" x14ac:dyDescent="0.25">
      <c r="A428" s="28" t="s">
        <v>1406</v>
      </c>
    </row>
    <row r="429" spans="1:2" x14ac:dyDescent="0.25">
      <c r="A429" s="54">
        <v>5006592</v>
      </c>
      <c r="B429" t="s">
        <v>1359</v>
      </c>
    </row>
    <row r="430" spans="1:2" x14ac:dyDescent="0.25">
      <c r="A430" s="54">
        <v>5007274</v>
      </c>
      <c r="B430" t="s">
        <v>1349</v>
      </c>
    </row>
    <row r="431" spans="1:2" x14ac:dyDescent="0.25">
      <c r="A431" s="54">
        <v>5015851</v>
      </c>
      <c r="B431" t="s">
        <v>1362</v>
      </c>
    </row>
    <row r="432" spans="1:2" x14ac:dyDescent="0.25">
      <c r="A432" s="54">
        <v>6015647</v>
      </c>
      <c r="B432" t="s">
        <v>1359</v>
      </c>
    </row>
    <row r="433" spans="1:6" x14ac:dyDescent="0.25">
      <c r="A433">
        <v>6050794</v>
      </c>
      <c r="B433" t="s">
        <v>1407</v>
      </c>
    </row>
    <row r="434" spans="1:6" x14ac:dyDescent="0.25">
      <c r="A434" s="54">
        <v>6056633</v>
      </c>
      <c r="B434" t="s">
        <v>1359</v>
      </c>
    </row>
    <row r="435" spans="1:6" x14ac:dyDescent="0.25">
      <c r="A435" s="54">
        <v>6058484</v>
      </c>
      <c r="B435" t="s">
        <v>1362</v>
      </c>
      <c r="F435" s="54" t="s">
        <v>1423</v>
      </c>
    </row>
    <row r="436" spans="1:6" x14ac:dyDescent="0.25">
      <c r="A436" s="54">
        <v>7086224</v>
      </c>
      <c r="B436" t="s">
        <v>1285</v>
      </c>
    </row>
    <row r="437" spans="1:6" x14ac:dyDescent="0.25">
      <c r="A437">
        <v>8007013</v>
      </c>
      <c r="B437" t="s">
        <v>1354</v>
      </c>
    </row>
    <row r="438" spans="1:6" x14ac:dyDescent="0.25">
      <c r="A438">
        <v>8040959</v>
      </c>
      <c r="B438" t="s">
        <v>1392</v>
      </c>
    </row>
    <row r="439" spans="1:6" x14ac:dyDescent="0.25">
      <c r="A439">
        <v>8051516</v>
      </c>
      <c r="B439" t="s">
        <v>1359</v>
      </c>
    </row>
    <row r="440" spans="1:6" x14ac:dyDescent="0.25">
      <c r="A440">
        <v>8060785</v>
      </c>
      <c r="B440" t="s">
        <v>1349</v>
      </c>
    </row>
    <row r="441" spans="1:6" x14ac:dyDescent="0.25">
      <c r="A441">
        <v>8107048</v>
      </c>
      <c r="B441" t="s">
        <v>1285</v>
      </c>
    </row>
    <row r="442" spans="1:6" x14ac:dyDescent="0.25">
      <c r="A442">
        <v>8119197</v>
      </c>
      <c r="B442" t="s">
        <v>1285</v>
      </c>
    </row>
    <row r="443" spans="1:6" x14ac:dyDescent="0.25">
      <c r="A443">
        <v>8124044</v>
      </c>
      <c r="B443" t="s">
        <v>1392</v>
      </c>
    </row>
    <row r="444" spans="1:6" x14ac:dyDescent="0.25">
      <c r="A444">
        <v>8142949</v>
      </c>
      <c r="B444" t="s">
        <v>1285</v>
      </c>
    </row>
    <row r="445" spans="1:6" x14ac:dyDescent="0.25">
      <c r="A445">
        <v>9023306</v>
      </c>
      <c r="B445" t="s">
        <v>1392</v>
      </c>
    </row>
    <row r="446" spans="1:6" x14ac:dyDescent="0.25">
      <c r="A446">
        <v>9030615</v>
      </c>
      <c r="B446" t="s">
        <v>1392</v>
      </c>
    </row>
    <row r="447" spans="1:6" x14ac:dyDescent="0.25">
      <c r="A447">
        <v>9034464</v>
      </c>
      <c r="B447" t="s">
        <v>1408</v>
      </c>
    </row>
    <row r="448" spans="1:6" x14ac:dyDescent="0.25">
      <c r="A448">
        <v>9040167</v>
      </c>
      <c r="B448" t="s">
        <v>1362</v>
      </c>
    </row>
    <row r="449" spans="1:6" x14ac:dyDescent="0.25">
      <c r="A449">
        <v>9054567</v>
      </c>
      <c r="B449" t="s">
        <v>1285</v>
      </c>
    </row>
    <row r="450" spans="1:6" x14ac:dyDescent="0.25">
      <c r="A450">
        <v>9083682</v>
      </c>
      <c r="B450" t="s">
        <v>1285</v>
      </c>
    </row>
    <row r="451" spans="1:6" x14ac:dyDescent="0.25">
      <c r="A451">
        <v>9102044</v>
      </c>
      <c r="B451" t="s">
        <v>1285</v>
      </c>
    </row>
    <row r="452" spans="1:6" x14ac:dyDescent="0.25">
      <c r="A452">
        <v>9119854</v>
      </c>
      <c r="B452" t="s">
        <v>1285</v>
      </c>
    </row>
    <row r="453" spans="1:6" x14ac:dyDescent="0.25">
      <c r="A453">
        <v>9125126</v>
      </c>
      <c r="B453" t="s">
        <v>1285</v>
      </c>
    </row>
    <row r="454" spans="1:6" x14ac:dyDescent="0.25">
      <c r="A454" s="54">
        <v>9174811</v>
      </c>
      <c r="B454" t="s">
        <v>1285</v>
      </c>
      <c r="F454" s="54" t="s">
        <v>1423</v>
      </c>
    </row>
    <row r="455" spans="1:6" x14ac:dyDescent="0.25">
      <c r="A455" s="54">
        <v>10002875</v>
      </c>
      <c r="B455" t="s">
        <v>1285</v>
      </c>
      <c r="F455" s="54" t="s">
        <v>1423</v>
      </c>
    </row>
    <row r="456" spans="1:6" x14ac:dyDescent="0.25">
      <c r="A456">
        <v>10023080</v>
      </c>
      <c r="B456" t="s">
        <v>1285</v>
      </c>
    </row>
    <row r="457" spans="1:6" x14ac:dyDescent="0.25">
      <c r="A457" s="54">
        <v>10025212</v>
      </c>
      <c r="B457" t="s">
        <v>1285</v>
      </c>
    </row>
    <row r="458" spans="1:6" x14ac:dyDescent="0.25">
      <c r="A458">
        <v>10069407</v>
      </c>
      <c r="B458" t="s">
        <v>1285</v>
      </c>
    </row>
    <row r="459" spans="1:6" x14ac:dyDescent="0.25">
      <c r="A459">
        <v>10071135</v>
      </c>
      <c r="B459" t="s">
        <v>1354</v>
      </c>
    </row>
    <row r="460" spans="1:6" x14ac:dyDescent="0.25">
      <c r="A460">
        <v>10083649</v>
      </c>
      <c r="B460" t="s">
        <v>1392</v>
      </c>
    </row>
    <row r="461" spans="1:6" x14ac:dyDescent="0.25">
      <c r="A461">
        <v>10102021</v>
      </c>
      <c r="B461" t="s">
        <v>1392</v>
      </c>
    </row>
    <row r="462" spans="1:6" x14ac:dyDescent="0.25">
      <c r="A462">
        <v>10123729</v>
      </c>
      <c r="B462" t="s">
        <v>1285</v>
      </c>
    </row>
    <row r="463" spans="1:6" x14ac:dyDescent="0.25">
      <c r="A463">
        <v>10137498</v>
      </c>
      <c r="B463" t="s">
        <v>1392</v>
      </c>
    </row>
    <row r="464" spans="1:6" x14ac:dyDescent="0.25">
      <c r="A464">
        <v>10144736</v>
      </c>
      <c r="B464" t="s">
        <v>1285</v>
      </c>
    </row>
    <row r="465" spans="1:6" x14ac:dyDescent="0.25">
      <c r="A465" s="54">
        <v>10157275</v>
      </c>
      <c r="B465" t="s">
        <v>1392</v>
      </c>
      <c r="F465" s="54" t="s">
        <v>1423</v>
      </c>
    </row>
    <row r="466" spans="1:6" x14ac:dyDescent="0.25">
      <c r="A466">
        <v>10190869</v>
      </c>
      <c r="B466" t="s">
        <v>1409</v>
      </c>
    </row>
    <row r="467" spans="1:6" x14ac:dyDescent="0.25">
      <c r="A467">
        <v>11008417</v>
      </c>
      <c r="B467" t="s">
        <v>1285</v>
      </c>
    </row>
    <row r="468" spans="1:6" x14ac:dyDescent="0.25">
      <c r="A468">
        <v>11011791</v>
      </c>
      <c r="B468" t="s">
        <v>1359</v>
      </c>
    </row>
    <row r="469" spans="1:6" x14ac:dyDescent="0.25">
      <c r="A469">
        <v>11043926</v>
      </c>
      <c r="B469" t="s">
        <v>1359</v>
      </c>
    </row>
    <row r="470" spans="1:6" x14ac:dyDescent="0.25">
      <c r="A470">
        <v>11049060</v>
      </c>
      <c r="B470" t="s">
        <v>1410</v>
      </c>
    </row>
    <row r="471" spans="1:6" x14ac:dyDescent="0.25">
      <c r="A471">
        <v>11058012</v>
      </c>
      <c r="B471" t="s">
        <v>1392</v>
      </c>
    </row>
    <row r="472" spans="1:6" x14ac:dyDescent="0.25">
      <c r="A472">
        <v>11082290</v>
      </c>
      <c r="B472" t="s">
        <v>1359</v>
      </c>
    </row>
    <row r="473" spans="1:6" x14ac:dyDescent="0.25">
      <c r="A473">
        <v>11096431</v>
      </c>
      <c r="B473" t="s">
        <v>1411</v>
      </c>
    </row>
    <row r="474" spans="1:6" x14ac:dyDescent="0.25">
      <c r="A474">
        <v>11105672</v>
      </c>
      <c r="B474" t="s">
        <v>1285</v>
      </c>
    </row>
    <row r="475" spans="1:6" x14ac:dyDescent="0.25">
      <c r="A475" s="54">
        <v>11130494</v>
      </c>
      <c r="B475" t="s">
        <v>1285</v>
      </c>
    </row>
    <row r="476" spans="1:6" x14ac:dyDescent="0.25">
      <c r="A476">
        <v>11136262</v>
      </c>
      <c r="B476" t="s">
        <v>1392</v>
      </c>
    </row>
    <row r="477" spans="1:6" x14ac:dyDescent="0.25">
      <c r="A477">
        <v>11156782</v>
      </c>
      <c r="B477" t="s">
        <v>1285</v>
      </c>
    </row>
    <row r="478" spans="1:6" x14ac:dyDescent="0.25">
      <c r="A478">
        <v>11178455</v>
      </c>
      <c r="B478" t="s">
        <v>1285</v>
      </c>
    </row>
    <row r="479" spans="1:6" x14ac:dyDescent="0.25">
      <c r="A479">
        <v>11179526</v>
      </c>
      <c r="B479" t="s">
        <v>1285</v>
      </c>
    </row>
    <row r="480" spans="1:6" x14ac:dyDescent="0.25">
      <c r="A480" s="54">
        <v>11187511</v>
      </c>
      <c r="B480" t="s">
        <v>1392</v>
      </c>
    </row>
    <row r="481" spans="1:6" x14ac:dyDescent="0.25">
      <c r="A481">
        <v>11186565</v>
      </c>
      <c r="B481" t="s">
        <v>1285</v>
      </c>
    </row>
    <row r="482" spans="1:6" x14ac:dyDescent="0.25">
      <c r="A482">
        <v>11223290</v>
      </c>
      <c r="B482" t="s">
        <v>1349</v>
      </c>
    </row>
    <row r="483" spans="1:6" x14ac:dyDescent="0.25">
      <c r="A483">
        <v>11228365</v>
      </c>
      <c r="B483" t="s">
        <v>1285</v>
      </c>
    </row>
    <row r="484" spans="1:6" x14ac:dyDescent="0.25">
      <c r="A484">
        <v>11242475</v>
      </c>
      <c r="B484" t="s">
        <v>1354</v>
      </c>
    </row>
    <row r="485" spans="1:6" x14ac:dyDescent="0.25">
      <c r="A485" s="54">
        <v>12006392</v>
      </c>
      <c r="B485" t="s">
        <v>1354</v>
      </c>
    </row>
    <row r="486" spans="1:6" x14ac:dyDescent="0.25">
      <c r="A486">
        <v>12020246</v>
      </c>
      <c r="B486" t="s">
        <v>1392</v>
      </c>
    </row>
    <row r="487" spans="1:6" x14ac:dyDescent="0.25">
      <c r="A487">
        <v>12035138</v>
      </c>
      <c r="B487" t="s">
        <v>1392</v>
      </c>
    </row>
    <row r="488" spans="1:6" x14ac:dyDescent="0.25">
      <c r="A488" s="54">
        <v>12111578</v>
      </c>
      <c r="B488" t="s">
        <v>1392</v>
      </c>
    </row>
    <row r="489" spans="1:6" x14ac:dyDescent="0.25">
      <c r="A489" s="54">
        <v>12133434</v>
      </c>
      <c r="B489" t="s">
        <v>1392</v>
      </c>
      <c r="F489" s="54" t="s">
        <v>1423</v>
      </c>
    </row>
    <row r="490" spans="1:6" x14ac:dyDescent="0.25">
      <c r="A490">
        <v>12164268</v>
      </c>
      <c r="B490" t="s">
        <v>1413</v>
      </c>
    </row>
    <row r="491" spans="1:6" x14ac:dyDescent="0.25">
      <c r="A491">
        <v>12164269</v>
      </c>
      <c r="B491" t="s">
        <v>1362</v>
      </c>
    </row>
    <row r="492" spans="1:6" x14ac:dyDescent="0.25">
      <c r="A492">
        <v>12168562</v>
      </c>
      <c r="B492" t="s">
        <v>1392</v>
      </c>
    </row>
    <row r="493" spans="1:6" x14ac:dyDescent="0.25">
      <c r="A493">
        <v>12190939</v>
      </c>
      <c r="B493" t="s">
        <v>1413</v>
      </c>
    </row>
    <row r="494" spans="1:6" x14ac:dyDescent="0.25">
      <c r="A494">
        <v>12311081</v>
      </c>
      <c r="B494" t="s">
        <v>1285</v>
      </c>
    </row>
    <row r="495" spans="1:6" x14ac:dyDescent="0.25">
      <c r="A495">
        <v>13006749</v>
      </c>
      <c r="B495" t="s">
        <v>1392</v>
      </c>
    </row>
    <row r="497" spans="1:6" x14ac:dyDescent="0.25">
      <c r="A497" s="28" t="s">
        <v>1414</v>
      </c>
    </row>
    <row r="498" spans="1:6" x14ac:dyDescent="0.25">
      <c r="A498">
        <v>6012361</v>
      </c>
      <c r="B498" s="57" t="s">
        <v>1362</v>
      </c>
    </row>
    <row r="499" spans="1:6" x14ac:dyDescent="0.25">
      <c r="A499">
        <v>6015793</v>
      </c>
      <c r="B499" t="s">
        <v>1380</v>
      </c>
    </row>
    <row r="500" spans="1:6" x14ac:dyDescent="0.25">
      <c r="A500" s="54">
        <v>6064311</v>
      </c>
      <c r="B500" s="57" t="s">
        <v>1359</v>
      </c>
    </row>
    <row r="501" spans="1:6" x14ac:dyDescent="0.25">
      <c r="A501" s="54">
        <v>6081681</v>
      </c>
      <c r="B501" s="57" t="s">
        <v>1380</v>
      </c>
      <c r="F501" s="54" t="s">
        <v>1424</v>
      </c>
    </row>
    <row r="502" spans="1:6" x14ac:dyDescent="0.25">
      <c r="A502">
        <v>6043619</v>
      </c>
      <c r="B502" s="57" t="s">
        <v>1392</v>
      </c>
    </row>
    <row r="503" spans="1:6" x14ac:dyDescent="0.25">
      <c r="A503">
        <v>6058367</v>
      </c>
      <c r="B503" t="s">
        <v>1362</v>
      </c>
    </row>
    <row r="504" spans="1:6" x14ac:dyDescent="0.25">
      <c r="A504">
        <v>6058438</v>
      </c>
      <c r="B504" t="s">
        <v>1362</v>
      </c>
    </row>
    <row r="505" spans="1:6" x14ac:dyDescent="0.25">
      <c r="A505">
        <v>6058443</v>
      </c>
      <c r="B505" t="s">
        <v>1362</v>
      </c>
    </row>
    <row r="506" spans="1:6" x14ac:dyDescent="0.25">
      <c r="A506">
        <v>6058445</v>
      </c>
      <c r="B506" t="s">
        <v>1362</v>
      </c>
    </row>
    <row r="507" spans="1:6" x14ac:dyDescent="0.25">
      <c r="A507">
        <v>6058471</v>
      </c>
      <c r="B507" t="s">
        <v>1362</v>
      </c>
    </row>
    <row r="508" spans="1:6" x14ac:dyDescent="0.25">
      <c r="A508">
        <v>6058474</v>
      </c>
      <c r="B508" t="s">
        <v>1362</v>
      </c>
    </row>
    <row r="509" spans="1:6" x14ac:dyDescent="0.25">
      <c r="A509">
        <v>6058477</v>
      </c>
      <c r="B509" t="s">
        <v>1362</v>
      </c>
    </row>
    <row r="510" spans="1:6" x14ac:dyDescent="0.25">
      <c r="A510">
        <v>6058478</v>
      </c>
      <c r="B510" t="s">
        <v>1362</v>
      </c>
    </row>
    <row r="511" spans="1:6" x14ac:dyDescent="0.25">
      <c r="A511">
        <v>6058479</v>
      </c>
      <c r="B511" t="s">
        <v>1362</v>
      </c>
    </row>
    <row r="512" spans="1:6" x14ac:dyDescent="0.25">
      <c r="A512">
        <v>6058480</v>
      </c>
      <c r="B512" t="s">
        <v>1362</v>
      </c>
    </row>
    <row r="513" spans="1:2" x14ac:dyDescent="0.25">
      <c r="A513">
        <v>6058485</v>
      </c>
      <c r="B513" t="s">
        <v>1362</v>
      </c>
    </row>
    <row r="514" spans="1:2" x14ac:dyDescent="0.25">
      <c r="A514">
        <v>7001097</v>
      </c>
      <c r="B514" t="s">
        <v>1392</v>
      </c>
    </row>
    <row r="515" spans="1:2" x14ac:dyDescent="0.25">
      <c r="A515">
        <v>7011435</v>
      </c>
      <c r="B515" s="57" t="s">
        <v>1354</v>
      </c>
    </row>
    <row r="516" spans="1:2" x14ac:dyDescent="0.25">
      <c r="A516">
        <v>7045811</v>
      </c>
      <c r="B516" t="s">
        <v>1380</v>
      </c>
    </row>
    <row r="517" spans="1:2" x14ac:dyDescent="0.25">
      <c r="A517">
        <v>7065854</v>
      </c>
      <c r="B517" t="s">
        <v>1380</v>
      </c>
    </row>
    <row r="518" spans="1:2" x14ac:dyDescent="0.25">
      <c r="A518">
        <v>7066720</v>
      </c>
      <c r="B518" t="s">
        <v>1359</v>
      </c>
    </row>
    <row r="519" spans="1:2" x14ac:dyDescent="0.25">
      <c r="A519">
        <v>7071198</v>
      </c>
      <c r="B519" t="s">
        <v>1354</v>
      </c>
    </row>
    <row r="520" spans="1:2" x14ac:dyDescent="0.25">
      <c r="A520">
        <v>7101143</v>
      </c>
      <c r="B520" t="s">
        <v>1392</v>
      </c>
    </row>
    <row r="521" spans="1:2" x14ac:dyDescent="0.25">
      <c r="A521">
        <v>8019333</v>
      </c>
      <c r="B521" s="57" t="s">
        <v>1396</v>
      </c>
    </row>
    <row r="522" spans="1:2" x14ac:dyDescent="0.25">
      <c r="A522">
        <v>8055792</v>
      </c>
      <c r="B522" t="s">
        <v>1349</v>
      </c>
    </row>
    <row r="523" spans="1:2" x14ac:dyDescent="0.25">
      <c r="A523">
        <v>8055749</v>
      </c>
      <c r="B523" t="s">
        <v>1359</v>
      </c>
    </row>
    <row r="524" spans="1:2" x14ac:dyDescent="0.25">
      <c r="A524">
        <v>8058506</v>
      </c>
      <c r="B524" t="s">
        <v>1349</v>
      </c>
    </row>
    <row r="525" spans="1:2" x14ac:dyDescent="0.25">
      <c r="A525" s="54">
        <v>8065877</v>
      </c>
      <c r="B525" s="57" t="s">
        <v>1349</v>
      </c>
    </row>
    <row r="526" spans="1:2" x14ac:dyDescent="0.25">
      <c r="A526">
        <v>8064173</v>
      </c>
      <c r="B526" t="s">
        <v>1349</v>
      </c>
    </row>
    <row r="527" spans="1:2" x14ac:dyDescent="0.25">
      <c r="A527">
        <v>8073350</v>
      </c>
      <c r="B527" t="s">
        <v>1349</v>
      </c>
    </row>
    <row r="528" spans="1:2" x14ac:dyDescent="0.25">
      <c r="A528">
        <v>8073645</v>
      </c>
      <c r="B528" t="s">
        <v>1349</v>
      </c>
    </row>
    <row r="529" spans="1:2" x14ac:dyDescent="0.25">
      <c r="A529" s="54">
        <v>8089666</v>
      </c>
      <c r="B529" s="57" t="s">
        <v>1359</v>
      </c>
    </row>
    <row r="530" spans="1:2" x14ac:dyDescent="0.25">
      <c r="A530" s="54">
        <v>8103536</v>
      </c>
      <c r="B530" s="57" t="s">
        <v>1359</v>
      </c>
    </row>
    <row r="531" spans="1:2" x14ac:dyDescent="0.25">
      <c r="A531" s="54">
        <v>8124816</v>
      </c>
      <c r="B531" s="57" t="s">
        <v>1285</v>
      </c>
    </row>
    <row r="532" spans="1:2" x14ac:dyDescent="0.25">
      <c r="A532">
        <v>8141206</v>
      </c>
      <c r="B532" t="s">
        <v>1392</v>
      </c>
    </row>
    <row r="533" spans="1:2" x14ac:dyDescent="0.25">
      <c r="A533">
        <v>8148370</v>
      </c>
      <c r="B533" t="s">
        <v>1349</v>
      </c>
    </row>
    <row r="534" spans="1:2" x14ac:dyDescent="0.25">
      <c r="A534">
        <v>9003267</v>
      </c>
      <c r="B534" t="s">
        <v>1392</v>
      </c>
    </row>
    <row r="535" spans="1:2" x14ac:dyDescent="0.25">
      <c r="A535">
        <v>9036964</v>
      </c>
      <c r="B535" t="s">
        <v>1392</v>
      </c>
    </row>
    <row r="536" spans="1:2" x14ac:dyDescent="0.25">
      <c r="A536">
        <v>9090287</v>
      </c>
      <c r="B536" t="s">
        <v>1349</v>
      </c>
    </row>
    <row r="537" spans="1:2" x14ac:dyDescent="0.25">
      <c r="A537">
        <v>9095148</v>
      </c>
      <c r="B537" s="57" t="s">
        <v>1373</v>
      </c>
    </row>
    <row r="538" spans="1:2" x14ac:dyDescent="0.25">
      <c r="A538">
        <v>9104979</v>
      </c>
      <c r="B538" t="s">
        <v>1285</v>
      </c>
    </row>
    <row r="539" spans="1:2" x14ac:dyDescent="0.25">
      <c r="A539">
        <v>9109244</v>
      </c>
      <c r="B539" t="s">
        <v>1285</v>
      </c>
    </row>
    <row r="540" spans="1:2" x14ac:dyDescent="0.25">
      <c r="A540">
        <v>9130880</v>
      </c>
      <c r="B540" t="s">
        <v>1285</v>
      </c>
    </row>
    <row r="541" spans="1:2" x14ac:dyDescent="0.25">
      <c r="A541">
        <v>9139514</v>
      </c>
      <c r="B541" t="s">
        <v>1285</v>
      </c>
    </row>
    <row r="542" spans="1:2" x14ac:dyDescent="0.25">
      <c r="A542">
        <v>10020659</v>
      </c>
      <c r="B542" t="s">
        <v>1349</v>
      </c>
    </row>
    <row r="543" spans="1:2" x14ac:dyDescent="0.25">
      <c r="A543">
        <v>10025902</v>
      </c>
      <c r="B543" t="s">
        <v>1349</v>
      </c>
    </row>
    <row r="544" spans="1:2" x14ac:dyDescent="0.25">
      <c r="A544">
        <v>10027654</v>
      </c>
      <c r="B544" t="s">
        <v>1285</v>
      </c>
    </row>
    <row r="545" spans="1:2" x14ac:dyDescent="0.25">
      <c r="A545">
        <v>10084485</v>
      </c>
      <c r="B545" t="s">
        <v>1392</v>
      </c>
    </row>
    <row r="546" spans="1:2" x14ac:dyDescent="0.25">
      <c r="A546">
        <v>10098420</v>
      </c>
      <c r="B546" s="57" t="s">
        <v>1349</v>
      </c>
    </row>
    <row r="547" spans="1:2" x14ac:dyDescent="0.25">
      <c r="A547">
        <v>10129565</v>
      </c>
      <c r="B547" t="s">
        <v>1416</v>
      </c>
    </row>
    <row r="548" spans="1:2" x14ac:dyDescent="0.25">
      <c r="A548">
        <v>10146828</v>
      </c>
      <c r="B548" t="s">
        <v>1285</v>
      </c>
    </row>
    <row r="549" spans="1:2" x14ac:dyDescent="0.25">
      <c r="A549">
        <v>10163776</v>
      </c>
      <c r="B549" t="s">
        <v>1349</v>
      </c>
    </row>
    <row r="550" spans="1:2" x14ac:dyDescent="0.25">
      <c r="A550">
        <v>10173664</v>
      </c>
      <c r="B550" s="57" t="s">
        <v>1362</v>
      </c>
    </row>
    <row r="551" spans="1:2" x14ac:dyDescent="0.25">
      <c r="A551" s="54">
        <v>11000454</v>
      </c>
      <c r="B551" s="57" t="s">
        <v>1349</v>
      </c>
    </row>
    <row r="552" spans="1:2" x14ac:dyDescent="0.25">
      <c r="A552">
        <v>11034329</v>
      </c>
      <c r="B552" t="s">
        <v>1285</v>
      </c>
    </row>
    <row r="553" spans="1:2" x14ac:dyDescent="0.25">
      <c r="A553">
        <v>11083498</v>
      </c>
      <c r="B553" t="s">
        <v>1349</v>
      </c>
    </row>
    <row r="554" spans="1:2" x14ac:dyDescent="0.25">
      <c r="A554" s="54">
        <v>11138447</v>
      </c>
      <c r="B554" s="57" t="s">
        <v>1359</v>
      </c>
    </row>
    <row r="555" spans="1:2" x14ac:dyDescent="0.25">
      <c r="A555">
        <v>11144001</v>
      </c>
      <c r="B555" t="s">
        <v>1349</v>
      </c>
    </row>
    <row r="556" spans="1:2" x14ac:dyDescent="0.25">
      <c r="A556">
        <v>11187503</v>
      </c>
      <c r="B556" s="57" t="s">
        <v>1285</v>
      </c>
    </row>
    <row r="557" spans="1:2" x14ac:dyDescent="0.25">
      <c r="A557">
        <v>11224315</v>
      </c>
      <c r="B557" t="s">
        <v>1285</v>
      </c>
    </row>
    <row r="558" spans="1:2" x14ac:dyDescent="0.25">
      <c r="A558">
        <v>11231446</v>
      </c>
      <c r="B558" s="57" t="s">
        <v>1392</v>
      </c>
    </row>
    <row r="559" spans="1:2" x14ac:dyDescent="0.25">
      <c r="A559">
        <v>11241625</v>
      </c>
      <c r="B559" t="s">
        <v>1349</v>
      </c>
    </row>
    <row r="560" spans="1:2" x14ac:dyDescent="0.25">
      <c r="A560">
        <v>11243521</v>
      </c>
      <c r="B560" t="s">
        <v>1392</v>
      </c>
    </row>
    <row r="561" spans="1:2" x14ac:dyDescent="0.25">
      <c r="A561">
        <v>12021531</v>
      </c>
      <c r="B561" t="s">
        <v>1359</v>
      </c>
    </row>
    <row r="562" spans="1:2" x14ac:dyDescent="0.25">
      <c r="A562">
        <v>12118054</v>
      </c>
      <c r="B562" t="s">
        <v>1354</v>
      </c>
    </row>
    <row r="563" spans="1:2" x14ac:dyDescent="0.25">
      <c r="A563">
        <v>12185514</v>
      </c>
      <c r="B563" t="s">
        <v>1373</v>
      </c>
    </row>
    <row r="564" spans="1:2" x14ac:dyDescent="0.25">
      <c r="A564">
        <v>12188410</v>
      </c>
      <c r="B564" t="s">
        <v>1413</v>
      </c>
    </row>
    <row r="565" spans="1:2" x14ac:dyDescent="0.25">
      <c r="A565" s="54">
        <v>12202633</v>
      </c>
      <c r="B565" s="57" t="s">
        <v>1392</v>
      </c>
    </row>
    <row r="566" spans="1:2" x14ac:dyDescent="0.25">
      <c r="A566">
        <v>12261672</v>
      </c>
      <c r="B566" t="s">
        <v>1392</v>
      </c>
    </row>
    <row r="567" spans="1:2" x14ac:dyDescent="0.25">
      <c r="A567">
        <v>12311299</v>
      </c>
      <c r="B567" t="s">
        <v>1285</v>
      </c>
    </row>
    <row r="568" spans="1:2" x14ac:dyDescent="0.25">
      <c r="A568">
        <v>12325258</v>
      </c>
      <c r="B568" t="s">
        <v>1354</v>
      </c>
    </row>
    <row r="572" spans="1:2" x14ac:dyDescent="0.25">
      <c r="A572" s="54" t="s">
        <v>1425</v>
      </c>
    </row>
    <row r="573" spans="1:2" x14ac:dyDescent="0.25">
      <c r="A573" s="55" t="s">
        <v>1426</v>
      </c>
    </row>
    <row r="574" spans="1:2" x14ac:dyDescent="0.25">
      <c r="A574" s="57" t="s">
        <v>1427</v>
      </c>
    </row>
    <row r="575" spans="1:2" x14ac:dyDescent="0.25">
      <c r="A575" s="61" t="s">
        <v>1430</v>
      </c>
    </row>
    <row r="578" spans="1:5" x14ac:dyDescent="0.25">
      <c r="A578" s="18"/>
    </row>
    <row r="579" spans="1:5" x14ac:dyDescent="0.25">
      <c r="A579" s="18"/>
    </row>
    <row r="580" spans="1:5" x14ac:dyDescent="0.25">
      <c r="A580" s="18"/>
      <c r="C580" t="s">
        <v>1428</v>
      </c>
    </row>
    <row r="581" spans="1:5" x14ac:dyDescent="0.25">
      <c r="A581" s="58"/>
      <c r="C581" t="s">
        <v>1429</v>
      </c>
    </row>
    <row r="582" spans="1:5" x14ac:dyDescent="0.25">
      <c r="A582" s="58"/>
    </row>
    <row r="583" spans="1:5" x14ac:dyDescent="0.25">
      <c r="A583" s="58"/>
    </row>
    <row r="584" spans="1:5" x14ac:dyDescent="0.25">
      <c r="A584" s="58"/>
    </row>
    <row r="585" spans="1:5" x14ac:dyDescent="0.25">
      <c r="A585" s="58"/>
    </row>
    <row r="586" spans="1:5" x14ac:dyDescent="0.25">
      <c r="A586" s="58"/>
    </row>
    <row r="587" spans="1:5" x14ac:dyDescent="0.25">
      <c r="A587" s="58"/>
    </row>
    <row r="588" spans="1:5" x14ac:dyDescent="0.25">
      <c r="A588" s="58"/>
    </row>
    <row r="589" spans="1:5" x14ac:dyDescent="0.25">
      <c r="A589" s="58"/>
      <c r="C589" s="18" t="s">
        <v>1604</v>
      </c>
      <c r="D589" t="s">
        <v>1607</v>
      </c>
    </row>
    <row r="590" spans="1:5" x14ac:dyDescent="0.25">
      <c r="A590" s="58"/>
      <c r="C590" s="18" t="s">
        <v>1603</v>
      </c>
      <c r="D590" t="s">
        <v>1608</v>
      </c>
      <c r="E590" t="s">
        <v>1609</v>
      </c>
    </row>
    <row r="591" spans="1:5" x14ac:dyDescent="0.25">
      <c r="A591" s="58"/>
      <c r="C591" s="18" t="s">
        <v>1595</v>
      </c>
      <c r="D591" t="s">
        <v>1613</v>
      </c>
    </row>
    <row r="592" spans="1:5" x14ac:dyDescent="0.25">
      <c r="A592" s="58"/>
      <c r="C592" s="18" t="s">
        <v>1499</v>
      </c>
      <c r="D592" t="s">
        <v>1616</v>
      </c>
    </row>
    <row r="593" spans="1:4" x14ac:dyDescent="0.25">
      <c r="A593" s="58"/>
      <c r="C593" s="18" t="s">
        <v>1498</v>
      </c>
      <c r="D593" t="s">
        <v>1614</v>
      </c>
    </row>
    <row r="594" spans="1:4" x14ac:dyDescent="0.25">
      <c r="A594" s="58"/>
      <c r="C594" t="s">
        <v>1594</v>
      </c>
      <c r="D594" t="s">
        <v>1618</v>
      </c>
    </row>
    <row r="595" spans="1:4" x14ac:dyDescent="0.25">
      <c r="A595" s="58"/>
      <c r="C595" t="s">
        <v>1517</v>
      </c>
      <c r="D595" t="s">
        <v>961</v>
      </c>
    </row>
    <row r="596" spans="1:4" x14ac:dyDescent="0.25">
      <c r="A596" s="58"/>
      <c r="C596" t="s">
        <v>1500</v>
      </c>
    </row>
    <row r="597" spans="1:4" x14ac:dyDescent="0.25">
      <c r="A597" s="58"/>
      <c r="C597" t="s">
        <v>1482</v>
      </c>
      <c r="D597" t="s">
        <v>1611</v>
      </c>
    </row>
    <row r="598" spans="1:4" x14ac:dyDescent="0.25">
      <c r="A598" s="58"/>
      <c r="C598" t="s">
        <v>1497</v>
      </c>
      <c r="D598" t="s">
        <v>1619</v>
      </c>
    </row>
    <row r="599" spans="1:4" x14ac:dyDescent="0.25">
      <c r="A599" s="58"/>
      <c r="C599" t="s">
        <v>1610</v>
      </c>
    </row>
    <row r="600" spans="1:4" x14ac:dyDescent="0.25">
      <c r="A600" s="58"/>
      <c r="C600" t="s">
        <v>1612</v>
      </c>
      <c r="D600" t="s">
        <v>1615</v>
      </c>
    </row>
    <row r="601" spans="1:4" x14ac:dyDescent="0.25">
      <c r="A601" s="58"/>
      <c r="C601" s="71" t="s">
        <v>1639</v>
      </c>
    </row>
    <row r="602" spans="1:4" x14ac:dyDescent="0.25">
      <c r="A602" s="58"/>
    </row>
    <row r="603" spans="1:4" x14ac:dyDescent="0.25">
      <c r="A603" s="58"/>
      <c r="C603" t="s">
        <v>1605</v>
      </c>
      <c r="D603" t="s">
        <v>1620</v>
      </c>
    </row>
    <row r="604" spans="1:4" x14ac:dyDescent="0.25">
      <c r="A604" s="58"/>
      <c r="C604" t="s">
        <v>1606</v>
      </c>
      <c r="D604" t="s">
        <v>961</v>
      </c>
    </row>
    <row r="605" spans="1:4" x14ac:dyDescent="0.25">
      <c r="A605" s="58"/>
    </row>
    <row r="606" spans="1:4" x14ac:dyDescent="0.25">
      <c r="A606" s="58"/>
    </row>
    <row r="607" spans="1:4" x14ac:dyDescent="0.25">
      <c r="A607" s="58"/>
    </row>
    <row r="608" spans="1:4" x14ac:dyDescent="0.25">
      <c r="A608" s="58"/>
    </row>
    <row r="609" spans="1:1" x14ac:dyDescent="0.25">
      <c r="A609" s="58"/>
    </row>
    <row r="610" spans="1:1" x14ac:dyDescent="0.25">
      <c r="A610" s="58"/>
    </row>
    <row r="611" spans="1:1" x14ac:dyDescent="0.25">
      <c r="A611" s="58"/>
    </row>
    <row r="612" spans="1:1" x14ac:dyDescent="0.25">
      <c r="A612" s="58"/>
    </row>
    <row r="613" spans="1:1" x14ac:dyDescent="0.25">
      <c r="A613" s="58"/>
    </row>
    <row r="614" spans="1:1" x14ac:dyDescent="0.25">
      <c r="A614" s="58"/>
    </row>
    <row r="615" spans="1:1" x14ac:dyDescent="0.25">
      <c r="A615" s="58"/>
    </row>
    <row r="616" spans="1:1" x14ac:dyDescent="0.25">
      <c r="A616" s="58"/>
    </row>
    <row r="617" spans="1:1" x14ac:dyDescent="0.25">
      <c r="A617" s="58"/>
    </row>
    <row r="618" spans="1:1" x14ac:dyDescent="0.25">
      <c r="A618" s="58"/>
    </row>
    <row r="619" spans="1:1" x14ac:dyDescent="0.25">
      <c r="A619" s="58"/>
    </row>
    <row r="620" spans="1:1" x14ac:dyDescent="0.25">
      <c r="A620" s="58"/>
    </row>
    <row r="621" spans="1:1" x14ac:dyDescent="0.25">
      <c r="A621" s="58"/>
    </row>
    <row r="622" spans="1:1" x14ac:dyDescent="0.25">
      <c r="A622" s="58"/>
    </row>
    <row r="623" spans="1:1" x14ac:dyDescent="0.25">
      <c r="A623" s="58"/>
    </row>
    <row r="624" spans="1:1" x14ac:dyDescent="0.25">
      <c r="A624" s="58"/>
    </row>
    <row r="625" spans="1:1" x14ac:dyDescent="0.25">
      <c r="A625" s="59"/>
    </row>
    <row r="626" spans="1:1" x14ac:dyDescent="0.25">
      <c r="A626" s="58"/>
    </row>
    <row r="627" spans="1:1" x14ac:dyDescent="0.25">
      <c r="A627" s="58"/>
    </row>
    <row r="628" spans="1:1" x14ac:dyDescent="0.25">
      <c r="A628" s="58"/>
    </row>
    <row r="629" spans="1:1" x14ac:dyDescent="0.25">
      <c r="A629" s="58"/>
    </row>
    <row r="630" spans="1:1" x14ac:dyDescent="0.25">
      <c r="A630" s="58"/>
    </row>
    <row r="631" spans="1:1" x14ac:dyDescent="0.25">
      <c r="A631" s="58"/>
    </row>
    <row r="632" spans="1:1" x14ac:dyDescent="0.25">
      <c r="A632" s="58"/>
    </row>
    <row r="633" spans="1:1" x14ac:dyDescent="0.25">
      <c r="A633" s="58"/>
    </row>
    <row r="634" spans="1:1" x14ac:dyDescent="0.25">
      <c r="A634" s="58"/>
    </row>
    <row r="635" spans="1:1" x14ac:dyDescent="0.25">
      <c r="A635" s="58"/>
    </row>
    <row r="636" spans="1:1" x14ac:dyDescent="0.25">
      <c r="A636" s="58"/>
    </row>
    <row r="637" spans="1:1" x14ac:dyDescent="0.25">
      <c r="A637" s="58"/>
    </row>
    <row r="638" spans="1:1" x14ac:dyDescent="0.25">
      <c r="A638" s="58"/>
    </row>
    <row r="639" spans="1:1" x14ac:dyDescent="0.25">
      <c r="A639" s="58"/>
    </row>
    <row r="640" spans="1:1" x14ac:dyDescent="0.25">
      <c r="A640" s="58"/>
    </row>
    <row r="641" spans="1:1" x14ac:dyDescent="0.25">
      <c r="A641" s="58"/>
    </row>
    <row r="642" spans="1:1" x14ac:dyDescent="0.25">
      <c r="A642" s="58"/>
    </row>
    <row r="643" spans="1:1" x14ac:dyDescent="0.25">
      <c r="A643" s="58"/>
    </row>
    <row r="644" spans="1:1" x14ac:dyDescent="0.25">
      <c r="A644" s="58"/>
    </row>
    <row r="645" spans="1:1" x14ac:dyDescent="0.25">
      <c r="A645" s="58"/>
    </row>
    <row r="646" spans="1:1" x14ac:dyDescent="0.25">
      <c r="A646" s="58"/>
    </row>
    <row r="647" spans="1:1" x14ac:dyDescent="0.25">
      <c r="A647" s="58"/>
    </row>
    <row r="648" spans="1:1" x14ac:dyDescent="0.25">
      <c r="A648" s="58"/>
    </row>
    <row r="649" spans="1:1" x14ac:dyDescent="0.25">
      <c r="A649" s="58"/>
    </row>
    <row r="650" spans="1:1" x14ac:dyDescent="0.25">
      <c r="A650" s="58"/>
    </row>
    <row r="651" spans="1:1" x14ac:dyDescent="0.25">
      <c r="A651" s="58"/>
    </row>
    <row r="652" spans="1:1" x14ac:dyDescent="0.25">
      <c r="A652" s="58"/>
    </row>
    <row r="653" spans="1:1" x14ac:dyDescent="0.25">
      <c r="A653" s="58"/>
    </row>
    <row r="654" spans="1:1" x14ac:dyDescent="0.25">
      <c r="A654" s="58"/>
    </row>
    <row r="655" spans="1:1" x14ac:dyDescent="0.25">
      <c r="A655" s="58"/>
    </row>
    <row r="656" spans="1:1" x14ac:dyDescent="0.25">
      <c r="A656" s="58"/>
    </row>
    <row r="657" spans="1:1" x14ac:dyDescent="0.25">
      <c r="A657" s="58"/>
    </row>
    <row r="658" spans="1:1" x14ac:dyDescent="0.25">
      <c r="A658" s="58"/>
    </row>
    <row r="659" spans="1:1" x14ac:dyDescent="0.25">
      <c r="A659" s="58"/>
    </row>
    <row r="660" spans="1:1" x14ac:dyDescent="0.25">
      <c r="A660" s="58"/>
    </row>
    <row r="661" spans="1:1" x14ac:dyDescent="0.25">
      <c r="A661" s="58"/>
    </row>
    <row r="662" spans="1:1" x14ac:dyDescent="0.25">
      <c r="A662" s="58"/>
    </row>
    <row r="663" spans="1:1" x14ac:dyDescent="0.25">
      <c r="A663" s="58"/>
    </row>
    <row r="664" spans="1:1" x14ac:dyDescent="0.25">
      <c r="A664" s="58"/>
    </row>
    <row r="665" spans="1:1" x14ac:dyDescent="0.25">
      <c r="A665" s="58"/>
    </row>
    <row r="666" spans="1:1" x14ac:dyDescent="0.25">
      <c r="A666" s="58"/>
    </row>
    <row r="667" spans="1:1" x14ac:dyDescent="0.25">
      <c r="A667" s="58"/>
    </row>
    <row r="668" spans="1:1" x14ac:dyDescent="0.25">
      <c r="A668" s="58"/>
    </row>
    <row r="669" spans="1:1" x14ac:dyDescent="0.25">
      <c r="A669" s="58"/>
    </row>
    <row r="670" spans="1:1" x14ac:dyDescent="0.25">
      <c r="A670" s="58"/>
    </row>
    <row r="671" spans="1:1" x14ac:dyDescent="0.25">
      <c r="A671" s="58"/>
    </row>
    <row r="672" spans="1:1" x14ac:dyDescent="0.25">
      <c r="A672" s="58"/>
    </row>
    <row r="673" spans="1:1" x14ac:dyDescent="0.25">
      <c r="A673" s="58"/>
    </row>
    <row r="674" spans="1:1" x14ac:dyDescent="0.25">
      <c r="A674" s="58"/>
    </row>
    <row r="675" spans="1:1" x14ac:dyDescent="0.25">
      <c r="A675" s="58"/>
    </row>
    <row r="676" spans="1:1" x14ac:dyDescent="0.25">
      <c r="A676" s="58"/>
    </row>
    <row r="677" spans="1:1" x14ac:dyDescent="0.25">
      <c r="A677" s="58"/>
    </row>
    <row r="678" spans="1:1" x14ac:dyDescent="0.25">
      <c r="A678" s="58"/>
    </row>
    <row r="679" spans="1:1" x14ac:dyDescent="0.25">
      <c r="A679" s="58"/>
    </row>
    <row r="680" spans="1:1" x14ac:dyDescent="0.25">
      <c r="A680" s="58"/>
    </row>
    <row r="681" spans="1:1" x14ac:dyDescent="0.25">
      <c r="A681" s="58"/>
    </row>
    <row r="682" spans="1:1" x14ac:dyDescent="0.25">
      <c r="A682" s="58"/>
    </row>
    <row r="683" spans="1:1" x14ac:dyDescent="0.25">
      <c r="A683" s="58"/>
    </row>
    <row r="684" spans="1:1" x14ac:dyDescent="0.25">
      <c r="A684" s="58"/>
    </row>
    <row r="685" spans="1:1" x14ac:dyDescent="0.25">
      <c r="A685" s="58"/>
    </row>
    <row r="686" spans="1:1" x14ac:dyDescent="0.25">
      <c r="A686" s="58"/>
    </row>
    <row r="687" spans="1:1" x14ac:dyDescent="0.25">
      <c r="A687" s="58"/>
    </row>
    <row r="688" spans="1:1" x14ac:dyDescent="0.25">
      <c r="A688" s="58"/>
    </row>
    <row r="689" spans="1:1" x14ac:dyDescent="0.25">
      <c r="A689" s="58"/>
    </row>
    <row r="690" spans="1:1" x14ac:dyDescent="0.25">
      <c r="A690" s="58"/>
    </row>
    <row r="691" spans="1:1" x14ac:dyDescent="0.25">
      <c r="A691" s="58"/>
    </row>
    <row r="692" spans="1:1" x14ac:dyDescent="0.25">
      <c r="A692" s="58"/>
    </row>
    <row r="693" spans="1:1" x14ac:dyDescent="0.25">
      <c r="A693" s="58"/>
    </row>
    <row r="694" spans="1:1" x14ac:dyDescent="0.25">
      <c r="A694" s="58"/>
    </row>
    <row r="695" spans="1:1" x14ac:dyDescent="0.25">
      <c r="A695" s="58"/>
    </row>
    <row r="696" spans="1:1" x14ac:dyDescent="0.25">
      <c r="A696" s="58"/>
    </row>
    <row r="697" spans="1:1" x14ac:dyDescent="0.25">
      <c r="A697" s="58"/>
    </row>
    <row r="698" spans="1:1" x14ac:dyDescent="0.25">
      <c r="A698" s="58"/>
    </row>
    <row r="699" spans="1:1" x14ac:dyDescent="0.25">
      <c r="A699" s="58"/>
    </row>
    <row r="700" spans="1:1" x14ac:dyDescent="0.25">
      <c r="A700" s="58"/>
    </row>
    <row r="701" spans="1:1" x14ac:dyDescent="0.25">
      <c r="A701" s="58"/>
    </row>
    <row r="702" spans="1:1" x14ac:dyDescent="0.25">
      <c r="A702" s="58"/>
    </row>
    <row r="703" spans="1:1" x14ac:dyDescent="0.25">
      <c r="A703" s="58"/>
    </row>
    <row r="704" spans="1:1" x14ac:dyDescent="0.25">
      <c r="A704" s="58"/>
    </row>
    <row r="705" spans="1:1" x14ac:dyDescent="0.25">
      <c r="A705" s="58"/>
    </row>
    <row r="706" spans="1:1" x14ac:dyDescent="0.25">
      <c r="A706" s="58"/>
    </row>
    <row r="707" spans="1:1" x14ac:dyDescent="0.25">
      <c r="A707" s="58"/>
    </row>
    <row r="708" spans="1:1" x14ac:dyDescent="0.25">
      <c r="A708" s="58"/>
    </row>
    <row r="709" spans="1:1" x14ac:dyDescent="0.25">
      <c r="A709" s="58"/>
    </row>
    <row r="710" spans="1:1" x14ac:dyDescent="0.25">
      <c r="A710" s="58"/>
    </row>
    <row r="711" spans="1:1" x14ac:dyDescent="0.25">
      <c r="A711" s="58"/>
    </row>
    <row r="712" spans="1:1" x14ac:dyDescent="0.25">
      <c r="A712" s="58"/>
    </row>
    <row r="713" spans="1:1" x14ac:dyDescent="0.25">
      <c r="A713" s="58"/>
    </row>
    <row r="714" spans="1:1" x14ac:dyDescent="0.25">
      <c r="A714" s="58"/>
    </row>
    <row r="715" spans="1:1" x14ac:dyDescent="0.25">
      <c r="A715" s="58"/>
    </row>
    <row r="716" spans="1:1" x14ac:dyDescent="0.25">
      <c r="A716" s="58"/>
    </row>
    <row r="717" spans="1:1" x14ac:dyDescent="0.25">
      <c r="A717" s="58"/>
    </row>
    <row r="718" spans="1:1" x14ac:dyDescent="0.25">
      <c r="A718" s="58"/>
    </row>
    <row r="719" spans="1:1" x14ac:dyDescent="0.25">
      <c r="A719" s="58"/>
    </row>
    <row r="720" spans="1:1" x14ac:dyDescent="0.25">
      <c r="A720" s="58"/>
    </row>
    <row r="721" spans="1:1" x14ac:dyDescent="0.25">
      <c r="A721" s="58"/>
    </row>
    <row r="722" spans="1:1" x14ac:dyDescent="0.25">
      <c r="A722" s="58"/>
    </row>
    <row r="723" spans="1:1" x14ac:dyDescent="0.25">
      <c r="A723" s="58"/>
    </row>
    <row r="724" spans="1:1" x14ac:dyDescent="0.25">
      <c r="A724" s="58"/>
    </row>
    <row r="725" spans="1:1" x14ac:dyDescent="0.25">
      <c r="A725" s="58"/>
    </row>
    <row r="726" spans="1:1" x14ac:dyDescent="0.25">
      <c r="A726" s="58"/>
    </row>
    <row r="727" spans="1:1" x14ac:dyDescent="0.25">
      <c r="A727" s="58"/>
    </row>
    <row r="728" spans="1:1" x14ac:dyDescent="0.25">
      <c r="A728" s="58"/>
    </row>
    <row r="729" spans="1:1" x14ac:dyDescent="0.25">
      <c r="A729" s="58"/>
    </row>
    <row r="730" spans="1:1" x14ac:dyDescent="0.25">
      <c r="A730" s="58"/>
    </row>
    <row r="731" spans="1:1" x14ac:dyDescent="0.25">
      <c r="A731" s="58"/>
    </row>
    <row r="732" spans="1:1" x14ac:dyDescent="0.25">
      <c r="A732" s="58"/>
    </row>
    <row r="733" spans="1:1" x14ac:dyDescent="0.25">
      <c r="A733" s="58"/>
    </row>
    <row r="734" spans="1:1" x14ac:dyDescent="0.25">
      <c r="A734" s="58"/>
    </row>
    <row r="735" spans="1:1" x14ac:dyDescent="0.25">
      <c r="A735" s="58"/>
    </row>
    <row r="736" spans="1:1" x14ac:dyDescent="0.25">
      <c r="A736" s="58"/>
    </row>
    <row r="737" spans="1:1" x14ac:dyDescent="0.25">
      <c r="A737" s="58"/>
    </row>
    <row r="738" spans="1:1" x14ac:dyDescent="0.25">
      <c r="A738" s="58"/>
    </row>
    <row r="739" spans="1:1" x14ac:dyDescent="0.25">
      <c r="A739" s="58"/>
    </row>
    <row r="740" spans="1:1" x14ac:dyDescent="0.25">
      <c r="A740" s="58"/>
    </row>
    <row r="741" spans="1:1" x14ac:dyDescent="0.25">
      <c r="A741" s="58"/>
    </row>
    <row r="742" spans="1:1" x14ac:dyDescent="0.25">
      <c r="A742" s="58"/>
    </row>
    <row r="743" spans="1:1" x14ac:dyDescent="0.25">
      <c r="A743" s="58"/>
    </row>
    <row r="744" spans="1:1" x14ac:dyDescent="0.25">
      <c r="A744" s="58"/>
    </row>
    <row r="745" spans="1:1" x14ac:dyDescent="0.25">
      <c r="A745" s="58"/>
    </row>
    <row r="746" spans="1:1" x14ac:dyDescent="0.25">
      <c r="A746" s="58"/>
    </row>
    <row r="747" spans="1:1" x14ac:dyDescent="0.25">
      <c r="A747" s="58"/>
    </row>
    <row r="748" spans="1:1" x14ac:dyDescent="0.25">
      <c r="A748" s="58"/>
    </row>
    <row r="749" spans="1:1" x14ac:dyDescent="0.25">
      <c r="A749" s="58"/>
    </row>
    <row r="750" spans="1:1" x14ac:dyDescent="0.25">
      <c r="A750" s="58"/>
    </row>
    <row r="751" spans="1:1" x14ac:dyDescent="0.25">
      <c r="A751" s="58"/>
    </row>
    <row r="752" spans="1:1" x14ac:dyDescent="0.25">
      <c r="A752" s="58"/>
    </row>
    <row r="753" spans="1:1" x14ac:dyDescent="0.25">
      <c r="A753" s="58"/>
    </row>
    <row r="754" spans="1:1" x14ac:dyDescent="0.25">
      <c r="A754" s="58"/>
    </row>
    <row r="755" spans="1:1" x14ac:dyDescent="0.25">
      <c r="A755" s="58"/>
    </row>
    <row r="756" spans="1:1" x14ac:dyDescent="0.25">
      <c r="A756" s="58"/>
    </row>
    <row r="757" spans="1:1" x14ac:dyDescent="0.25">
      <c r="A757" s="58"/>
    </row>
    <row r="758" spans="1:1" x14ac:dyDescent="0.25">
      <c r="A758" s="58"/>
    </row>
    <row r="759" spans="1:1" x14ac:dyDescent="0.25">
      <c r="A759" s="58"/>
    </row>
    <row r="760" spans="1:1" x14ac:dyDescent="0.25">
      <c r="A760" s="58"/>
    </row>
    <row r="761" spans="1:1" x14ac:dyDescent="0.25">
      <c r="A761" s="58"/>
    </row>
    <row r="762" spans="1:1" x14ac:dyDescent="0.25">
      <c r="A762" s="58"/>
    </row>
    <row r="763" spans="1:1" x14ac:dyDescent="0.25">
      <c r="A763" s="58"/>
    </row>
    <row r="764" spans="1:1" x14ac:dyDescent="0.25">
      <c r="A764" s="58"/>
    </row>
    <row r="765" spans="1:1" x14ac:dyDescent="0.25">
      <c r="A765" s="58"/>
    </row>
    <row r="766" spans="1:1" x14ac:dyDescent="0.25">
      <c r="A766" s="58"/>
    </row>
    <row r="767" spans="1:1" x14ac:dyDescent="0.25">
      <c r="A767" s="58"/>
    </row>
    <row r="768" spans="1:1" x14ac:dyDescent="0.25">
      <c r="A768" s="58"/>
    </row>
    <row r="769" spans="1:1" x14ac:dyDescent="0.25">
      <c r="A769" s="58"/>
    </row>
    <row r="770" spans="1:1" x14ac:dyDescent="0.25">
      <c r="A770" s="58"/>
    </row>
    <row r="771" spans="1:1" x14ac:dyDescent="0.25">
      <c r="A771" s="58"/>
    </row>
    <row r="772" spans="1:1" x14ac:dyDescent="0.25">
      <c r="A772" s="58"/>
    </row>
    <row r="773" spans="1:1" x14ac:dyDescent="0.25">
      <c r="A773" s="58"/>
    </row>
    <row r="774" spans="1:1" x14ac:dyDescent="0.25">
      <c r="A774" s="58"/>
    </row>
    <row r="775" spans="1:1" x14ac:dyDescent="0.25">
      <c r="A775" s="58"/>
    </row>
    <row r="776" spans="1:1" x14ac:dyDescent="0.25">
      <c r="A776" s="58"/>
    </row>
    <row r="777" spans="1:1" x14ac:dyDescent="0.25">
      <c r="A777" s="58"/>
    </row>
    <row r="778" spans="1:1" x14ac:dyDescent="0.25">
      <c r="A778" s="58"/>
    </row>
    <row r="779" spans="1:1" x14ac:dyDescent="0.25">
      <c r="A779" s="58"/>
    </row>
    <row r="780" spans="1:1" x14ac:dyDescent="0.25">
      <c r="A780" s="58"/>
    </row>
    <row r="781" spans="1:1" x14ac:dyDescent="0.25">
      <c r="A781" s="58"/>
    </row>
    <row r="782" spans="1:1" x14ac:dyDescent="0.25">
      <c r="A782" s="58"/>
    </row>
    <row r="783" spans="1:1" x14ac:dyDescent="0.25">
      <c r="A783" s="58"/>
    </row>
    <row r="784" spans="1:1" x14ac:dyDescent="0.25">
      <c r="A784" s="58"/>
    </row>
    <row r="785" spans="1:1" x14ac:dyDescent="0.25">
      <c r="A785" s="58"/>
    </row>
    <row r="786" spans="1:1" x14ac:dyDescent="0.25">
      <c r="A786" s="58"/>
    </row>
    <row r="787" spans="1:1" x14ac:dyDescent="0.25">
      <c r="A787" s="58"/>
    </row>
    <row r="788" spans="1:1" x14ac:dyDescent="0.25">
      <c r="A788" s="58"/>
    </row>
    <row r="789" spans="1:1" x14ac:dyDescent="0.25">
      <c r="A789" s="58"/>
    </row>
    <row r="790" spans="1:1" x14ac:dyDescent="0.25">
      <c r="A790" s="58"/>
    </row>
    <row r="791" spans="1:1" x14ac:dyDescent="0.25">
      <c r="A791" s="58"/>
    </row>
    <row r="792" spans="1:1" x14ac:dyDescent="0.25">
      <c r="A792" s="58"/>
    </row>
    <row r="793" spans="1:1" x14ac:dyDescent="0.25">
      <c r="A793" s="58"/>
    </row>
    <row r="794" spans="1:1" x14ac:dyDescent="0.25">
      <c r="A794" s="58"/>
    </row>
    <row r="795" spans="1:1" x14ac:dyDescent="0.25">
      <c r="A795" s="58"/>
    </row>
    <row r="796" spans="1:1" x14ac:dyDescent="0.25">
      <c r="A796" s="58"/>
    </row>
    <row r="797" spans="1:1" x14ac:dyDescent="0.25">
      <c r="A797" s="58"/>
    </row>
    <row r="798" spans="1:1" x14ac:dyDescent="0.25">
      <c r="A798" s="58"/>
    </row>
    <row r="799" spans="1:1" x14ac:dyDescent="0.25">
      <c r="A799" s="58"/>
    </row>
    <row r="800" spans="1:1" x14ac:dyDescent="0.25">
      <c r="A800" s="58"/>
    </row>
    <row r="801" spans="1:1" x14ac:dyDescent="0.25">
      <c r="A801" s="58"/>
    </row>
    <row r="802" spans="1:1" x14ac:dyDescent="0.25">
      <c r="A802" s="58"/>
    </row>
    <row r="803" spans="1:1" x14ac:dyDescent="0.25">
      <c r="A803" s="58"/>
    </row>
    <row r="804" spans="1:1" x14ac:dyDescent="0.25">
      <c r="A804" s="58"/>
    </row>
    <row r="805" spans="1:1" x14ac:dyDescent="0.25">
      <c r="A805" s="58"/>
    </row>
    <row r="806" spans="1:1" x14ac:dyDescent="0.25">
      <c r="A806" s="58"/>
    </row>
    <row r="807" spans="1:1" x14ac:dyDescent="0.25">
      <c r="A807" s="58"/>
    </row>
    <row r="808" spans="1:1" x14ac:dyDescent="0.25">
      <c r="A808" s="58"/>
    </row>
    <row r="809" spans="1:1" x14ac:dyDescent="0.25">
      <c r="A809" s="58"/>
    </row>
    <row r="810" spans="1:1" x14ac:dyDescent="0.25">
      <c r="A810" s="58"/>
    </row>
    <row r="811" spans="1:1" x14ac:dyDescent="0.25">
      <c r="A811" s="58"/>
    </row>
    <row r="812" spans="1:1" x14ac:dyDescent="0.25">
      <c r="A812" s="58"/>
    </row>
    <row r="813" spans="1:1" x14ac:dyDescent="0.25">
      <c r="A813" s="58"/>
    </row>
    <row r="814" spans="1:1" x14ac:dyDescent="0.25">
      <c r="A814" s="58"/>
    </row>
    <row r="815" spans="1:1" x14ac:dyDescent="0.25">
      <c r="A815" s="58"/>
    </row>
    <row r="816" spans="1:1" x14ac:dyDescent="0.25">
      <c r="A816" s="58"/>
    </row>
    <row r="817" spans="1:1" x14ac:dyDescent="0.25">
      <c r="A817" s="58"/>
    </row>
    <row r="818" spans="1:1" x14ac:dyDescent="0.25">
      <c r="A818" s="58"/>
    </row>
    <row r="819" spans="1:1" x14ac:dyDescent="0.25">
      <c r="A819" s="58"/>
    </row>
    <row r="820" spans="1:1" x14ac:dyDescent="0.25">
      <c r="A820" s="58"/>
    </row>
    <row r="821" spans="1:1" x14ac:dyDescent="0.25">
      <c r="A821" s="58"/>
    </row>
    <row r="822" spans="1:1" x14ac:dyDescent="0.25">
      <c r="A822" s="58"/>
    </row>
    <row r="823" spans="1:1" x14ac:dyDescent="0.25">
      <c r="A823" s="58"/>
    </row>
    <row r="824" spans="1:1" x14ac:dyDescent="0.25">
      <c r="A824" s="58"/>
    </row>
    <row r="825" spans="1:1" x14ac:dyDescent="0.25">
      <c r="A825" s="58"/>
    </row>
    <row r="826" spans="1:1" x14ac:dyDescent="0.25">
      <c r="A826" s="58"/>
    </row>
    <row r="827" spans="1:1" x14ac:dyDescent="0.25">
      <c r="A827" s="58"/>
    </row>
    <row r="828" spans="1:1" x14ac:dyDescent="0.25">
      <c r="A828" s="58"/>
    </row>
    <row r="829" spans="1:1" x14ac:dyDescent="0.25">
      <c r="A829" s="58"/>
    </row>
    <row r="830" spans="1:1" x14ac:dyDescent="0.25">
      <c r="A830" s="58"/>
    </row>
    <row r="831" spans="1:1" x14ac:dyDescent="0.25">
      <c r="A831" s="58"/>
    </row>
    <row r="832" spans="1:1" x14ac:dyDescent="0.25">
      <c r="A832" s="58"/>
    </row>
    <row r="833" spans="1:1" x14ac:dyDescent="0.25">
      <c r="A833" s="58"/>
    </row>
    <row r="834" spans="1:1" x14ac:dyDescent="0.25">
      <c r="A834" s="58"/>
    </row>
    <row r="835" spans="1:1" x14ac:dyDescent="0.25">
      <c r="A835" s="58"/>
    </row>
    <row r="836" spans="1:1" x14ac:dyDescent="0.25">
      <c r="A836" s="58"/>
    </row>
    <row r="837" spans="1:1" x14ac:dyDescent="0.25">
      <c r="A837" s="58"/>
    </row>
    <row r="838" spans="1:1" x14ac:dyDescent="0.25">
      <c r="A838" s="58"/>
    </row>
    <row r="839" spans="1:1" x14ac:dyDescent="0.25">
      <c r="A839" s="58"/>
    </row>
    <row r="840" spans="1:1" x14ac:dyDescent="0.25">
      <c r="A840" s="58"/>
    </row>
    <row r="841" spans="1:1" x14ac:dyDescent="0.25">
      <c r="A841" s="58"/>
    </row>
    <row r="842" spans="1:1" x14ac:dyDescent="0.25">
      <c r="A842" s="58"/>
    </row>
    <row r="843" spans="1:1" x14ac:dyDescent="0.25">
      <c r="A843" s="58"/>
    </row>
    <row r="844" spans="1:1" x14ac:dyDescent="0.25">
      <c r="A844" s="58"/>
    </row>
    <row r="845" spans="1:1" x14ac:dyDescent="0.25">
      <c r="A845" s="58"/>
    </row>
    <row r="846" spans="1:1" x14ac:dyDescent="0.25">
      <c r="A846" s="58"/>
    </row>
    <row r="847" spans="1:1" x14ac:dyDescent="0.25">
      <c r="A847" s="58"/>
    </row>
    <row r="848" spans="1:1" x14ac:dyDescent="0.25">
      <c r="A848" s="58"/>
    </row>
    <row r="849" spans="1:1" x14ac:dyDescent="0.25">
      <c r="A849" s="58"/>
    </row>
    <row r="850" spans="1:1" x14ac:dyDescent="0.25">
      <c r="A850" s="58"/>
    </row>
    <row r="851" spans="1:1" x14ac:dyDescent="0.25">
      <c r="A851" s="58"/>
    </row>
    <row r="852" spans="1:1" x14ac:dyDescent="0.25">
      <c r="A852" s="58"/>
    </row>
    <row r="853" spans="1:1" x14ac:dyDescent="0.25">
      <c r="A853" s="58"/>
    </row>
    <row r="854" spans="1:1" x14ac:dyDescent="0.25">
      <c r="A854" s="58"/>
    </row>
    <row r="855" spans="1:1" x14ac:dyDescent="0.25">
      <c r="A855" s="58"/>
    </row>
    <row r="856" spans="1:1" x14ac:dyDescent="0.25">
      <c r="A856" s="58"/>
    </row>
    <row r="857" spans="1:1" x14ac:dyDescent="0.25">
      <c r="A857" s="58"/>
    </row>
    <row r="858" spans="1:1" x14ac:dyDescent="0.25">
      <c r="A858" s="58"/>
    </row>
    <row r="859" spans="1:1" x14ac:dyDescent="0.25">
      <c r="A859" s="58"/>
    </row>
    <row r="860" spans="1:1" x14ac:dyDescent="0.25">
      <c r="A860" s="58"/>
    </row>
    <row r="861" spans="1:1" x14ac:dyDescent="0.25">
      <c r="A861" s="58"/>
    </row>
    <row r="862" spans="1:1" x14ac:dyDescent="0.25">
      <c r="A862" s="58"/>
    </row>
    <row r="863" spans="1:1" x14ac:dyDescent="0.25">
      <c r="A863" s="58"/>
    </row>
    <row r="864" spans="1:1" x14ac:dyDescent="0.25">
      <c r="A864" s="58"/>
    </row>
    <row r="865" spans="1:1" x14ac:dyDescent="0.25">
      <c r="A865" s="58"/>
    </row>
    <row r="866" spans="1:1" x14ac:dyDescent="0.25">
      <c r="A866" s="58"/>
    </row>
    <row r="867" spans="1:1" x14ac:dyDescent="0.25">
      <c r="A867" s="58"/>
    </row>
    <row r="868" spans="1:1" x14ac:dyDescent="0.25">
      <c r="A868" s="58"/>
    </row>
    <row r="869" spans="1:1" x14ac:dyDescent="0.25">
      <c r="A869" s="58"/>
    </row>
    <row r="870" spans="1:1" x14ac:dyDescent="0.25">
      <c r="A870" s="58"/>
    </row>
    <row r="871" spans="1:1" x14ac:dyDescent="0.25">
      <c r="A871" s="58"/>
    </row>
    <row r="872" spans="1:1" x14ac:dyDescent="0.25">
      <c r="A872" s="58"/>
    </row>
    <row r="873" spans="1:1" x14ac:dyDescent="0.25">
      <c r="A873" s="58"/>
    </row>
    <row r="874" spans="1:1" x14ac:dyDescent="0.25">
      <c r="A874" s="58"/>
    </row>
    <row r="875" spans="1:1" x14ac:dyDescent="0.25">
      <c r="A875" s="58"/>
    </row>
    <row r="876" spans="1:1" x14ac:dyDescent="0.25">
      <c r="A876" s="58"/>
    </row>
    <row r="877" spans="1:1" x14ac:dyDescent="0.25">
      <c r="A877" s="58"/>
    </row>
    <row r="878" spans="1:1" x14ac:dyDescent="0.25">
      <c r="A878" s="58"/>
    </row>
    <row r="879" spans="1:1" x14ac:dyDescent="0.25">
      <c r="A879" s="58"/>
    </row>
    <row r="880" spans="1:1" x14ac:dyDescent="0.25">
      <c r="A880" s="58"/>
    </row>
    <row r="881" spans="1:1" x14ac:dyDescent="0.25">
      <c r="A881" s="58"/>
    </row>
    <row r="882" spans="1:1" x14ac:dyDescent="0.25">
      <c r="A882" s="58"/>
    </row>
    <row r="883" spans="1:1" x14ac:dyDescent="0.25">
      <c r="A883" s="58"/>
    </row>
    <row r="884" spans="1:1" x14ac:dyDescent="0.25">
      <c r="A884" s="58"/>
    </row>
    <row r="885" spans="1:1" x14ac:dyDescent="0.25">
      <c r="A885" s="58"/>
    </row>
    <row r="886" spans="1:1" x14ac:dyDescent="0.25">
      <c r="A886" s="58"/>
    </row>
    <row r="887" spans="1:1" x14ac:dyDescent="0.25">
      <c r="A887" s="58"/>
    </row>
    <row r="888" spans="1:1" x14ac:dyDescent="0.25">
      <c r="A888" s="58"/>
    </row>
    <row r="889" spans="1:1" x14ac:dyDescent="0.25">
      <c r="A889" s="58"/>
    </row>
    <row r="890" spans="1:1" x14ac:dyDescent="0.25">
      <c r="A890" s="58"/>
    </row>
    <row r="891" spans="1:1" x14ac:dyDescent="0.25">
      <c r="A891" s="58"/>
    </row>
    <row r="892" spans="1:1" x14ac:dyDescent="0.25">
      <c r="A892" s="58"/>
    </row>
    <row r="893" spans="1:1" x14ac:dyDescent="0.25">
      <c r="A893" s="58"/>
    </row>
    <row r="894" spans="1:1" x14ac:dyDescent="0.25">
      <c r="A894" s="58"/>
    </row>
    <row r="895" spans="1:1" x14ac:dyDescent="0.25">
      <c r="A895" s="58"/>
    </row>
    <row r="896" spans="1:1" x14ac:dyDescent="0.25">
      <c r="A896" s="58"/>
    </row>
    <row r="897" spans="1:1" x14ac:dyDescent="0.25">
      <c r="A897" s="58"/>
    </row>
    <row r="898" spans="1:1" x14ac:dyDescent="0.25">
      <c r="A898" s="59"/>
    </row>
    <row r="899" spans="1:1" x14ac:dyDescent="0.25">
      <c r="A899" s="58"/>
    </row>
    <row r="900" spans="1:1" x14ac:dyDescent="0.25">
      <c r="A900" s="58"/>
    </row>
    <row r="901" spans="1:1" x14ac:dyDescent="0.25">
      <c r="A901" s="58"/>
    </row>
    <row r="902" spans="1:1" x14ac:dyDescent="0.25">
      <c r="A902" s="58"/>
    </row>
    <row r="903" spans="1:1" x14ac:dyDescent="0.25">
      <c r="A903" s="58"/>
    </row>
    <row r="904" spans="1:1" x14ac:dyDescent="0.25">
      <c r="A904" s="58"/>
    </row>
    <row r="905" spans="1:1" x14ac:dyDescent="0.25">
      <c r="A905" s="58"/>
    </row>
    <row r="906" spans="1:1" x14ac:dyDescent="0.25">
      <c r="A906" s="58"/>
    </row>
    <row r="907" spans="1:1" x14ac:dyDescent="0.25">
      <c r="A907" s="58"/>
    </row>
    <row r="908" spans="1:1" x14ac:dyDescent="0.25">
      <c r="A908" s="58"/>
    </row>
    <row r="909" spans="1:1" x14ac:dyDescent="0.25">
      <c r="A909" s="58"/>
    </row>
    <row r="910" spans="1:1" x14ac:dyDescent="0.25">
      <c r="A910" s="58"/>
    </row>
    <row r="911" spans="1:1" x14ac:dyDescent="0.25">
      <c r="A911" s="58"/>
    </row>
    <row r="912" spans="1:1" x14ac:dyDescent="0.25">
      <c r="A912" s="58"/>
    </row>
    <row r="913" spans="1:1" x14ac:dyDescent="0.25">
      <c r="A913" s="58"/>
    </row>
    <row r="914" spans="1:1" x14ac:dyDescent="0.25">
      <c r="A914" s="58"/>
    </row>
    <row r="915" spans="1:1" x14ac:dyDescent="0.25">
      <c r="A915" s="58"/>
    </row>
    <row r="916" spans="1:1" x14ac:dyDescent="0.25">
      <c r="A916" s="58"/>
    </row>
    <row r="917" spans="1:1" x14ac:dyDescent="0.25">
      <c r="A917" s="58"/>
    </row>
    <row r="918" spans="1:1" x14ac:dyDescent="0.25">
      <c r="A918" s="58"/>
    </row>
    <row r="919" spans="1:1" x14ac:dyDescent="0.25">
      <c r="A919" s="58"/>
    </row>
    <row r="920" spans="1:1" x14ac:dyDescent="0.25">
      <c r="A920" s="58"/>
    </row>
    <row r="921" spans="1:1" x14ac:dyDescent="0.25">
      <c r="A921" s="58"/>
    </row>
    <row r="922" spans="1:1" x14ac:dyDescent="0.25">
      <c r="A922" s="58"/>
    </row>
    <row r="923" spans="1:1" x14ac:dyDescent="0.25">
      <c r="A923" s="58"/>
    </row>
    <row r="924" spans="1:1" x14ac:dyDescent="0.25">
      <c r="A924" s="58"/>
    </row>
    <row r="925" spans="1:1" x14ac:dyDescent="0.25">
      <c r="A925" s="58"/>
    </row>
    <row r="926" spans="1:1" x14ac:dyDescent="0.25">
      <c r="A926" s="58"/>
    </row>
    <row r="927" spans="1:1" x14ac:dyDescent="0.25">
      <c r="A927" s="58"/>
    </row>
    <row r="928" spans="1:1" x14ac:dyDescent="0.25">
      <c r="A928" s="58"/>
    </row>
    <row r="929" spans="1:1" x14ac:dyDescent="0.25">
      <c r="A929" s="58"/>
    </row>
    <row r="930" spans="1:1" x14ac:dyDescent="0.25">
      <c r="A930" s="58"/>
    </row>
    <row r="931" spans="1:1" x14ac:dyDescent="0.25">
      <c r="A931" s="58"/>
    </row>
    <row r="932" spans="1:1" x14ac:dyDescent="0.25">
      <c r="A932" s="58"/>
    </row>
    <row r="933" spans="1:1" x14ac:dyDescent="0.25">
      <c r="A933" s="58"/>
    </row>
    <row r="934" spans="1:1" x14ac:dyDescent="0.25">
      <c r="A934" s="58"/>
    </row>
    <row r="935" spans="1:1" x14ac:dyDescent="0.25">
      <c r="A935" s="58"/>
    </row>
    <row r="936" spans="1:1" x14ac:dyDescent="0.25">
      <c r="A936" s="58"/>
    </row>
    <row r="937" spans="1:1" x14ac:dyDescent="0.25">
      <c r="A937" s="58"/>
    </row>
    <row r="938" spans="1:1" x14ac:dyDescent="0.25">
      <c r="A938" s="58"/>
    </row>
    <row r="939" spans="1:1" x14ac:dyDescent="0.25">
      <c r="A939" s="58"/>
    </row>
    <row r="940" spans="1:1" x14ac:dyDescent="0.25">
      <c r="A940" s="58"/>
    </row>
    <row r="941" spans="1:1" x14ac:dyDescent="0.25">
      <c r="A941" s="58"/>
    </row>
    <row r="942" spans="1:1" x14ac:dyDescent="0.25">
      <c r="A942" s="58"/>
    </row>
    <row r="943" spans="1:1" x14ac:dyDescent="0.25">
      <c r="A943" s="58"/>
    </row>
    <row r="944" spans="1:1" x14ac:dyDescent="0.25">
      <c r="A944" s="58"/>
    </row>
    <row r="945" spans="1:1" x14ac:dyDescent="0.25">
      <c r="A945" s="58"/>
    </row>
    <row r="946" spans="1:1" x14ac:dyDescent="0.25">
      <c r="A946" s="58"/>
    </row>
    <row r="947" spans="1:1" x14ac:dyDescent="0.25">
      <c r="A947" s="58"/>
    </row>
    <row r="948" spans="1:1" x14ac:dyDescent="0.25">
      <c r="A948" s="58"/>
    </row>
    <row r="949" spans="1:1" x14ac:dyDescent="0.25">
      <c r="A949" s="58"/>
    </row>
    <row r="950" spans="1:1" x14ac:dyDescent="0.25">
      <c r="A950" s="58"/>
    </row>
    <row r="951" spans="1:1" x14ac:dyDescent="0.25">
      <c r="A951" s="58"/>
    </row>
    <row r="952" spans="1:1" x14ac:dyDescent="0.25">
      <c r="A952" s="58"/>
    </row>
    <row r="953" spans="1:1" x14ac:dyDescent="0.25">
      <c r="A953" s="58"/>
    </row>
    <row r="954" spans="1:1" x14ac:dyDescent="0.25">
      <c r="A954" s="58"/>
    </row>
    <row r="955" spans="1:1" x14ac:dyDescent="0.25">
      <c r="A955" s="58"/>
    </row>
    <row r="956" spans="1:1" x14ac:dyDescent="0.25">
      <c r="A956" s="58"/>
    </row>
    <row r="957" spans="1:1" x14ac:dyDescent="0.25">
      <c r="A957" s="58"/>
    </row>
    <row r="958" spans="1:1" x14ac:dyDescent="0.25">
      <c r="A958" s="58"/>
    </row>
    <row r="959" spans="1:1" x14ac:dyDescent="0.25">
      <c r="A959" s="58"/>
    </row>
    <row r="960" spans="1:1" x14ac:dyDescent="0.25">
      <c r="A960" s="58"/>
    </row>
    <row r="961" spans="1:1" x14ac:dyDescent="0.25">
      <c r="A961" s="58"/>
    </row>
    <row r="962" spans="1:1" x14ac:dyDescent="0.25">
      <c r="A962" s="58"/>
    </row>
    <row r="963" spans="1:1" x14ac:dyDescent="0.25">
      <c r="A963" s="58"/>
    </row>
    <row r="964" spans="1:1" x14ac:dyDescent="0.25">
      <c r="A964" s="58"/>
    </row>
    <row r="965" spans="1:1" x14ac:dyDescent="0.25">
      <c r="A965" s="58"/>
    </row>
    <row r="966" spans="1:1" x14ac:dyDescent="0.25">
      <c r="A966" s="58"/>
    </row>
    <row r="967" spans="1:1" x14ac:dyDescent="0.25">
      <c r="A967" s="58"/>
    </row>
    <row r="968" spans="1:1" x14ac:dyDescent="0.25">
      <c r="A968" s="58"/>
    </row>
    <row r="969" spans="1:1" x14ac:dyDescent="0.25">
      <c r="A969" s="58"/>
    </row>
    <row r="970" spans="1:1" x14ac:dyDescent="0.25">
      <c r="A970" s="58"/>
    </row>
    <row r="971" spans="1:1" x14ac:dyDescent="0.25">
      <c r="A971" s="58"/>
    </row>
    <row r="972" spans="1:1" x14ac:dyDescent="0.25">
      <c r="A972" s="58"/>
    </row>
    <row r="973" spans="1:1" x14ac:dyDescent="0.25">
      <c r="A973" s="58"/>
    </row>
    <row r="974" spans="1:1" x14ac:dyDescent="0.25">
      <c r="A974" s="58"/>
    </row>
    <row r="975" spans="1:1" x14ac:dyDescent="0.25">
      <c r="A975" s="58"/>
    </row>
    <row r="976" spans="1:1" x14ac:dyDescent="0.25">
      <c r="A976" s="58"/>
    </row>
    <row r="977" spans="1:1" x14ac:dyDescent="0.25">
      <c r="A977" s="58"/>
    </row>
    <row r="978" spans="1:1" x14ac:dyDescent="0.25">
      <c r="A978" s="58"/>
    </row>
    <row r="979" spans="1:1" x14ac:dyDescent="0.25">
      <c r="A979" s="58"/>
    </row>
    <row r="980" spans="1:1" x14ac:dyDescent="0.25">
      <c r="A980" s="58"/>
    </row>
    <row r="981" spans="1:1" x14ac:dyDescent="0.25">
      <c r="A981" s="58"/>
    </row>
    <row r="982" spans="1:1" x14ac:dyDescent="0.25">
      <c r="A982" s="58"/>
    </row>
    <row r="983" spans="1:1" x14ac:dyDescent="0.25">
      <c r="A983" s="58"/>
    </row>
    <row r="984" spans="1:1" x14ac:dyDescent="0.25">
      <c r="A984" s="58"/>
    </row>
    <row r="985" spans="1:1" x14ac:dyDescent="0.25">
      <c r="A985" s="58"/>
    </row>
    <row r="986" spans="1:1" x14ac:dyDescent="0.25">
      <c r="A986" s="58"/>
    </row>
    <row r="987" spans="1:1" x14ac:dyDescent="0.25">
      <c r="A987" s="58"/>
    </row>
    <row r="988" spans="1:1" x14ac:dyDescent="0.25">
      <c r="A988" s="58"/>
    </row>
    <row r="989" spans="1:1" x14ac:dyDescent="0.25">
      <c r="A989" s="58"/>
    </row>
    <row r="990" spans="1:1" x14ac:dyDescent="0.25">
      <c r="A990" s="58"/>
    </row>
    <row r="991" spans="1:1" x14ac:dyDescent="0.25">
      <c r="A991" s="58"/>
    </row>
    <row r="992" spans="1:1" x14ac:dyDescent="0.25">
      <c r="A992" s="58"/>
    </row>
    <row r="993" spans="1:1" x14ac:dyDescent="0.25">
      <c r="A993" s="58"/>
    </row>
    <row r="994" spans="1:1" x14ac:dyDescent="0.25">
      <c r="A994" s="58"/>
    </row>
    <row r="995" spans="1:1" x14ac:dyDescent="0.25">
      <c r="A995" s="58"/>
    </row>
    <row r="996" spans="1:1" x14ac:dyDescent="0.25">
      <c r="A996" s="58"/>
    </row>
    <row r="997" spans="1:1" x14ac:dyDescent="0.25">
      <c r="A997" s="58"/>
    </row>
    <row r="998" spans="1:1" x14ac:dyDescent="0.25">
      <c r="A998" s="58"/>
    </row>
    <row r="999" spans="1:1" x14ac:dyDescent="0.25">
      <c r="A999" s="58"/>
    </row>
    <row r="1000" spans="1:1" x14ac:dyDescent="0.25">
      <c r="A1000" s="58"/>
    </row>
    <row r="1001" spans="1:1" x14ac:dyDescent="0.25">
      <c r="A1001" s="58"/>
    </row>
    <row r="1002" spans="1:1" x14ac:dyDescent="0.25">
      <c r="A1002" s="58"/>
    </row>
    <row r="1003" spans="1:1" x14ac:dyDescent="0.25">
      <c r="A1003" s="58"/>
    </row>
    <row r="1004" spans="1:1" x14ac:dyDescent="0.25">
      <c r="A1004" s="58"/>
    </row>
    <row r="1005" spans="1:1" x14ac:dyDescent="0.25">
      <c r="A1005" s="58"/>
    </row>
    <row r="1006" spans="1:1" x14ac:dyDescent="0.25">
      <c r="A1006" s="58"/>
    </row>
    <row r="1007" spans="1:1" x14ac:dyDescent="0.25">
      <c r="A1007" s="58"/>
    </row>
    <row r="1008" spans="1:1" x14ac:dyDescent="0.25">
      <c r="A1008" s="58"/>
    </row>
    <row r="1009" spans="1:1" x14ac:dyDescent="0.25">
      <c r="A1009" s="58"/>
    </row>
    <row r="1010" spans="1:1" x14ac:dyDescent="0.25">
      <c r="A1010" s="58"/>
    </row>
    <row r="1011" spans="1:1" x14ac:dyDescent="0.25">
      <c r="A1011" s="58"/>
    </row>
    <row r="1012" spans="1:1" x14ac:dyDescent="0.25">
      <c r="A1012" s="58"/>
    </row>
    <row r="1013" spans="1:1" x14ac:dyDescent="0.25">
      <c r="A1013" s="58"/>
    </row>
    <row r="1014" spans="1:1" x14ac:dyDescent="0.25">
      <c r="A1014" s="58"/>
    </row>
    <row r="1015" spans="1:1" x14ac:dyDescent="0.25">
      <c r="A1015" s="58"/>
    </row>
    <row r="1016" spans="1:1" x14ac:dyDescent="0.25">
      <c r="A1016" s="58"/>
    </row>
    <row r="1017" spans="1:1" x14ac:dyDescent="0.25">
      <c r="A1017" s="58"/>
    </row>
    <row r="1018" spans="1:1" x14ac:dyDescent="0.25">
      <c r="A1018" s="58"/>
    </row>
    <row r="1019" spans="1:1" x14ac:dyDescent="0.25">
      <c r="A1019" s="58"/>
    </row>
    <row r="1020" spans="1:1" x14ac:dyDescent="0.25">
      <c r="A1020" s="58"/>
    </row>
    <row r="1021" spans="1:1" x14ac:dyDescent="0.25">
      <c r="A1021" s="58"/>
    </row>
    <row r="1022" spans="1:1" x14ac:dyDescent="0.25">
      <c r="A1022" s="58"/>
    </row>
    <row r="1023" spans="1:1" x14ac:dyDescent="0.25">
      <c r="A1023" s="58"/>
    </row>
    <row r="1024" spans="1:1" x14ac:dyDescent="0.25">
      <c r="A1024" s="58"/>
    </row>
    <row r="1025" spans="1:1" x14ac:dyDescent="0.25">
      <c r="A1025" s="58"/>
    </row>
    <row r="1026" spans="1:1" x14ac:dyDescent="0.25">
      <c r="A1026" s="58"/>
    </row>
    <row r="1027" spans="1:1" x14ac:dyDescent="0.25">
      <c r="A1027" s="58"/>
    </row>
    <row r="1028" spans="1:1" x14ac:dyDescent="0.25">
      <c r="A1028" s="58"/>
    </row>
    <row r="1029" spans="1:1" x14ac:dyDescent="0.25">
      <c r="A1029" s="58"/>
    </row>
    <row r="1030" spans="1:1" x14ac:dyDescent="0.25">
      <c r="A1030" s="58"/>
    </row>
    <row r="1031" spans="1:1" x14ac:dyDescent="0.25">
      <c r="A1031" s="58"/>
    </row>
    <row r="1032" spans="1:1" x14ac:dyDescent="0.25">
      <c r="A1032" s="58"/>
    </row>
    <row r="1033" spans="1:1" x14ac:dyDescent="0.25">
      <c r="A1033" s="58"/>
    </row>
    <row r="1034" spans="1:1" x14ac:dyDescent="0.25">
      <c r="A1034" s="58"/>
    </row>
    <row r="1035" spans="1:1" x14ac:dyDescent="0.25">
      <c r="A1035" s="58"/>
    </row>
    <row r="1036" spans="1:1" x14ac:dyDescent="0.25">
      <c r="A1036" s="58"/>
    </row>
    <row r="1037" spans="1:1" x14ac:dyDescent="0.25">
      <c r="A1037" s="58"/>
    </row>
    <row r="1038" spans="1:1" x14ac:dyDescent="0.25">
      <c r="A1038" s="58"/>
    </row>
    <row r="1039" spans="1:1" x14ac:dyDescent="0.25">
      <c r="A1039" s="58"/>
    </row>
    <row r="1040" spans="1:1" x14ac:dyDescent="0.25">
      <c r="A1040" s="58"/>
    </row>
    <row r="1041" spans="1:1" x14ac:dyDescent="0.25">
      <c r="A1041" s="58"/>
    </row>
    <row r="1042" spans="1:1" x14ac:dyDescent="0.25">
      <c r="A1042" s="58"/>
    </row>
    <row r="1043" spans="1:1" x14ac:dyDescent="0.25">
      <c r="A1043" s="58"/>
    </row>
    <row r="1044" spans="1:1" x14ac:dyDescent="0.25">
      <c r="A1044" s="58"/>
    </row>
    <row r="1045" spans="1:1" x14ac:dyDescent="0.25">
      <c r="A1045" s="58"/>
    </row>
    <row r="1046" spans="1:1" x14ac:dyDescent="0.25">
      <c r="A1046" s="58"/>
    </row>
    <row r="1047" spans="1:1" x14ac:dyDescent="0.25">
      <c r="A1047" s="58"/>
    </row>
    <row r="1048" spans="1:1" x14ac:dyDescent="0.25">
      <c r="A1048" s="58"/>
    </row>
    <row r="1049" spans="1:1" x14ac:dyDescent="0.25">
      <c r="A1049" s="58"/>
    </row>
    <row r="1050" spans="1:1" x14ac:dyDescent="0.25">
      <c r="A1050" s="58"/>
    </row>
    <row r="1051" spans="1:1" x14ac:dyDescent="0.25">
      <c r="A1051" s="58"/>
    </row>
    <row r="1052" spans="1:1" x14ac:dyDescent="0.25">
      <c r="A1052" s="58"/>
    </row>
    <row r="1053" spans="1:1" x14ac:dyDescent="0.25">
      <c r="A1053" s="58"/>
    </row>
    <row r="1054" spans="1:1" x14ac:dyDescent="0.25">
      <c r="A1054" s="58"/>
    </row>
    <row r="1055" spans="1:1" x14ac:dyDescent="0.25">
      <c r="A1055" s="58"/>
    </row>
    <row r="1056" spans="1:1" x14ac:dyDescent="0.25">
      <c r="A1056" s="58"/>
    </row>
    <row r="1057" spans="1:1" x14ac:dyDescent="0.25">
      <c r="A1057" s="58"/>
    </row>
    <row r="1058" spans="1:1" x14ac:dyDescent="0.25">
      <c r="A1058" s="58"/>
    </row>
    <row r="1059" spans="1:1" x14ac:dyDescent="0.25">
      <c r="A1059" s="58"/>
    </row>
    <row r="1060" spans="1:1" x14ac:dyDescent="0.25">
      <c r="A1060" s="58"/>
    </row>
    <row r="1061" spans="1:1" x14ac:dyDescent="0.25">
      <c r="A1061" s="58"/>
    </row>
    <row r="1062" spans="1:1" x14ac:dyDescent="0.25">
      <c r="A1062" s="58"/>
    </row>
    <row r="1063" spans="1:1" x14ac:dyDescent="0.25">
      <c r="A1063" s="58"/>
    </row>
    <row r="1064" spans="1:1" x14ac:dyDescent="0.25">
      <c r="A1064" s="58"/>
    </row>
    <row r="1065" spans="1:1" x14ac:dyDescent="0.25">
      <c r="A1065" s="58"/>
    </row>
    <row r="1066" spans="1:1" x14ac:dyDescent="0.25">
      <c r="A1066" s="58"/>
    </row>
    <row r="1067" spans="1:1" x14ac:dyDescent="0.25">
      <c r="A1067" s="58"/>
    </row>
    <row r="1068" spans="1:1" x14ac:dyDescent="0.25">
      <c r="A1068" s="58"/>
    </row>
    <row r="1069" spans="1:1" x14ac:dyDescent="0.25">
      <c r="A1069" s="58"/>
    </row>
    <row r="1070" spans="1:1" x14ac:dyDescent="0.25">
      <c r="A1070" s="58"/>
    </row>
    <row r="1071" spans="1:1" x14ac:dyDescent="0.25">
      <c r="A1071" s="58"/>
    </row>
    <row r="1072" spans="1:1" x14ac:dyDescent="0.25">
      <c r="A1072" s="58"/>
    </row>
    <row r="1073" spans="1:1" x14ac:dyDescent="0.25">
      <c r="A1073" s="58"/>
    </row>
    <row r="1074" spans="1:1" x14ac:dyDescent="0.25">
      <c r="A1074" s="58"/>
    </row>
    <row r="1075" spans="1:1" x14ac:dyDescent="0.25">
      <c r="A1075" s="58"/>
    </row>
    <row r="1076" spans="1:1" x14ac:dyDescent="0.25">
      <c r="A1076" s="58"/>
    </row>
    <row r="1077" spans="1:1" x14ac:dyDescent="0.25">
      <c r="A1077" s="58"/>
    </row>
    <row r="1078" spans="1:1" x14ac:dyDescent="0.25">
      <c r="A1078" s="58"/>
    </row>
    <row r="1079" spans="1:1" x14ac:dyDescent="0.25">
      <c r="A1079" s="58"/>
    </row>
    <row r="1080" spans="1:1" x14ac:dyDescent="0.25">
      <c r="A1080" s="58"/>
    </row>
    <row r="1081" spans="1:1" x14ac:dyDescent="0.25">
      <c r="A1081" s="58"/>
    </row>
    <row r="1082" spans="1:1" x14ac:dyDescent="0.25">
      <c r="A1082" s="58"/>
    </row>
    <row r="1083" spans="1:1" x14ac:dyDescent="0.25">
      <c r="A1083" s="58"/>
    </row>
    <row r="1084" spans="1:1" x14ac:dyDescent="0.25">
      <c r="A1084" s="58"/>
    </row>
    <row r="1085" spans="1:1" x14ac:dyDescent="0.25">
      <c r="A1085" s="58"/>
    </row>
    <row r="1086" spans="1:1" x14ac:dyDescent="0.25">
      <c r="A1086" s="58"/>
    </row>
    <row r="1087" spans="1:1" x14ac:dyDescent="0.25">
      <c r="A1087" s="58"/>
    </row>
    <row r="1088" spans="1:1" x14ac:dyDescent="0.25">
      <c r="A1088" s="58"/>
    </row>
    <row r="1089" spans="1:1" x14ac:dyDescent="0.25">
      <c r="A1089" s="58"/>
    </row>
    <row r="1090" spans="1:1" x14ac:dyDescent="0.25">
      <c r="A1090" s="58"/>
    </row>
    <row r="1091" spans="1:1" x14ac:dyDescent="0.25">
      <c r="A1091" s="58"/>
    </row>
    <row r="1092" spans="1:1" x14ac:dyDescent="0.25">
      <c r="A1092" s="58"/>
    </row>
    <row r="1093" spans="1:1" x14ac:dyDescent="0.25">
      <c r="A1093" s="58"/>
    </row>
    <row r="1094" spans="1:1" x14ac:dyDescent="0.25">
      <c r="A1094" s="58"/>
    </row>
    <row r="1095" spans="1:1" x14ac:dyDescent="0.25">
      <c r="A1095" s="58"/>
    </row>
    <row r="1096" spans="1:1" x14ac:dyDescent="0.25">
      <c r="A1096" s="58"/>
    </row>
    <row r="1097" spans="1:1" x14ac:dyDescent="0.25">
      <c r="A1097" s="58"/>
    </row>
    <row r="1098" spans="1:1" x14ac:dyDescent="0.25">
      <c r="A1098" s="58"/>
    </row>
    <row r="1099" spans="1:1" x14ac:dyDescent="0.25">
      <c r="A1099" s="58"/>
    </row>
    <row r="1100" spans="1:1" x14ac:dyDescent="0.25">
      <c r="A1100" s="58"/>
    </row>
    <row r="1101" spans="1:1" x14ac:dyDescent="0.25">
      <c r="A1101" s="58"/>
    </row>
    <row r="1102" spans="1:1" x14ac:dyDescent="0.25">
      <c r="A1102" s="58"/>
    </row>
    <row r="1103" spans="1:1" x14ac:dyDescent="0.25">
      <c r="A1103" s="58"/>
    </row>
    <row r="1104" spans="1:1" x14ac:dyDescent="0.25">
      <c r="A1104" s="58"/>
    </row>
    <row r="1105" spans="1:1" x14ac:dyDescent="0.25">
      <c r="A1105" s="58"/>
    </row>
    <row r="1106" spans="1:1" x14ac:dyDescent="0.25">
      <c r="A1106" s="58"/>
    </row>
    <row r="1107" spans="1:1" x14ac:dyDescent="0.25">
      <c r="A1107" s="58"/>
    </row>
    <row r="1108" spans="1:1" x14ac:dyDescent="0.25">
      <c r="A1108" s="18"/>
    </row>
    <row r="1109" spans="1:1" x14ac:dyDescent="0.25">
      <c r="A1109" s="18"/>
    </row>
    <row r="1110" spans="1:1" x14ac:dyDescent="0.25">
      <c r="A1110" s="18"/>
    </row>
    <row r="1111" spans="1:1" x14ac:dyDescent="0.25">
      <c r="A1111" s="18"/>
    </row>
    <row r="1112" spans="1:1" x14ac:dyDescent="0.25">
      <c r="A1112" s="18"/>
    </row>
    <row r="1113" spans="1:1" x14ac:dyDescent="0.25">
      <c r="A1113" s="18"/>
    </row>
    <row r="1114" spans="1:1" x14ac:dyDescent="0.25">
      <c r="A1114" s="18"/>
    </row>
    <row r="1115" spans="1:1" x14ac:dyDescent="0.25">
      <c r="A1115" s="18"/>
    </row>
  </sheetData>
  <conditionalFormatting sqref="B25:C25">
    <cfRule type="duplicateValues" dxfId="44" priority="68"/>
  </conditionalFormatting>
  <conditionalFormatting sqref="B25:C25">
    <cfRule type="duplicateValues" dxfId="43" priority="67"/>
  </conditionalFormatting>
  <conditionalFormatting sqref="B26:C26">
    <cfRule type="duplicateValues" dxfId="42" priority="66"/>
  </conditionalFormatting>
  <conditionalFormatting sqref="B26:C26">
    <cfRule type="duplicateValues" dxfId="41" priority="65"/>
  </conditionalFormatting>
  <conditionalFormatting sqref="B27:C27 B33:C33">
    <cfRule type="duplicateValues" dxfId="40" priority="62"/>
  </conditionalFormatting>
  <conditionalFormatting sqref="B28:C28">
    <cfRule type="duplicateValues" dxfId="39" priority="60"/>
  </conditionalFormatting>
  <conditionalFormatting sqref="B29:C29">
    <cfRule type="duplicateValues" dxfId="38" priority="58"/>
  </conditionalFormatting>
  <conditionalFormatting sqref="B29:C29">
    <cfRule type="duplicateValues" dxfId="37" priority="57"/>
  </conditionalFormatting>
  <conditionalFormatting sqref="B32">
    <cfRule type="duplicateValues" dxfId="36" priority="56"/>
  </conditionalFormatting>
  <conditionalFormatting sqref="B32">
    <cfRule type="duplicateValues" dxfId="35" priority="55"/>
  </conditionalFormatting>
  <conditionalFormatting sqref="B30:C30">
    <cfRule type="duplicateValues" dxfId="34" priority="54"/>
  </conditionalFormatting>
  <conditionalFormatting sqref="B30:C30">
    <cfRule type="duplicateValues" dxfId="33" priority="53"/>
  </conditionalFormatting>
  <conditionalFormatting sqref="B7:C7">
    <cfRule type="duplicateValues" dxfId="32" priority="50"/>
  </conditionalFormatting>
  <conditionalFormatting sqref="B7:C7">
    <cfRule type="duplicateValues" dxfId="31" priority="49"/>
  </conditionalFormatting>
  <conditionalFormatting sqref="B8:C8">
    <cfRule type="duplicateValues" dxfId="30" priority="48"/>
  </conditionalFormatting>
  <conditionalFormatting sqref="B9:C9">
    <cfRule type="duplicateValues" dxfId="29" priority="46"/>
  </conditionalFormatting>
  <conditionalFormatting sqref="B9:C9">
    <cfRule type="duplicateValues" dxfId="28" priority="45"/>
  </conditionalFormatting>
  <conditionalFormatting sqref="B10:C10">
    <cfRule type="duplicateValues" dxfId="27" priority="44"/>
  </conditionalFormatting>
  <conditionalFormatting sqref="B10:C10">
    <cfRule type="duplicateValues" dxfId="26" priority="43"/>
  </conditionalFormatting>
  <conditionalFormatting sqref="C3">
    <cfRule type="duplicateValues" dxfId="25" priority="42"/>
  </conditionalFormatting>
  <conditionalFormatting sqref="C3">
    <cfRule type="duplicateValues" dxfId="24" priority="41"/>
  </conditionalFormatting>
  <conditionalFormatting sqref="B14">
    <cfRule type="duplicateValues" dxfId="23" priority="40"/>
  </conditionalFormatting>
  <conditionalFormatting sqref="B19">
    <cfRule type="duplicateValues" dxfId="22" priority="39"/>
  </conditionalFormatting>
  <conditionalFormatting sqref="B20">
    <cfRule type="duplicateValues" dxfId="21" priority="38"/>
  </conditionalFormatting>
  <conditionalFormatting sqref="B21">
    <cfRule type="duplicateValues" dxfId="20" priority="37"/>
  </conditionalFormatting>
  <conditionalFormatting sqref="B40">
    <cfRule type="duplicateValues" dxfId="19" priority="36"/>
  </conditionalFormatting>
  <conditionalFormatting sqref="B41">
    <cfRule type="duplicateValues" dxfId="18" priority="34"/>
  </conditionalFormatting>
  <conditionalFormatting sqref="B41">
    <cfRule type="duplicateValues" dxfId="17" priority="33"/>
  </conditionalFormatting>
  <conditionalFormatting sqref="B44">
    <cfRule type="duplicateValues" dxfId="16" priority="32"/>
  </conditionalFormatting>
  <conditionalFormatting sqref="B23">
    <cfRule type="duplicateValues" dxfId="15" priority="30"/>
  </conditionalFormatting>
  <conditionalFormatting sqref="B22">
    <cfRule type="duplicateValues" dxfId="14" priority="28"/>
  </conditionalFormatting>
  <conditionalFormatting sqref="B22">
    <cfRule type="duplicateValues" dxfId="13" priority="27"/>
  </conditionalFormatting>
  <conditionalFormatting sqref="B45">
    <cfRule type="duplicateValues" dxfId="12" priority="26"/>
  </conditionalFormatting>
  <conditionalFormatting sqref="B46">
    <cfRule type="duplicateValues" dxfId="11" priority="24"/>
  </conditionalFormatting>
  <conditionalFormatting sqref="B46">
    <cfRule type="duplicateValues" dxfId="10" priority="23"/>
  </conditionalFormatting>
  <conditionalFormatting sqref="B47 B50:B51">
    <cfRule type="duplicateValues" dxfId="9" priority="22"/>
  </conditionalFormatting>
  <conditionalFormatting sqref="B47">
    <cfRule type="duplicateValues" dxfId="8" priority="21"/>
  </conditionalFormatting>
  <conditionalFormatting sqref="B48">
    <cfRule type="duplicateValues" dxfId="7" priority="20"/>
  </conditionalFormatting>
  <conditionalFormatting sqref="B48">
    <cfRule type="duplicateValues" dxfId="6" priority="19"/>
  </conditionalFormatting>
  <conditionalFormatting sqref="B24">
    <cfRule type="duplicateValues" dxfId="5" priority="69"/>
  </conditionalFormatting>
  <conditionalFormatting sqref="B31:C31">
    <cfRule type="duplicateValues" dxfId="4" priority="73"/>
  </conditionalFormatting>
  <conditionalFormatting sqref="G32">
    <cfRule type="duplicateValues" dxfId="3" priority="12"/>
  </conditionalFormatting>
  <conditionalFormatting sqref="G32">
    <cfRule type="duplicateValues" dxfId="2" priority="11"/>
  </conditionalFormatting>
  <conditionalFormatting sqref="E570">
    <cfRule type="duplicateValues" dxfId="1" priority="9"/>
  </conditionalFormatting>
  <pageMargins left="0.7" right="0.7" top="0.78740157499999996" bottom="0.78740157499999996" header="0.3" footer="0.3"/>
  <pageSetup paperSize="9" scale="10" fitToWidth="0" fitToHeight="0" orientation="landscape"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DC1BC-9DB6-4DFD-9D19-8323B75E120A}">
  <dimension ref="A1:G520"/>
  <sheetViews>
    <sheetView topLeftCell="A274" workbookViewId="0">
      <selection activeCell="A325" sqref="A325"/>
    </sheetView>
  </sheetViews>
  <sheetFormatPr baseColWidth="10" defaultRowHeight="15" x14ac:dyDescent="0.25"/>
  <sheetData>
    <row r="1" spans="1:2" ht="30" x14ac:dyDescent="0.25">
      <c r="A1" s="25" t="s">
        <v>1061</v>
      </c>
      <c r="B1" s="25" t="s">
        <v>1256</v>
      </c>
    </row>
    <row r="2" spans="1:2" x14ac:dyDescent="0.25">
      <c r="A2" s="48" t="s">
        <v>1253</v>
      </c>
      <c r="B2" s="48"/>
    </row>
    <row r="3" spans="1:2" x14ac:dyDescent="0.25">
      <c r="A3" s="28" t="s">
        <v>1255</v>
      </c>
      <c r="B3" s="28"/>
    </row>
    <row r="4" spans="1:2" x14ac:dyDescent="0.25">
      <c r="A4">
        <v>6016435</v>
      </c>
      <c r="B4" t="s">
        <v>1257</v>
      </c>
    </row>
    <row r="5" spans="1:2" x14ac:dyDescent="0.25">
      <c r="A5">
        <v>8045149</v>
      </c>
      <c r="B5" t="s">
        <v>1322</v>
      </c>
    </row>
    <row r="6" spans="1:2" x14ac:dyDescent="0.25">
      <c r="A6">
        <v>10023001</v>
      </c>
      <c r="B6" t="s">
        <v>1258</v>
      </c>
    </row>
    <row r="7" spans="1:2" x14ac:dyDescent="0.25">
      <c r="A7">
        <v>10027526</v>
      </c>
      <c r="B7" t="s">
        <v>1259</v>
      </c>
    </row>
    <row r="8" spans="1:2" x14ac:dyDescent="0.25">
      <c r="A8">
        <v>14222171</v>
      </c>
      <c r="B8" t="s">
        <v>1260</v>
      </c>
    </row>
    <row r="10" spans="1:2" x14ac:dyDescent="0.25">
      <c r="A10" s="28" t="s">
        <v>1261</v>
      </c>
    </row>
    <row r="11" spans="1:2" x14ac:dyDescent="0.25">
      <c r="A11">
        <v>8057159</v>
      </c>
      <c r="B11" t="s">
        <v>1262</v>
      </c>
    </row>
    <row r="12" spans="1:2" x14ac:dyDescent="0.25">
      <c r="A12">
        <v>9140312</v>
      </c>
      <c r="B12" t="s">
        <v>1263</v>
      </c>
    </row>
    <row r="13" spans="1:2" x14ac:dyDescent="0.25">
      <c r="A13">
        <v>12008230</v>
      </c>
      <c r="B13" t="s">
        <v>1264</v>
      </c>
    </row>
    <row r="14" spans="1:2" x14ac:dyDescent="0.25">
      <c r="A14">
        <v>12088444</v>
      </c>
      <c r="B14" t="s">
        <v>1265</v>
      </c>
    </row>
    <row r="15" spans="1:2" x14ac:dyDescent="0.25">
      <c r="A15">
        <v>12090163</v>
      </c>
      <c r="B15" t="s">
        <v>1266</v>
      </c>
    </row>
    <row r="16" spans="1:2" x14ac:dyDescent="0.25">
      <c r="A16">
        <v>12100613</v>
      </c>
      <c r="B16" t="s">
        <v>1267</v>
      </c>
    </row>
    <row r="17" spans="1:7" x14ac:dyDescent="0.25">
      <c r="A17">
        <v>12111434</v>
      </c>
      <c r="B17" t="s">
        <v>1268</v>
      </c>
    </row>
    <row r="18" spans="1:7" x14ac:dyDescent="0.25">
      <c r="A18">
        <v>13118872</v>
      </c>
      <c r="B18" t="s">
        <v>1269</v>
      </c>
    </row>
    <row r="20" spans="1:7" x14ac:dyDescent="0.25">
      <c r="A20" s="28" t="s">
        <v>1270</v>
      </c>
    </row>
    <row r="21" spans="1:7" x14ac:dyDescent="0.25">
      <c r="A21">
        <v>9074418</v>
      </c>
      <c r="B21" t="s">
        <v>1271</v>
      </c>
    </row>
    <row r="22" spans="1:7" x14ac:dyDescent="0.25">
      <c r="A22">
        <v>10027526</v>
      </c>
      <c r="B22" t="s">
        <v>1272</v>
      </c>
    </row>
    <row r="24" spans="1:7" x14ac:dyDescent="0.25">
      <c r="A24" s="28" t="s">
        <v>1273</v>
      </c>
    </row>
    <row r="25" spans="1:7" x14ac:dyDescent="0.25">
      <c r="A25">
        <v>6016435</v>
      </c>
      <c r="B25" t="s">
        <v>1257</v>
      </c>
    </row>
    <row r="26" spans="1:7" x14ac:dyDescent="0.25">
      <c r="A26">
        <v>8146347</v>
      </c>
      <c r="B26" t="s">
        <v>1294</v>
      </c>
    </row>
    <row r="27" spans="1:7" x14ac:dyDescent="0.25">
      <c r="A27">
        <v>11004391</v>
      </c>
      <c r="B27" t="s">
        <v>1314</v>
      </c>
    </row>
    <row r="29" spans="1:7" x14ac:dyDescent="0.25">
      <c r="A29" s="28" t="s">
        <v>1346</v>
      </c>
    </row>
    <row r="30" spans="1:7" x14ac:dyDescent="0.25">
      <c r="A30">
        <v>1006143</v>
      </c>
      <c r="B30" t="s">
        <v>1353</v>
      </c>
    </row>
    <row r="31" spans="1:7" x14ac:dyDescent="0.25">
      <c r="A31">
        <v>5014014</v>
      </c>
      <c r="B31" t="s">
        <v>1377</v>
      </c>
    </row>
    <row r="32" spans="1:7" x14ac:dyDescent="0.25">
      <c r="A32">
        <v>6006917</v>
      </c>
      <c r="B32" t="s">
        <v>1378</v>
      </c>
      <c r="G32" t="s">
        <v>1375</v>
      </c>
    </row>
    <row r="33" spans="1:2" x14ac:dyDescent="0.25">
      <c r="A33">
        <v>6016435</v>
      </c>
      <c r="B33" t="s">
        <v>1257</v>
      </c>
    </row>
    <row r="34" spans="1:2" x14ac:dyDescent="0.25">
      <c r="A34">
        <v>6034449</v>
      </c>
      <c r="B34" t="s">
        <v>1379</v>
      </c>
    </row>
    <row r="36" spans="1:2" x14ac:dyDescent="0.25">
      <c r="A36" s="28" t="s">
        <v>1393</v>
      </c>
    </row>
    <row r="37" spans="1:2" x14ac:dyDescent="0.25">
      <c r="A37">
        <v>1263</v>
      </c>
      <c r="B37" t="s">
        <v>1394</v>
      </c>
    </row>
    <row r="38" spans="1:2" x14ac:dyDescent="0.25">
      <c r="A38">
        <v>98004910</v>
      </c>
      <c r="B38" t="s">
        <v>1404</v>
      </c>
    </row>
    <row r="39" spans="1:2" x14ac:dyDescent="0.25">
      <c r="A39">
        <v>98005277</v>
      </c>
      <c r="B39" t="s">
        <v>1405</v>
      </c>
    </row>
    <row r="41" spans="1:2" x14ac:dyDescent="0.25">
      <c r="A41" s="28" t="s">
        <v>1406</v>
      </c>
      <c r="B41" s="28" t="s">
        <v>1406</v>
      </c>
    </row>
    <row r="42" spans="1:2" x14ac:dyDescent="0.25">
      <c r="A42">
        <v>12012030</v>
      </c>
      <c r="B42" t="s">
        <v>1412</v>
      </c>
    </row>
    <row r="44" spans="1:2" x14ac:dyDescent="0.25">
      <c r="A44" s="28" t="s">
        <v>1414</v>
      </c>
    </row>
    <row r="45" spans="1:2" x14ac:dyDescent="0.25">
      <c r="A45">
        <v>7103068</v>
      </c>
      <c r="B45" t="s">
        <v>1415</v>
      </c>
    </row>
    <row r="46" spans="1:2" x14ac:dyDescent="0.25">
      <c r="A46">
        <v>11240728</v>
      </c>
      <c r="B46" t="s">
        <v>1417</v>
      </c>
    </row>
    <row r="49" spans="1:2" x14ac:dyDescent="0.25">
      <c r="A49" s="50" t="s">
        <v>1254</v>
      </c>
      <c r="B49" s="28"/>
    </row>
    <row r="51" spans="1:2" x14ac:dyDescent="0.25">
      <c r="A51" s="28" t="s">
        <v>1273</v>
      </c>
    </row>
    <row r="52" spans="1:2" x14ac:dyDescent="0.25">
      <c r="A52">
        <v>5013780</v>
      </c>
      <c r="B52" t="s">
        <v>1274</v>
      </c>
    </row>
    <row r="53" spans="1:2" x14ac:dyDescent="0.25">
      <c r="A53">
        <v>5015869</v>
      </c>
      <c r="B53" t="s">
        <v>1275</v>
      </c>
    </row>
    <row r="54" spans="1:2" x14ac:dyDescent="0.25">
      <c r="A54">
        <v>5016969</v>
      </c>
      <c r="B54" s="18" t="s">
        <v>1276</v>
      </c>
    </row>
    <row r="55" spans="1:2" x14ac:dyDescent="0.25">
      <c r="A55">
        <v>6006554</v>
      </c>
      <c r="B55" t="s">
        <v>1277</v>
      </c>
    </row>
    <row r="56" spans="1:2" x14ac:dyDescent="0.25">
      <c r="A56">
        <v>6023231</v>
      </c>
      <c r="B56" t="s">
        <v>1278</v>
      </c>
    </row>
    <row r="57" spans="1:2" x14ac:dyDescent="0.25">
      <c r="A57">
        <v>6010712</v>
      </c>
      <c r="B57" t="s">
        <v>1279</v>
      </c>
    </row>
    <row r="58" spans="1:2" x14ac:dyDescent="0.25">
      <c r="A58">
        <v>6010715</v>
      </c>
      <c r="B58" t="s">
        <v>1279</v>
      </c>
    </row>
    <row r="59" spans="1:2" x14ac:dyDescent="0.25">
      <c r="A59">
        <v>6010719</v>
      </c>
      <c r="B59" t="s">
        <v>1279</v>
      </c>
    </row>
    <row r="60" spans="1:2" x14ac:dyDescent="0.25">
      <c r="A60">
        <v>6010722</v>
      </c>
      <c r="B60" t="s">
        <v>1279</v>
      </c>
    </row>
    <row r="61" spans="1:2" x14ac:dyDescent="0.25">
      <c r="A61">
        <v>6011198</v>
      </c>
      <c r="B61" t="s">
        <v>1279</v>
      </c>
    </row>
    <row r="62" spans="1:2" x14ac:dyDescent="0.25">
      <c r="A62">
        <v>6012681</v>
      </c>
      <c r="B62" t="s">
        <v>1280</v>
      </c>
    </row>
    <row r="63" spans="1:2" x14ac:dyDescent="0.25">
      <c r="A63">
        <v>6014511</v>
      </c>
      <c r="B63" t="s">
        <v>1281</v>
      </c>
    </row>
    <row r="64" spans="1:2" x14ac:dyDescent="0.25">
      <c r="A64">
        <v>6045127</v>
      </c>
      <c r="B64" t="s">
        <v>1282</v>
      </c>
    </row>
    <row r="65" spans="1:2" x14ac:dyDescent="0.25">
      <c r="A65">
        <v>7000458</v>
      </c>
      <c r="B65" t="s">
        <v>1283</v>
      </c>
    </row>
    <row r="66" spans="1:2" x14ac:dyDescent="0.25">
      <c r="A66">
        <v>7015502</v>
      </c>
      <c r="B66" t="s">
        <v>1284</v>
      </c>
    </row>
    <row r="67" spans="1:2" x14ac:dyDescent="0.25">
      <c r="A67">
        <v>7025847</v>
      </c>
      <c r="B67" t="s">
        <v>1281</v>
      </c>
    </row>
    <row r="68" spans="1:2" x14ac:dyDescent="0.25">
      <c r="A68">
        <v>7082707</v>
      </c>
      <c r="B68" t="s">
        <v>1284</v>
      </c>
    </row>
    <row r="69" spans="1:2" x14ac:dyDescent="0.25">
      <c r="A69">
        <v>7083159</v>
      </c>
      <c r="B69" t="s">
        <v>1285</v>
      </c>
    </row>
    <row r="70" spans="1:2" x14ac:dyDescent="0.25">
      <c r="A70">
        <v>7084659</v>
      </c>
      <c r="B70" t="s">
        <v>1286</v>
      </c>
    </row>
    <row r="71" spans="1:2" x14ac:dyDescent="0.25">
      <c r="A71">
        <v>7076814</v>
      </c>
      <c r="B71" t="s">
        <v>1281</v>
      </c>
    </row>
    <row r="72" spans="1:2" x14ac:dyDescent="0.25">
      <c r="A72">
        <v>7076815</v>
      </c>
      <c r="B72" t="s">
        <v>1287</v>
      </c>
    </row>
    <row r="73" spans="1:2" x14ac:dyDescent="0.25">
      <c r="A73">
        <v>7089231</v>
      </c>
      <c r="B73" t="s">
        <v>1281</v>
      </c>
    </row>
    <row r="74" spans="1:2" x14ac:dyDescent="0.25">
      <c r="A74">
        <v>7116004</v>
      </c>
      <c r="B74" t="s">
        <v>1281</v>
      </c>
    </row>
    <row r="75" spans="1:2" x14ac:dyDescent="0.25">
      <c r="A75">
        <v>8003819</v>
      </c>
      <c r="B75" t="s">
        <v>1288</v>
      </c>
    </row>
    <row r="76" spans="1:2" x14ac:dyDescent="0.25">
      <c r="A76">
        <v>8061313</v>
      </c>
      <c r="B76" t="s">
        <v>1285</v>
      </c>
    </row>
    <row r="77" spans="1:2" x14ac:dyDescent="0.25">
      <c r="A77">
        <v>8091779</v>
      </c>
      <c r="B77" t="s">
        <v>1289</v>
      </c>
    </row>
    <row r="78" spans="1:2" x14ac:dyDescent="0.25">
      <c r="A78">
        <v>8097989</v>
      </c>
      <c r="B78" t="s">
        <v>1290</v>
      </c>
    </row>
    <row r="79" spans="1:2" x14ac:dyDescent="0.25">
      <c r="A79">
        <v>8112522</v>
      </c>
      <c r="B79" t="s">
        <v>1291</v>
      </c>
    </row>
    <row r="80" spans="1:2" x14ac:dyDescent="0.25">
      <c r="A80">
        <v>8127397</v>
      </c>
      <c r="B80" t="s">
        <v>1292</v>
      </c>
    </row>
    <row r="81" spans="1:2" x14ac:dyDescent="0.25">
      <c r="A81">
        <v>8130089</v>
      </c>
      <c r="B81" t="s">
        <v>1279</v>
      </c>
    </row>
    <row r="82" spans="1:2" x14ac:dyDescent="0.25">
      <c r="A82">
        <v>8130998</v>
      </c>
      <c r="B82" t="s">
        <v>1293</v>
      </c>
    </row>
    <row r="83" spans="1:2" x14ac:dyDescent="0.25">
      <c r="A83">
        <v>8146902</v>
      </c>
      <c r="B83" t="s">
        <v>1295</v>
      </c>
    </row>
    <row r="84" spans="1:2" x14ac:dyDescent="0.25">
      <c r="A84">
        <v>9002836</v>
      </c>
      <c r="B84" t="s">
        <v>1296</v>
      </c>
    </row>
    <row r="85" spans="1:2" x14ac:dyDescent="0.25">
      <c r="A85">
        <v>9003331</v>
      </c>
      <c r="B85" t="s">
        <v>1297</v>
      </c>
    </row>
    <row r="86" spans="1:2" x14ac:dyDescent="0.25">
      <c r="A86">
        <v>9003370</v>
      </c>
      <c r="B86" t="s">
        <v>1298</v>
      </c>
    </row>
    <row r="87" spans="1:2" x14ac:dyDescent="0.25">
      <c r="A87">
        <v>9013015</v>
      </c>
      <c r="B87" t="s">
        <v>1299</v>
      </c>
    </row>
    <row r="88" spans="1:2" x14ac:dyDescent="0.25">
      <c r="A88">
        <v>9016278</v>
      </c>
      <c r="B88" t="s">
        <v>1277</v>
      </c>
    </row>
    <row r="89" spans="1:2" x14ac:dyDescent="0.25">
      <c r="A89">
        <v>9030684</v>
      </c>
      <c r="B89" s="18" t="s">
        <v>1300</v>
      </c>
    </row>
    <row r="90" spans="1:2" x14ac:dyDescent="0.25">
      <c r="A90">
        <v>9031387</v>
      </c>
      <c r="B90" s="18" t="s">
        <v>1300</v>
      </c>
    </row>
    <row r="91" spans="1:2" x14ac:dyDescent="0.25">
      <c r="A91">
        <v>9038676</v>
      </c>
      <c r="B91" t="s">
        <v>1301</v>
      </c>
    </row>
    <row r="92" spans="1:2" x14ac:dyDescent="0.25">
      <c r="A92">
        <v>9039416</v>
      </c>
      <c r="B92" t="s">
        <v>1296</v>
      </c>
    </row>
    <row r="93" spans="1:2" x14ac:dyDescent="0.25">
      <c r="A93">
        <v>9042861</v>
      </c>
      <c r="B93" t="s">
        <v>1302</v>
      </c>
    </row>
    <row r="94" spans="1:2" x14ac:dyDescent="0.25">
      <c r="A94">
        <v>9044899</v>
      </c>
      <c r="B94" t="s">
        <v>1284</v>
      </c>
    </row>
    <row r="95" spans="1:2" x14ac:dyDescent="0.25">
      <c r="A95">
        <v>9052398</v>
      </c>
      <c r="B95" t="s">
        <v>1282</v>
      </c>
    </row>
    <row r="96" spans="1:2" x14ac:dyDescent="0.25">
      <c r="A96">
        <v>9085204</v>
      </c>
      <c r="B96" t="s">
        <v>1303</v>
      </c>
    </row>
    <row r="97" spans="1:2" x14ac:dyDescent="0.25">
      <c r="A97">
        <v>9090323</v>
      </c>
      <c r="B97" t="s">
        <v>1304</v>
      </c>
    </row>
    <row r="98" spans="1:2" x14ac:dyDescent="0.25">
      <c r="A98">
        <v>9097281</v>
      </c>
      <c r="B98" t="s">
        <v>1281</v>
      </c>
    </row>
    <row r="99" spans="1:2" x14ac:dyDescent="0.25">
      <c r="A99">
        <v>9105492</v>
      </c>
      <c r="B99" t="s">
        <v>1291</v>
      </c>
    </row>
    <row r="100" spans="1:2" x14ac:dyDescent="0.25">
      <c r="A100">
        <v>9125095</v>
      </c>
      <c r="B100" t="s">
        <v>1305</v>
      </c>
    </row>
    <row r="101" spans="1:2" x14ac:dyDescent="0.25">
      <c r="A101">
        <v>9138268</v>
      </c>
      <c r="B101" t="s">
        <v>1306</v>
      </c>
    </row>
    <row r="102" spans="1:2" x14ac:dyDescent="0.25">
      <c r="A102">
        <v>9138470</v>
      </c>
      <c r="B102" t="s">
        <v>1282</v>
      </c>
    </row>
    <row r="103" spans="1:2" x14ac:dyDescent="0.25">
      <c r="A103">
        <v>9150676</v>
      </c>
      <c r="B103" t="s">
        <v>1297</v>
      </c>
    </row>
    <row r="104" spans="1:2" x14ac:dyDescent="0.25">
      <c r="A104">
        <v>10010926</v>
      </c>
      <c r="B104" t="s">
        <v>1307</v>
      </c>
    </row>
    <row r="105" spans="1:2" x14ac:dyDescent="0.25">
      <c r="A105">
        <v>10016588</v>
      </c>
      <c r="B105" t="s">
        <v>1285</v>
      </c>
    </row>
    <row r="106" spans="1:2" x14ac:dyDescent="0.25">
      <c r="A106">
        <v>10027550</v>
      </c>
      <c r="B106" t="s">
        <v>1308</v>
      </c>
    </row>
    <row r="107" spans="1:2" x14ac:dyDescent="0.25">
      <c r="A107">
        <v>10030897</v>
      </c>
      <c r="B107" t="s">
        <v>1309</v>
      </c>
    </row>
    <row r="108" spans="1:2" x14ac:dyDescent="0.25">
      <c r="A108">
        <v>10091530</v>
      </c>
      <c r="B108" t="s">
        <v>1290</v>
      </c>
    </row>
    <row r="109" spans="1:2" x14ac:dyDescent="0.25">
      <c r="A109">
        <v>10102052</v>
      </c>
      <c r="B109" t="s">
        <v>1310</v>
      </c>
    </row>
    <row r="110" spans="1:2" x14ac:dyDescent="0.25">
      <c r="A110">
        <v>10104735</v>
      </c>
      <c r="B110" t="s">
        <v>1311</v>
      </c>
    </row>
    <row r="111" spans="1:2" x14ac:dyDescent="0.25">
      <c r="A111">
        <v>10109552</v>
      </c>
      <c r="B111" t="s">
        <v>1282</v>
      </c>
    </row>
    <row r="112" spans="1:2" x14ac:dyDescent="0.25">
      <c r="A112">
        <v>10131550</v>
      </c>
      <c r="B112" t="s">
        <v>1285</v>
      </c>
    </row>
    <row r="113" spans="1:7" x14ac:dyDescent="0.25">
      <c r="A113">
        <v>10131607</v>
      </c>
      <c r="B113" t="s">
        <v>1274</v>
      </c>
      <c r="G113" s="18"/>
    </row>
    <row r="114" spans="1:7" x14ac:dyDescent="0.25">
      <c r="A114">
        <v>10145202</v>
      </c>
      <c r="B114" t="s">
        <v>1291</v>
      </c>
    </row>
    <row r="115" spans="1:7" x14ac:dyDescent="0.25">
      <c r="A115">
        <v>10158770</v>
      </c>
      <c r="B115" s="18" t="s">
        <v>1276</v>
      </c>
    </row>
    <row r="116" spans="1:7" x14ac:dyDescent="0.25">
      <c r="A116">
        <v>10162949</v>
      </c>
      <c r="B116" t="s">
        <v>1312</v>
      </c>
    </row>
    <row r="117" spans="1:7" x14ac:dyDescent="0.25">
      <c r="A117">
        <v>10171633</v>
      </c>
      <c r="B117" t="s">
        <v>1313</v>
      </c>
    </row>
    <row r="118" spans="1:7" x14ac:dyDescent="0.25">
      <c r="A118">
        <v>10180409</v>
      </c>
      <c r="B118" t="s">
        <v>1297</v>
      </c>
    </row>
    <row r="119" spans="1:7" x14ac:dyDescent="0.25">
      <c r="A119">
        <v>11005762</v>
      </c>
      <c r="B119" t="s">
        <v>1290</v>
      </c>
    </row>
    <row r="120" spans="1:7" x14ac:dyDescent="0.25">
      <c r="A120">
        <v>11014307</v>
      </c>
      <c r="B120" t="s">
        <v>1315</v>
      </c>
    </row>
    <row r="121" spans="1:7" x14ac:dyDescent="0.25">
      <c r="A121">
        <v>11014313</v>
      </c>
      <c r="B121" t="s">
        <v>1291</v>
      </c>
    </row>
    <row r="122" spans="1:7" x14ac:dyDescent="0.25">
      <c r="A122">
        <v>11018341</v>
      </c>
      <c r="B122" t="s">
        <v>1286</v>
      </c>
    </row>
    <row r="123" spans="1:7" x14ac:dyDescent="0.25">
      <c r="A123">
        <v>11021445</v>
      </c>
      <c r="B123" t="s">
        <v>1274</v>
      </c>
    </row>
    <row r="124" spans="1:7" x14ac:dyDescent="0.25">
      <c r="A124">
        <v>11025151</v>
      </c>
      <c r="B124" t="s">
        <v>1291</v>
      </c>
    </row>
    <row r="125" spans="1:7" x14ac:dyDescent="0.25">
      <c r="A125">
        <v>11039110</v>
      </c>
      <c r="B125" t="s">
        <v>1316</v>
      </c>
    </row>
    <row r="126" spans="1:7" x14ac:dyDescent="0.25">
      <c r="A126">
        <v>11084088</v>
      </c>
      <c r="B126" t="s">
        <v>1282</v>
      </c>
    </row>
    <row r="127" spans="1:7" x14ac:dyDescent="0.25">
      <c r="A127">
        <v>11108410</v>
      </c>
      <c r="B127" t="s">
        <v>1317</v>
      </c>
    </row>
    <row r="128" spans="1:7" x14ac:dyDescent="0.25">
      <c r="A128">
        <v>11139605</v>
      </c>
      <c r="B128" t="s">
        <v>1282</v>
      </c>
    </row>
    <row r="129" spans="1:2" x14ac:dyDescent="0.25">
      <c r="A129">
        <v>11201694</v>
      </c>
      <c r="B129" t="s">
        <v>1282</v>
      </c>
    </row>
    <row r="130" spans="1:2" x14ac:dyDescent="0.25">
      <c r="A130">
        <v>11209748</v>
      </c>
      <c r="B130" t="s">
        <v>1276</v>
      </c>
    </row>
    <row r="131" spans="1:2" x14ac:dyDescent="0.25">
      <c r="A131">
        <v>11242543</v>
      </c>
      <c r="B131" t="s">
        <v>1318</v>
      </c>
    </row>
    <row r="132" spans="1:2" x14ac:dyDescent="0.25">
      <c r="A132">
        <v>11247293</v>
      </c>
      <c r="B132" t="s">
        <v>1319</v>
      </c>
    </row>
    <row r="133" spans="1:2" x14ac:dyDescent="0.25">
      <c r="A133">
        <v>12006449</v>
      </c>
      <c r="B133" t="s">
        <v>1291</v>
      </c>
    </row>
    <row r="134" spans="1:2" x14ac:dyDescent="0.25">
      <c r="A134">
        <v>12049136</v>
      </c>
      <c r="B134" t="s">
        <v>1320</v>
      </c>
    </row>
    <row r="135" spans="1:2" x14ac:dyDescent="0.25">
      <c r="A135">
        <v>12087508</v>
      </c>
      <c r="B135" t="s">
        <v>1289</v>
      </c>
    </row>
    <row r="136" spans="1:2" x14ac:dyDescent="0.25">
      <c r="A136">
        <v>12088753</v>
      </c>
      <c r="B136" t="s">
        <v>1321</v>
      </c>
    </row>
    <row r="137" spans="1:2" x14ac:dyDescent="0.25">
      <c r="A137">
        <v>12229481</v>
      </c>
      <c r="B137" t="s">
        <v>1285</v>
      </c>
    </row>
    <row r="138" spans="1:2" x14ac:dyDescent="0.25">
      <c r="A138">
        <v>12258821</v>
      </c>
      <c r="B138" t="s">
        <v>1304</v>
      </c>
    </row>
    <row r="139" spans="1:2" x14ac:dyDescent="0.25">
      <c r="A139">
        <v>12309729</v>
      </c>
      <c r="B139" t="s">
        <v>1281</v>
      </c>
    </row>
    <row r="140" spans="1:2" x14ac:dyDescent="0.25">
      <c r="A140">
        <v>12314941</v>
      </c>
      <c r="B140" t="s">
        <v>1282</v>
      </c>
    </row>
    <row r="141" spans="1:2" x14ac:dyDescent="0.25">
      <c r="A141">
        <v>12323945</v>
      </c>
      <c r="B141" t="s">
        <v>1282</v>
      </c>
    </row>
    <row r="142" spans="1:2" x14ac:dyDescent="0.25">
      <c r="A142">
        <v>13005942</v>
      </c>
      <c r="B142" t="s">
        <v>1277</v>
      </c>
    </row>
    <row r="144" spans="1:2" x14ac:dyDescent="0.25">
      <c r="A144" s="28" t="s">
        <v>1346</v>
      </c>
    </row>
    <row r="145" spans="1:2" x14ac:dyDescent="0.25">
      <c r="A145">
        <v>324</v>
      </c>
      <c r="B145" t="s">
        <v>1347</v>
      </c>
    </row>
    <row r="146" spans="1:2" x14ac:dyDescent="0.25">
      <c r="A146">
        <v>3842</v>
      </c>
      <c r="B146" t="s">
        <v>1348</v>
      </c>
    </row>
    <row r="147" spans="1:2" x14ac:dyDescent="0.25">
      <c r="A147">
        <v>3909</v>
      </c>
      <c r="B147" t="s">
        <v>1349</v>
      </c>
    </row>
    <row r="148" spans="1:2" x14ac:dyDescent="0.25">
      <c r="A148">
        <v>4663</v>
      </c>
      <c r="B148" t="s">
        <v>1350</v>
      </c>
    </row>
    <row r="149" spans="1:2" x14ac:dyDescent="0.25">
      <c r="A149">
        <v>1005522</v>
      </c>
      <c r="B149" t="s">
        <v>1352</v>
      </c>
    </row>
    <row r="150" spans="1:2" x14ac:dyDescent="0.25">
      <c r="A150">
        <v>1007631</v>
      </c>
      <c r="B150" t="s">
        <v>1354</v>
      </c>
    </row>
    <row r="151" spans="1:2" x14ac:dyDescent="0.25">
      <c r="A151">
        <v>1009760</v>
      </c>
      <c r="B151" t="s">
        <v>1355</v>
      </c>
    </row>
    <row r="152" spans="1:2" x14ac:dyDescent="0.25">
      <c r="A152">
        <v>2000646</v>
      </c>
      <c r="B152" t="s">
        <v>1356</v>
      </c>
    </row>
    <row r="153" spans="1:2" x14ac:dyDescent="0.25">
      <c r="A153">
        <v>2003761</v>
      </c>
      <c r="B153" t="s">
        <v>1358</v>
      </c>
    </row>
    <row r="154" spans="1:2" x14ac:dyDescent="0.25">
      <c r="A154">
        <v>2004061</v>
      </c>
      <c r="B154" t="s">
        <v>1357</v>
      </c>
    </row>
    <row r="155" spans="1:2" x14ac:dyDescent="0.25">
      <c r="A155">
        <v>2006469</v>
      </c>
      <c r="B155" t="s">
        <v>1359</v>
      </c>
    </row>
    <row r="156" spans="1:2" x14ac:dyDescent="0.25">
      <c r="A156">
        <v>2006739</v>
      </c>
      <c r="B156" t="s">
        <v>1360</v>
      </c>
    </row>
    <row r="157" spans="1:2" x14ac:dyDescent="0.25">
      <c r="A157">
        <v>2007360</v>
      </c>
      <c r="B157" t="s">
        <v>1361</v>
      </c>
    </row>
    <row r="158" spans="1:2" x14ac:dyDescent="0.25">
      <c r="A158">
        <v>2007648</v>
      </c>
      <c r="B158" t="s">
        <v>1352</v>
      </c>
    </row>
    <row r="159" spans="1:2" x14ac:dyDescent="0.25">
      <c r="A159">
        <v>2011811</v>
      </c>
      <c r="B159" t="s">
        <v>1352</v>
      </c>
    </row>
    <row r="160" spans="1:2" x14ac:dyDescent="0.25">
      <c r="A160">
        <v>2012411</v>
      </c>
      <c r="B160" t="s">
        <v>1285</v>
      </c>
    </row>
    <row r="161" spans="1:2" x14ac:dyDescent="0.25">
      <c r="A161">
        <v>2012826</v>
      </c>
      <c r="B161" t="s">
        <v>1362</v>
      </c>
    </row>
    <row r="162" spans="1:2" x14ac:dyDescent="0.25">
      <c r="A162">
        <v>3003602</v>
      </c>
      <c r="B162" t="s">
        <v>1363</v>
      </c>
    </row>
    <row r="163" spans="1:2" x14ac:dyDescent="0.25">
      <c r="A163">
        <v>3005132</v>
      </c>
      <c r="B163" t="s">
        <v>1364</v>
      </c>
    </row>
    <row r="164" spans="1:2" x14ac:dyDescent="0.25">
      <c r="A164">
        <v>3007918</v>
      </c>
      <c r="B164" t="s">
        <v>1281</v>
      </c>
    </row>
    <row r="165" spans="1:2" x14ac:dyDescent="0.25">
      <c r="A165">
        <v>3008510</v>
      </c>
      <c r="B165" t="s">
        <v>1365</v>
      </c>
    </row>
    <row r="166" spans="1:2" x14ac:dyDescent="0.25">
      <c r="A166">
        <v>3009119</v>
      </c>
      <c r="B166" t="s">
        <v>1281</v>
      </c>
    </row>
    <row r="167" spans="1:2" x14ac:dyDescent="0.25">
      <c r="A167">
        <v>3009936</v>
      </c>
      <c r="B167" t="s">
        <v>1285</v>
      </c>
    </row>
    <row r="168" spans="1:2" x14ac:dyDescent="0.25">
      <c r="A168">
        <v>3010565</v>
      </c>
      <c r="B168" t="s">
        <v>1281</v>
      </c>
    </row>
    <row r="169" spans="1:2" x14ac:dyDescent="0.25">
      <c r="A169">
        <v>3011094</v>
      </c>
      <c r="B169" t="s">
        <v>1357</v>
      </c>
    </row>
    <row r="170" spans="1:2" x14ac:dyDescent="0.25">
      <c r="A170">
        <v>3014643</v>
      </c>
      <c r="B170" t="s">
        <v>1281</v>
      </c>
    </row>
    <row r="171" spans="1:2" x14ac:dyDescent="0.25">
      <c r="A171">
        <v>3016056</v>
      </c>
      <c r="B171" t="s">
        <v>1280</v>
      </c>
    </row>
    <row r="172" spans="1:2" x14ac:dyDescent="0.25">
      <c r="A172">
        <v>3018383</v>
      </c>
      <c r="B172" t="s">
        <v>1285</v>
      </c>
    </row>
    <row r="173" spans="1:2" x14ac:dyDescent="0.25">
      <c r="A173">
        <v>3017227</v>
      </c>
      <c r="B173" t="s">
        <v>1281</v>
      </c>
    </row>
    <row r="174" spans="1:2" x14ac:dyDescent="0.25">
      <c r="A174">
        <v>3900219</v>
      </c>
      <c r="B174" t="s">
        <v>1280</v>
      </c>
    </row>
    <row r="175" spans="1:2" x14ac:dyDescent="0.25">
      <c r="A175">
        <v>3900721</v>
      </c>
      <c r="B175" t="s">
        <v>1366</v>
      </c>
    </row>
    <row r="176" spans="1:2" x14ac:dyDescent="0.25">
      <c r="A176">
        <v>3900911</v>
      </c>
      <c r="B176" t="s">
        <v>1367</v>
      </c>
    </row>
    <row r="177" spans="1:2" x14ac:dyDescent="0.25">
      <c r="A177">
        <v>4000158</v>
      </c>
      <c r="B177" t="s">
        <v>1281</v>
      </c>
    </row>
    <row r="178" spans="1:2" x14ac:dyDescent="0.25">
      <c r="A178">
        <v>4000304</v>
      </c>
      <c r="B178" t="s">
        <v>1355</v>
      </c>
    </row>
    <row r="179" spans="1:2" x14ac:dyDescent="0.25">
      <c r="A179">
        <v>4000702</v>
      </c>
      <c r="B179" t="s">
        <v>1359</v>
      </c>
    </row>
    <row r="180" spans="1:2" x14ac:dyDescent="0.25">
      <c r="A180">
        <v>4001905</v>
      </c>
      <c r="B180" t="s">
        <v>1368</v>
      </c>
    </row>
    <row r="181" spans="1:2" x14ac:dyDescent="0.25">
      <c r="A181">
        <v>4002206</v>
      </c>
      <c r="B181" t="s">
        <v>1369</v>
      </c>
    </row>
    <row r="182" spans="1:2" x14ac:dyDescent="0.25">
      <c r="A182">
        <v>4002715</v>
      </c>
      <c r="B182" t="s">
        <v>1280</v>
      </c>
    </row>
    <row r="183" spans="1:2" x14ac:dyDescent="0.25">
      <c r="A183">
        <v>4003924</v>
      </c>
      <c r="B183" t="s">
        <v>1355</v>
      </c>
    </row>
    <row r="184" spans="1:2" x14ac:dyDescent="0.25">
      <c r="A184">
        <v>4004302</v>
      </c>
      <c r="B184" t="s">
        <v>1370</v>
      </c>
    </row>
    <row r="185" spans="1:2" x14ac:dyDescent="0.25">
      <c r="A185">
        <v>4004463</v>
      </c>
      <c r="B185" t="s">
        <v>1281</v>
      </c>
    </row>
    <row r="186" spans="1:2" x14ac:dyDescent="0.25">
      <c r="A186">
        <v>4006051</v>
      </c>
      <c r="B186" t="s">
        <v>1279</v>
      </c>
    </row>
    <row r="187" spans="1:2" x14ac:dyDescent="0.25">
      <c r="A187">
        <v>4008140</v>
      </c>
      <c r="B187" t="s">
        <v>1376</v>
      </c>
    </row>
    <row r="188" spans="1:2" x14ac:dyDescent="0.25">
      <c r="A188">
        <v>4009906</v>
      </c>
      <c r="B188" t="s">
        <v>1371</v>
      </c>
    </row>
    <row r="189" spans="1:2" x14ac:dyDescent="0.25">
      <c r="A189">
        <v>4011027</v>
      </c>
      <c r="B189" t="s">
        <v>1372</v>
      </c>
    </row>
    <row r="190" spans="1:2" x14ac:dyDescent="0.25">
      <c r="A190">
        <v>4011920</v>
      </c>
      <c r="B190" t="s">
        <v>1280</v>
      </c>
    </row>
    <row r="191" spans="1:2" x14ac:dyDescent="0.25">
      <c r="A191">
        <v>4012248</v>
      </c>
      <c r="B191" t="s">
        <v>1373</v>
      </c>
    </row>
    <row r="192" spans="1:2" x14ac:dyDescent="0.25">
      <c r="A192">
        <v>4013287</v>
      </c>
      <c r="B192" t="s">
        <v>1297</v>
      </c>
    </row>
    <row r="193" spans="1:5" x14ac:dyDescent="0.25">
      <c r="A193">
        <v>4013603</v>
      </c>
      <c r="B193" t="s">
        <v>1374</v>
      </c>
    </row>
    <row r="194" spans="1:5" x14ac:dyDescent="0.25">
      <c r="A194">
        <v>5002712</v>
      </c>
      <c r="B194" t="s">
        <v>1355</v>
      </c>
    </row>
    <row r="195" spans="1:5" x14ac:dyDescent="0.25">
      <c r="A195">
        <v>5004654</v>
      </c>
      <c r="B195" t="s">
        <v>1285</v>
      </c>
    </row>
    <row r="196" spans="1:5" x14ac:dyDescent="0.25">
      <c r="A196">
        <v>5006761</v>
      </c>
      <c r="B196" t="s">
        <v>1374</v>
      </c>
      <c r="E196" t="s">
        <v>1375</v>
      </c>
    </row>
    <row r="197" spans="1:5" x14ac:dyDescent="0.25">
      <c r="A197">
        <v>5008807</v>
      </c>
      <c r="B197" t="s">
        <v>1349</v>
      </c>
    </row>
    <row r="198" spans="1:5" x14ac:dyDescent="0.25">
      <c r="A198">
        <v>5009400</v>
      </c>
      <c r="B198" t="s">
        <v>1376</v>
      </c>
      <c r="E198" t="s">
        <v>1375</v>
      </c>
    </row>
    <row r="199" spans="1:5" x14ac:dyDescent="0.25">
      <c r="A199">
        <v>5013211</v>
      </c>
      <c r="B199" t="s">
        <v>1357</v>
      </c>
    </row>
    <row r="200" spans="1:5" x14ac:dyDescent="0.25">
      <c r="A200">
        <v>5013494</v>
      </c>
      <c r="B200" t="s">
        <v>1281</v>
      </c>
    </row>
    <row r="201" spans="1:5" x14ac:dyDescent="0.25">
      <c r="A201">
        <v>5015869</v>
      </c>
      <c r="B201" t="s">
        <v>1280</v>
      </c>
    </row>
    <row r="202" spans="1:5" x14ac:dyDescent="0.25">
      <c r="A202">
        <v>5016255</v>
      </c>
      <c r="B202" t="s">
        <v>1359</v>
      </c>
    </row>
    <row r="203" spans="1:5" x14ac:dyDescent="0.25">
      <c r="A203">
        <v>5016969</v>
      </c>
      <c r="B203" t="s">
        <v>1357</v>
      </c>
    </row>
    <row r="204" spans="1:5" x14ac:dyDescent="0.25">
      <c r="A204">
        <v>6005884</v>
      </c>
      <c r="B204" t="s">
        <v>1279</v>
      </c>
    </row>
    <row r="205" spans="1:5" x14ac:dyDescent="0.25">
      <c r="A205">
        <v>6011198</v>
      </c>
      <c r="B205" t="s">
        <v>1279</v>
      </c>
    </row>
    <row r="206" spans="1:5" x14ac:dyDescent="0.25">
      <c r="A206">
        <v>6012448</v>
      </c>
      <c r="B206" t="s">
        <v>1281</v>
      </c>
    </row>
    <row r="207" spans="1:5" x14ac:dyDescent="0.25">
      <c r="A207">
        <v>6081681</v>
      </c>
      <c r="B207" t="s">
        <v>1285</v>
      </c>
    </row>
    <row r="208" spans="1:5" x14ac:dyDescent="0.25">
      <c r="A208">
        <v>7000457</v>
      </c>
      <c r="B208" t="s">
        <v>1285</v>
      </c>
    </row>
    <row r="209" spans="1:2" x14ac:dyDescent="0.25">
      <c r="A209">
        <v>7072644</v>
      </c>
      <c r="B209" t="s">
        <v>1380</v>
      </c>
    </row>
    <row r="210" spans="1:2" x14ac:dyDescent="0.25">
      <c r="A210">
        <v>7072644</v>
      </c>
      <c r="B210" t="s">
        <v>1380</v>
      </c>
    </row>
    <row r="211" spans="1:2" x14ac:dyDescent="0.25">
      <c r="A211">
        <v>7076472</v>
      </c>
      <c r="B211" t="s">
        <v>1355</v>
      </c>
    </row>
    <row r="212" spans="1:2" x14ac:dyDescent="0.25">
      <c r="A212">
        <v>7083159</v>
      </c>
      <c r="B212" t="s">
        <v>1361</v>
      </c>
    </row>
    <row r="213" spans="1:2" x14ac:dyDescent="0.25">
      <c r="A213">
        <v>7084659</v>
      </c>
      <c r="B213" t="s">
        <v>1380</v>
      </c>
    </row>
    <row r="214" spans="1:2" x14ac:dyDescent="0.25">
      <c r="A214">
        <v>7126387</v>
      </c>
      <c r="B214" t="s">
        <v>1373</v>
      </c>
    </row>
    <row r="215" spans="1:2" x14ac:dyDescent="0.25">
      <c r="A215">
        <v>8061313</v>
      </c>
      <c r="B215" t="s">
        <v>1285</v>
      </c>
    </row>
    <row r="216" spans="1:2" x14ac:dyDescent="0.25">
      <c r="A216">
        <v>8097989</v>
      </c>
      <c r="B216" t="s">
        <v>1354</v>
      </c>
    </row>
    <row r="217" spans="1:2" x14ac:dyDescent="0.25">
      <c r="A217">
        <v>10185935</v>
      </c>
      <c r="B217" t="s">
        <v>1285</v>
      </c>
    </row>
    <row r="218" spans="1:2" x14ac:dyDescent="0.25">
      <c r="A218">
        <v>11061215</v>
      </c>
      <c r="B218" t="s">
        <v>1285</v>
      </c>
    </row>
    <row r="219" spans="1:2" x14ac:dyDescent="0.25">
      <c r="A219">
        <v>12087508</v>
      </c>
      <c r="B219" t="s">
        <v>1355</v>
      </c>
    </row>
    <row r="220" spans="1:2" x14ac:dyDescent="0.25">
      <c r="A220">
        <v>93008468</v>
      </c>
      <c r="B220" t="s">
        <v>1359</v>
      </c>
    </row>
    <row r="221" spans="1:2" x14ac:dyDescent="0.25">
      <c r="A221">
        <v>93016155</v>
      </c>
      <c r="B221" t="s">
        <v>1355</v>
      </c>
    </row>
    <row r="222" spans="1:2" x14ac:dyDescent="0.25">
      <c r="A222">
        <v>93016241</v>
      </c>
      <c r="B222" t="s">
        <v>1285</v>
      </c>
    </row>
    <row r="223" spans="1:2" x14ac:dyDescent="0.25">
      <c r="A223">
        <v>93018845</v>
      </c>
      <c r="B223" t="s">
        <v>1354</v>
      </c>
    </row>
    <row r="224" spans="1:2" x14ac:dyDescent="0.25">
      <c r="A224">
        <v>94003884</v>
      </c>
      <c r="B224" t="s">
        <v>1355</v>
      </c>
    </row>
    <row r="225" spans="1:2" x14ac:dyDescent="0.25">
      <c r="A225">
        <v>94003919</v>
      </c>
      <c r="B225" t="s">
        <v>1354</v>
      </c>
    </row>
    <row r="226" spans="1:2" x14ac:dyDescent="0.25">
      <c r="A226">
        <v>94006009</v>
      </c>
      <c r="B226" t="s">
        <v>1381</v>
      </c>
    </row>
    <row r="227" spans="1:2" x14ac:dyDescent="0.25">
      <c r="A227">
        <v>94014126</v>
      </c>
      <c r="B227" t="s">
        <v>1374</v>
      </c>
    </row>
    <row r="228" spans="1:2" x14ac:dyDescent="0.25">
      <c r="A228">
        <v>94900361</v>
      </c>
      <c r="B228" t="s">
        <v>1281</v>
      </c>
    </row>
    <row r="229" spans="1:2" x14ac:dyDescent="0.25">
      <c r="A229">
        <v>94901890</v>
      </c>
      <c r="B229" t="s">
        <v>1382</v>
      </c>
    </row>
    <row r="230" spans="1:2" x14ac:dyDescent="0.25">
      <c r="A230">
        <v>95001046</v>
      </c>
      <c r="B230" t="s">
        <v>1373</v>
      </c>
    </row>
    <row r="231" spans="1:2" x14ac:dyDescent="0.25">
      <c r="A231">
        <v>95003255</v>
      </c>
      <c r="B231" t="s">
        <v>1354</v>
      </c>
    </row>
    <row r="232" spans="1:2" x14ac:dyDescent="0.25">
      <c r="A232">
        <v>95003777</v>
      </c>
      <c r="B232" t="s">
        <v>1383</v>
      </c>
    </row>
    <row r="233" spans="1:2" x14ac:dyDescent="0.25">
      <c r="A233">
        <v>95007023</v>
      </c>
      <c r="B233" t="s">
        <v>1285</v>
      </c>
    </row>
    <row r="234" spans="1:2" x14ac:dyDescent="0.25">
      <c r="A234">
        <v>95900316</v>
      </c>
      <c r="B234" t="s">
        <v>1384</v>
      </c>
    </row>
    <row r="235" spans="1:2" x14ac:dyDescent="0.25">
      <c r="A235">
        <v>96004031</v>
      </c>
      <c r="B235" t="s">
        <v>1374</v>
      </c>
    </row>
    <row r="236" spans="1:2" x14ac:dyDescent="0.25">
      <c r="A236">
        <v>96900455</v>
      </c>
      <c r="B236" t="s">
        <v>1285</v>
      </c>
    </row>
    <row r="237" spans="1:2" x14ac:dyDescent="0.25">
      <c r="A237">
        <v>97004458</v>
      </c>
      <c r="B237" t="s">
        <v>1382</v>
      </c>
    </row>
    <row r="238" spans="1:2" x14ac:dyDescent="0.25">
      <c r="A238">
        <v>97009212</v>
      </c>
      <c r="B238" t="s">
        <v>1355</v>
      </c>
    </row>
    <row r="239" spans="1:2" x14ac:dyDescent="0.25">
      <c r="A239">
        <v>98006038</v>
      </c>
      <c r="B239" t="s">
        <v>1285</v>
      </c>
    </row>
    <row r="240" spans="1:2" x14ac:dyDescent="0.25">
      <c r="A240">
        <v>98009041</v>
      </c>
      <c r="B240" t="s">
        <v>1385</v>
      </c>
    </row>
    <row r="241" spans="1:2" x14ac:dyDescent="0.25">
      <c r="A241">
        <v>99000714</v>
      </c>
      <c r="B241" t="s">
        <v>1354</v>
      </c>
    </row>
    <row r="242" spans="1:2" x14ac:dyDescent="0.25">
      <c r="A242">
        <v>99002655</v>
      </c>
      <c r="B242" t="s">
        <v>1349</v>
      </c>
    </row>
    <row r="243" spans="1:2" x14ac:dyDescent="0.25">
      <c r="A243">
        <v>99007116</v>
      </c>
      <c r="B243" t="s">
        <v>1360</v>
      </c>
    </row>
    <row r="244" spans="1:2" x14ac:dyDescent="0.25">
      <c r="A244">
        <v>99901293</v>
      </c>
      <c r="B244" t="s">
        <v>1386</v>
      </c>
    </row>
    <row r="245" spans="1:2" x14ac:dyDescent="0.25">
      <c r="A245">
        <v>99901604</v>
      </c>
      <c r="B245" t="s">
        <v>1281</v>
      </c>
    </row>
    <row r="247" spans="1:2" x14ac:dyDescent="0.25">
      <c r="A247" s="28" t="s">
        <v>1387</v>
      </c>
    </row>
    <row r="248" spans="1:2" x14ac:dyDescent="0.25">
      <c r="A248">
        <v>4289</v>
      </c>
      <c r="B248" t="s">
        <v>1374</v>
      </c>
    </row>
    <row r="249" spans="1:2" x14ac:dyDescent="0.25">
      <c r="A249">
        <v>500245</v>
      </c>
      <c r="B249" t="s">
        <v>1382</v>
      </c>
    </row>
    <row r="250" spans="1:2" x14ac:dyDescent="0.25">
      <c r="A250">
        <v>2002573</v>
      </c>
      <c r="B250" t="s">
        <v>1359</v>
      </c>
    </row>
    <row r="251" spans="1:2" x14ac:dyDescent="0.25">
      <c r="A251">
        <v>2003539</v>
      </c>
      <c r="B251" t="s">
        <v>1388</v>
      </c>
    </row>
    <row r="252" spans="1:2" x14ac:dyDescent="0.25">
      <c r="A252">
        <v>2003649</v>
      </c>
      <c r="B252" t="s">
        <v>1354</v>
      </c>
    </row>
    <row r="253" spans="1:2" x14ac:dyDescent="0.25">
      <c r="A253">
        <v>2005572</v>
      </c>
      <c r="B253" t="s">
        <v>1374</v>
      </c>
    </row>
    <row r="254" spans="1:2" x14ac:dyDescent="0.25">
      <c r="A254">
        <v>2013117</v>
      </c>
      <c r="B254" t="s">
        <v>1285</v>
      </c>
    </row>
    <row r="255" spans="1:2" x14ac:dyDescent="0.25">
      <c r="A255">
        <v>3008204</v>
      </c>
      <c r="B255" t="s">
        <v>1359</v>
      </c>
    </row>
    <row r="256" spans="1:2" x14ac:dyDescent="0.25">
      <c r="A256">
        <v>3009633</v>
      </c>
      <c r="B256" t="s">
        <v>1354</v>
      </c>
    </row>
    <row r="257" spans="1:2" x14ac:dyDescent="0.25">
      <c r="A257">
        <v>3010583</v>
      </c>
      <c r="B257" t="s">
        <v>1285</v>
      </c>
    </row>
    <row r="258" spans="1:2" x14ac:dyDescent="0.25">
      <c r="A258">
        <v>3011892</v>
      </c>
      <c r="B258" t="s">
        <v>1285</v>
      </c>
    </row>
    <row r="259" spans="1:2" x14ac:dyDescent="0.25">
      <c r="A259">
        <v>4001382</v>
      </c>
      <c r="B259" t="s">
        <v>1349</v>
      </c>
    </row>
    <row r="260" spans="1:2" x14ac:dyDescent="0.25">
      <c r="A260">
        <v>5006592</v>
      </c>
      <c r="B260" t="s">
        <v>1359</v>
      </c>
    </row>
    <row r="261" spans="1:2" x14ac:dyDescent="0.25">
      <c r="A261">
        <v>5006761</v>
      </c>
      <c r="B261" t="s">
        <v>1374</v>
      </c>
    </row>
    <row r="262" spans="1:2" x14ac:dyDescent="0.25">
      <c r="A262">
        <v>5007274</v>
      </c>
      <c r="B262" t="s">
        <v>1349</v>
      </c>
    </row>
    <row r="263" spans="1:2" x14ac:dyDescent="0.25">
      <c r="A263">
        <v>5013714</v>
      </c>
      <c r="B263" t="s">
        <v>1349</v>
      </c>
    </row>
    <row r="264" spans="1:2" x14ac:dyDescent="0.25">
      <c r="A264">
        <v>5015851</v>
      </c>
      <c r="B264" t="s">
        <v>1389</v>
      </c>
    </row>
    <row r="265" spans="1:2" x14ac:dyDescent="0.25">
      <c r="A265">
        <v>5018675</v>
      </c>
      <c r="B265" t="s">
        <v>1285</v>
      </c>
    </row>
    <row r="266" spans="1:2" x14ac:dyDescent="0.25">
      <c r="A266">
        <v>6000832</v>
      </c>
      <c r="B266" t="s">
        <v>1388</v>
      </c>
    </row>
    <row r="267" spans="1:2" x14ac:dyDescent="0.25">
      <c r="A267">
        <v>6015647</v>
      </c>
      <c r="B267" t="s">
        <v>1285</v>
      </c>
    </row>
    <row r="268" spans="1:2" x14ac:dyDescent="0.25">
      <c r="A268">
        <v>6050168</v>
      </c>
      <c r="B268" t="s">
        <v>1285</v>
      </c>
    </row>
    <row r="269" spans="1:2" x14ac:dyDescent="0.25">
      <c r="A269">
        <v>6056633</v>
      </c>
      <c r="B269" t="s">
        <v>1390</v>
      </c>
    </row>
    <row r="270" spans="1:2" x14ac:dyDescent="0.25">
      <c r="A270">
        <v>6062742</v>
      </c>
      <c r="B270" t="s">
        <v>1354</v>
      </c>
    </row>
    <row r="271" spans="1:2" x14ac:dyDescent="0.25">
      <c r="A271">
        <v>7003242</v>
      </c>
      <c r="B271" t="s">
        <v>1359</v>
      </c>
    </row>
    <row r="272" spans="1:2" x14ac:dyDescent="0.25">
      <c r="A272">
        <v>7072644</v>
      </c>
      <c r="B272" t="s">
        <v>1380</v>
      </c>
    </row>
    <row r="273" spans="1:2" x14ac:dyDescent="0.25">
      <c r="A273">
        <v>7086224</v>
      </c>
      <c r="B273" t="s">
        <v>1381</v>
      </c>
    </row>
    <row r="274" spans="1:2" x14ac:dyDescent="0.25">
      <c r="A274">
        <v>7103068</v>
      </c>
      <c r="B274" t="s">
        <v>1380</v>
      </c>
    </row>
    <row r="275" spans="1:2" x14ac:dyDescent="0.25">
      <c r="A275">
        <v>8016252</v>
      </c>
      <c r="B275" t="s">
        <v>1391</v>
      </c>
    </row>
    <row r="276" spans="1:2" x14ac:dyDescent="0.25">
      <c r="A276">
        <v>11130494</v>
      </c>
      <c r="B276" t="s">
        <v>1392</v>
      </c>
    </row>
    <row r="277" spans="1:2" x14ac:dyDescent="0.25">
      <c r="A277">
        <v>11187511</v>
      </c>
      <c r="B277" t="s">
        <v>1285</v>
      </c>
    </row>
    <row r="278" spans="1:2" x14ac:dyDescent="0.25">
      <c r="A278">
        <v>12006392</v>
      </c>
      <c r="B278" t="s">
        <v>1354</v>
      </c>
    </row>
    <row r="279" spans="1:2" x14ac:dyDescent="0.25">
      <c r="A279">
        <v>12022536</v>
      </c>
      <c r="B279" t="s">
        <v>1392</v>
      </c>
    </row>
    <row r="280" spans="1:2" x14ac:dyDescent="0.25">
      <c r="A280">
        <v>12111578</v>
      </c>
      <c r="B280" t="s">
        <v>1285</v>
      </c>
    </row>
    <row r="281" spans="1:2" x14ac:dyDescent="0.25">
      <c r="A281">
        <v>13020792</v>
      </c>
      <c r="B281" t="s">
        <v>1349</v>
      </c>
    </row>
    <row r="282" spans="1:2" x14ac:dyDescent="0.25">
      <c r="A282">
        <v>97005797</v>
      </c>
      <c r="B282" t="s">
        <v>1285</v>
      </c>
    </row>
    <row r="283" spans="1:2" x14ac:dyDescent="0.25">
      <c r="A283">
        <v>99000345</v>
      </c>
      <c r="B283" t="s">
        <v>1373</v>
      </c>
    </row>
    <row r="285" spans="1:2" x14ac:dyDescent="0.25">
      <c r="A285" s="28" t="s">
        <v>1393</v>
      </c>
    </row>
    <row r="286" spans="1:2" x14ac:dyDescent="0.25">
      <c r="A286">
        <v>5281</v>
      </c>
      <c r="B286" t="s">
        <v>1373</v>
      </c>
    </row>
    <row r="287" spans="1:2" x14ac:dyDescent="0.25">
      <c r="A287">
        <v>200085</v>
      </c>
      <c r="B287" t="s">
        <v>1285</v>
      </c>
    </row>
    <row r="288" spans="1:2" x14ac:dyDescent="0.25">
      <c r="A288">
        <v>200149</v>
      </c>
      <c r="B288" t="s">
        <v>1359</v>
      </c>
    </row>
    <row r="289" spans="1:2" x14ac:dyDescent="0.25">
      <c r="A289">
        <v>500129</v>
      </c>
      <c r="B289" t="s">
        <v>1395</v>
      </c>
    </row>
    <row r="290" spans="1:2" x14ac:dyDescent="0.25">
      <c r="A290">
        <v>1002033</v>
      </c>
      <c r="B290" t="s">
        <v>1359</v>
      </c>
    </row>
    <row r="291" spans="1:2" x14ac:dyDescent="0.25">
      <c r="A291">
        <v>1002241</v>
      </c>
      <c r="B291" t="s">
        <v>1383</v>
      </c>
    </row>
    <row r="292" spans="1:2" x14ac:dyDescent="0.25">
      <c r="A292">
        <v>1003457</v>
      </c>
      <c r="B292" t="s">
        <v>1373</v>
      </c>
    </row>
    <row r="293" spans="1:2" x14ac:dyDescent="0.25">
      <c r="A293">
        <v>1006310</v>
      </c>
      <c r="B293" t="s">
        <v>1392</v>
      </c>
    </row>
    <row r="294" spans="1:2" x14ac:dyDescent="0.25">
      <c r="A294">
        <v>1007842</v>
      </c>
      <c r="B294" t="s">
        <v>1361</v>
      </c>
    </row>
    <row r="295" spans="1:2" x14ac:dyDescent="0.25">
      <c r="A295">
        <v>2005223</v>
      </c>
      <c r="B295" t="s">
        <v>1354</v>
      </c>
    </row>
    <row r="296" spans="1:2" x14ac:dyDescent="0.25">
      <c r="A296">
        <v>2006107</v>
      </c>
      <c r="B296" t="s">
        <v>1354</v>
      </c>
    </row>
    <row r="297" spans="1:2" x14ac:dyDescent="0.25">
      <c r="A297">
        <v>2008127</v>
      </c>
      <c r="B297" t="s">
        <v>1349</v>
      </c>
    </row>
    <row r="298" spans="1:2" x14ac:dyDescent="0.25">
      <c r="A298">
        <v>2010754</v>
      </c>
      <c r="B298" t="s">
        <v>1285</v>
      </c>
    </row>
    <row r="299" spans="1:2" x14ac:dyDescent="0.25">
      <c r="A299">
        <v>2012014</v>
      </c>
      <c r="B299" t="s">
        <v>1396</v>
      </c>
    </row>
    <row r="300" spans="1:2" x14ac:dyDescent="0.25">
      <c r="A300">
        <v>3000152</v>
      </c>
      <c r="B300" t="s">
        <v>1285</v>
      </c>
    </row>
    <row r="301" spans="1:2" x14ac:dyDescent="0.25">
      <c r="A301">
        <v>3014566</v>
      </c>
      <c r="B301" t="s">
        <v>1392</v>
      </c>
    </row>
    <row r="302" spans="1:2" x14ac:dyDescent="0.25">
      <c r="A302">
        <v>3015058</v>
      </c>
      <c r="B302" t="s">
        <v>1397</v>
      </c>
    </row>
    <row r="303" spans="1:2" x14ac:dyDescent="0.25">
      <c r="A303">
        <v>3017084</v>
      </c>
      <c r="B303" t="s">
        <v>1285</v>
      </c>
    </row>
    <row r="304" spans="1:2" x14ac:dyDescent="0.25">
      <c r="A304">
        <v>3019249</v>
      </c>
      <c r="B304" t="s">
        <v>1397</v>
      </c>
    </row>
    <row r="305" spans="1:2" x14ac:dyDescent="0.25">
      <c r="A305">
        <v>4000996</v>
      </c>
      <c r="B305" t="s">
        <v>1398</v>
      </c>
    </row>
    <row r="306" spans="1:2" x14ac:dyDescent="0.25">
      <c r="A306">
        <v>4003768</v>
      </c>
      <c r="B306" t="s">
        <v>1399</v>
      </c>
    </row>
    <row r="307" spans="1:2" x14ac:dyDescent="0.25">
      <c r="A307">
        <v>4006540</v>
      </c>
      <c r="B307" t="s">
        <v>1285</v>
      </c>
    </row>
    <row r="308" spans="1:2" x14ac:dyDescent="0.25">
      <c r="A308">
        <v>4007054</v>
      </c>
      <c r="B308" t="s">
        <v>1397</v>
      </c>
    </row>
    <row r="309" spans="1:2" x14ac:dyDescent="0.25">
      <c r="A309">
        <v>4009308</v>
      </c>
      <c r="B309" t="s">
        <v>1392</v>
      </c>
    </row>
    <row r="310" spans="1:2" x14ac:dyDescent="0.25">
      <c r="A310">
        <v>4011002</v>
      </c>
      <c r="B310" t="s">
        <v>1397</v>
      </c>
    </row>
    <row r="311" spans="1:2" x14ac:dyDescent="0.25">
      <c r="A311">
        <v>4900268</v>
      </c>
      <c r="B311" t="s">
        <v>1373</v>
      </c>
    </row>
    <row r="312" spans="1:2" x14ac:dyDescent="0.25">
      <c r="A312">
        <v>5001097</v>
      </c>
      <c r="B312" t="s">
        <v>1392</v>
      </c>
    </row>
    <row r="313" spans="1:2" x14ac:dyDescent="0.25">
      <c r="A313">
        <v>5001098</v>
      </c>
      <c r="B313" t="s">
        <v>1392</v>
      </c>
    </row>
    <row r="314" spans="1:2" x14ac:dyDescent="0.25">
      <c r="A314">
        <v>5005508</v>
      </c>
      <c r="B314" t="s">
        <v>1362</v>
      </c>
    </row>
    <row r="315" spans="1:2" x14ac:dyDescent="0.25">
      <c r="A315">
        <v>5005517</v>
      </c>
      <c r="B315" t="s">
        <v>1362</v>
      </c>
    </row>
    <row r="316" spans="1:2" x14ac:dyDescent="0.25">
      <c r="A316">
        <v>5005523</v>
      </c>
      <c r="B316" t="s">
        <v>1362</v>
      </c>
    </row>
    <row r="317" spans="1:2" x14ac:dyDescent="0.25">
      <c r="A317">
        <v>5005557</v>
      </c>
      <c r="B317" t="s">
        <v>1362</v>
      </c>
    </row>
    <row r="318" spans="1:2" x14ac:dyDescent="0.25">
      <c r="A318">
        <v>5006152</v>
      </c>
      <c r="B318" t="s">
        <v>1349</v>
      </c>
    </row>
    <row r="319" spans="1:2" x14ac:dyDescent="0.25">
      <c r="A319">
        <v>5006717</v>
      </c>
      <c r="B319" t="s">
        <v>1362</v>
      </c>
    </row>
    <row r="320" spans="1:2" x14ac:dyDescent="0.25">
      <c r="A320">
        <v>5006719</v>
      </c>
      <c r="B320" t="s">
        <v>1362</v>
      </c>
    </row>
    <row r="321" spans="1:2" x14ac:dyDescent="0.25">
      <c r="A321">
        <v>5006726</v>
      </c>
      <c r="B321" t="s">
        <v>1362</v>
      </c>
    </row>
    <row r="322" spans="1:2" x14ac:dyDescent="0.25">
      <c r="A322">
        <v>5006732</v>
      </c>
      <c r="B322" t="s">
        <v>1362</v>
      </c>
    </row>
    <row r="323" spans="1:2" x14ac:dyDescent="0.25">
      <c r="A323">
        <v>5006733</v>
      </c>
      <c r="B323" t="s">
        <v>1362</v>
      </c>
    </row>
    <row r="324" spans="1:2" x14ac:dyDescent="0.25">
      <c r="A324">
        <v>5006736</v>
      </c>
      <c r="B324" t="s">
        <v>1362</v>
      </c>
    </row>
    <row r="325" spans="1:2" x14ac:dyDescent="0.25">
      <c r="A325">
        <v>5006761</v>
      </c>
      <c r="B325" t="s">
        <v>1362</v>
      </c>
    </row>
    <row r="326" spans="1:2" x14ac:dyDescent="0.25">
      <c r="A326">
        <v>5006764</v>
      </c>
      <c r="B326" t="s">
        <v>1362</v>
      </c>
    </row>
    <row r="327" spans="1:2" x14ac:dyDescent="0.25">
      <c r="A327">
        <v>5006917</v>
      </c>
      <c r="B327" t="s">
        <v>1400</v>
      </c>
    </row>
    <row r="328" spans="1:2" x14ac:dyDescent="0.25">
      <c r="A328">
        <v>5011824</v>
      </c>
      <c r="B328" t="s">
        <v>1401</v>
      </c>
    </row>
    <row r="329" spans="1:2" x14ac:dyDescent="0.25">
      <c r="A329">
        <v>5013714</v>
      </c>
      <c r="B329" t="s">
        <v>1349</v>
      </c>
    </row>
    <row r="330" spans="1:2" x14ac:dyDescent="0.25">
      <c r="A330">
        <v>5016179</v>
      </c>
      <c r="B330" t="s">
        <v>1349</v>
      </c>
    </row>
    <row r="331" spans="1:2" x14ac:dyDescent="0.25">
      <c r="A331">
        <v>5016255</v>
      </c>
      <c r="B331" t="s">
        <v>1359</v>
      </c>
    </row>
    <row r="332" spans="1:2" x14ac:dyDescent="0.25">
      <c r="A332">
        <v>5018677</v>
      </c>
      <c r="B332" t="s">
        <v>1285</v>
      </c>
    </row>
    <row r="333" spans="1:2" x14ac:dyDescent="0.25">
      <c r="A333">
        <v>8012361</v>
      </c>
      <c r="B333" t="s">
        <v>1392</v>
      </c>
    </row>
    <row r="334" spans="1:2" x14ac:dyDescent="0.25">
      <c r="A334">
        <v>6064311</v>
      </c>
      <c r="B334" t="s">
        <v>1392</v>
      </c>
    </row>
    <row r="335" spans="1:2" x14ac:dyDescent="0.25">
      <c r="A335">
        <v>6081681</v>
      </c>
      <c r="B335" t="s">
        <v>1349</v>
      </c>
    </row>
    <row r="336" spans="1:2" x14ac:dyDescent="0.25">
      <c r="A336">
        <v>7079011</v>
      </c>
      <c r="B336" t="s">
        <v>1373</v>
      </c>
    </row>
    <row r="337" spans="1:2" x14ac:dyDescent="0.25">
      <c r="A337">
        <v>7103068</v>
      </c>
      <c r="B337" t="s">
        <v>1349</v>
      </c>
    </row>
    <row r="338" spans="1:2" x14ac:dyDescent="0.25">
      <c r="A338">
        <v>8055349</v>
      </c>
      <c r="B338" t="s">
        <v>1349</v>
      </c>
    </row>
    <row r="339" spans="1:2" x14ac:dyDescent="0.25">
      <c r="A339">
        <v>8065877</v>
      </c>
      <c r="B339" t="s">
        <v>1349</v>
      </c>
    </row>
    <row r="340" spans="1:2" x14ac:dyDescent="0.25">
      <c r="A340">
        <v>8089666</v>
      </c>
      <c r="B340" t="s">
        <v>1349</v>
      </c>
    </row>
    <row r="341" spans="1:2" x14ac:dyDescent="0.25">
      <c r="A341">
        <v>8103536</v>
      </c>
      <c r="B341" t="s">
        <v>1392</v>
      </c>
    </row>
    <row r="342" spans="1:2" x14ac:dyDescent="0.25">
      <c r="A342">
        <v>8124816</v>
      </c>
      <c r="B342" t="s">
        <v>1392</v>
      </c>
    </row>
    <row r="343" spans="1:2" x14ac:dyDescent="0.25">
      <c r="A343">
        <v>8135416</v>
      </c>
      <c r="B343" t="s">
        <v>1349</v>
      </c>
    </row>
    <row r="344" spans="1:2" x14ac:dyDescent="0.25">
      <c r="A344">
        <v>11000454</v>
      </c>
      <c r="B344" t="s">
        <v>1349</v>
      </c>
    </row>
    <row r="345" spans="1:2" x14ac:dyDescent="0.25">
      <c r="A345">
        <v>11138447</v>
      </c>
      <c r="B345" t="s">
        <v>1349</v>
      </c>
    </row>
    <row r="346" spans="1:2" x14ac:dyDescent="0.25">
      <c r="A346">
        <v>12202633</v>
      </c>
      <c r="B346" t="s">
        <v>1349</v>
      </c>
    </row>
    <row r="347" spans="1:2" x14ac:dyDescent="0.25">
      <c r="A347">
        <v>93018945</v>
      </c>
      <c r="B347" t="s">
        <v>1402</v>
      </c>
    </row>
    <row r="348" spans="1:2" x14ac:dyDescent="0.25">
      <c r="A348">
        <v>94009028</v>
      </c>
      <c r="B348" t="s">
        <v>1349</v>
      </c>
    </row>
    <row r="349" spans="1:2" x14ac:dyDescent="0.25">
      <c r="A349">
        <v>95005907</v>
      </c>
      <c r="B349" t="s">
        <v>1285</v>
      </c>
    </row>
    <row r="350" spans="1:2" x14ac:dyDescent="0.25">
      <c r="A350">
        <v>95900164</v>
      </c>
      <c r="B350" t="s">
        <v>1349</v>
      </c>
    </row>
    <row r="351" spans="1:2" x14ac:dyDescent="0.25">
      <c r="A351">
        <v>96015811</v>
      </c>
      <c r="B351" t="s">
        <v>1349</v>
      </c>
    </row>
    <row r="352" spans="1:2" x14ac:dyDescent="0.25">
      <c r="A352">
        <v>97001240</v>
      </c>
      <c r="B352" t="s">
        <v>1403</v>
      </c>
    </row>
    <row r="353" spans="1:2" x14ac:dyDescent="0.25">
      <c r="A353">
        <v>97005366</v>
      </c>
      <c r="B353" t="s">
        <v>1392</v>
      </c>
    </row>
    <row r="354" spans="1:2" x14ac:dyDescent="0.25">
      <c r="A354">
        <v>98000595</v>
      </c>
      <c r="B354" t="s">
        <v>1392</v>
      </c>
    </row>
    <row r="355" spans="1:2" x14ac:dyDescent="0.25">
      <c r="A355">
        <v>98002692</v>
      </c>
      <c r="B355" t="s">
        <v>1354</v>
      </c>
    </row>
    <row r="356" spans="1:2" x14ac:dyDescent="0.25">
      <c r="A356">
        <v>99001815</v>
      </c>
      <c r="B356" t="s">
        <v>1392</v>
      </c>
    </row>
    <row r="358" spans="1:2" x14ac:dyDescent="0.25">
      <c r="A358" s="28" t="s">
        <v>1406</v>
      </c>
    </row>
    <row r="359" spans="1:2" x14ac:dyDescent="0.25">
      <c r="A359">
        <v>5006592</v>
      </c>
      <c r="B359" t="s">
        <v>1359</v>
      </c>
    </row>
    <row r="360" spans="1:2" x14ac:dyDescent="0.25">
      <c r="A360">
        <v>5007274</v>
      </c>
      <c r="B360" t="s">
        <v>1349</v>
      </c>
    </row>
    <row r="361" spans="1:2" x14ac:dyDescent="0.25">
      <c r="A361">
        <v>5015851</v>
      </c>
      <c r="B361" t="s">
        <v>1362</v>
      </c>
    </row>
    <row r="362" spans="1:2" x14ac:dyDescent="0.25">
      <c r="A362">
        <v>6015647</v>
      </c>
      <c r="B362" t="s">
        <v>1359</v>
      </c>
    </row>
    <row r="363" spans="1:2" x14ac:dyDescent="0.25">
      <c r="A363">
        <v>6050794</v>
      </c>
      <c r="B363" t="s">
        <v>1407</v>
      </c>
    </row>
    <row r="364" spans="1:2" x14ac:dyDescent="0.25">
      <c r="A364">
        <v>6056633</v>
      </c>
      <c r="B364" t="s">
        <v>1359</v>
      </c>
    </row>
    <row r="365" spans="1:2" x14ac:dyDescent="0.25">
      <c r="A365">
        <v>6058484</v>
      </c>
      <c r="B365" t="s">
        <v>1362</v>
      </c>
    </row>
    <row r="366" spans="1:2" x14ac:dyDescent="0.25">
      <c r="A366">
        <v>7086224</v>
      </c>
      <c r="B366" t="s">
        <v>1285</v>
      </c>
    </row>
    <row r="367" spans="1:2" x14ac:dyDescent="0.25">
      <c r="A367">
        <v>7103068</v>
      </c>
      <c r="B367" t="s">
        <v>1349</v>
      </c>
    </row>
    <row r="368" spans="1:2" x14ac:dyDescent="0.25">
      <c r="A368">
        <v>8007013</v>
      </c>
      <c r="B368" t="s">
        <v>1354</v>
      </c>
    </row>
    <row r="369" spans="1:2" x14ac:dyDescent="0.25">
      <c r="A369">
        <v>8040959</v>
      </c>
      <c r="B369" t="s">
        <v>1392</v>
      </c>
    </row>
    <row r="370" spans="1:2" x14ac:dyDescent="0.25">
      <c r="A370">
        <v>8051516</v>
      </c>
      <c r="B370" t="s">
        <v>1359</v>
      </c>
    </row>
    <row r="371" spans="1:2" x14ac:dyDescent="0.25">
      <c r="A371">
        <v>8060785</v>
      </c>
      <c r="B371" t="s">
        <v>1349</v>
      </c>
    </row>
    <row r="372" spans="1:2" x14ac:dyDescent="0.25">
      <c r="A372">
        <v>8107048</v>
      </c>
      <c r="B372" t="s">
        <v>1285</v>
      </c>
    </row>
    <row r="373" spans="1:2" x14ac:dyDescent="0.25">
      <c r="A373">
        <v>8119197</v>
      </c>
      <c r="B373" t="s">
        <v>1285</v>
      </c>
    </row>
    <row r="374" spans="1:2" x14ac:dyDescent="0.25">
      <c r="A374">
        <v>8124044</v>
      </c>
      <c r="B374" t="s">
        <v>1392</v>
      </c>
    </row>
    <row r="375" spans="1:2" x14ac:dyDescent="0.25">
      <c r="A375">
        <v>8142949</v>
      </c>
      <c r="B375" t="s">
        <v>1285</v>
      </c>
    </row>
    <row r="376" spans="1:2" x14ac:dyDescent="0.25">
      <c r="A376">
        <v>9003331</v>
      </c>
      <c r="B376" t="s">
        <v>1392</v>
      </c>
    </row>
    <row r="377" spans="1:2" x14ac:dyDescent="0.25">
      <c r="A377">
        <v>9023306</v>
      </c>
      <c r="B377" t="s">
        <v>1392</v>
      </c>
    </row>
    <row r="378" spans="1:2" x14ac:dyDescent="0.25">
      <c r="A378">
        <v>9030615</v>
      </c>
      <c r="B378" t="s">
        <v>1392</v>
      </c>
    </row>
    <row r="379" spans="1:2" x14ac:dyDescent="0.25">
      <c r="A379">
        <v>9034464</v>
      </c>
      <c r="B379" t="s">
        <v>1408</v>
      </c>
    </row>
    <row r="380" spans="1:2" x14ac:dyDescent="0.25">
      <c r="A380">
        <v>9040167</v>
      </c>
      <c r="B380" t="s">
        <v>1362</v>
      </c>
    </row>
    <row r="381" spans="1:2" x14ac:dyDescent="0.25">
      <c r="A381">
        <v>9042861</v>
      </c>
      <c r="B381" t="s">
        <v>1362</v>
      </c>
    </row>
    <row r="382" spans="1:2" x14ac:dyDescent="0.25">
      <c r="A382">
        <v>9054567</v>
      </c>
      <c r="B382" t="s">
        <v>1285</v>
      </c>
    </row>
    <row r="383" spans="1:2" x14ac:dyDescent="0.25">
      <c r="A383">
        <v>9083682</v>
      </c>
      <c r="B383" t="s">
        <v>1285</v>
      </c>
    </row>
    <row r="384" spans="1:2" x14ac:dyDescent="0.25">
      <c r="A384">
        <v>9090323</v>
      </c>
      <c r="B384" t="s">
        <v>1392</v>
      </c>
    </row>
    <row r="385" spans="1:2" x14ac:dyDescent="0.25">
      <c r="A385">
        <v>9102044</v>
      </c>
      <c r="B385" t="s">
        <v>1285</v>
      </c>
    </row>
    <row r="386" spans="1:2" x14ac:dyDescent="0.25">
      <c r="A386">
        <v>9119854</v>
      </c>
      <c r="B386" t="s">
        <v>1285</v>
      </c>
    </row>
    <row r="387" spans="1:2" x14ac:dyDescent="0.25">
      <c r="A387">
        <v>9125126</v>
      </c>
      <c r="B387" t="s">
        <v>1285</v>
      </c>
    </row>
    <row r="388" spans="1:2" x14ac:dyDescent="0.25">
      <c r="A388">
        <v>9174811</v>
      </c>
      <c r="B388" t="s">
        <v>1285</v>
      </c>
    </row>
    <row r="389" spans="1:2" x14ac:dyDescent="0.25">
      <c r="A389">
        <v>10002875</v>
      </c>
      <c r="B389" t="s">
        <v>1285</v>
      </c>
    </row>
    <row r="390" spans="1:2" x14ac:dyDescent="0.25">
      <c r="A390">
        <v>10023080</v>
      </c>
      <c r="B390" t="s">
        <v>1285</v>
      </c>
    </row>
    <row r="391" spans="1:2" x14ac:dyDescent="0.25">
      <c r="A391">
        <v>10025212</v>
      </c>
      <c r="B391" t="s">
        <v>1285</v>
      </c>
    </row>
    <row r="392" spans="1:2" x14ac:dyDescent="0.25">
      <c r="A392">
        <v>10069407</v>
      </c>
      <c r="B392" t="s">
        <v>1285</v>
      </c>
    </row>
    <row r="393" spans="1:2" x14ac:dyDescent="0.25">
      <c r="A393">
        <v>10071135</v>
      </c>
      <c r="B393" t="s">
        <v>1354</v>
      </c>
    </row>
    <row r="394" spans="1:2" x14ac:dyDescent="0.25">
      <c r="A394">
        <v>10083649</v>
      </c>
      <c r="B394" t="s">
        <v>1392</v>
      </c>
    </row>
    <row r="395" spans="1:2" x14ac:dyDescent="0.25">
      <c r="A395">
        <v>10102021</v>
      </c>
      <c r="B395" t="s">
        <v>1392</v>
      </c>
    </row>
    <row r="396" spans="1:2" x14ac:dyDescent="0.25">
      <c r="A396">
        <v>10109552</v>
      </c>
      <c r="B396" t="s">
        <v>1392</v>
      </c>
    </row>
    <row r="397" spans="1:2" x14ac:dyDescent="0.25">
      <c r="A397">
        <v>10123729</v>
      </c>
      <c r="B397" t="s">
        <v>1285</v>
      </c>
    </row>
    <row r="398" spans="1:2" x14ac:dyDescent="0.25">
      <c r="A398">
        <v>10137498</v>
      </c>
      <c r="B398" t="s">
        <v>1392</v>
      </c>
    </row>
    <row r="399" spans="1:2" x14ac:dyDescent="0.25">
      <c r="A399">
        <v>10144736</v>
      </c>
      <c r="B399" t="s">
        <v>1285</v>
      </c>
    </row>
    <row r="400" spans="1:2" x14ac:dyDescent="0.25">
      <c r="A400">
        <v>10157275</v>
      </c>
      <c r="B400" t="s">
        <v>1392</v>
      </c>
    </row>
    <row r="401" spans="1:2" x14ac:dyDescent="0.25">
      <c r="A401">
        <v>10190869</v>
      </c>
      <c r="B401" t="s">
        <v>1409</v>
      </c>
    </row>
    <row r="402" spans="1:2" x14ac:dyDescent="0.25">
      <c r="A402">
        <v>11008417</v>
      </c>
      <c r="B402" t="s">
        <v>1285</v>
      </c>
    </row>
    <row r="403" spans="1:2" x14ac:dyDescent="0.25">
      <c r="A403">
        <v>11011791</v>
      </c>
      <c r="B403" t="s">
        <v>1359</v>
      </c>
    </row>
    <row r="404" spans="1:2" x14ac:dyDescent="0.25">
      <c r="A404">
        <v>11043926</v>
      </c>
      <c r="B404" t="s">
        <v>1359</v>
      </c>
    </row>
    <row r="405" spans="1:2" x14ac:dyDescent="0.25">
      <c r="A405">
        <v>11049060</v>
      </c>
      <c r="B405" t="s">
        <v>1410</v>
      </c>
    </row>
    <row r="406" spans="1:2" x14ac:dyDescent="0.25">
      <c r="A406">
        <v>11058012</v>
      </c>
      <c r="B406" t="s">
        <v>1392</v>
      </c>
    </row>
    <row r="407" spans="1:2" x14ac:dyDescent="0.25">
      <c r="A407">
        <v>11082290</v>
      </c>
      <c r="B407" t="s">
        <v>1359</v>
      </c>
    </row>
    <row r="408" spans="1:2" x14ac:dyDescent="0.25">
      <c r="A408">
        <v>11096431</v>
      </c>
      <c r="B408" t="s">
        <v>1411</v>
      </c>
    </row>
    <row r="409" spans="1:2" x14ac:dyDescent="0.25">
      <c r="A409">
        <v>11105672</v>
      </c>
      <c r="B409" t="s">
        <v>1285</v>
      </c>
    </row>
    <row r="410" spans="1:2" x14ac:dyDescent="0.25">
      <c r="A410">
        <v>11130494</v>
      </c>
      <c r="B410" t="s">
        <v>1285</v>
      </c>
    </row>
    <row r="411" spans="1:2" x14ac:dyDescent="0.25">
      <c r="A411">
        <v>11136262</v>
      </c>
      <c r="B411" t="s">
        <v>1392</v>
      </c>
    </row>
    <row r="412" spans="1:2" x14ac:dyDescent="0.25">
      <c r="A412">
        <v>11139605</v>
      </c>
      <c r="B412" t="s">
        <v>1392</v>
      </c>
    </row>
    <row r="413" spans="1:2" x14ac:dyDescent="0.25">
      <c r="A413">
        <v>11156782</v>
      </c>
      <c r="B413" t="s">
        <v>1285</v>
      </c>
    </row>
    <row r="414" spans="1:2" x14ac:dyDescent="0.25">
      <c r="A414">
        <v>11178455</v>
      </c>
      <c r="B414" t="s">
        <v>1285</v>
      </c>
    </row>
    <row r="415" spans="1:2" x14ac:dyDescent="0.25">
      <c r="A415">
        <v>11179526</v>
      </c>
      <c r="B415" t="s">
        <v>1285</v>
      </c>
    </row>
    <row r="416" spans="1:2" x14ac:dyDescent="0.25">
      <c r="A416">
        <v>11187511</v>
      </c>
      <c r="B416" t="s">
        <v>1392</v>
      </c>
    </row>
    <row r="417" spans="1:2" x14ac:dyDescent="0.25">
      <c r="A417">
        <v>11186565</v>
      </c>
      <c r="B417" t="s">
        <v>1285</v>
      </c>
    </row>
    <row r="418" spans="1:2" x14ac:dyDescent="0.25">
      <c r="A418">
        <v>11223290</v>
      </c>
      <c r="B418" t="s">
        <v>1349</v>
      </c>
    </row>
    <row r="419" spans="1:2" x14ac:dyDescent="0.25">
      <c r="A419">
        <v>11228365</v>
      </c>
      <c r="B419" t="s">
        <v>1285</v>
      </c>
    </row>
    <row r="420" spans="1:2" x14ac:dyDescent="0.25">
      <c r="A420">
        <v>11242475</v>
      </c>
      <c r="B420" t="s">
        <v>1354</v>
      </c>
    </row>
    <row r="421" spans="1:2" x14ac:dyDescent="0.25">
      <c r="A421">
        <v>12006392</v>
      </c>
      <c r="B421" t="s">
        <v>1354</v>
      </c>
    </row>
    <row r="422" spans="1:2" x14ac:dyDescent="0.25">
      <c r="A422">
        <v>12020246</v>
      </c>
      <c r="B422" t="s">
        <v>1392</v>
      </c>
    </row>
    <row r="423" spans="1:2" x14ac:dyDescent="0.25">
      <c r="A423">
        <v>12035138</v>
      </c>
      <c r="B423" t="s">
        <v>1392</v>
      </c>
    </row>
    <row r="424" spans="1:2" x14ac:dyDescent="0.25">
      <c r="A424">
        <v>12111578</v>
      </c>
      <c r="B424" t="s">
        <v>1392</v>
      </c>
    </row>
    <row r="425" spans="1:2" x14ac:dyDescent="0.25">
      <c r="A425">
        <v>12133434</v>
      </c>
      <c r="B425" t="s">
        <v>1392</v>
      </c>
    </row>
    <row r="426" spans="1:2" x14ac:dyDescent="0.25">
      <c r="A426">
        <v>12164268</v>
      </c>
      <c r="B426" t="s">
        <v>1413</v>
      </c>
    </row>
    <row r="427" spans="1:2" x14ac:dyDescent="0.25">
      <c r="A427">
        <v>12164269</v>
      </c>
      <c r="B427" t="s">
        <v>1362</v>
      </c>
    </row>
    <row r="428" spans="1:2" x14ac:dyDescent="0.25">
      <c r="A428">
        <v>12168562</v>
      </c>
      <c r="B428" t="s">
        <v>1392</v>
      </c>
    </row>
    <row r="429" spans="1:2" x14ac:dyDescent="0.25">
      <c r="A429">
        <v>12190939</v>
      </c>
      <c r="B429" t="s">
        <v>1413</v>
      </c>
    </row>
    <row r="430" spans="1:2" x14ac:dyDescent="0.25">
      <c r="A430">
        <v>12311081</v>
      </c>
      <c r="B430" t="s">
        <v>1285</v>
      </c>
    </row>
    <row r="431" spans="1:2" x14ac:dyDescent="0.25">
      <c r="A431">
        <v>13006749</v>
      </c>
      <c r="B431" t="s">
        <v>1392</v>
      </c>
    </row>
    <row r="433" spans="1:2" x14ac:dyDescent="0.25">
      <c r="A433" s="28" t="s">
        <v>1414</v>
      </c>
    </row>
    <row r="434" spans="1:2" x14ac:dyDescent="0.25">
      <c r="A434">
        <v>5013780</v>
      </c>
      <c r="B434" t="s">
        <v>1392</v>
      </c>
    </row>
    <row r="435" spans="1:2" x14ac:dyDescent="0.25">
      <c r="A435">
        <v>6006554</v>
      </c>
      <c r="B435" t="s">
        <v>1285</v>
      </c>
    </row>
    <row r="436" spans="1:2" x14ac:dyDescent="0.25">
      <c r="A436">
        <v>6012361</v>
      </c>
      <c r="B436" t="s">
        <v>1362</v>
      </c>
    </row>
    <row r="437" spans="1:2" x14ac:dyDescent="0.25">
      <c r="A437">
        <v>6015793</v>
      </c>
      <c r="B437" t="s">
        <v>1380</v>
      </c>
    </row>
    <row r="438" spans="1:2" x14ac:dyDescent="0.25">
      <c r="A438">
        <v>6064311</v>
      </c>
      <c r="B438" t="s">
        <v>1359</v>
      </c>
    </row>
    <row r="439" spans="1:2" x14ac:dyDescent="0.25">
      <c r="A439">
        <v>6081681</v>
      </c>
      <c r="B439" t="s">
        <v>1380</v>
      </c>
    </row>
    <row r="440" spans="1:2" x14ac:dyDescent="0.25">
      <c r="A440">
        <v>6043619</v>
      </c>
      <c r="B440" t="s">
        <v>1392</v>
      </c>
    </row>
    <row r="441" spans="1:2" x14ac:dyDescent="0.25">
      <c r="A441">
        <v>6058367</v>
      </c>
      <c r="B441" t="s">
        <v>1362</v>
      </c>
    </row>
    <row r="442" spans="1:2" x14ac:dyDescent="0.25">
      <c r="A442">
        <v>6058438</v>
      </c>
      <c r="B442" t="s">
        <v>1362</v>
      </c>
    </row>
    <row r="443" spans="1:2" x14ac:dyDescent="0.25">
      <c r="A443">
        <v>6058443</v>
      </c>
      <c r="B443" t="s">
        <v>1362</v>
      </c>
    </row>
    <row r="444" spans="1:2" x14ac:dyDescent="0.25">
      <c r="A444">
        <v>6058445</v>
      </c>
      <c r="B444" t="s">
        <v>1362</v>
      </c>
    </row>
    <row r="445" spans="1:2" x14ac:dyDescent="0.25">
      <c r="A445">
        <v>6058471</v>
      </c>
      <c r="B445" t="s">
        <v>1362</v>
      </c>
    </row>
    <row r="446" spans="1:2" x14ac:dyDescent="0.25">
      <c r="A446">
        <v>6058474</v>
      </c>
      <c r="B446" t="s">
        <v>1362</v>
      </c>
    </row>
    <row r="447" spans="1:2" x14ac:dyDescent="0.25">
      <c r="A447">
        <v>6058477</v>
      </c>
      <c r="B447" t="s">
        <v>1362</v>
      </c>
    </row>
    <row r="448" spans="1:2" x14ac:dyDescent="0.25">
      <c r="A448">
        <v>6058478</v>
      </c>
      <c r="B448" t="s">
        <v>1362</v>
      </c>
    </row>
    <row r="449" spans="1:2" x14ac:dyDescent="0.25">
      <c r="A449">
        <v>6058479</v>
      </c>
      <c r="B449" t="s">
        <v>1362</v>
      </c>
    </row>
    <row r="450" spans="1:2" x14ac:dyDescent="0.25">
      <c r="A450">
        <v>6058480</v>
      </c>
      <c r="B450" t="s">
        <v>1362</v>
      </c>
    </row>
    <row r="451" spans="1:2" x14ac:dyDescent="0.25">
      <c r="A451">
        <v>6058484</v>
      </c>
      <c r="B451" t="s">
        <v>1362</v>
      </c>
    </row>
    <row r="452" spans="1:2" x14ac:dyDescent="0.25">
      <c r="A452">
        <v>6058485</v>
      </c>
      <c r="B452" t="s">
        <v>1362</v>
      </c>
    </row>
    <row r="453" spans="1:2" x14ac:dyDescent="0.25">
      <c r="A453">
        <v>7001097</v>
      </c>
      <c r="B453" t="s">
        <v>1392</v>
      </c>
    </row>
    <row r="454" spans="1:2" x14ac:dyDescent="0.25">
      <c r="A454">
        <v>7011435</v>
      </c>
      <c r="B454" t="s">
        <v>1354</v>
      </c>
    </row>
    <row r="455" spans="1:2" x14ac:dyDescent="0.25">
      <c r="A455">
        <v>7045811</v>
      </c>
      <c r="B455" t="s">
        <v>1380</v>
      </c>
    </row>
    <row r="456" spans="1:2" x14ac:dyDescent="0.25">
      <c r="A456">
        <v>7065854</v>
      </c>
      <c r="B456" t="s">
        <v>1380</v>
      </c>
    </row>
    <row r="457" spans="1:2" x14ac:dyDescent="0.25">
      <c r="A457">
        <v>7066720</v>
      </c>
      <c r="B457" t="s">
        <v>1359</v>
      </c>
    </row>
    <row r="458" spans="1:2" x14ac:dyDescent="0.25">
      <c r="A458">
        <v>7071198</v>
      </c>
      <c r="B458" t="s">
        <v>1354</v>
      </c>
    </row>
    <row r="459" spans="1:2" x14ac:dyDescent="0.25">
      <c r="A459">
        <v>7101143</v>
      </c>
      <c r="B459" t="s">
        <v>1392</v>
      </c>
    </row>
    <row r="460" spans="1:2" x14ac:dyDescent="0.25">
      <c r="A460">
        <v>8019333</v>
      </c>
      <c r="B460" t="s">
        <v>1396</v>
      </c>
    </row>
    <row r="461" spans="1:2" x14ac:dyDescent="0.25">
      <c r="A461">
        <v>8055792</v>
      </c>
      <c r="B461" t="s">
        <v>1349</v>
      </c>
    </row>
    <row r="462" spans="1:2" x14ac:dyDescent="0.25">
      <c r="A462">
        <v>8055749</v>
      </c>
      <c r="B462" t="s">
        <v>1359</v>
      </c>
    </row>
    <row r="463" spans="1:2" x14ac:dyDescent="0.25">
      <c r="A463">
        <v>8058506</v>
      </c>
      <c r="B463" t="s">
        <v>1349</v>
      </c>
    </row>
    <row r="464" spans="1:2" x14ac:dyDescent="0.25">
      <c r="A464">
        <v>8065877</v>
      </c>
      <c r="B464" t="s">
        <v>1349</v>
      </c>
    </row>
    <row r="465" spans="1:2" x14ac:dyDescent="0.25">
      <c r="A465">
        <v>8064173</v>
      </c>
      <c r="B465" t="s">
        <v>1349</v>
      </c>
    </row>
    <row r="466" spans="1:2" x14ac:dyDescent="0.25">
      <c r="A466">
        <v>8073350</v>
      </c>
      <c r="B466" t="s">
        <v>1349</v>
      </c>
    </row>
    <row r="467" spans="1:2" x14ac:dyDescent="0.25">
      <c r="A467">
        <v>8073645</v>
      </c>
      <c r="B467" t="s">
        <v>1349</v>
      </c>
    </row>
    <row r="468" spans="1:2" x14ac:dyDescent="0.25">
      <c r="A468">
        <v>8089666</v>
      </c>
      <c r="B468" t="s">
        <v>1359</v>
      </c>
    </row>
    <row r="469" spans="1:2" x14ac:dyDescent="0.25">
      <c r="A469">
        <v>8103536</v>
      </c>
      <c r="B469" t="s">
        <v>1359</v>
      </c>
    </row>
    <row r="470" spans="1:2" x14ac:dyDescent="0.25">
      <c r="A470">
        <v>8124816</v>
      </c>
      <c r="B470" t="s">
        <v>1285</v>
      </c>
    </row>
    <row r="471" spans="1:2" x14ac:dyDescent="0.25">
      <c r="A471">
        <v>8141206</v>
      </c>
      <c r="B471" t="s">
        <v>1392</v>
      </c>
    </row>
    <row r="472" spans="1:2" x14ac:dyDescent="0.25">
      <c r="A472">
        <v>8148370</v>
      </c>
      <c r="B472" t="s">
        <v>1349</v>
      </c>
    </row>
    <row r="473" spans="1:2" x14ac:dyDescent="0.25">
      <c r="A473">
        <v>9003267</v>
      </c>
      <c r="B473" t="s">
        <v>1392</v>
      </c>
    </row>
    <row r="474" spans="1:2" x14ac:dyDescent="0.25">
      <c r="A474">
        <v>9036964</v>
      </c>
      <c r="B474" t="s">
        <v>1392</v>
      </c>
    </row>
    <row r="475" spans="1:2" x14ac:dyDescent="0.25">
      <c r="A475">
        <v>9074418</v>
      </c>
      <c r="B475" t="s">
        <v>1396</v>
      </c>
    </row>
    <row r="476" spans="1:2" x14ac:dyDescent="0.25">
      <c r="A476">
        <v>9074418</v>
      </c>
      <c r="B476" t="s">
        <v>1285</v>
      </c>
    </row>
    <row r="477" spans="1:2" x14ac:dyDescent="0.25">
      <c r="A477">
        <v>9090323</v>
      </c>
      <c r="B477" t="s">
        <v>1392</v>
      </c>
    </row>
    <row r="478" spans="1:2" x14ac:dyDescent="0.25">
      <c r="A478">
        <v>9090287</v>
      </c>
      <c r="B478" t="s">
        <v>1349</v>
      </c>
    </row>
    <row r="479" spans="1:2" x14ac:dyDescent="0.25">
      <c r="A479">
        <v>9095148</v>
      </c>
      <c r="B479" t="s">
        <v>1373</v>
      </c>
    </row>
    <row r="480" spans="1:2" x14ac:dyDescent="0.25">
      <c r="A480">
        <v>9104979</v>
      </c>
      <c r="B480" t="s">
        <v>1285</v>
      </c>
    </row>
    <row r="481" spans="1:2" x14ac:dyDescent="0.25">
      <c r="A481">
        <v>9109244</v>
      </c>
      <c r="B481" t="s">
        <v>1285</v>
      </c>
    </row>
    <row r="482" spans="1:2" x14ac:dyDescent="0.25">
      <c r="A482">
        <v>9130880</v>
      </c>
      <c r="B482" t="s">
        <v>1285</v>
      </c>
    </row>
    <row r="483" spans="1:2" x14ac:dyDescent="0.25">
      <c r="A483">
        <v>9139514</v>
      </c>
      <c r="B483" t="s">
        <v>1285</v>
      </c>
    </row>
    <row r="484" spans="1:2" x14ac:dyDescent="0.25">
      <c r="A484">
        <v>9174811</v>
      </c>
      <c r="B484" t="s">
        <v>1392</v>
      </c>
    </row>
    <row r="485" spans="1:2" x14ac:dyDescent="0.25">
      <c r="A485">
        <v>10002875</v>
      </c>
      <c r="B485" t="s">
        <v>1392</v>
      </c>
    </row>
    <row r="486" spans="1:2" x14ac:dyDescent="0.25">
      <c r="A486">
        <v>10020659</v>
      </c>
      <c r="B486" t="s">
        <v>1349</v>
      </c>
    </row>
    <row r="487" spans="1:2" x14ac:dyDescent="0.25">
      <c r="A487">
        <v>10025212</v>
      </c>
      <c r="B487" t="s">
        <v>1285</v>
      </c>
    </row>
    <row r="488" spans="1:2" x14ac:dyDescent="0.25">
      <c r="A488">
        <v>10025902</v>
      </c>
      <c r="B488" t="s">
        <v>1349</v>
      </c>
    </row>
    <row r="489" spans="1:2" x14ac:dyDescent="0.25">
      <c r="A489">
        <v>10027654</v>
      </c>
      <c r="B489" t="s">
        <v>1285</v>
      </c>
    </row>
    <row r="490" spans="1:2" x14ac:dyDescent="0.25">
      <c r="A490">
        <v>10084485</v>
      </c>
      <c r="B490" t="s">
        <v>1392</v>
      </c>
    </row>
    <row r="491" spans="1:2" x14ac:dyDescent="0.25">
      <c r="A491">
        <v>10098420</v>
      </c>
      <c r="B491" t="s">
        <v>1349</v>
      </c>
    </row>
    <row r="492" spans="1:2" x14ac:dyDescent="0.25">
      <c r="A492">
        <v>10129565</v>
      </c>
      <c r="B492" t="s">
        <v>1416</v>
      </c>
    </row>
    <row r="493" spans="1:2" x14ac:dyDescent="0.25">
      <c r="A493">
        <v>10146828</v>
      </c>
      <c r="B493" t="s">
        <v>1285</v>
      </c>
    </row>
    <row r="494" spans="1:2" x14ac:dyDescent="0.25">
      <c r="A494">
        <v>10157275</v>
      </c>
      <c r="B494" t="s">
        <v>1285</v>
      </c>
    </row>
    <row r="495" spans="1:2" x14ac:dyDescent="0.25">
      <c r="A495">
        <v>10163776</v>
      </c>
      <c r="B495" t="s">
        <v>1349</v>
      </c>
    </row>
    <row r="496" spans="1:2" x14ac:dyDescent="0.25">
      <c r="A496">
        <v>10173664</v>
      </c>
      <c r="B496" t="s">
        <v>1362</v>
      </c>
    </row>
    <row r="497" spans="1:2" x14ac:dyDescent="0.25">
      <c r="A497">
        <v>11000454</v>
      </c>
      <c r="B497" t="s">
        <v>1349</v>
      </c>
    </row>
    <row r="498" spans="1:2" x14ac:dyDescent="0.25">
      <c r="A498">
        <v>11034329</v>
      </c>
      <c r="B498" t="s">
        <v>1285</v>
      </c>
    </row>
    <row r="499" spans="1:2" x14ac:dyDescent="0.25">
      <c r="A499">
        <v>11083498</v>
      </c>
      <c r="B499" t="s">
        <v>1349</v>
      </c>
    </row>
    <row r="500" spans="1:2" x14ac:dyDescent="0.25">
      <c r="A500">
        <v>11138447</v>
      </c>
      <c r="B500" t="s">
        <v>1359</v>
      </c>
    </row>
    <row r="501" spans="1:2" x14ac:dyDescent="0.25">
      <c r="A501">
        <v>11144001</v>
      </c>
      <c r="B501" t="s">
        <v>1349</v>
      </c>
    </row>
    <row r="502" spans="1:2" x14ac:dyDescent="0.25">
      <c r="A502">
        <v>11187503</v>
      </c>
      <c r="B502" t="s">
        <v>1285</v>
      </c>
    </row>
    <row r="503" spans="1:2" x14ac:dyDescent="0.25">
      <c r="A503">
        <v>11224315</v>
      </c>
      <c r="B503" t="s">
        <v>1285</v>
      </c>
    </row>
    <row r="504" spans="1:2" x14ac:dyDescent="0.25">
      <c r="A504">
        <v>11231446</v>
      </c>
      <c r="B504" t="s">
        <v>1392</v>
      </c>
    </row>
    <row r="505" spans="1:2" x14ac:dyDescent="0.25">
      <c r="A505">
        <v>11241625</v>
      </c>
      <c r="B505" t="s">
        <v>1349</v>
      </c>
    </row>
    <row r="506" spans="1:2" x14ac:dyDescent="0.25">
      <c r="A506">
        <v>11243521</v>
      </c>
      <c r="B506" t="s">
        <v>1392</v>
      </c>
    </row>
    <row r="507" spans="1:2" x14ac:dyDescent="0.25">
      <c r="A507">
        <v>12006449</v>
      </c>
      <c r="B507" t="s">
        <v>1285</v>
      </c>
    </row>
    <row r="508" spans="1:2" x14ac:dyDescent="0.25">
      <c r="A508">
        <v>12021531</v>
      </c>
      <c r="B508" t="s">
        <v>1359</v>
      </c>
    </row>
    <row r="509" spans="1:2" x14ac:dyDescent="0.25">
      <c r="A509">
        <v>12118054</v>
      </c>
      <c r="B509" t="s">
        <v>1354</v>
      </c>
    </row>
    <row r="510" spans="1:2" x14ac:dyDescent="0.25">
      <c r="A510">
        <v>12133434</v>
      </c>
      <c r="B510" t="s">
        <v>1392</v>
      </c>
    </row>
    <row r="511" spans="1:2" x14ac:dyDescent="0.25">
      <c r="A511">
        <v>12185514</v>
      </c>
      <c r="B511" t="s">
        <v>1373</v>
      </c>
    </row>
    <row r="512" spans="1:2" x14ac:dyDescent="0.25">
      <c r="A512">
        <v>12188410</v>
      </c>
      <c r="B512" t="s">
        <v>1413</v>
      </c>
    </row>
    <row r="513" spans="1:2" x14ac:dyDescent="0.25">
      <c r="A513">
        <v>12202633</v>
      </c>
      <c r="B513" t="s">
        <v>1392</v>
      </c>
    </row>
    <row r="514" spans="1:2" x14ac:dyDescent="0.25">
      <c r="A514">
        <v>12261672</v>
      </c>
      <c r="B514" t="s">
        <v>1392</v>
      </c>
    </row>
    <row r="515" spans="1:2" x14ac:dyDescent="0.25">
      <c r="A515">
        <v>12311299</v>
      </c>
      <c r="B515" t="s">
        <v>1285</v>
      </c>
    </row>
    <row r="516" spans="1:2" x14ac:dyDescent="0.25">
      <c r="A516">
        <v>12325258</v>
      </c>
      <c r="B516" t="s">
        <v>1354</v>
      </c>
    </row>
    <row r="520" spans="1:2" x14ac:dyDescent="0.25">
      <c r="A520" t="s">
        <v>1418</v>
      </c>
    </row>
  </sheetData>
  <conditionalFormatting sqref="A2:A516">
    <cfRule type="duplicateValues" dxfId="0" priority="1"/>
  </conditionalFormatting>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9024A-FEF5-4952-8FA3-248E825E3707}">
  <dimension ref="A1:AEH9"/>
  <sheetViews>
    <sheetView workbookViewId="0">
      <pane xSplit="1" ySplit="1" topLeftCell="B2" activePane="bottomRight" state="frozen"/>
      <selection pane="topRight" activeCell="B1" sqref="B1"/>
      <selection pane="bottomLeft" activeCell="A2" sqref="A2"/>
      <selection pane="bottomRight" activeCell="A2" sqref="A2"/>
    </sheetView>
  </sheetViews>
  <sheetFormatPr baseColWidth="10" defaultRowHeight="15" x14ac:dyDescent="0.25"/>
  <sheetData>
    <row r="1" spans="1:814" ht="60" x14ac:dyDescent="0.25">
      <c r="A1" s="14" t="s">
        <v>149</v>
      </c>
      <c r="B1" s="13" t="s">
        <v>150</v>
      </c>
      <c r="C1" s="13" t="s">
        <v>151</v>
      </c>
      <c r="D1" s="13" t="s">
        <v>152</v>
      </c>
      <c r="E1" s="13" t="s">
        <v>153</v>
      </c>
      <c r="F1" s="13" t="s">
        <v>154</v>
      </c>
      <c r="G1" s="13" t="s">
        <v>155</v>
      </c>
      <c r="H1" s="13" t="s">
        <v>156</v>
      </c>
      <c r="I1" s="13" t="s">
        <v>157</v>
      </c>
      <c r="J1" s="13" t="s">
        <v>158</v>
      </c>
      <c r="K1" s="13" t="s">
        <v>159</v>
      </c>
      <c r="L1" s="13" t="s">
        <v>160</v>
      </c>
      <c r="M1" s="13" t="s">
        <v>161</v>
      </c>
      <c r="N1" s="13" t="s">
        <v>162</v>
      </c>
      <c r="O1" s="13" t="s">
        <v>163</v>
      </c>
      <c r="P1" s="13" t="s">
        <v>164</v>
      </c>
      <c r="Q1" s="13" t="s">
        <v>165</v>
      </c>
      <c r="R1" s="13" t="s">
        <v>166</v>
      </c>
      <c r="S1" s="13" t="s">
        <v>167</v>
      </c>
      <c r="T1" s="13" t="s">
        <v>168</v>
      </c>
      <c r="U1" s="13" t="s">
        <v>169</v>
      </c>
      <c r="V1" s="13" t="s">
        <v>170</v>
      </c>
      <c r="W1" s="13" t="s">
        <v>171</v>
      </c>
      <c r="X1" s="13" t="s">
        <v>172</v>
      </c>
      <c r="Y1" s="13" t="s">
        <v>173</v>
      </c>
      <c r="Z1" s="13" t="s">
        <v>174</v>
      </c>
      <c r="AA1" s="13" t="s">
        <v>175</v>
      </c>
      <c r="AB1" s="13" t="s">
        <v>176</v>
      </c>
      <c r="AC1" s="13" t="s">
        <v>177</v>
      </c>
      <c r="AD1" s="13" t="s">
        <v>178</v>
      </c>
      <c r="AE1" s="13" t="s">
        <v>179</v>
      </c>
      <c r="AF1" s="13" t="s">
        <v>180</v>
      </c>
      <c r="AG1" s="13" t="s">
        <v>181</v>
      </c>
      <c r="AH1" s="13" t="s">
        <v>182</v>
      </c>
      <c r="AI1" s="13" t="s">
        <v>183</v>
      </c>
      <c r="AJ1" s="13" t="s">
        <v>184</v>
      </c>
      <c r="AK1" s="13" t="s">
        <v>185</v>
      </c>
      <c r="AL1" s="13" t="s">
        <v>186</v>
      </c>
      <c r="AM1" s="13" t="s">
        <v>187</v>
      </c>
      <c r="AN1" s="13" t="s">
        <v>188</v>
      </c>
      <c r="AO1" s="13" t="s">
        <v>189</v>
      </c>
      <c r="AP1" s="13" t="s">
        <v>190</v>
      </c>
      <c r="AQ1" s="13" t="s">
        <v>191</v>
      </c>
      <c r="AR1" s="13" t="s">
        <v>192</v>
      </c>
      <c r="AS1" s="13" t="s">
        <v>193</v>
      </c>
      <c r="AT1" s="13" t="s">
        <v>194</v>
      </c>
      <c r="AU1" s="13" t="s">
        <v>195</v>
      </c>
      <c r="AV1" s="13" t="s">
        <v>196</v>
      </c>
      <c r="AW1" s="13" t="s">
        <v>197</v>
      </c>
      <c r="AX1" s="13" t="s">
        <v>198</v>
      </c>
      <c r="AY1" s="13" t="s">
        <v>199</v>
      </c>
      <c r="AZ1" s="12" t="s">
        <v>200</v>
      </c>
      <c r="BA1" s="13" t="s">
        <v>201</v>
      </c>
      <c r="BB1" s="13" t="s">
        <v>202</v>
      </c>
      <c r="BC1" s="13" t="s">
        <v>203</v>
      </c>
      <c r="BD1" s="13" t="s">
        <v>204</v>
      </c>
      <c r="BE1" s="13" t="s">
        <v>205</v>
      </c>
      <c r="BF1" s="13" t="s">
        <v>206</v>
      </c>
      <c r="BG1" s="13" t="s">
        <v>207</v>
      </c>
      <c r="BH1" s="13" t="s">
        <v>208</v>
      </c>
      <c r="BI1" s="13" t="s">
        <v>209</v>
      </c>
      <c r="BJ1" s="13" t="s">
        <v>210</v>
      </c>
      <c r="BK1" s="13" t="s">
        <v>211</v>
      </c>
      <c r="BL1" s="13" t="s">
        <v>212</v>
      </c>
      <c r="BM1" s="13" t="s">
        <v>213</v>
      </c>
      <c r="BN1" s="13" t="s">
        <v>214</v>
      </c>
      <c r="BO1" s="13" t="s">
        <v>215</v>
      </c>
      <c r="BP1" s="13" t="s">
        <v>216</v>
      </c>
      <c r="BQ1" s="13" t="s">
        <v>217</v>
      </c>
      <c r="BR1" s="13" t="s">
        <v>218</v>
      </c>
      <c r="BS1" s="13" t="s">
        <v>219</v>
      </c>
      <c r="BT1" s="13" t="s">
        <v>220</v>
      </c>
      <c r="BU1" s="13" t="s">
        <v>221</v>
      </c>
      <c r="BV1" s="13" t="s">
        <v>222</v>
      </c>
      <c r="BW1" s="13" t="s">
        <v>223</v>
      </c>
      <c r="BX1" s="13" t="s">
        <v>224</v>
      </c>
      <c r="BY1" s="13" t="s">
        <v>225</v>
      </c>
      <c r="BZ1" s="13" t="s">
        <v>226</v>
      </c>
      <c r="CA1" s="12" t="s">
        <v>227</v>
      </c>
      <c r="CB1" s="13" t="s">
        <v>228</v>
      </c>
      <c r="CC1" s="13" t="s">
        <v>229</v>
      </c>
      <c r="CD1" s="13" t="s">
        <v>230</v>
      </c>
      <c r="CE1" s="13" t="s">
        <v>231</v>
      </c>
      <c r="CF1" s="13" t="s">
        <v>232</v>
      </c>
      <c r="CG1" s="13" t="s">
        <v>233</v>
      </c>
      <c r="CH1" s="13" t="s">
        <v>234</v>
      </c>
      <c r="CI1" s="13" t="s">
        <v>235</v>
      </c>
      <c r="CJ1" s="13" t="s">
        <v>236</v>
      </c>
      <c r="CK1" s="13" t="s">
        <v>237</v>
      </c>
      <c r="CL1" s="13" t="s">
        <v>238</v>
      </c>
      <c r="CM1" s="13" t="s">
        <v>239</v>
      </c>
      <c r="CN1" s="13" t="s">
        <v>240</v>
      </c>
      <c r="CO1" s="13" t="s">
        <v>241</v>
      </c>
      <c r="CP1" s="13" t="s">
        <v>242</v>
      </c>
      <c r="CQ1" s="13" t="s">
        <v>243</v>
      </c>
      <c r="CR1" s="13" t="s">
        <v>244</v>
      </c>
      <c r="CS1" s="13" t="s">
        <v>245</v>
      </c>
      <c r="CT1" s="13" t="s">
        <v>246</v>
      </c>
      <c r="CU1" s="13" t="s">
        <v>247</v>
      </c>
      <c r="CV1" s="13" t="s">
        <v>248</v>
      </c>
      <c r="CW1" s="13" t="s">
        <v>249</v>
      </c>
      <c r="CX1" s="13" t="s">
        <v>250</v>
      </c>
      <c r="CY1" s="13" t="s">
        <v>251</v>
      </c>
      <c r="CZ1" s="13" t="s">
        <v>252</v>
      </c>
      <c r="DA1" s="13" t="s">
        <v>253</v>
      </c>
      <c r="DB1" s="13" t="s">
        <v>254</v>
      </c>
      <c r="DC1" s="13" t="s">
        <v>255</v>
      </c>
      <c r="DD1" s="12" t="s">
        <v>256</v>
      </c>
      <c r="DE1" s="13" t="s">
        <v>257</v>
      </c>
      <c r="DF1" s="13" t="s">
        <v>258</v>
      </c>
      <c r="DG1" s="13" t="s">
        <v>259</v>
      </c>
      <c r="DH1" s="13" t="s">
        <v>260</v>
      </c>
      <c r="DI1" s="13" t="s">
        <v>261</v>
      </c>
      <c r="DJ1" s="13" t="s">
        <v>262</v>
      </c>
      <c r="DK1" s="13" t="s">
        <v>263</v>
      </c>
      <c r="DL1" s="13" t="s">
        <v>264</v>
      </c>
      <c r="DM1" s="13" t="s">
        <v>265</v>
      </c>
      <c r="DN1" s="13" t="s">
        <v>266</v>
      </c>
      <c r="DO1" s="13" t="s">
        <v>267</v>
      </c>
      <c r="DP1" s="13" t="s">
        <v>268</v>
      </c>
      <c r="DQ1" s="13" t="s">
        <v>269</v>
      </c>
      <c r="DR1" s="12" t="s">
        <v>270</v>
      </c>
      <c r="DS1" s="13" t="s">
        <v>271</v>
      </c>
      <c r="DT1" s="13"/>
      <c r="DU1" s="13"/>
      <c r="DV1" s="13" t="s">
        <v>272</v>
      </c>
      <c r="DW1" s="13" t="s">
        <v>273</v>
      </c>
      <c r="DX1" s="13" t="s">
        <v>274</v>
      </c>
      <c r="DY1" s="13" t="s">
        <v>275</v>
      </c>
      <c r="DZ1" s="13" t="s">
        <v>276</v>
      </c>
      <c r="EA1" s="13" t="s">
        <v>277</v>
      </c>
      <c r="EB1" s="13" t="s">
        <v>278</v>
      </c>
      <c r="EC1" s="13" t="s">
        <v>279</v>
      </c>
      <c r="ED1" s="13" t="s">
        <v>280</v>
      </c>
      <c r="EE1" s="12" t="s">
        <v>281</v>
      </c>
      <c r="EF1" s="13" t="s">
        <v>282</v>
      </c>
      <c r="EG1" s="13" t="s">
        <v>283</v>
      </c>
      <c r="EH1" s="13" t="s">
        <v>284</v>
      </c>
      <c r="EI1" s="13" t="s">
        <v>285</v>
      </c>
      <c r="EJ1" s="13" t="s">
        <v>286</v>
      </c>
      <c r="EK1" s="13" t="s">
        <v>287</v>
      </c>
      <c r="EL1" s="13" t="s">
        <v>288</v>
      </c>
      <c r="EM1" s="13" t="s">
        <v>289</v>
      </c>
      <c r="EN1" s="13" t="s">
        <v>290</v>
      </c>
      <c r="EO1" s="13" t="s">
        <v>291</v>
      </c>
      <c r="EP1" s="13" t="s">
        <v>292</v>
      </c>
      <c r="EQ1" s="13" t="s">
        <v>293</v>
      </c>
      <c r="ER1" s="13" t="s">
        <v>294</v>
      </c>
      <c r="ES1" s="13" t="s">
        <v>295</v>
      </c>
      <c r="ET1" s="13" t="s">
        <v>296</v>
      </c>
      <c r="EU1" s="13" t="s">
        <v>297</v>
      </c>
      <c r="EV1" s="13" t="s">
        <v>298</v>
      </c>
      <c r="EW1" s="13" t="s">
        <v>299</v>
      </c>
      <c r="EX1" s="13" t="s">
        <v>300</v>
      </c>
      <c r="EY1" s="13" t="s">
        <v>301</v>
      </c>
      <c r="EZ1" s="13" t="s">
        <v>302</v>
      </c>
      <c r="FA1" s="13" t="s">
        <v>303</v>
      </c>
      <c r="FB1" s="13" t="s">
        <v>304</v>
      </c>
      <c r="FC1" s="13" t="s">
        <v>305</v>
      </c>
      <c r="FD1" s="13" t="s">
        <v>306</v>
      </c>
      <c r="FE1" s="13" t="s">
        <v>307</v>
      </c>
      <c r="FF1" s="13" t="s">
        <v>308</v>
      </c>
      <c r="FG1" s="13" t="s">
        <v>309</v>
      </c>
      <c r="FH1" s="12" t="s">
        <v>310</v>
      </c>
      <c r="FI1" s="13" t="s">
        <v>311</v>
      </c>
      <c r="FJ1" s="13" t="s">
        <v>312</v>
      </c>
      <c r="FK1" s="13" t="s">
        <v>313</v>
      </c>
      <c r="FL1" s="13" t="s">
        <v>314</v>
      </c>
      <c r="FM1" s="13" t="s">
        <v>315</v>
      </c>
      <c r="FN1" s="13" t="s">
        <v>316</v>
      </c>
      <c r="FO1" s="13" t="s">
        <v>317</v>
      </c>
      <c r="FP1" s="13" t="s">
        <v>318</v>
      </c>
      <c r="FQ1" s="13" t="s">
        <v>319</v>
      </c>
      <c r="FR1" s="13" t="s">
        <v>320</v>
      </c>
      <c r="FS1" s="13" t="s">
        <v>321</v>
      </c>
      <c r="FT1" s="13" t="s">
        <v>322</v>
      </c>
      <c r="FU1" s="13" t="s">
        <v>323</v>
      </c>
      <c r="FV1" s="13" t="s">
        <v>324</v>
      </c>
      <c r="FW1" s="13" t="s">
        <v>325</v>
      </c>
      <c r="FX1" s="13" t="s">
        <v>326</v>
      </c>
      <c r="FY1" s="13" t="s">
        <v>327</v>
      </c>
      <c r="FZ1" s="13" t="s">
        <v>328</v>
      </c>
      <c r="GA1" s="13" t="s">
        <v>329</v>
      </c>
      <c r="GB1" s="13" t="s">
        <v>330</v>
      </c>
      <c r="GC1" s="13" t="s">
        <v>331</v>
      </c>
      <c r="GD1" s="13" t="s">
        <v>332</v>
      </c>
      <c r="GE1" s="13" t="s">
        <v>333</v>
      </c>
      <c r="GF1" s="13" t="s">
        <v>334</v>
      </c>
      <c r="GG1" s="13" t="s">
        <v>335</v>
      </c>
      <c r="GH1" s="13" t="s">
        <v>336</v>
      </c>
      <c r="GI1" s="13" t="s">
        <v>337</v>
      </c>
      <c r="GJ1" s="13" t="s">
        <v>338</v>
      </c>
      <c r="GK1" s="13" t="s">
        <v>339</v>
      </c>
      <c r="GL1" s="13" t="s">
        <v>340</v>
      </c>
      <c r="GM1" s="13" t="s">
        <v>341</v>
      </c>
      <c r="GN1" s="13" t="s">
        <v>342</v>
      </c>
      <c r="GO1" s="13" t="s">
        <v>343</v>
      </c>
      <c r="GP1" s="13" t="s">
        <v>344</v>
      </c>
      <c r="GQ1" s="13" t="s">
        <v>345</v>
      </c>
      <c r="GR1" s="13" t="s">
        <v>346</v>
      </c>
      <c r="GS1" s="13" t="s">
        <v>347</v>
      </c>
      <c r="GT1" s="13" t="s">
        <v>348</v>
      </c>
      <c r="GU1" s="13" t="s">
        <v>349</v>
      </c>
      <c r="GV1" s="13" t="s">
        <v>350</v>
      </c>
      <c r="GW1" s="13" t="s">
        <v>351</v>
      </c>
      <c r="GX1" s="13" t="s">
        <v>352</v>
      </c>
      <c r="GY1" s="13" t="s">
        <v>353</v>
      </c>
      <c r="GZ1" s="13" t="s">
        <v>354</v>
      </c>
      <c r="HA1" s="13" t="s">
        <v>355</v>
      </c>
      <c r="HB1" s="13" t="s">
        <v>356</v>
      </c>
      <c r="HC1" s="13"/>
      <c r="HD1" s="13" t="s">
        <v>357</v>
      </c>
      <c r="HE1" s="13" t="s">
        <v>358</v>
      </c>
      <c r="HF1" s="13" t="s">
        <v>359</v>
      </c>
      <c r="HG1" s="13" t="s">
        <v>360</v>
      </c>
      <c r="HH1" s="13" t="s">
        <v>361</v>
      </c>
      <c r="HI1" s="13" t="s">
        <v>362</v>
      </c>
      <c r="HJ1" s="13" t="s">
        <v>363</v>
      </c>
      <c r="HK1" s="13" t="s">
        <v>364</v>
      </c>
      <c r="HL1" s="13" t="s">
        <v>365</v>
      </c>
      <c r="HM1" s="13" t="s">
        <v>366</v>
      </c>
      <c r="HN1" s="13" t="s">
        <v>367</v>
      </c>
      <c r="HO1" s="13" t="s">
        <v>368</v>
      </c>
      <c r="HP1" s="13" t="s">
        <v>369</v>
      </c>
      <c r="HQ1" s="13" t="s">
        <v>370</v>
      </c>
      <c r="HR1" s="13" t="s">
        <v>371</v>
      </c>
      <c r="HS1" s="13" t="s">
        <v>372</v>
      </c>
      <c r="HT1" s="13" t="s">
        <v>373</v>
      </c>
      <c r="HU1" s="13" t="s">
        <v>374</v>
      </c>
      <c r="HV1" s="13" t="s">
        <v>375</v>
      </c>
      <c r="HW1" s="13" t="s">
        <v>376</v>
      </c>
      <c r="HX1" s="12" t="s">
        <v>377</v>
      </c>
      <c r="HY1" s="13" t="s">
        <v>378</v>
      </c>
      <c r="HZ1" s="13" t="s">
        <v>379</v>
      </c>
      <c r="IA1" s="13" t="s">
        <v>380</v>
      </c>
      <c r="IB1" s="13" t="s">
        <v>381</v>
      </c>
      <c r="IC1" s="13" t="s">
        <v>382</v>
      </c>
      <c r="ID1" s="13" t="s">
        <v>383</v>
      </c>
      <c r="IE1" s="13" t="s">
        <v>384</v>
      </c>
      <c r="IF1" s="13" t="s">
        <v>385</v>
      </c>
      <c r="IG1" s="13" t="s">
        <v>386</v>
      </c>
      <c r="IH1" s="13" t="s">
        <v>387</v>
      </c>
      <c r="II1" s="13" t="s">
        <v>388</v>
      </c>
      <c r="IJ1" s="13" t="s">
        <v>389</v>
      </c>
      <c r="IK1" s="13" t="s">
        <v>390</v>
      </c>
      <c r="IL1" s="13" t="s">
        <v>391</v>
      </c>
      <c r="IM1" s="13" t="s">
        <v>392</v>
      </c>
      <c r="IN1" s="13" t="s">
        <v>393</v>
      </c>
      <c r="IO1" s="13" t="s">
        <v>394</v>
      </c>
      <c r="IP1" s="13" t="s">
        <v>395</v>
      </c>
      <c r="IQ1" s="13" t="s">
        <v>396</v>
      </c>
      <c r="IR1" s="13" t="s">
        <v>397</v>
      </c>
      <c r="IS1" s="13" t="s">
        <v>398</v>
      </c>
      <c r="IT1" s="13" t="s">
        <v>399</v>
      </c>
      <c r="IU1" s="13" t="s">
        <v>400</v>
      </c>
      <c r="IV1" s="13" t="s">
        <v>401</v>
      </c>
      <c r="IW1" s="13" t="s">
        <v>402</v>
      </c>
      <c r="IX1" s="13" t="s">
        <v>403</v>
      </c>
      <c r="IY1" s="13" t="s">
        <v>404</v>
      </c>
      <c r="IZ1" s="13" t="s">
        <v>405</v>
      </c>
      <c r="JA1" s="13" t="s">
        <v>406</v>
      </c>
      <c r="JB1" s="13" t="s">
        <v>407</v>
      </c>
      <c r="JC1" s="13" t="s">
        <v>408</v>
      </c>
      <c r="JD1" s="13" t="s">
        <v>409</v>
      </c>
      <c r="JE1" s="13" t="s">
        <v>410</v>
      </c>
      <c r="JF1" s="13" t="s">
        <v>411</v>
      </c>
      <c r="JG1" s="13" t="s">
        <v>412</v>
      </c>
      <c r="JH1" s="13" t="s">
        <v>413</v>
      </c>
      <c r="JI1" s="13" t="s">
        <v>414</v>
      </c>
      <c r="JJ1" s="13" t="s">
        <v>415</v>
      </c>
      <c r="JK1" s="13" t="s">
        <v>416</v>
      </c>
      <c r="JL1" s="13" t="s">
        <v>417</v>
      </c>
      <c r="JM1" s="13" t="s">
        <v>418</v>
      </c>
      <c r="JN1" s="13" t="s">
        <v>419</v>
      </c>
      <c r="JO1" s="13" t="s">
        <v>420</v>
      </c>
      <c r="JP1" s="13" t="s">
        <v>421</v>
      </c>
      <c r="JQ1" s="13" t="s">
        <v>422</v>
      </c>
      <c r="JR1" s="13" t="s">
        <v>423</v>
      </c>
      <c r="JS1" s="13" t="s">
        <v>424</v>
      </c>
      <c r="JT1" s="13" t="s">
        <v>425</v>
      </c>
      <c r="JU1" s="13" t="s">
        <v>426</v>
      </c>
      <c r="JV1" s="13" t="s">
        <v>427</v>
      </c>
      <c r="JW1" s="13" t="s">
        <v>428</v>
      </c>
      <c r="JX1" s="13" t="s">
        <v>429</v>
      </c>
      <c r="JY1" s="13" t="s">
        <v>430</v>
      </c>
      <c r="JZ1" s="13" t="s">
        <v>431</v>
      </c>
      <c r="KA1" s="13" t="s">
        <v>432</v>
      </c>
      <c r="KB1" s="13" t="s">
        <v>433</v>
      </c>
      <c r="KC1" s="13" t="s">
        <v>434</v>
      </c>
      <c r="KD1" s="13" t="s">
        <v>435</v>
      </c>
      <c r="KE1" s="13" t="s">
        <v>436</v>
      </c>
      <c r="KF1" s="13" t="s">
        <v>437</v>
      </c>
      <c r="KG1" s="13" t="s">
        <v>438</v>
      </c>
      <c r="KH1" s="13" t="s">
        <v>439</v>
      </c>
      <c r="KI1" s="13" t="s">
        <v>440</v>
      </c>
      <c r="KJ1" s="13" t="s">
        <v>441</v>
      </c>
      <c r="KK1" s="13" t="s">
        <v>442</v>
      </c>
      <c r="KL1" s="12" t="s">
        <v>443</v>
      </c>
      <c r="KM1" s="13" t="s">
        <v>444</v>
      </c>
      <c r="KN1" s="13" t="s">
        <v>445</v>
      </c>
      <c r="KO1" s="13" t="s">
        <v>446</v>
      </c>
      <c r="KP1" s="13" t="s">
        <v>447</v>
      </c>
      <c r="KQ1" s="13" t="s">
        <v>448</v>
      </c>
      <c r="KR1" s="13" t="s">
        <v>449</v>
      </c>
      <c r="KS1" s="13" t="s">
        <v>450</v>
      </c>
      <c r="KT1" s="13" t="s">
        <v>451</v>
      </c>
      <c r="KU1" s="13" t="s">
        <v>452</v>
      </c>
      <c r="KV1" s="13" t="s">
        <v>453</v>
      </c>
      <c r="KW1" s="13" t="s">
        <v>454</v>
      </c>
      <c r="KX1" s="13" t="s">
        <v>455</v>
      </c>
      <c r="KY1" s="13" t="s">
        <v>456</v>
      </c>
      <c r="KZ1" s="13" t="s">
        <v>457</v>
      </c>
      <c r="LA1" s="13" t="s">
        <v>458</v>
      </c>
      <c r="LB1" s="13" t="s">
        <v>459</v>
      </c>
      <c r="LC1" s="13" t="s">
        <v>460</v>
      </c>
      <c r="LD1" s="13" t="s">
        <v>461</v>
      </c>
      <c r="LE1" s="13" t="s">
        <v>462</v>
      </c>
      <c r="LF1" s="13" t="s">
        <v>463</v>
      </c>
      <c r="LG1" s="13" t="s">
        <v>464</v>
      </c>
      <c r="LH1" s="13" t="s">
        <v>465</v>
      </c>
      <c r="LI1" s="13" t="s">
        <v>466</v>
      </c>
      <c r="LJ1" s="13" t="s">
        <v>467</v>
      </c>
      <c r="LK1" s="13" t="s">
        <v>468</v>
      </c>
      <c r="LL1" s="13" t="s">
        <v>469</v>
      </c>
      <c r="LM1" s="13" t="s">
        <v>470</v>
      </c>
      <c r="LN1" s="13" t="s">
        <v>471</v>
      </c>
      <c r="LO1" s="13" t="s">
        <v>472</v>
      </c>
      <c r="LP1" s="13" t="s">
        <v>473</v>
      </c>
      <c r="LQ1" s="13" t="s">
        <v>474</v>
      </c>
      <c r="LR1" s="13" t="s">
        <v>475</v>
      </c>
      <c r="LS1" s="13" t="s">
        <v>476</v>
      </c>
      <c r="LT1" s="13" t="s">
        <v>477</v>
      </c>
      <c r="LU1" s="13" t="s">
        <v>478</v>
      </c>
      <c r="LV1" s="13" t="s">
        <v>479</v>
      </c>
      <c r="LW1" s="13" t="s">
        <v>480</v>
      </c>
      <c r="LX1" s="13" t="s">
        <v>481</v>
      </c>
      <c r="LY1" s="13" t="s">
        <v>482</v>
      </c>
      <c r="LZ1" s="13" t="s">
        <v>483</v>
      </c>
      <c r="MA1" s="13" t="s">
        <v>484</v>
      </c>
      <c r="MB1" s="13" t="s">
        <v>485</v>
      </c>
      <c r="MC1" s="13" t="s">
        <v>486</v>
      </c>
      <c r="MD1" s="13" t="s">
        <v>487</v>
      </c>
      <c r="ME1" s="13" t="s">
        <v>488</v>
      </c>
      <c r="MF1" s="13" t="s">
        <v>489</v>
      </c>
      <c r="MG1" s="13" t="s">
        <v>490</v>
      </c>
      <c r="MH1" s="13" t="s">
        <v>491</v>
      </c>
      <c r="MI1" s="13" t="s">
        <v>492</v>
      </c>
      <c r="MJ1" s="13" t="s">
        <v>493</v>
      </c>
      <c r="MK1" s="13" t="s">
        <v>494</v>
      </c>
      <c r="ML1" s="13" t="s">
        <v>495</v>
      </c>
      <c r="MM1" s="13" t="s">
        <v>496</v>
      </c>
      <c r="MN1" s="13" t="s">
        <v>497</v>
      </c>
      <c r="MO1" s="13" t="s">
        <v>498</v>
      </c>
      <c r="MP1" s="13" t="s">
        <v>499</v>
      </c>
      <c r="MQ1" s="13" t="s">
        <v>500</v>
      </c>
      <c r="MR1" s="13" t="s">
        <v>501</v>
      </c>
      <c r="MS1" s="13" t="s">
        <v>502</v>
      </c>
      <c r="MT1" s="13" t="s">
        <v>503</v>
      </c>
      <c r="MU1" s="13" t="s">
        <v>504</v>
      </c>
      <c r="MV1" s="13" t="s">
        <v>505</v>
      </c>
      <c r="MW1" s="13" t="s">
        <v>506</v>
      </c>
      <c r="MX1" s="13" t="s">
        <v>507</v>
      </c>
      <c r="MY1" s="12" t="s">
        <v>508</v>
      </c>
      <c r="MZ1" s="13" t="s">
        <v>509</v>
      </c>
      <c r="NA1" s="13" t="s">
        <v>510</v>
      </c>
      <c r="NB1" s="13" t="s">
        <v>511</v>
      </c>
      <c r="NC1" s="13" t="s">
        <v>512</v>
      </c>
      <c r="ND1" s="13" t="s">
        <v>513</v>
      </c>
      <c r="NE1" s="13" t="s">
        <v>514</v>
      </c>
      <c r="NF1" s="13" t="s">
        <v>515</v>
      </c>
      <c r="NG1" s="13" t="s">
        <v>516</v>
      </c>
      <c r="NH1" s="13" t="s">
        <v>517</v>
      </c>
      <c r="NI1" s="13" t="s">
        <v>518</v>
      </c>
      <c r="NJ1" s="13" t="s">
        <v>519</v>
      </c>
      <c r="NK1" s="13" t="s">
        <v>520</v>
      </c>
      <c r="NL1" s="13" t="s">
        <v>521</v>
      </c>
      <c r="NM1" s="13" t="s">
        <v>522</v>
      </c>
      <c r="NN1" s="13" t="s">
        <v>523</v>
      </c>
      <c r="NO1" s="13" t="s">
        <v>524</v>
      </c>
      <c r="NP1" s="13" t="s">
        <v>525</v>
      </c>
      <c r="NQ1" s="13" t="s">
        <v>526</v>
      </c>
      <c r="NR1" s="13" t="s">
        <v>527</v>
      </c>
      <c r="NS1" s="13" t="s">
        <v>528</v>
      </c>
      <c r="NT1" s="13" t="s">
        <v>529</v>
      </c>
      <c r="NU1" s="13" t="s">
        <v>530</v>
      </c>
      <c r="NV1" s="13" t="s">
        <v>531</v>
      </c>
      <c r="NW1" s="13" t="s">
        <v>532</v>
      </c>
      <c r="NX1" s="13" t="s">
        <v>533</v>
      </c>
      <c r="NY1" s="13" t="s">
        <v>534</v>
      </c>
      <c r="NZ1" s="13" t="s">
        <v>535</v>
      </c>
      <c r="OA1" s="13" t="s">
        <v>536</v>
      </c>
      <c r="OB1" s="13" t="s">
        <v>537</v>
      </c>
      <c r="OC1" s="13" t="s">
        <v>538</v>
      </c>
      <c r="OD1" s="13" t="s">
        <v>539</v>
      </c>
      <c r="OE1" s="13" t="s">
        <v>540</v>
      </c>
      <c r="OF1" s="13" t="s">
        <v>541</v>
      </c>
      <c r="OG1" s="13" t="s">
        <v>542</v>
      </c>
      <c r="OH1" s="13" t="s">
        <v>543</v>
      </c>
      <c r="OI1" s="13" t="s">
        <v>544</v>
      </c>
      <c r="OJ1" s="13" t="s">
        <v>545</v>
      </c>
      <c r="OK1" s="13" t="s">
        <v>546</v>
      </c>
      <c r="OL1" s="13" t="s">
        <v>547</v>
      </c>
      <c r="OM1" s="13" t="s">
        <v>548</v>
      </c>
      <c r="ON1" s="13" t="s">
        <v>549</v>
      </c>
      <c r="OO1" s="13" t="s">
        <v>550</v>
      </c>
      <c r="OP1" s="12" t="s">
        <v>551</v>
      </c>
      <c r="OQ1" s="13" t="s">
        <v>552</v>
      </c>
      <c r="OR1" s="13" t="s">
        <v>553</v>
      </c>
      <c r="OS1" s="13" t="s">
        <v>554</v>
      </c>
      <c r="OT1" s="13" t="s">
        <v>555</v>
      </c>
      <c r="OU1" s="13" t="s">
        <v>556</v>
      </c>
      <c r="OV1" s="12" t="s">
        <v>557</v>
      </c>
      <c r="OW1" s="13" t="s">
        <v>558</v>
      </c>
      <c r="OX1" s="13" t="s">
        <v>559</v>
      </c>
      <c r="OY1" s="13" t="s">
        <v>560</v>
      </c>
      <c r="OZ1" s="13" t="s">
        <v>559</v>
      </c>
      <c r="PA1" s="13" t="s">
        <v>561</v>
      </c>
      <c r="PB1" s="13" t="s">
        <v>562</v>
      </c>
      <c r="PC1" s="13" t="s">
        <v>563</v>
      </c>
      <c r="PD1" s="13" t="s">
        <v>564</v>
      </c>
      <c r="PE1" s="13" t="s">
        <v>565</v>
      </c>
      <c r="PF1" s="13" t="s">
        <v>566</v>
      </c>
      <c r="PG1" s="13" t="s">
        <v>567</v>
      </c>
      <c r="PH1" s="13" t="s">
        <v>568</v>
      </c>
      <c r="PI1" s="13" t="s">
        <v>569</v>
      </c>
      <c r="PJ1" s="13" t="s">
        <v>570</v>
      </c>
      <c r="PK1" s="13" t="s">
        <v>571</v>
      </c>
      <c r="PL1" s="13" t="s">
        <v>572</v>
      </c>
      <c r="PM1" s="13" t="s">
        <v>573</v>
      </c>
      <c r="PN1" s="13" t="s">
        <v>574</v>
      </c>
      <c r="PO1" s="13" t="s">
        <v>575</v>
      </c>
      <c r="PP1" s="13" t="s">
        <v>576</v>
      </c>
      <c r="PQ1" s="13" t="s">
        <v>577</v>
      </c>
      <c r="PR1" s="13" t="s">
        <v>578</v>
      </c>
      <c r="PS1" s="13" t="s">
        <v>579</v>
      </c>
      <c r="PT1" s="13" t="s">
        <v>580</v>
      </c>
      <c r="PU1" s="13" t="s">
        <v>581</v>
      </c>
      <c r="PV1" s="13" t="s">
        <v>582</v>
      </c>
      <c r="PW1" s="13" t="s">
        <v>583</v>
      </c>
      <c r="PX1" s="13" t="s">
        <v>584</v>
      </c>
      <c r="PY1" s="13" t="s">
        <v>585</v>
      </c>
      <c r="PZ1" s="13" t="s">
        <v>586</v>
      </c>
      <c r="QA1" s="13" t="s">
        <v>587</v>
      </c>
      <c r="QB1" s="13" t="s">
        <v>588</v>
      </c>
      <c r="QC1" s="13" t="s">
        <v>589</v>
      </c>
      <c r="QD1" s="13" t="s">
        <v>590</v>
      </c>
      <c r="QE1" s="13" t="s">
        <v>591</v>
      </c>
      <c r="QF1" s="13" t="s">
        <v>592</v>
      </c>
      <c r="QG1" s="13" t="s">
        <v>593</v>
      </c>
      <c r="QH1" s="13" t="s">
        <v>594</v>
      </c>
      <c r="QI1" s="13" t="s">
        <v>595</v>
      </c>
      <c r="QJ1" s="13" t="s">
        <v>596</v>
      </c>
      <c r="QK1" s="13" t="s">
        <v>597</v>
      </c>
      <c r="QL1" s="13" t="s">
        <v>598</v>
      </c>
      <c r="QM1" s="13" t="s">
        <v>599</v>
      </c>
      <c r="QN1" s="13" t="s">
        <v>600</v>
      </c>
      <c r="QO1" s="13" t="s">
        <v>601</v>
      </c>
      <c r="QP1" s="13" t="s">
        <v>602</v>
      </c>
      <c r="QQ1" s="13" t="s">
        <v>603</v>
      </c>
      <c r="QR1" s="13" t="s">
        <v>604</v>
      </c>
      <c r="QS1" s="13" t="s">
        <v>605</v>
      </c>
      <c r="QT1" s="13" t="s">
        <v>606</v>
      </c>
      <c r="QU1" s="13" t="s">
        <v>607</v>
      </c>
      <c r="QV1" s="13" t="s">
        <v>608</v>
      </c>
      <c r="QW1" s="13" t="s">
        <v>609</v>
      </c>
      <c r="QX1" s="13" t="s">
        <v>610</v>
      </c>
      <c r="QY1" s="13" t="s">
        <v>611</v>
      </c>
      <c r="QZ1" s="13" t="s">
        <v>612</v>
      </c>
      <c r="RA1" s="13" t="s">
        <v>613</v>
      </c>
      <c r="RB1" s="13" t="s">
        <v>614</v>
      </c>
      <c r="RC1" s="12" t="s">
        <v>615</v>
      </c>
      <c r="RD1" s="13" t="s">
        <v>616</v>
      </c>
      <c r="RE1" s="13" t="s">
        <v>617</v>
      </c>
      <c r="RF1" s="13" t="s">
        <v>618</v>
      </c>
      <c r="RG1" s="13" t="s">
        <v>619</v>
      </c>
      <c r="RH1" s="13" t="s">
        <v>620</v>
      </c>
      <c r="RI1" s="13" t="s">
        <v>621</v>
      </c>
      <c r="RJ1" s="13" t="s">
        <v>622</v>
      </c>
      <c r="RK1" s="13" t="s">
        <v>623</v>
      </c>
      <c r="RL1" s="13" t="s">
        <v>624</v>
      </c>
      <c r="RM1" s="13" t="s">
        <v>625</v>
      </c>
      <c r="RN1" s="13" t="s">
        <v>626</v>
      </c>
      <c r="RO1" s="13" t="s">
        <v>627</v>
      </c>
      <c r="RP1" s="13" t="s">
        <v>628</v>
      </c>
      <c r="RQ1" s="13" t="s">
        <v>629</v>
      </c>
      <c r="RR1" s="13" t="s">
        <v>630</v>
      </c>
      <c r="RS1" s="13" t="s">
        <v>631</v>
      </c>
      <c r="RT1" s="12" t="s">
        <v>632</v>
      </c>
      <c r="RU1" s="13" t="s">
        <v>633</v>
      </c>
      <c r="RV1" s="13" t="s">
        <v>634</v>
      </c>
      <c r="RW1" s="13" t="s">
        <v>635</v>
      </c>
      <c r="RX1" s="13" t="s">
        <v>636</v>
      </c>
      <c r="RY1" s="13" t="s">
        <v>637</v>
      </c>
      <c r="RZ1" s="13" t="s">
        <v>638</v>
      </c>
      <c r="SA1" s="13" t="s">
        <v>639</v>
      </c>
      <c r="SB1" s="13" t="s">
        <v>640</v>
      </c>
      <c r="SC1" s="13" t="s">
        <v>641</v>
      </c>
      <c r="SD1" s="13" t="s">
        <v>642</v>
      </c>
      <c r="SE1" s="13" t="s">
        <v>643</v>
      </c>
      <c r="SF1" s="13" t="s">
        <v>644</v>
      </c>
      <c r="SG1" s="13" t="s">
        <v>645</v>
      </c>
      <c r="SH1" s="13" t="s">
        <v>646</v>
      </c>
      <c r="SI1" s="13" t="s">
        <v>647</v>
      </c>
      <c r="SJ1" s="13" t="s">
        <v>648</v>
      </c>
      <c r="SK1" s="13" t="s">
        <v>649</v>
      </c>
      <c r="SL1" s="13" t="s">
        <v>650</v>
      </c>
      <c r="SM1" s="13" t="s">
        <v>651</v>
      </c>
      <c r="SN1" s="13" t="s">
        <v>652</v>
      </c>
      <c r="SO1" s="13" t="s">
        <v>653</v>
      </c>
      <c r="SP1" s="13" t="s">
        <v>654</v>
      </c>
      <c r="SQ1" s="13" t="s">
        <v>655</v>
      </c>
      <c r="SR1" s="13" t="s">
        <v>656</v>
      </c>
      <c r="SS1" s="13" t="s">
        <v>657</v>
      </c>
      <c r="ST1" s="13" t="s">
        <v>658</v>
      </c>
      <c r="SU1" s="13" t="s">
        <v>659</v>
      </c>
      <c r="SV1" s="13" t="s">
        <v>660</v>
      </c>
      <c r="SW1" s="13" t="s">
        <v>661</v>
      </c>
      <c r="SX1" s="13" t="s">
        <v>662</v>
      </c>
      <c r="SY1" s="13" t="s">
        <v>663</v>
      </c>
      <c r="SZ1" s="13" t="s">
        <v>664</v>
      </c>
      <c r="TA1" s="13" t="s">
        <v>665</v>
      </c>
      <c r="TB1" s="13" t="s">
        <v>666</v>
      </c>
      <c r="TC1" s="13" t="s">
        <v>667</v>
      </c>
      <c r="TD1" s="13" t="s">
        <v>668</v>
      </c>
      <c r="TE1" s="13" t="s">
        <v>669</v>
      </c>
      <c r="TF1" s="13" t="s">
        <v>670</v>
      </c>
      <c r="TG1" s="13" t="s">
        <v>671</v>
      </c>
      <c r="TH1" s="13" t="s">
        <v>672</v>
      </c>
      <c r="TI1" s="13" t="s">
        <v>673</v>
      </c>
      <c r="TJ1" s="13" t="s">
        <v>674</v>
      </c>
      <c r="TK1" s="13" t="s">
        <v>675</v>
      </c>
      <c r="TL1" s="13" t="s">
        <v>676</v>
      </c>
      <c r="TM1" s="13" t="s">
        <v>677</v>
      </c>
      <c r="TN1" s="13" t="s">
        <v>678</v>
      </c>
      <c r="TO1" s="13" t="s">
        <v>679</v>
      </c>
      <c r="TP1" s="13" t="s">
        <v>680</v>
      </c>
      <c r="TQ1" s="13" t="s">
        <v>681</v>
      </c>
      <c r="TR1" s="13" t="s">
        <v>682</v>
      </c>
      <c r="TS1" s="13" t="s">
        <v>683</v>
      </c>
      <c r="TT1" s="13" t="s">
        <v>684</v>
      </c>
      <c r="TU1" s="13" t="s">
        <v>685</v>
      </c>
      <c r="TV1" s="13" t="s">
        <v>686</v>
      </c>
      <c r="TW1" s="13" t="s">
        <v>687</v>
      </c>
      <c r="TX1" s="13" t="s">
        <v>688</v>
      </c>
      <c r="TY1" s="13" t="s">
        <v>689</v>
      </c>
      <c r="TZ1" s="13" t="s">
        <v>690</v>
      </c>
      <c r="UA1" s="13" t="s">
        <v>691</v>
      </c>
      <c r="UB1" s="13" t="s">
        <v>692</v>
      </c>
      <c r="UC1" s="13" t="s">
        <v>693</v>
      </c>
      <c r="UD1" s="12" t="s">
        <v>694</v>
      </c>
      <c r="UE1" s="13" t="s">
        <v>695</v>
      </c>
      <c r="UF1" s="13" t="s">
        <v>696</v>
      </c>
      <c r="UG1" s="13" t="s">
        <v>697</v>
      </c>
      <c r="UH1" s="13" t="s">
        <v>698</v>
      </c>
      <c r="UI1" s="13" t="s">
        <v>699</v>
      </c>
      <c r="UJ1" s="13" t="s">
        <v>700</v>
      </c>
      <c r="UK1" s="13" t="s">
        <v>701</v>
      </c>
      <c r="UL1" s="13" t="s">
        <v>702</v>
      </c>
      <c r="UM1" s="13" t="s">
        <v>703</v>
      </c>
      <c r="UN1" s="13" t="s">
        <v>704</v>
      </c>
      <c r="UO1" s="13" t="s">
        <v>703</v>
      </c>
      <c r="UP1" s="13" t="s">
        <v>705</v>
      </c>
      <c r="UQ1" s="13" t="s">
        <v>706</v>
      </c>
      <c r="UR1" s="13" t="s">
        <v>707</v>
      </c>
      <c r="US1" s="13" t="s">
        <v>708</v>
      </c>
      <c r="UT1" s="13" t="s">
        <v>709</v>
      </c>
      <c r="UU1" s="13" t="s">
        <v>710</v>
      </c>
      <c r="UV1" s="13" t="s">
        <v>711</v>
      </c>
      <c r="UW1" s="13" t="s">
        <v>712</v>
      </c>
      <c r="UX1" s="13" t="s">
        <v>713</v>
      </c>
      <c r="UY1" s="13" t="s">
        <v>714</v>
      </c>
      <c r="UZ1" s="13" t="s">
        <v>715</v>
      </c>
      <c r="VA1" s="13" t="s">
        <v>716</v>
      </c>
      <c r="VB1" s="13" t="s">
        <v>717</v>
      </c>
      <c r="VC1" s="13" t="s">
        <v>718</v>
      </c>
      <c r="VD1" s="13" t="s">
        <v>719</v>
      </c>
      <c r="VE1" s="13" t="s">
        <v>720</v>
      </c>
      <c r="VF1" s="13" t="s">
        <v>721</v>
      </c>
      <c r="VG1" s="13" t="s">
        <v>722</v>
      </c>
      <c r="VH1" s="13" t="s">
        <v>723</v>
      </c>
      <c r="VI1" s="12" t="s">
        <v>724</v>
      </c>
      <c r="VJ1" s="13" t="s">
        <v>725</v>
      </c>
      <c r="VK1" s="13" t="s">
        <v>726</v>
      </c>
      <c r="VL1" s="13" t="s">
        <v>727</v>
      </c>
      <c r="VM1" s="13" t="s">
        <v>728</v>
      </c>
      <c r="VN1" s="13" t="s">
        <v>729</v>
      </c>
      <c r="VO1" s="13" t="s">
        <v>730</v>
      </c>
      <c r="VP1" s="13" t="s">
        <v>731</v>
      </c>
      <c r="VQ1" s="13" t="s">
        <v>732</v>
      </c>
      <c r="VR1" s="13" t="s">
        <v>733</v>
      </c>
      <c r="VS1" s="13" t="s">
        <v>734</v>
      </c>
      <c r="VT1" s="13" t="s">
        <v>735</v>
      </c>
      <c r="VU1" s="13" t="s">
        <v>736</v>
      </c>
      <c r="VV1" s="13" t="s">
        <v>737</v>
      </c>
      <c r="VW1" s="13" t="s">
        <v>738</v>
      </c>
      <c r="VX1" s="13" t="s">
        <v>739</v>
      </c>
      <c r="VY1" s="13" t="s">
        <v>740</v>
      </c>
      <c r="VZ1" s="13" t="s">
        <v>741</v>
      </c>
      <c r="WA1" s="13" t="s">
        <v>742</v>
      </c>
      <c r="WB1" s="13" t="s">
        <v>743</v>
      </c>
      <c r="WC1" s="13" t="s">
        <v>744</v>
      </c>
      <c r="WD1" s="13" t="s">
        <v>745</v>
      </c>
      <c r="WE1" s="13" t="s">
        <v>746</v>
      </c>
      <c r="WF1" s="13" t="s">
        <v>747</v>
      </c>
      <c r="WG1" s="13" t="s">
        <v>748</v>
      </c>
      <c r="WH1" s="13" t="s">
        <v>749</v>
      </c>
      <c r="WI1" s="13" t="s">
        <v>750</v>
      </c>
      <c r="WJ1" s="13" t="s">
        <v>751</v>
      </c>
      <c r="WK1" s="13" t="s">
        <v>752</v>
      </c>
      <c r="WL1" s="12" t="s">
        <v>753</v>
      </c>
      <c r="WM1" s="13" t="s">
        <v>754</v>
      </c>
      <c r="WN1" s="13" t="s">
        <v>755</v>
      </c>
      <c r="WO1" s="13" t="s">
        <v>756</v>
      </c>
      <c r="WP1" s="13" t="s">
        <v>757</v>
      </c>
      <c r="WQ1" s="13" t="s">
        <v>758</v>
      </c>
      <c r="WR1" s="13" t="s">
        <v>759</v>
      </c>
      <c r="WS1" s="13" t="s">
        <v>760</v>
      </c>
      <c r="WT1" s="13" t="s">
        <v>761</v>
      </c>
      <c r="WU1" s="13" t="s">
        <v>762</v>
      </c>
      <c r="WV1" s="13" t="s">
        <v>763</v>
      </c>
      <c r="WW1" s="13" t="s">
        <v>764</v>
      </c>
      <c r="WX1" s="13" t="s">
        <v>765</v>
      </c>
      <c r="WY1" s="13" t="s">
        <v>766</v>
      </c>
      <c r="WZ1" s="13" t="s">
        <v>767</v>
      </c>
      <c r="XA1" s="13" t="s">
        <v>768</v>
      </c>
      <c r="XB1" s="13" t="s">
        <v>769</v>
      </c>
      <c r="XC1" s="13" t="s">
        <v>770</v>
      </c>
      <c r="XD1" s="13" t="s">
        <v>771</v>
      </c>
      <c r="XE1" s="13" t="s">
        <v>772</v>
      </c>
      <c r="XF1" s="13" t="s">
        <v>773</v>
      </c>
      <c r="XG1" s="12" t="s">
        <v>774</v>
      </c>
      <c r="XH1" s="13" t="s">
        <v>775</v>
      </c>
      <c r="XI1" s="13" t="s">
        <v>776</v>
      </c>
      <c r="XJ1" s="13" t="s">
        <v>777</v>
      </c>
      <c r="XK1" s="13" t="s">
        <v>778</v>
      </c>
      <c r="XL1" s="13" t="s">
        <v>779</v>
      </c>
      <c r="XM1" s="13" t="s">
        <v>780</v>
      </c>
      <c r="XN1" s="13" t="s">
        <v>781</v>
      </c>
      <c r="XO1" s="13" t="s">
        <v>782</v>
      </c>
      <c r="XP1" s="13" t="s">
        <v>783</v>
      </c>
      <c r="XQ1" s="13" t="s">
        <v>784</v>
      </c>
      <c r="XR1" s="13" t="s">
        <v>785</v>
      </c>
      <c r="XS1" s="13" t="s">
        <v>786</v>
      </c>
      <c r="XT1" s="13" t="s">
        <v>787</v>
      </c>
      <c r="XU1" s="13" t="s">
        <v>788</v>
      </c>
      <c r="XV1" s="13" t="s">
        <v>789</v>
      </c>
      <c r="XW1" s="13" t="s">
        <v>790</v>
      </c>
      <c r="XX1" s="13" t="s">
        <v>791</v>
      </c>
      <c r="XY1" s="13" t="s">
        <v>792</v>
      </c>
      <c r="XZ1" s="13" t="s">
        <v>793</v>
      </c>
      <c r="YA1" s="13" t="s">
        <v>794</v>
      </c>
      <c r="YB1" s="13" t="s">
        <v>795</v>
      </c>
      <c r="YC1" s="12" t="s">
        <v>796</v>
      </c>
      <c r="YD1" s="13" t="s">
        <v>797</v>
      </c>
      <c r="YE1" s="13" t="s">
        <v>798</v>
      </c>
      <c r="YF1" s="13" t="s">
        <v>799</v>
      </c>
      <c r="YG1" s="13" t="s">
        <v>800</v>
      </c>
      <c r="YH1" s="13" t="s">
        <v>801</v>
      </c>
      <c r="YI1" s="13" t="s">
        <v>802</v>
      </c>
      <c r="YJ1" s="13" t="s">
        <v>803</v>
      </c>
      <c r="YK1" s="13" t="s">
        <v>804</v>
      </c>
      <c r="YL1" s="13" t="s">
        <v>805</v>
      </c>
      <c r="YM1" s="13" t="s">
        <v>806</v>
      </c>
      <c r="YN1" s="13" t="s">
        <v>807</v>
      </c>
      <c r="YO1" s="13" t="s">
        <v>808</v>
      </c>
      <c r="YP1" s="13" t="s">
        <v>809</v>
      </c>
      <c r="YQ1" s="13" t="s">
        <v>810</v>
      </c>
      <c r="YR1" s="13" t="s">
        <v>811</v>
      </c>
      <c r="YS1" s="13" t="s">
        <v>812</v>
      </c>
      <c r="YT1" s="13" t="s">
        <v>813</v>
      </c>
      <c r="YU1" s="13" t="s">
        <v>814</v>
      </c>
      <c r="YV1" s="13" t="s">
        <v>815</v>
      </c>
      <c r="YW1" s="12" t="s">
        <v>816</v>
      </c>
      <c r="YX1" s="13" t="s">
        <v>817</v>
      </c>
      <c r="YY1" s="13" t="s">
        <v>818</v>
      </c>
      <c r="YZ1" s="13" t="s">
        <v>819</v>
      </c>
      <c r="ZA1" s="13" t="s">
        <v>820</v>
      </c>
      <c r="ZB1" s="13" t="s">
        <v>821</v>
      </c>
      <c r="ZC1" s="13" t="s">
        <v>822</v>
      </c>
      <c r="ZD1" s="13" t="s">
        <v>823</v>
      </c>
      <c r="ZE1" s="13" t="s">
        <v>824</v>
      </c>
      <c r="ZF1" s="13" t="s">
        <v>825</v>
      </c>
      <c r="ZG1" s="13" t="s">
        <v>826</v>
      </c>
      <c r="ZH1" s="13" t="s">
        <v>827</v>
      </c>
      <c r="ZI1" s="13" t="s">
        <v>828</v>
      </c>
      <c r="ZJ1" s="13" t="s">
        <v>829</v>
      </c>
      <c r="ZK1" s="13" t="s">
        <v>830</v>
      </c>
      <c r="ZL1" s="13" t="s">
        <v>831</v>
      </c>
      <c r="ZM1" s="13" t="s">
        <v>832</v>
      </c>
      <c r="ZN1" s="13" t="s">
        <v>833</v>
      </c>
      <c r="ZO1" s="13" t="s">
        <v>834</v>
      </c>
      <c r="ZP1" s="13" t="s">
        <v>835</v>
      </c>
      <c r="ZQ1" s="12" t="s">
        <v>836</v>
      </c>
      <c r="ZR1" s="13" t="s">
        <v>837</v>
      </c>
      <c r="ZS1" s="13" t="s">
        <v>838</v>
      </c>
      <c r="ZT1" s="13" t="s">
        <v>839</v>
      </c>
      <c r="ZU1" s="13" t="s">
        <v>840</v>
      </c>
      <c r="ZV1" s="13" t="s">
        <v>841</v>
      </c>
      <c r="ZW1" s="12" t="s">
        <v>842</v>
      </c>
      <c r="ZX1" s="13" t="s">
        <v>843</v>
      </c>
      <c r="ZY1" s="13" t="s">
        <v>844</v>
      </c>
      <c r="ZZ1" s="13" t="s">
        <v>845</v>
      </c>
      <c r="AAA1" s="13" t="s">
        <v>846</v>
      </c>
      <c r="AAB1" s="13" t="s">
        <v>847</v>
      </c>
      <c r="AAC1" s="13" t="s">
        <v>848</v>
      </c>
      <c r="AAD1" s="13" t="s">
        <v>849</v>
      </c>
      <c r="AAE1" s="13" t="s">
        <v>850</v>
      </c>
      <c r="AAF1" s="13" t="s">
        <v>851</v>
      </c>
      <c r="AAG1" s="13" t="s">
        <v>852</v>
      </c>
      <c r="AAH1" s="13" t="s">
        <v>853</v>
      </c>
      <c r="AAI1" s="13" t="s">
        <v>854</v>
      </c>
      <c r="AAJ1" s="13" t="s">
        <v>855</v>
      </c>
      <c r="AAK1" s="13" t="s">
        <v>856</v>
      </c>
      <c r="AAL1" s="13" t="s">
        <v>857</v>
      </c>
      <c r="AAM1" s="13" t="s">
        <v>858</v>
      </c>
      <c r="AAN1" s="13" t="s">
        <v>859</v>
      </c>
      <c r="AAO1" s="13" t="s">
        <v>860</v>
      </c>
      <c r="AAP1" s="13" t="s">
        <v>861</v>
      </c>
      <c r="AAQ1" s="13" t="s">
        <v>862</v>
      </c>
      <c r="AAR1" s="13" t="s">
        <v>863</v>
      </c>
      <c r="AAS1" s="12" t="s">
        <v>864</v>
      </c>
      <c r="AAT1" s="13" t="s">
        <v>865</v>
      </c>
      <c r="AAU1" s="13" t="s">
        <v>866</v>
      </c>
      <c r="AAV1" s="13" t="s">
        <v>867</v>
      </c>
      <c r="AAW1" s="13" t="s">
        <v>868</v>
      </c>
      <c r="AAX1" s="13" t="s">
        <v>869</v>
      </c>
      <c r="AAY1" s="13" t="s">
        <v>870</v>
      </c>
      <c r="AAZ1" s="13" t="s">
        <v>871</v>
      </c>
      <c r="ABA1" s="13" t="s">
        <v>872</v>
      </c>
      <c r="ABB1" s="13" t="s">
        <v>873</v>
      </c>
      <c r="ABC1" s="13" t="s">
        <v>874</v>
      </c>
      <c r="ABD1" s="13" t="s">
        <v>875</v>
      </c>
      <c r="ABE1" s="13" t="s">
        <v>876</v>
      </c>
      <c r="ABF1" s="13" t="s">
        <v>877</v>
      </c>
      <c r="ABG1" s="13" t="s">
        <v>878</v>
      </c>
      <c r="ABH1" s="13" t="s">
        <v>879</v>
      </c>
      <c r="ABI1" s="13" t="s">
        <v>880</v>
      </c>
      <c r="ABJ1" s="13" t="s">
        <v>881</v>
      </c>
      <c r="ABK1" s="13" t="s">
        <v>882</v>
      </c>
      <c r="ABL1" s="13" t="s">
        <v>883</v>
      </c>
      <c r="ABM1" s="13" t="s">
        <v>884</v>
      </c>
      <c r="ABN1" s="13" t="s">
        <v>885</v>
      </c>
      <c r="ABO1" s="13" t="s">
        <v>886</v>
      </c>
      <c r="ABP1" s="12" t="s">
        <v>887</v>
      </c>
      <c r="ABQ1" s="13" t="s">
        <v>888</v>
      </c>
      <c r="ABR1" s="13" t="s">
        <v>889</v>
      </c>
      <c r="ABS1" s="13" t="s">
        <v>890</v>
      </c>
      <c r="ABT1" s="13" t="s">
        <v>891</v>
      </c>
      <c r="ABU1" s="12" t="s">
        <v>892</v>
      </c>
      <c r="ABV1" s="13" t="s">
        <v>893</v>
      </c>
      <c r="ABW1" s="13" t="s">
        <v>894</v>
      </c>
      <c r="ABX1" s="13" t="s">
        <v>895</v>
      </c>
      <c r="ABY1" s="13" t="s">
        <v>896</v>
      </c>
      <c r="ABZ1" s="13" t="s">
        <v>897</v>
      </c>
      <c r="ACA1" s="13" t="s">
        <v>898</v>
      </c>
      <c r="ACB1" s="12" t="s">
        <v>899</v>
      </c>
      <c r="ACC1" s="13" t="s">
        <v>900</v>
      </c>
      <c r="ACD1" s="13" t="s">
        <v>901</v>
      </c>
      <c r="ACE1" s="13" t="s">
        <v>902</v>
      </c>
      <c r="ACF1" s="13" t="s">
        <v>903</v>
      </c>
      <c r="ACG1" s="13" t="s">
        <v>904</v>
      </c>
      <c r="ACH1" s="13" t="s">
        <v>905</v>
      </c>
      <c r="ACI1" s="13" t="s">
        <v>906</v>
      </c>
      <c r="ACJ1" s="13" t="s">
        <v>907</v>
      </c>
      <c r="ACK1" s="13" t="s">
        <v>908</v>
      </c>
      <c r="ACL1" s="13" t="s">
        <v>909</v>
      </c>
      <c r="ACM1" s="13" t="s">
        <v>910</v>
      </c>
      <c r="ACN1" s="13" t="s">
        <v>911</v>
      </c>
      <c r="ACO1" s="13" t="s">
        <v>912</v>
      </c>
      <c r="ACP1" s="12" t="s">
        <v>913</v>
      </c>
      <c r="ACQ1" s="13" t="s">
        <v>914</v>
      </c>
      <c r="ACR1" s="13" t="s">
        <v>915</v>
      </c>
      <c r="ACS1" s="13" t="s">
        <v>916</v>
      </c>
      <c r="ACT1" s="13" t="s">
        <v>917</v>
      </c>
      <c r="ACU1" s="13" t="s">
        <v>918</v>
      </c>
      <c r="ACV1" s="13" t="s">
        <v>919</v>
      </c>
      <c r="ACW1" s="13" t="s">
        <v>920</v>
      </c>
      <c r="ACX1" s="13" t="s">
        <v>921</v>
      </c>
      <c r="ACY1" s="13" t="s">
        <v>922</v>
      </c>
      <c r="ACZ1" s="12" t="s">
        <v>923</v>
      </c>
      <c r="ADA1" s="13" t="s">
        <v>924</v>
      </c>
      <c r="ADB1" s="13" t="s">
        <v>925</v>
      </c>
      <c r="ADC1" s="13" t="s">
        <v>926</v>
      </c>
      <c r="ADD1" s="13" t="s">
        <v>927</v>
      </c>
      <c r="ADE1" s="13" t="s">
        <v>928</v>
      </c>
      <c r="ADF1" s="13" t="s">
        <v>929</v>
      </c>
      <c r="ADG1" s="13" t="s">
        <v>930</v>
      </c>
      <c r="ADH1" s="13" t="s">
        <v>931</v>
      </c>
      <c r="ADI1" s="13" t="s">
        <v>932</v>
      </c>
      <c r="ADJ1" s="13" t="s">
        <v>933</v>
      </c>
      <c r="ADK1" s="13" t="s">
        <v>934</v>
      </c>
      <c r="ADL1" s="12" t="s">
        <v>935</v>
      </c>
      <c r="ADM1" s="13" t="s">
        <v>936</v>
      </c>
      <c r="ADN1" s="13" t="s">
        <v>937</v>
      </c>
      <c r="ADO1" s="13" t="s">
        <v>938</v>
      </c>
      <c r="ADP1" s="13" t="s">
        <v>939</v>
      </c>
      <c r="ADQ1" s="13" t="s">
        <v>940</v>
      </c>
      <c r="ADR1" s="13" t="s">
        <v>941</v>
      </c>
      <c r="ADS1" s="13" t="s">
        <v>942</v>
      </c>
      <c r="ADT1" s="13" t="s">
        <v>943</v>
      </c>
      <c r="ADU1" s="13" t="s">
        <v>944</v>
      </c>
      <c r="ADV1" s="13" t="s">
        <v>945</v>
      </c>
      <c r="ADW1" s="13" t="s">
        <v>946</v>
      </c>
      <c r="ADX1" s="13" t="s">
        <v>947</v>
      </c>
      <c r="ADY1" s="13" t="s">
        <v>948</v>
      </c>
      <c r="ADZ1" s="13" t="s">
        <v>949</v>
      </c>
      <c r="AEA1" s="13" t="s">
        <v>950</v>
      </c>
      <c r="AEB1" s="13" t="s">
        <v>951</v>
      </c>
      <c r="AEC1" s="13" t="s">
        <v>952</v>
      </c>
      <c r="AED1" s="13" t="s">
        <v>953</v>
      </c>
      <c r="AEE1" s="13" t="s">
        <v>954</v>
      </c>
      <c r="AEF1" s="13" t="s">
        <v>955</v>
      </c>
      <c r="AEG1" s="13" t="s">
        <v>956</v>
      </c>
      <c r="AEH1" s="12" t="s">
        <v>957</v>
      </c>
    </row>
    <row r="2" spans="1:814" x14ac:dyDescent="0.25">
      <c r="A2" s="8" t="s">
        <v>958</v>
      </c>
      <c r="B2" t="s">
        <v>959</v>
      </c>
      <c r="C2">
        <v>70</v>
      </c>
      <c r="D2" t="s">
        <v>960</v>
      </c>
      <c r="E2" t="s">
        <v>961</v>
      </c>
      <c r="F2" t="s">
        <v>961</v>
      </c>
      <c r="H2" t="s">
        <v>962</v>
      </c>
      <c r="I2" t="s">
        <v>961</v>
      </c>
      <c r="J2" t="s">
        <v>963</v>
      </c>
      <c r="K2" t="s">
        <v>964</v>
      </c>
      <c r="L2">
        <v>47</v>
      </c>
      <c r="M2">
        <v>168</v>
      </c>
      <c r="N2" t="s">
        <v>965</v>
      </c>
      <c r="O2" s="9">
        <v>36615</v>
      </c>
      <c r="P2" s="9">
        <v>36622</v>
      </c>
      <c r="Q2" t="s">
        <v>966</v>
      </c>
      <c r="R2" t="s">
        <v>967</v>
      </c>
      <c r="S2" t="s">
        <v>968</v>
      </c>
      <c r="T2" t="s">
        <v>969</v>
      </c>
      <c r="U2" t="s">
        <v>970</v>
      </c>
      <c r="V2" t="s">
        <v>971</v>
      </c>
      <c r="Y2">
        <v>124</v>
      </c>
      <c r="AC2">
        <v>41</v>
      </c>
      <c r="AZ2" s="10">
        <f t="shared" ref="AZ2:AZ9" si="0">COUNTA(Y2:AY2)</f>
        <v>2</v>
      </c>
      <c r="BA2" t="s">
        <v>972</v>
      </c>
      <c r="BE2">
        <v>20</v>
      </c>
      <c r="BJ2">
        <v>75</v>
      </c>
      <c r="BL2">
        <v>74</v>
      </c>
      <c r="CA2" s="10">
        <f t="shared" ref="CA2:CA9" si="1">COUNTA(BA2:BZ2)</f>
        <v>4</v>
      </c>
      <c r="CB2" t="s">
        <v>973</v>
      </c>
      <c r="CF2">
        <v>61</v>
      </c>
      <c r="CL2" t="s">
        <v>974</v>
      </c>
      <c r="DD2" s="10">
        <f t="shared" ref="DD2:DD9" si="2">COUNTA(CB2:DC2)</f>
        <v>3</v>
      </c>
      <c r="DE2" t="s">
        <v>975</v>
      </c>
      <c r="DR2" s="10">
        <f t="shared" ref="DR2:DR9" si="3">COUNTA(DF2:DQ2)</f>
        <v>0</v>
      </c>
      <c r="EE2" s="10">
        <f t="shared" ref="EE2:EE9" si="4">COUNTA(DS2:ED2)</f>
        <v>0</v>
      </c>
      <c r="FH2" s="10">
        <f t="shared" ref="FH2:FH9" si="5">COUNTA(EF2:FG2)</f>
        <v>0</v>
      </c>
      <c r="HX2" s="10">
        <f t="shared" ref="HX2:HX9" si="6">COUNTA(FI2:HW2)</f>
        <v>0</v>
      </c>
      <c r="KL2" s="10">
        <f t="shared" ref="KL2:KL9" si="7">COUNTA(HY2:KK2)</f>
        <v>0</v>
      </c>
      <c r="MY2" s="10">
        <f t="shared" ref="MY2:MY9" si="8">COUNTA(KM2:MX2)</f>
        <v>0</v>
      </c>
      <c r="OP2" s="10">
        <f t="shared" ref="OP2:OP9" si="9">COUNTA(MZ2:OO2)</f>
        <v>0</v>
      </c>
      <c r="OV2" s="10">
        <f t="shared" ref="OV2:OV9" si="10">COUNTA(OQ2:OU2)</f>
        <v>0</v>
      </c>
      <c r="RC2" s="10">
        <f t="shared" ref="RC2:RC9" si="11">COUNTA(OW2:RB2)</f>
        <v>0</v>
      </c>
      <c r="RT2" s="10">
        <f t="shared" ref="RT2:RT9" si="12">COUNTA(RD2:RS2)</f>
        <v>0</v>
      </c>
      <c r="UD2" s="10">
        <f t="shared" ref="UD2:UD9" si="13">COUNTA(RU2:UC2)</f>
        <v>0</v>
      </c>
      <c r="VI2" s="10">
        <f t="shared" ref="VI2:VI9" si="14">COUNTA(UE2:VH2)</f>
        <v>0</v>
      </c>
      <c r="WL2" s="10">
        <f t="shared" ref="WL2:WL9" si="15">COUNTA(VJ2:WK2)</f>
        <v>0</v>
      </c>
      <c r="XG2" s="10">
        <f t="shared" ref="XG2:XG9" si="16">COUNTA(WM2:XF2)</f>
        <v>0</v>
      </c>
      <c r="YC2" s="10">
        <f t="shared" ref="YC2:YC9" si="17">COUNTA(XH2:YB2)</f>
        <v>0</v>
      </c>
      <c r="YW2" s="10">
        <f t="shared" ref="YW2:YW9" si="18">COUNTA(YD2:YV2)</f>
        <v>0</v>
      </c>
      <c r="ZQ2" s="10">
        <f t="shared" ref="ZQ2:ZQ9" si="19">COUNTA(YX2:ZP2)</f>
        <v>0</v>
      </c>
      <c r="ZW2" s="10">
        <f t="shared" ref="ZW2:ZW9" si="20">COUNTA(ZR2:ZV2)</f>
        <v>0</v>
      </c>
      <c r="AAS2" s="10">
        <f t="shared" ref="AAS2:AAS9" si="21">COUNTA(ZX2:AAR2)</f>
        <v>0</v>
      </c>
      <c r="ABP2" s="10">
        <f t="shared" ref="ABP2:ABP9" si="22">COUNTA(AAT2,ABO2)</f>
        <v>0</v>
      </c>
      <c r="ABU2" s="10">
        <f t="shared" ref="ABU2:ABU9" si="23">COUNTA(ABQ2:ABT2)</f>
        <v>0</v>
      </c>
      <c r="ACB2" s="10">
        <f t="shared" ref="ACB2:ACB9" si="24">COUNTA(ABV2:ACA2)</f>
        <v>0</v>
      </c>
      <c r="ACP2" s="10">
        <f t="shared" ref="ACP2:ACP9" si="25">COUNTA(ACG2:ACO2)</f>
        <v>0</v>
      </c>
      <c r="ACZ2" s="10">
        <f t="shared" ref="ACZ2:ACZ9" si="26">COUNTA(ACU2:ACY2)</f>
        <v>0</v>
      </c>
      <c r="ADL2" s="10">
        <f t="shared" ref="ADL2:ADL9" si="27">COUNTA(ADA2:ADK2)</f>
        <v>0</v>
      </c>
      <c r="AEH2" s="10">
        <f t="shared" ref="AEH2:AEH9" si="28">COUNTA(ADM2:AEG2)</f>
        <v>0</v>
      </c>
    </row>
    <row r="3" spans="1:814" x14ac:dyDescent="0.25">
      <c r="A3" s="8" t="s">
        <v>976</v>
      </c>
      <c r="B3" t="s">
        <v>977</v>
      </c>
      <c r="C3">
        <v>58</v>
      </c>
      <c r="D3" t="s">
        <v>960</v>
      </c>
      <c r="E3" t="s">
        <v>978</v>
      </c>
      <c r="F3" t="s">
        <v>961</v>
      </c>
      <c r="G3" t="s">
        <v>979</v>
      </c>
      <c r="H3" t="s">
        <v>962</v>
      </c>
      <c r="I3" t="s">
        <v>961</v>
      </c>
      <c r="K3" t="s">
        <v>964</v>
      </c>
      <c r="L3">
        <v>65</v>
      </c>
      <c r="M3">
        <v>150</v>
      </c>
      <c r="N3" t="s">
        <v>980</v>
      </c>
      <c r="S3" t="s">
        <v>981</v>
      </c>
      <c r="T3" t="s">
        <v>982</v>
      </c>
      <c r="U3" t="s">
        <v>983</v>
      </c>
      <c r="V3" t="s">
        <v>984</v>
      </c>
      <c r="AZ3" s="10">
        <f t="shared" si="0"/>
        <v>0</v>
      </c>
      <c r="CA3" s="10">
        <f t="shared" si="1"/>
        <v>0</v>
      </c>
      <c r="DD3" s="10">
        <f t="shared" si="2"/>
        <v>0</v>
      </c>
      <c r="DR3" s="10">
        <f t="shared" si="3"/>
        <v>0</v>
      </c>
      <c r="EE3" s="10">
        <f t="shared" si="4"/>
        <v>0</v>
      </c>
      <c r="FH3" s="10">
        <f t="shared" si="5"/>
        <v>0</v>
      </c>
      <c r="FI3">
        <v>13</v>
      </c>
      <c r="HX3" s="10">
        <f t="shared" si="6"/>
        <v>1</v>
      </c>
      <c r="HY3">
        <v>24</v>
      </c>
      <c r="KL3" s="10">
        <f t="shared" si="7"/>
        <v>1</v>
      </c>
      <c r="KM3">
        <v>49</v>
      </c>
      <c r="MY3" s="10">
        <f t="shared" si="8"/>
        <v>1</v>
      </c>
      <c r="MZ3">
        <v>222</v>
      </c>
      <c r="OP3" s="10">
        <f t="shared" si="9"/>
        <v>1</v>
      </c>
      <c r="OV3" s="10">
        <f t="shared" si="10"/>
        <v>0</v>
      </c>
      <c r="RC3" s="10">
        <f t="shared" si="11"/>
        <v>0</v>
      </c>
      <c r="RT3" s="10">
        <f t="shared" si="12"/>
        <v>0</v>
      </c>
      <c r="UD3" s="10">
        <f t="shared" si="13"/>
        <v>0</v>
      </c>
      <c r="VI3" s="10">
        <f t="shared" si="14"/>
        <v>0</v>
      </c>
      <c r="WL3" s="10">
        <f t="shared" si="15"/>
        <v>0</v>
      </c>
      <c r="XG3" s="10">
        <f t="shared" si="16"/>
        <v>0</v>
      </c>
      <c r="YC3" s="10">
        <f t="shared" si="17"/>
        <v>0</v>
      </c>
      <c r="YW3" s="10">
        <f t="shared" si="18"/>
        <v>0</v>
      </c>
      <c r="ZQ3" s="10">
        <f t="shared" si="19"/>
        <v>0</v>
      </c>
      <c r="ZW3" s="10">
        <f t="shared" si="20"/>
        <v>0</v>
      </c>
      <c r="AAS3" s="10">
        <f t="shared" si="21"/>
        <v>0</v>
      </c>
      <c r="ABP3" s="10">
        <f t="shared" si="22"/>
        <v>0</v>
      </c>
      <c r="ABU3" s="10">
        <f t="shared" si="23"/>
        <v>0</v>
      </c>
      <c r="ACB3" s="10">
        <f t="shared" si="24"/>
        <v>0</v>
      </c>
      <c r="ACP3" s="10">
        <f t="shared" si="25"/>
        <v>0</v>
      </c>
      <c r="ACZ3" s="10">
        <f t="shared" si="26"/>
        <v>0</v>
      </c>
      <c r="ADL3" s="10">
        <f t="shared" si="27"/>
        <v>0</v>
      </c>
      <c r="AEH3" s="10">
        <f t="shared" si="28"/>
        <v>0</v>
      </c>
    </row>
    <row r="4" spans="1:814" x14ac:dyDescent="0.25">
      <c r="A4" s="8" t="s">
        <v>985</v>
      </c>
      <c r="B4" t="s">
        <v>986</v>
      </c>
      <c r="C4">
        <v>15</v>
      </c>
      <c r="D4" t="s">
        <v>987</v>
      </c>
      <c r="E4" t="s">
        <v>961</v>
      </c>
      <c r="F4" t="s">
        <v>961</v>
      </c>
      <c r="G4" t="s">
        <v>988</v>
      </c>
      <c r="H4" t="s">
        <v>962</v>
      </c>
      <c r="I4" t="s">
        <v>961</v>
      </c>
      <c r="K4" t="s">
        <v>964</v>
      </c>
      <c r="L4">
        <v>78</v>
      </c>
      <c r="M4">
        <v>173</v>
      </c>
      <c r="N4" t="s">
        <v>989</v>
      </c>
      <c r="S4" t="s">
        <v>990</v>
      </c>
      <c r="U4" t="s">
        <v>991</v>
      </c>
      <c r="V4" t="s">
        <v>992</v>
      </c>
      <c r="AZ4" s="10">
        <f t="shared" si="0"/>
        <v>0</v>
      </c>
      <c r="CA4" s="10">
        <f t="shared" si="1"/>
        <v>0</v>
      </c>
      <c r="DD4" s="10">
        <f t="shared" si="2"/>
        <v>0</v>
      </c>
      <c r="DR4" s="10">
        <f t="shared" si="3"/>
        <v>0</v>
      </c>
      <c r="EE4" s="10">
        <f t="shared" si="4"/>
        <v>0</v>
      </c>
      <c r="EQ4">
        <v>200</v>
      </c>
      <c r="FH4" s="10">
        <f t="shared" si="5"/>
        <v>1</v>
      </c>
      <c r="FM4">
        <v>28</v>
      </c>
      <c r="HX4" s="10">
        <f t="shared" si="6"/>
        <v>1</v>
      </c>
      <c r="IB4">
        <v>32</v>
      </c>
      <c r="KL4" s="10">
        <f t="shared" si="7"/>
        <v>1</v>
      </c>
      <c r="MY4" s="10">
        <f t="shared" si="8"/>
        <v>0</v>
      </c>
      <c r="NC4">
        <v>249</v>
      </c>
      <c r="OP4" s="10">
        <f t="shared" si="9"/>
        <v>1</v>
      </c>
      <c r="OQ4" t="s">
        <v>993</v>
      </c>
      <c r="OV4" s="10">
        <f t="shared" si="10"/>
        <v>1</v>
      </c>
      <c r="RC4" s="10">
        <f t="shared" si="11"/>
        <v>0</v>
      </c>
      <c r="RT4" s="10">
        <f t="shared" si="12"/>
        <v>0</v>
      </c>
      <c r="UD4" s="10">
        <f t="shared" si="13"/>
        <v>0</v>
      </c>
      <c r="VI4" s="10">
        <f t="shared" si="14"/>
        <v>0</v>
      </c>
      <c r="WL4" s="10">
        <f t="shared" si="15"/>
        <v>0</v>
      </c>
      <c r="XG4" s="10">
        <f t="shared" si="16"/>
        <v>0</v>
      </c>
      <c r="YC4" s="10">
        <f t="shared" si="17"/>
        <v>0</v>
      </c>
      <c r="YW4" s="10">
        <f t="shared" si="18"/>
        <v>0</v>
      </c>
      <c r="ZQ4" s="10">
        <f t="shared" si="19"/>
        <v>0</v>
      </c>
      <c r="ZW4" s="10">
        <f t="shared" si="20"/>
        <v>0</v>
      </c>
      <c r="AAS4" s="10">
        <f t="shared" si="21"/>
        <v>0</v>
      </c>
      <c r="ABP4" s="10">
        <f t="shared" si="22"/>
        <v>0</v>
      </c>
      <c r="ABU4" s="10">
        <f t="shared" si="23"/>
        <v>0</v>
      </c>
      <c r="ACB4" s="10">
        <f t="shared" si="24"/>
        <v>0</v>
      </c>
      <c r="ACP4" s="10">
        <f t="shared" si="25"/>
        <v>0</v>
      </c>
      <c r="ACZ4" s="10">
        <f t="shared" si="26"/>
        <v>0</v>
      </c>
      <c r="ADL4" s="10">
        <f t="shared" si="27"/>
        <v>0</v>
      </c>
      <c r="AEH4" s="10">
        <f t="shared" si="28"/>
        <v>0</v>
      </c>
    </row>
    <row r="5" spans="1:814" x14ac:dyDescent="0.25">
      <c r="A5" s="8" t="s">
        <v>994</v>
      </c>
      <c r="B5" t="s">
        <v>995</v>
      </c>
      <c r="C5">
        <v>36</v>
      </c>
      <c r="D5" t="s">
        <v>960</v>
      </c>
      <c r="E5" t="s">
        <v>978</v>
      </c>
      <c r="F5" t="s">
        <v>961</v>
      </c>
      <c r="G5" t="s">
        <v>996</v>
      </c>
      <c r="H5" t="s">
        <v>962</v>
      </c>
      <c r="I5" t="s">
        <v>961</v>
      </c>
      <c r="K5" t="s">
        <v>964</v>
      </c>
      <c r="L5">
        <v>62</v>
      </c>
      <c r="M5">
        <v>155</v>
      </c>
      <c r="N5" t="s">
        <v>997</v>
      </c>
      <c r="S5" t="s">
        <v>998</v>
      </c>
      <c r="T5" t="s">
        <v>999</v>
      </c>
      <c r="U5" t="s">
        <v>1000</v>
      </c>
      <c r="V5" t="s">
        <v>1001</v>
      </c>
      <c r="AZ5" s="10">
        <f t="shared" si="0"/>
        <v>0</v>
      </c>
      <c r="CA5" s="10">
        <f t="shared" si="1"/>
        <v>0</v>
      </c>
      <c r="DD5" s="10">
        <f t="shared" si="2"/>
        <v>0</v>
      </c>
      <c r="DR5" s="10">
        <f t="shared" si="3"/>
        <v>0</v>
      </c>
      <c r="EE5" s="10">
        <f t="shared" si="4"/>
        <v>0</v>
      </c>
      <c r="EH5">
        <v>11.64</v>
      </c>
      <c r="FH5" s="10">
        <f t="shared" si="5"/>
        <v>1</v>
      </c>
      <c r="FI5">
        <v>15</v>
      </c>
      <c r="HX5" s="10">
        <f t="shared" si="6"/>
        <v>1</v>
      </c>
      <c r="HY5">
        <v>28</v>
      </c>
      <c r="KL5" s="10">
        <f t="shared" si="7"/>
        <v>1</v>
      </c>
      <c r="KM5">
        <v>45</v>
      </c>
      <c r="MY5" s="10">
        <f t="shared" si="8"/>
        <v>1</v>
      </c>
      <c r="MZ5">
        <v>144</v>
      </c>
      <c r="OP5" s="10">
        <f t="shared" si="9"/>
        <v>1</v>
      </c>
      <c r="OR5">
        <v>6.8</v>
      </c>
      <c r="OV5" s="10">
        <f t="shared" si="10"/>
        <v>1</v>
      </c>
      <c r="RC5" s="10">
        <f t="shared" si="11"/>
        <v>0</v>
      </c>
      <c r="RT5" s="10">
        <f t="shared" si="12"/>
        <v>0</v>
      </c>
      <c r="UD5" s="10">
        <f t="shared" si="13"/>
        <v>0</v>
      </c>
      <c r="VI5" s="10">
        <f t="shared" si="14"/>
        <v>0</v>
      </c>
      <c r="WL5" s="10">
        <f t="shared" si="15"/>
        <v>0</v>
      </c>
      <c r="XG5" s="10">
        <f t="shared" si="16"/>
        <v>0</v>
      </c>
      <c r="YC5" s="10">
        <f t="shared" si="17"/>
        <v>0</v>
      </c>
      <c r="YW5" s="10">
        <f t="shared" si="18"/>
        <v>0</v>
      </c>
      <c r="ZQ5" s="10">
        <f t="shared" si="19"/>
        <v>0</v>
      </c>
      <c r="ZW5" s="10">
        <f t="shared" si="20"/>
        <v>0</v>
      </c>
      <c r="AAS5" s="10">
        <f t="shared" si="21"/>
        <v>0</v>
      </c>
      <c r="ABP5" s="10">
        <f t="shared" si="22"/>
        <v>0</v>
      </c>
      <c r="ABU5" s="10">
        <f t="shared" si="23"/>
        <v>0</v>
      </c>
      <c r="ACB5" s="10">
        <f t="shared" si="24"/>
        <v>0</v>
      </c>
      <c r="ACP5" s="10">
        <f t="shared" si="25"/>
        <v>0</v>
      </c>
      <c r="ACZ5" s="10">
        <f t="shared" si="26"/>
        <v>0</v>
      </c>
      <c r="ADL5" s="10">
        <f t="shared" si="27"/>
        <v>0</v>
      </c>
      <c r="AEH5" s="10">
        <f t="shared" si="28"/>
        <v>0</v>
      </c>
    </row>
    <row r="6" spans="1:814" x14ac:dyDescent="0.25">
      <c r="A6" s="8" t="s">
        <v>1002</v>
      </c>
      <c r="B6" t="s">
        <v>1003</v>
      </c>
      <c r="C6">
        <v>59</v>
      </c>
      <c r="D6" t="s">
        <v>960</v>
      </c>
      <c r="E6" t="s">
        <v>961</v>
      </c>
      <c r="F6" t="s">
        <v>961</v>
      </c>
      <c r="G6" t="s">
        <v>1004</v>
      </c>
      <c r="H6" t="s">
        <v>978</v>
      </c>
      <c r="I6" t="s">
        <v>961</v>
      </c>
      <c r="K6" t="s">
        <v>964</v>
      </c>
      <c r="L6">
        <v>77</v>
      </c>
      <c r="M6">
        <v>170</v>
      </c>
      <c r="N6" t="s">
        <v>1005</v>
      </c>
      <c r="O6" s="3" t="s">
        <v>1006</v>
      </c>
      <c r="P6" s="3" t="s">
        <v>1006</v>
      </c>
      <c r="Q6" t="s">
        <v>1007</v>
      </c>
      <c r="R6" t="s">
        <v>1008</v>
      </c>
      <c r="S6" t="s">
        <v>1009</v>
      </c>
      <c r="T6" t="s">
        <v>1010</v>
      </c>
      <c r="U6" t="s">
        <v>1011</v>
      </c>
      <c r="V6" t="s">
        <v>1012</v>
      </c>
      <c r="AZ6" s="10">
        <f t="shared" si="0"/>
        <v>0</v>
      </c>
      <c r="CA6" s="10">
        <f t="shared" si="1"/>
        <v>0</v>
      </c>
      <c r="DD6" s="10">
        <f t="shared" si="2"/>
        <v>0</v>
      </c>
      <c r="DR6" s="10">
        <f t="shared" si="3"/>
        <v>0</v>
      </c>
      <c r="EE6" s="10">
        <f t="shared" si="4"/>
        <v>0</v>
      </c>
      <c r="EF6">
        <v>4000</v>
      </c>
      <c r="FH6" s="10">
        <f t="shared" si="5"/>
        <v>1</v>
      </c>
      <c r="HX6" s="10">
        <f t="shared" si="6"/>
        <v>0</v>
      </c>
      <c r="KL6" s="10">
        <f t="shared" si="7"/>
        <v>0</v>
      </c>
      <c r="KM6">
        <v>240</v>
      </c>
      <c r="MY6" s="10">
        <f t="shared" si="8"/>
        <v>1</v>
      </c>
      <c r="OP6" s="10">
        <f t="shared" si="9"/>
        <v>0</v>
      </c>
      <c r="OQ6" t="s">
        <v>1013</v>
      </c>
      <c r="OV6" s="10">
        <f t="shared" si="10"/>
        <v>1</v>
      </c>
      <c r="RC6" s="10">
        <f t="shared" si="11"/>
        <v>0</v>
      </c>
      <c r="RT6" s="10">
        <f t="shared" si="12"/>
        <v>0</v>
      </c>
      <c r="UD6" s="10">
        <f t="shared" si="13"/>
        <v>0</v>
      </c>
      <c r="VI6" s="10">
        <f t="shared" si="14"/>
        <v>0</v>
      </c>
      <c r="WL6" s="10">
        <f t="shared" si="15"/>
        <v>0</v>
      </c>
      <c r="XG6" s="10">
        <f t="shared" si="16"/>
        <v>0</v>
      </c>
      <c r="YC6" s="10">
        <f t="shared" si="17"/>
        <v>0</v>
      </c>
      <c r="YW6" s="10">
        <f t="shared" si="18"/>
        <v>0</v>
      </c>
      <c r="YX6">
        <v>11</v>
      </c>
      <c r="ZQ6" s="10">
        <f t="shared" si="19"/>
        <v>1</v>
      </c>
      <c r="ZW6" s="10">
        <f t="shared" si="20"/>
        <v>0</v>
      </c>
      <c r="AAS6" s="10">
        <f t="shared" si="21"/>
        <v>0</v>
      </c>
      <c r="ABP6" s="10">
        <f t="shared" si="22"/>
        <v>0</v>
      </c>
      <c r="ABU6" s="10">
        <f t="shared" si="23"/>
        <v>0</v>
      </c>
      <c r="ACB6" s="10">
        <f t="shared" si="24"/>
        <v>0</v>
      </c>
      <c r="ACP6" s="10">
        <f t="shared" si="25"/>
        <v>0</v>
      </c>
      <c r="ACZ6" s="10">
        <f t="shared" si="26"/>
        <v>0</v>
      </c>
      <c r="ADL6" s="10">
        <f t="shared" si="27"/>
        <v>0</v>
      </c>
      <c r="AEH6" s="10">
        <f t="shared" si="28"/>
        <v>0</v>
      </c>
    </row>
    <row r="7" spans="1:814" x14ac:dyDescent="0.25">
      <c r="A7" s="8" t="s">
        <v>1014</v>
      </c>
      <c r="B7" t="s">
        <v>1015</v>
      </c>
      <c r="C7">
        <v>53</v>
      </c>
      <c r="D7" t="s">
        <v>960</v>
      </c>
      <c r="E7" t="s">
        <v>961</v>
      </c>
      <c r="F7" t="s">
        <v>961</v>
      </c>
      <c r="G7" t="s">
        <v>1016</v>
      </c>
      <c r="H7" t="s">
        <v>978</v>
      </c>
      <c r="I7" t="s">
        <v>978</v>
      </c>
      <c r="K7" t="s">
        <v>964</v>
      </c>
      <c r="L7">
        <v>78</v>
      </c>
      <c r="M7">
        <v>158</v>
      </c>
      <c r="N7" t="s">
        <v>1017</v>
      </c>
      <c r="O7" s="3">
        <v>36536</v>
      </c>
      <c r="P7" s="3">
        <v>36537</v>
      </c>
      <c r="Q7" t="s">
        <v>1018</v>
      </c>
      <c r="R7" t="s">
        <v>1019</v>
      </c>
      <c r="S7" t="s">
        <v>1020</v>
      </c>
      <c r="T7" t="s">
        <v>1021</v>
      </c>
      <c r="U7" t="s">
        <v>1022</v>
      </c>
      <c r="V7" t="s">
        <v>1023</v>
      </c>
      <c r="AZ7" s="10">
        <f t="shared" si="0"/>
        <v>0</v>
      </c>
      <c r="CA7" s="10">
        <f t="shared" si="1"/>
        <v>0</v>
      </c>
      <c r="DD7" s="10">
        <f t="shared" si="2"/>
        <v>0</v>
      </c>
      <c r="DR7" s="10">
        <f t="shared" si="3"/>
        <v>0</v>
      </c>
      <c r="EE7" s="10">
        <f t="shared" si="4"/>
        <v>0</v>
      </c>
      <c r="EH7">
        <v>8900</v>
      </c>
      <c r="EK7">
        <v>10600</v>
      </c>
      <c r="FH7" s="10">
        <f t="shared" si="5"/>
        <v>2</v>
      </c>
      <c r="FU7">
        <v>25</v>
      </c>
      <c r="HX7" s="10">
        <f t="shared" si="6"/>
        <v>1</v>
      </c>
      <c r="IJ7">
        <v>64</v>
      </c>
      <c r="KL7" s="10">
        <f t="shared" si="7"/>
        <v>1</v>
      </c>
      <c r="KQ7">
        <v>51</v>
      </c>
      <c r="MY7" s="10">
        <f t="shared" si="8"/>
        <v>1</v>
      </c>
      <c r="OP7" s="10">
        <f t="shared" si="9"/>
        <v>0</v>
      </c>
      <c r="OQ7" t="s">
        <v>1024</v>
      </c>
      <c r="OV7" s="10">
        <f t="shared" si="10"/>
        <v>1</v>
      </c>
      <c r="RC7" s="10">
        <f t="shared" si="11"/>
        <v>0</v>
      </c>
      <c r="RT7" s="10">
        <f t="shared" si="12"/>
        <v>0</v>
      </c>
      <c r="UD7" s="10">
        <f t="shared" si="13"/>
        <v>0</v>
      </c>
      <c r="VI7" s="10">
        <f t="shared" si="14"/>
        <v>0</v>
      </c>
      <c r="WL7" s="10">
        <f t="shared" si="15"/>
        <v>0</v>
      </c>
      <c r="XG7" s="10">
        <f t="shared" si="16"/>
        <v>0</v>
      </c>
      <c r="YC7" s="10">
        <f t="shared" si="17"/>
        <v>0</v>
      </c>
      <c r="YW7" s="10">
        <f t="shared" si="18"/>
        <v>0</v>
      </c>
      <c r="ZQ7" s="10">
        <f t="shared" si="19"/>
        <v>0</v>
      </c>
      <c r="ZW7" s="10">
        <f t="shared" si="20"/>
        <v>0</v>
      </c>
      <c r="AAS7" s="10">
        <f t="shared" si="21"/>
        <v>0</v>
      </c>
      <c r="ABP7" s="10">
        <f t="shared" si="22"/>
        <v>0</v>
      </c>
      <c r="ABU7" s="10">
        <f t="shared" si="23"/>
        <v>0</v>
      </c>
      <c r="ACB7" s="10">
        <f t="shared" si="24"/>
        <v>0</v>
      </c>
      <c r="ACP7" s="10">
        <f t="shared" si="25"/>
        <v>0</v>
      </c>
      <c r="ACZ7" s="10">
        <f t="shared" si="26"/>
        <v>0</v>
      </c>
      <c r="ADL7" s="10">
        <f t="shared" si="27"/>
        <v>0</v>
      </c>
      <c r="AEH7" s="10">
        <f t="shared" si="28"/>
        <v>0</v>
      </c>
    </row>
    <row r="8" spans="1:814" x14ac:dyDescent="0.25">
      <c r="A8" s="11" t="s">
        <v>1025</v>
      </c>
      <c r="B8" t="s">
        <v>1026</v>
      </c>
      <c r="C8">
        <v>28</v>
      </c>
      <c r="D8" t="s">
        <v>960</v>
      </c>
      <c r="E8" t="s">
        <v>961</v>
      </c>
      <c r="F8" t="s">
        <v>961</v>
      </c>
      <c r="G8" t="s">
        <v>1027</v>
      </c>
      <c r="H8" t="s">
        <v>978</v>
      </c>
      <c r="I8" t="s">
        <v>961</v>
      </c>
      <c r="J8" t="s">
        <v>1028</v>
      </c>
      <c r="K8" t="s">
        <v>964</v>
      </c>
      <c r="P8" s="3">
        <v>36958</v>
      </c>
      <c r="S8" t="s">
        <v>1029</v>
      </c>
      <c r="U8" t="s">
        <v>1030</v>
      </c>
      <c r="V8" t="s">
        <v>1031</v>
      </c>
      <c r="AZ8" s="10">
        <f t="shared" si="0"/>
        <v>0</v>
      </c>
      <c r="CA8" s="10">
        <f t="shared" si="1"/>
        <v>0</v>
      </c>
      <c r="DD8" s="10">
        <f t="shared" si="2"/>
        <v>0</v>
      </c>
      <c r="DR8" s="10">
        <f t="shared" si="3"/>
        <v>0</v>
      </c>
      <c r="EE8" s="10">
        <f t="shared" si="4"/>
        <v>0</v>
      </c>
      <c r="FH8" s="10">
        <f t="shared" si="5"/>
        <v>0</v>
      </c>
      <c r="FI8">
        <v>20</v>
      </c>
      <c r="HX8" s="10">
        <f t="shared" si="6"/>
        <v>1</v>
      </c>
      <c r="HY8">
        <v>27</v>
      </c>
      <c r="KL8" s="10">
        <f t="shared" si="7"/>
        <v>1</v>
      </c>
      <c r="MY8" s="10">
        <f t="shared" si="8"/>
        <v>0</v>
      </c>
      <c r="MZ8">
        <v>248</v>
      </c>
      <c r="OP8" s="10">
        <f t="shared" si="9"/>
        <v>1</v>
      </c>
      <c r="OV8" s="10">
        <f t="shared" si="10"/>
        <v>0</v>
      </c>
      <c r="RC8" s="10">
        <f t="shared" si="11"/>
        <v>0</v>
      </c>
      <c r="RT8" s="10">
        <f t="shared" si="12"/>
        <v>0</v>
      </c>
      <c r="UD8" s="10">
        <f t="shared" si="13"/>
        <v>0</v>
      </c>
      <c r="UE8">
        <v>2.9</v>
      </c>
      <c r="VI8" s="10">
        <f t="shared" si="14"/>
        <v>1</v>
      </c>
      <c r="WL8" s="10">
        <f t="shared" si="15"/>
        <v>0</v>
      </c>
      <c r="XG8" s="10">
        <f t="shared" si="16"/>
        <v>0</v>
      </c>
      <c r="XH8">
        <v>196</v>
      </c>
      <c r="YC8" s="10">
        <f t="shared" si="17"/>
        <v>1</v>
      </c>
      <c r="YW8" s="10">
        <f t="shared" si="18"/>
        <v>0</v>
      </c>
      <c r="YX8">
        <v>22.5</v>
      </c>
      <c r="ZQ8" s="10">
        <f t="shared" si="19"/>
        <v>1</v>
      </c>
      <c r="ZW8" s="10">
        <f t="shared" si="20"/>
        <v>0</v>
      </c>
      <c r="AAS8" s="10">
        <f t="shared" si="21"/>
        <v>0</v>
      </c>
      <c r="ABP8" s="10">
        <f t="shared" si="22"/>
        <v>0</v>
      </c>
      <c r="ABU8" s="10">
        <f t="shared" si="23"/>
        <v>0</v>
      </c>
      <c r="ACB8" s="10">
        <f t="shared" si="24"/>
        <v>0</v>
      </c>
      <c r="ACC8" t="s">
        <v>1032</v>
      </c>
      <c r="ACD8">
        <v>61</v>
      </c>
      <c r="ACE8">
        <v>22.4</v>
      </c>
      <c r="ACF8">
        <v>8.1999999999999993</v>
      </c>
      <c r="ACP8" s="10">
        <f t="shared" si="25"/>
        <v>0</v>
      </c>
      <c r="ACZ8" s="10">
        <f t="shared" si="26"/>
        <v>0</v>
      </c>
      <c r="ADL8" s="10">
        <f t="shared" si="27"/>
        <v>0</v>
      </c>
      <c r="AEH8" s="10">
        <f t="shared" si="28"/>
        <v>0</v>
      </c>
    </row>
    <row r="9" spans="1:814" x14ac:dyDescent="0.25">
      <c r="A9" s="8" t="s">
        <v>1033</v>
      </c>
      <c r="B9" t="s">
        <v>1034</v>
      </c>
      <c r="C9">
        <v>62</v>
      </c>
      <c r="D9" t="s">
        <v>960</v>
      </c>
      <c r="E9" t="s">
        <v>961</v>
      </c>
      <c r="F9" t="s">
        <v>961</v>
      </c>
      <c r="G9" t="s">
        <v>1035</v>
      </c>
      <c r="H9" t="s">
        <v>962</v>
      </c>
      <c r="I9" t="s">
        <v>125</v>
      </c>
      <c r="K9" t="s">
        <v>1036</v>
      </c>
      <c r="L9">
        <v>94</v>
      </c>
      <c r="S9" t="s">
        <v>1037</v>
      </c>
      <c r="U9" t="s">
        <v>1038</v>
      </c>
      <c r="V9" t="s">
        <v>1039</v>
      </c>
      <c r="AZ9" s="10">
        <f t="shared" si="0"/>
        <v>0</v>
      </c>
      <c r="CA9" s="10">
        <f t="shared" si="1"/>
        <v>0</v>
      </c>
      <c r="DD9" s="10">
        <f t="shared" si="2"/>
        <v>0</v>
      </c>
      <c r="DR9" s="10">
        <f t="shared" si="3"/>
        <v>0</v>
      </c>
      <c r="EE9" s="10">
        <f t="shared" si="4"/>
        <v>0</v>
      </c>
      <c r="FH9" s="10">
        <f t="shared" si="5"/>
        <v>0</v>
      </c>
      <c r="FI9">
        <v>39</v>
      </c>
      <c r="FU9">
        <v>25</v>
      </c>
      <c r="HX9" s="10">
        <f t="shared" si="6"/>
        <v>2</v>
      </c>
      <c r="HY9">
        <v>53</v>
      </c>
      <c r="IJ9">
        <v>38</v>
      </c>
      <c r="KL9" s="10">
        <f t="shared" si="7"/>
        <v>2</v>
      </c>
      <c r="MY9" s="10">
        <f t="shared" si="8"/>
        <v>0</v>
      </c>
      <c r="OP9" s="10">
        <f t="shared" si="9"/>
        <v>0</v>
      </c>
      <c r="OV9" s="10">
        <f t="shared" si="10"/>
        <v>0</v>
      </c>
      <c r="RC9" s="10">
        <f t="shared" si="11"/>
        <v>0</v>
      </c>
      <c r="RT9" s="10">
        <f t="shared" si="12"/>
        <v>0</v>
      </c>
      <c r="UD9" s="10">
        <f t="shared" si="13"/>
        <v>0</v>
      </c>
      <c r="VI9" s="10">
        <f t="shared" si="14"/>
        <v>0</v>
      </c>
      <c r="VJ9" t="s">
        <v>1040</v>
      </c>
      <c r="VT9" t="s">
        <v>1041</v>
      </c>
      <c r="WL9" s="10">
        <f t="shared" si="15"/>
        <v>2</v>
      </c>
      <c r="XG9" s="10">
        <f t="shared" si="16"/>
        <v>0</v>
      </c>
      <c r="YC9" s="10">
        <f t="shared" si="17"/>
        <v>0</v>
      </c>
      <c r="YW9" s="10">
        <f t="shared" si="18"/>
        <v>0</v>
      </c>
      <c r="YX9">
        <v>71.2</v>
      </c>
      <c r="ZF9">
        <v>10.3</v>
      </c>
      <c r="ZQ9" s="10">
        <f t="shared" si="19"/>
        <v>2</v>
      </c>
      <c r="ZW9" s="10">
        <f t="shared" si="20"/>
        <v>0</v>
      </c>
      <c r="AAS9" s="10">
        <f t="shared" si="21"/>
        <v>0</v>
      </c>
      <c r="ABP9" s="10">
        <f t="shared" si="22"/>
        <v>0</v>
      </c>
      <c r="ABU9" s="10">
        <f t="shared" si="23"/>
        <v>0</v>
      </c>
      <c r="ACB9" s="10">
        <f t="shared" si="24"/>
        <v>0</v>
      </c>
      <c r="ACP9" s="10">
        <f t="shared" si="25"/>
        <v>0</v>
      </c>
      <c r="ACZ9" s="10">
        <f t="shared" si="26"/>
        <v>0</v>
      </c>
      <c r="ADL9" s="10">
        <f t="shared" si="27"/>
        <v>0</v>
      </c>
      <c r="AEH9" s="10">
        <f t="shared" si="28"/>
        <v>0</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Übersicht Literaturfälle</vt:lpstr>
      <vt:lpstr>Arbeitsmaterial Literaturfälle</vt:lpstr>
      <vt:lpstr>Kontrollgruppe (mit Duplikaten)</vt:lpstr>
      <vt:lpstr>Paracetamol Fälle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lw-r</dc:creator>
  <cp:lastModifiedBy>lw-r</cp:lastModifiedBy>
  <dcterms:created xsi:type="dcterms:W3CDTF">2021-10-06T10:42:20Z</dcterms:created>
  <dcterms:modified xsi:type="dcterms:W3CDTF">2022-08-09T13:30:10Z</dcterms:modified>
</cp:coreProperties>
</file>