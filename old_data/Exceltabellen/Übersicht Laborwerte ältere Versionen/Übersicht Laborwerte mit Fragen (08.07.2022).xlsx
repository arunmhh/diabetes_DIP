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cord\Text\Zahnmedizin\Doktorarbeit SJS\Exceltabellen\Übersicht Laborwerte ältere Versionen\"/>
    </mc:Choice>
  </mc:AlternateContent>
  <xr:revisionPtr revIDLastSave="0" documentId="13_ncr:1_{B20187DB-70A3-4723-99CA-D58D3C3051EB}" xr6:coauthVersionLast="47" xr6:coauthVersionMax="47" xr10:uidLastSave="{00000000-0000-0000-0000-000000000000}"/>
  <bookViews>
    <workbookView xWindow="-10275" yWindow="1065" windowWidth="21600" windowHeight="11385" firstSheet="1" activeTab="1" xr2:uid="{F98F23A4-6A22-4D6A-BAC1-275AB8407745}"/>
  </bookViews>
  <sheets>
    <sheet name="Übersicht Literaturfälle" sheetId="1" r:id="rId1"/>
    <sheet name="Arbeitsmaterial Literaturfälle" sheetId="4" r:id="rId2"/>
    <sheet name="Paracetamol Fälle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2" i="5" l="1"/>
  <c r="CA2" i="5"/>
  <c r="DD2" i="5"/>
  <c r="DR2" i="5"/>
  <c r="EE2" i="5"/>
  <c r="FH2" i="5"/>
  <c r="HX2" i="5"/>
  <c r="KL2" i="5"/>
  <c r="MY2" i="5"/>
  <c r="OP2" i="5"/>
  <c r="OV2" i="5"/>
  <c r="RC2" i="5"/>
  <c r="RT2" i="5"/>
  <c r="UD2" i="5"/>
  <c r="VI2" i="5"/>
  <c r="WL2" i="5"/>
  <c r="XG2" i="5"/>
  <c r="YC2" i="5"/>
  <c r="YW2" i="5"/>
  <c r="ZQ2" i="5"/>
  <c r="ZW2" i="5"/>
  <c r="AAS2" i="5"/>
  <c r="ABP2" i="5"/>
  <c r="ABU2" i="5"/>
  <c r="ACB2" i="5"/>
  <c r="ACP2" i="5"/>
  <c r="ACZ2" i="5"/>
  <c r="ADL2" i="5"/>
  <c r="AEH2" i="5"/>
  <c r="AZ3" i="5"/>
  <c r="CA3" i="5"/>
  <c r="DD3" i="5"/>
  <c r="DR3" i="5"/>
  <c r="EE3" i="5"/>
  <c r="FH3" i="5"/>
  <c r="HX3" i="5"/>
  <c r="KL3" i="5"/>
  <c r="MY3" i="5"/>
  <c r="OP3" i="5"/>
  <c r="OV3" i="5"/>
  <c r="RC3" i="5"/>
  <c r="RT3" i="5"/>
  <c r="UD3" i="5"/>
  <c r="VI3" i="5"/>
  <c r="WL3" i="5"/>
  <c r="XG3" i="5"/>
  <c r="YC3" i="5"/>
  <c r="YW3" i="5"/>
  <c r="ZQ3" i="5"/>
  <c r="ZW3" i="5"/>
  <c r="AAS3" i="5"/>
  <c r="ABP3" i="5"/>
  <c r="ABU3" i="5"/>
  <c r="ACB3" i="5"/>
  <c r="ACP3" i="5"/>
  <c r="ACZ3" i="5"/>
  <c r="ADL3" i="5"/>
  <c r="AEH3" i="5"/>
  <c r="AZ4" i="5"/>
  <c r="CA4" i="5"/>
  <c r="DD4" i="5"/>
  <c r="DR4" i="5"/>
  <c r="EE4" i="5"/>
  <c r="FH4" i="5"/>
  <c r="HX4" i="5"/>
  <c r="KL4" i="5"/>
  <c r="MY4" i="5"/>
  <c r="OP4" i="5"/>
  <c r="OV4" i="5"/>
  <c r="RC4" i="5"/>
  <c r="RT4" i="5"/>
  <c r="UD4" i="5"/>
  <c r="VI4" i="5"/>
  <c r="WL4" i="5"/>
  <c r="XG4" i="5"/>
  <c r="YC4" i="5"/>
  <c r="YW4" i="5"/>
  <c r="ZQ4" i="5"/>
  <c r="ZW4" i="5"/>
  <c r="AAS4" i="5"/>
  <c r="ABP4" i="5"/>
  <c r="ABU4" i="5"/>
  <c r="ACB4" i="5"/>
  <c r="ACP4" i="5"/>
  <c r="ACZ4" i="5"/>
  <c r="ADL4" i="5"/>
  <c r="AEH4" i="5"/>
  <c r="AZ5" i="5"/>
  <c r="CA5" i="5"/>
  <c r="DD5" i="5"/>
  <c r="DR5" i="5"/>
  <c r="EE5" i="5"/>
  <c r="FH5" i="5"/>
  <c r="HX5" i="5"/>
  <c r="KL5" i="5"/>
  <c r="MY5" i="5"/>
  <c r="OP5" i="5"/>
  <c r="OV5" i="5"/>
  <c r="RC5" i="5"/>
  <c r="RT5" i="5"/>
  <c r="UD5" i="5"/>
  <c r="VI5" i="5"/>
  <c r="WL5" i="5"/>
  <c r="XG5" i="5"/>
  <c r="YC5" i="5"/>
  <c r="YW5" i="5"/>
  <c r="ZQ5" i="5"/>
  <c r="ZW5" i="5"/>
  <c r="AAS5" i="5"/>
  <c r="ABP5" i="5"/>
  <c r="ABU5" i="5"/>
  <c r="ACB5" i="5"/>
  <c r="ACP5" i="5"/>
  <c r="ACZ5" i="5"/>
  <c r="ADL5" i="5"/>
  <c r="AEH5" i="5"/>
  <c r="AZ6" i="5"/>
  <c r="CA6" i="5"/>
  <c r="DD6" i="5"/>
  <c r="DR6" i="5"/>
  <c r="EE6" i="5"/>
  <c r="FH6" i="5"/>
  <c r="HX6" i="5"/>
  <c r="KL6" i="5"/>
  <c r="MY6" i="5"/>
  <c r="OP6" i="5"/>
  <c r="OV6" i="5"/>
  <c r="RC6" i="5"/>
  <c r="RT6" i="5"/>
  <c r="UD6" i="5"/>
  <c r="VI6" i="5"/>
  <c r="WL6" i="5"/>
  <c r="XG6" i="5"/>
  <c r="YC6" i="5"/>
  <c r="YW6" i="5"/>
  <c r="ZQ6" i="5"/>
  <c r="ZW6" i="5"/>
  <c r="AAS6" i="5"/>
  <c r="ABP6" i="5"/>
  <c r="ABU6" i="5"/>
  <c r="ACB6" i="5"/>
  <c r="ACP6" i="5"/>
  <c r="ACZ6" i="5"/>
  <c r="ADL6" i="5"/>
  <c r="AEH6" i="5"/>
  <c r="AZ7" i="5"/>
  <c r="CA7" i="5"/>
  <c r="DD7" i="5"/>
  <c r="DR7" i="5"/>
  <c r="EE7" i="5"/>
  <c r="FH7" i="5"/>
  <c r="HX7" i="5"/>
  <c r="KL7" i="5"/>
  <c r="MY7" i="5"/>
  <c r="OP7" i="5"/>
  <c r="OV7" i="5"/>
  <c r="RC7" i="5"/>
  <c r="RT7" i="5"/>
  <c r="UD7" i="5"/>
  <c r="VI7" i="5"/>
  <c r="WL7" i="5"/>
  <c r="XG7" i="5"/>
  <c r="YC7" i="5"/>
  <c r="YW7" i="5"/>
  <c r="ZQ7" i="5"/>
  <c r="ZW7" i="5"/>
  <c r="AAS7" i="5"/>
  <c r="ABP7" i="5"/>
  <c r="ABU7" i="5"/>
  <c r="ACB7" i="5"/>
  <c r="ACP7" i="5"/>
  <c r="ACZ7" i="5"/>
  <c r="ADL7" i="5"/>
  <c r="AEH7" i="5"/>
  <c r="AZ8" i="5"/>
  <c r="CA8" i="5"/>
  <c r="DD8" i="5"/>
  <c r="DR8" i="5"/>
  <c r="EE8" i="5"/>
  <c r="FH8" i="5"/>
  <c r="HX8" i="5"/>
  <c r="KL8" i="5"/>
  <c r="MY8" i="5"/>
  <c r="OP8" i="5"/>
  <c r="OV8" i="5"/>
  <c r="RC8" i="5"/>
  <c r="RT8" i="5"/>
  <c r="UD8" i="5"/>
  <c r="VI8" i="5"/>
  <c r="WL8" i="5"/>
  <c r="XG8" i="5"/>
  <c r="YC8" i="5"/>
  <c r="YW8" i="5"/>
  <c r="ZQ8" i="5"/>
  <c r="ZW8" i="5"/>
  <c r="AAS8" i="5"/>
  <c r="ABP8" i="5"/>
  <c r="ABU8" i="5"/>
  <c r="ACB8" i="5"/>
  <c r="ACP8" i="5"/>
  <c r="ACZ8" i="5"/>
  <c r="ADL8" i="5"/>
  <c r="AEH8" i="5"/>
  <c r="AZ9" i="5"/>
  <c r="CA9" i="5"/>
  <c r="DD9" i="5"/>
  <c r="DR9" i="5"/>
  <c r="EE9" i="5"/>
  <c r="FH9" i="5"/>
  <c r="HX9" i="5"/>
  <c r="KL9" i="5"/>
  <c r="MY9" i="5"/>
  <c r="OP9" i="5"/>
  <c r="OV9" i="5"/>
  <c r="RC9" i="5"/>
  <c r="RT9" i="5"/>
  <c r="UD9" i="5"/>
  <c r="VI9" i="5"/>
  <c r="WL9" i="5"/>
  <c r="XG9" i="5"/>
  <c r="YC9" i="5"/>
  <c r="YW9" i="5"/>
  <c r="ZQ9" i="5"/>
  <c r="ZW9" i="5"/>
  <c r="AAS9" i="5"/>
  <c r="ABP9" i="5"/>
  <c r="ABU9" i="5"/>
  <c r="ACB9" i="5"/>
  <c r="ACP9" i="5"/>
  <c r="ACZ9" i="5"/>
  <c r="ADL9" i="5"/>
  <c r="AEH9" i="5"/>
</calcChain>
</file>

<file path=xl/sharedStrings.xml><?xml version="1.0" encoding="utf-8"?>
<sst xmlns="http://schemas.openxmlformats.org/spreadsheetml/2006/main" count="1647" uniqueCount="1386">
  <si>
    <t>Gesamt</t>
  </si>
  <si>
    <t>Übersicht über die Laborwerte</t>
  </si>
  <si>
    <r>
      <t xml:space="preserve">Laborwerte </t>
    </r>
    <r>
      <rPr>
        <b/>
        <u/>
        <sz val="11"/>
        <color theme="1"/>
        <rFont val="Calibri"/>
        <family val="2"/>
        <scheme val="minor"/>
      </rPr>
      <t>ohne</t>
    </r>
    <r>
      <rPr>
        <sz val="11"/>
        <color theme="1"/>
        <rFont val="Calibri"/>
        <family val="2"/>
        <scheme val="minor"/>
      </rPr>
      <t xml:space="preserve"> zeitlichen Verlauf</t>
    </r>
  </si>
  <si>
    <t xml:space="preserve">BfArM Nummer </t>
  </si>
  <si>
    <r>
      <t xml:space="preserve">Häufigkeit </t>
    </r>
    <r>
      <rPr>
        <b/>
        <u/>
        <sz val="11"/>
        <color theme="1"/>
        <rFont val="Calibri"/>
        <family val="2"/>
        <scheme val="minor"/>
      </rPr>
      <t>mit</t>
    </r>
    <r>
      <rPr>
        <sz val="11"/>
        <color theme="1"/>
        <rFont val="Calibri"/>
        <family val="2"/>
        <scheme val="minor"/>
      </rPr>
      <t xml:space="preserve"> zeitlichem Verlauf</t>
    </r>
  </si>
  <si>
    <t>39.6/nL</t>
  </si>
  <si>
    <t>23/nL</t>
  </si>
  <si>
    <t xml:space="preserve"> 53.7 mg/dL</t>
  </si>
  <si>
    <t>Troponin</t>
  </si>
  <si>
    <t>Prothrombin</t>
  </si>
  <si>
    <t xml:space="preserve"> 2,466 microgram/L</t>
  </si>
  <si>
    <t>D-Dimer</t>
  </si>
  <si>
    <t xml:space="preserve"> 17.0 microgram/L</t>
  </si>
  <si>
    <t>CH-50</t>
  </si>
  <si>
    <t xml:space="preserve"> 282 mU/mL</t>
  </si>
  <si>
    <t>Fibrinogen</t>
  </si>
  <si>
    <t xml:space="preserve"> 415 mg%</t>
  </si>
  <si>
    <t>Leukozyten (WBC)</t>
  </si>
  <si>
    <t xml:space="preserve"> 2,9 mg/dL</t>
  </si>
  <si>
    <t>Serummyoglobin</t>
  </si>
  <si>
    <t xml:space="preserve"> 193 mg/L</t>
  </si>
  <si>
    <t>ANA (Antinukleäre Antikörper)</t>
  </si>
  <si>
    <t xml:space="preserve"> 1: 1280</t>
  </si>
  <si>
    <t>Anti-Ro (SSA(Ro)-Antikörper)</t>
  </si>
  <si>
    <t xml:space="preserve"> 1412.7 (positive)</t>
  </si>
  <si>
    <t>Anti-La (SSB(La)-Antikörper)</t>
  </si>
  <si>
    <t xml:space="preserve"> 154.6 (borderline)</t>
  </si>
  <si>
    <t>Antihistonantikörper</t>
  </si>
  <si>
    <t xml:space="preserve"> 43.5 (positive)</t>
  </si>
  <si>
    <t>DsDNA-Antikörper</t>
  </si>
  <si>
    <t>positiv</t>
  </si>
  <si>
    <t>Thrombozyten</t>
  </si>
  <si>
    <t>121000/MCL</t>
  </si>
  <si>
    <t>7900/MCL</t>
  </si>
  <si>
    <t>Zeitpunkt der Laboruntersuchung</t>
  </si>
  <si>
    <t>14.01.2003 (bei Einlieferung)</t>
  </si>
  <si>
    <t>15.01.2003 (Datum nicht sicher zuordbar)</t>
  </si>
  <si>
    <t>&lt; 10000/MCL</t>
  </si>
  <si>
    <t>Serum-Lipase</t>
  </si>
  <si>
    <t xml:space="preserve"> 632 U/L</t>
  </si>
  <si>
    <t>10.02.2003 (während Erhohlung)</t>
  </si>
  <si>
    <t>396000/MCL</t>
  </si>
  <si>
    <t xml:space="preserve"> 8000/MCL</t>
  </si>
  <si>
    <t>162U/L</t>
  </si>
  <si>
    <t xml:space="preserve"> 250/n</t>
  </si>
  <si>
    <t xml:space="preserve"> 60/nI</t>
  </si>
  <si>
    <t>6.77×109/L</t>
  </si>
  <si>
    <t xml:space="preserve"> 466×109/L</t>
  </si>
  <si>
    <t>330 mg/L</t>
  </si>
  <si>
    <t>Albumin</t>
  </si>
  <si>
    <t>22 g/L</t>
  </si>
  <si>
    <t xml:space="preserve"> 6.6 mg/dL</t>
  </si>
  <si>
    <t>7,7/ul</t>
  </si>
  <si>
    <t>Lymphozyten 
[%]</t>
  </si>
  <si>
    <t>GOT/ASAT/AST 
[U/L]</t>
  </si>
  <si>
    <t>GPT/ALAT/ALT
[U/L]</t>
  </si>
  <si>
    <t>GGT (Gamma-Glutamyltranferase) 
[U/L]</t>
  </si>
  <si>
    <t>LDH 
[U/L]</t>
  </si>
  <si>
    <t>Serumharnstoff 
[mg/dl]</t>
  </si>
  <si>
    <t xml:space="preserve"> 8,7/ul</t>
  </si>
  <si>
    <t>Kreatinin 
[mg/dl]</t>
  </si>
  <si>
    <t>CRP 
[mg/dl]</t>
  </si>
  <si>
    <t>CK (creatine phosphokinase)
[U/L]</t>
  </si>
  <si>
    <t>unbekanntes Datum</t>
  </si>
  <si>
    <t>CK-MB (creatine kinase MB)
[U/L]</t>
  </si>
  <si>
    <t>11.600/ul</t>
  </si>
  <si>
    <t>12,0/ul</t>
  </si>
  <si>
    <t>20,0/ul</t>
  </si>
  <si>
    <t>11,64/ul</t>
  </si>
  <si>
    <t>normal</t>
  </si>
  <si>
    <t>4000/ul</t>
  </si>
  <si>
    <t>8900/ul</t>
  </si>
  <si>
    <t>10600/ul</t>
  </si>
  <si>
    <t>9000/ul</t>
  </si>
  <si>
    <t>12000/ul</t>
  </si>
  <si>
    <t>ChE (Cholinesterase)
[U/L]</t>
  </si>
  <si>
    <t>Amylase
[U/L]</t>
  </si>
  <si>
    <t>378000/ul</t>
  </si>
  <si>
    <t>ESR, BSG (Erythrozytensedimentationsrate)
[mm/h]</t>
  </si>
  <si>
    <t xml:space="preserve">Eosinophile
[%] </t>
  </si>
  <si>
    <t>Monozyten
[%]</t>
  </si>
  <si>
    <t>Neutrophile
[%]</t>
  </si>
  <si>
    <t>IgG</t>
  </si>
  <si>
    <t>HIV</t>
  </si>
  <si>
    <t>1+2 negativ</t>
  </si>
  <si>
    <t>Herpes simplex Virus IgM</t>
  </si>
  <si>
    <t>negativ</t>
  </si>
  <si>
    <t>Mycoplasmatische Antikörper</t>
  </si>
  <si>
    <t>ECHO-Virus</t>
  </si>
  <si>
    <t>HBs-Antikörper</t>
  </si>
  <si>
    <t>HBc antikörper</t>
  </si>
  <si>
    <t>HBsAg</t>
  </si>
  <si>
    <t>Coxackie-Virus-Antikörper</t>
  </si>
  <si>
    <t>Hepatitis C-Antikörper</t>
  </si>
  <si>
    <t>90/ul</t>
  </si>
  <si>
    <t>Billirubin [mg/dl]</t>
  </si>
  <si>
    <t>Quick-Wert [%]</t>
  </si>
  <si>
    <t>107/ml</t>
  </si>
  <si>
    <t>2,5g/dl</t>
  </si>
  <si>
    <t>Gamma-Globulin 
[g/dl]</t>
  </si>
  <si>
    <t>Fieber 
[°C]</t>
  </si>
  <si>
    <t>4,1 (direktes: 3,1)</t>
  </si>
  <si>
    <t>PTT
[sec.]</t>
  </si>
  <si>
    <t>AT III 
[%]</t>
  </si>
  <si>
    <t>2,9/nl</t>
  </si>
  <si>
    <t>Hb (Hämoglobin)
[g/dl]</t>
  </si>
  <si>
    <t>&lt; 8</t>
  </si>
  <si>
    <t>101/nl</t>
  </si>
  <si>
    <t>unauffällig</t>
  </si>
  <si>
    <t>Natrium</t>
  </si>
  <si>
    <t>Kalium</t>
  </si>
  <si>
    <t>THS (Thyreoidea-stimulierendes Hormon)</t>
  </si>
  <si>
    <t>T3</t>
  </si>
  <si>
    <t>T4</t>
  </si>
  <si>
    <t>TBK (Thyroxinbindungskapazität)</t>
  </si>
  <si>
    <t>Erythrozyten
[Erys/ul]</t>
  </si>
  <si>
    <t>Urinstatus</t>
  </si>
  <si>
    <t>Protein
[mg/dl]</t>
  </si>
  <si>
    <t>Urobilinogen
[mg/dl]</t>
  </si>
  <si>
    <t>Nitrit</t>
  </si>
  <si>
    <t>Leukozyten
[Leukos/ul]</t>
  </si>
  <si>
    <t>Immunstatus</t>
  </si>
  <si>
    <t>IgE
[U/ml]</t>
  </si>
  <si>
    <t>Mikrobiologische Befunde vorhanden</t>
  </si>
  <si>
    <t>24h-Sammelurin vorhanden</t>
  </si>
  <si>
    <t>ja</t>
  </si>
  <si>
    <t>Gesamteiweiß
[g/dl]</t>
  </si>
  <si>
    <t>2,2g/dl</t>
  </si>
  <si>
    <t>Koagulase</t>
  </si>
  <si>
    <t>2/nl</t>
  </si>
  <si>
    <t>99 (keine Einheit)</t>
  </si>
  <si>
    <t>156 (keine Einheit)</t>
  </si>
  <si>
    <t>239 (keine Einheit)</t>
  </si>
  <si>
    <t>86 (keine Einheit)</t>
  </si>
  <si>
    <t>61 (keine Einheit)</t>
  </si>
  <si>
    <t>97 (keine Einheit)</t>
  </si>
  <si>
    <t>alkalische Phosphatase
[U/L]</t>
  </si>
  <si>
    <t>&gt;1000</t>
  </si>
  <si>
    <t>6000/ul</t>
  </si>
  <si>
    <t>11400/ul</t>
  </si>
  <si>
    <t>7700/mcl</t>
  </si>
  <si>
    <t>4300/mcl</t>
  </si>
  <si>
    <t>8,7/ul</t>
  </si>
  <si>
    <t>6,4/ul</t>
  </si>
  <si>
    <t>14:10 Uhr</t>
  </si>
  <si>
    <t>20:11 Uhr</t>
  </si>
  <si>
    <t>um 1,3 gestiegen</t>
  </si>
  <si>
    <t>um 3,18 gestiegen</t>
  </si>
  <si>
    <t>14100/mcl</t>
  </si>
  <si>
    <t>Patienten-ID</t>
  </si>
  <si>
    <t>Initialien</t>
  </si>
  <si>
    <t>Alter</t>
  </si>
  <si>
    <t>Geschlecht</t>
  </si>
  <si>
    <t>Arztbrief</t>
  </si>
  <si>
    <t>Laborwerte</t>
  </si>
  <si>
    <t>Indikation</t>
  </si>
  <si>
    <t>Suizid</t>
  </si>
  <si>
    <t>Leben</t>
  </si>
  <si>
    <t>Intervention</t>
  </si>
  <si>
    <t>Wirkung</t>
  </si>
  <si>
    <t>Gewicht (kg)</t>
  </si>
  <si>
    <t>Groesse (cm)</t>
  </si>
  <si>
    <t>BMI</t>
  </si>
  <si>
    <t>Paracetamol Start</t>
  </si>
  <si>
    <t>Paracetamol Stop</t>
  </si>
  <si>
    <t>Dauer der Paracetamol Einnahme</t>
  </si>
  <si>
    <t>Paracetamol-Dosis</t>
  </si>
  <si>
    <t>Grunderkrankung</t>
  </si>
  <si>
    <t>Nebendiagnosen</t>
  </si>
  <si>
    <t>Symptome bei Aufnahme</t>
  </si>
  <si>
    <t>Zusätzliche Medikation</t>
  </si>
  <si>
    <t>Entlassungsmedikation</t>
  </si>
  <si>
    <t>Dauermedikation</t>
  </si>
  <si>
    <t>CK-d1 (U\l)</t>
  </si>
  <si>
    <t>Ck-d2</t>
  </si>
  <si>
    <t>Ck-d2w2</t>
  </si>
  <si>
    <t>Ck-d2w3</t>
  </si>
  <si>
    <t>Ck-d3</t>
  </si>
  <si>
    <t>Ck-d4</t>
  </si>
  <si>
    <t>Ck-d4w2</t>
  </si>
  <si>
    <t>Ck-d4w3</t>
  </si>
  <si>
    <t>Ck-d4w4</t>
  </si>
  <si>
    <t>Ck-d5</t>
  </si>
  <si>
    <t>Ck-d5w2</t>
  </si>
  <si>
    <t>Ck-d6</t>
  </si>
  <si>
    <t>Ck-d6w2</t>
  </si>
  <si>
    <t>Ck-d6w3</t>
  </si>
  <si>
    <t>Ck-d7</t>
  </si>
  <si>
    <t>Ck-d8</t>
  </si>
  <si>
    <t>Ck-d10</t>
  </si>
  <si>
    <t>Ck-d13</t>
  </si>
  <si>
    <t>Ck-d14</t>
  </si>
  <si>
    <t>Ck-d15</t>
  </si>
  <si>
    <t>Ck-d19</t>
  </si>
  <si>
    <t>Ck-d20</t>
  </si>
  <si>
    <t>Ck-d21</t>
  </si>
  <si>
    <t>Ck-d23</t>
  </si>
  <si>
    <t>Ck-d28</t>
  </si>
  <si>
    <t>Ck-m20d28</t>
  </si>
  <si>
    <t>Ck-m21/2</t>
  </si>
  <si>
    <t>Anzahl CK Daten</t>
  </si>
  <si>
    <t>Quick-d1 (%)</t>
  </si>
  <si>
    <t>Quick-d1w2</t>
  </si>
  <si>
    <t xml:space="preserve">Quick-d2 </t>
  </si>
  <si>
    <t>Quick-d2w2</t>
  </si>
  <si>
    <t>Quick-d3</t>
  </si>
  <si>
    <t>Quick-d4</t>
  </si>
  <si>
    <t>Quick-d4w2</t>
  </si>
  <si>
    <t>Quick-d4w3</t>
  </si>
  <si>
    <t>Quick-d5</t>
  </si>
  <si>
    <t>Quick-d6</t>
  </si>
  <si>
    <t>Quick-d7</t>
  </si>
  <si>
    <t>Quick-d8</t>
  </si>
  <si>
    <t>Quick-d9</t>
  </si>
  <si>
    <t>Quick-d11</t>
  </si>
  <si>
    <t>Quick-d12</t>
  </si>
  <si>
    <t>Quick-d13</t>
  </si>
  <si>
    <t>Quick-d14</t>
  </si>
  <si>
    <t>Quick-d15</t>
  </si>
  <si>
    <t>Quick-d18</t>
  </si>
  <si>
    <t>Quick-d20</t>
  </si>
  <si>
    <t>Quick-23</t>
  </si>
  <si>
    <t>Quick-25</t>
  </si>
  <si>
    <t>Quick-d27</t>
  </si>
  <si>
    <t>Quick-29</t>
  </si>
  <si>
    <t>Quick-d32</t>
  </si>
  <si>
    <t>Quick-m20d28</t>
  </si>
  <si>
    <t>Anzahl Quick Daten</t>
  </si>
  <si>
    <t>PTT-d1 (sec)</t>
  </si>
  <si>
    <t>PTT-d1w2</t>
  </si>
  <si>
    <t>PTT-d2</t>
  </si>
  <si>
    <t>PTT-d2w2</t>
  </si>
  <si>
    <t>PTT-d3</t>
  </si>
  <si>
    <t>PTT-d4</t>
  </si>
  <si>
    <t>PTT-d4w1</t>
  </si>
  <si>
    <t>PTT-d4w2</t>
  </si>
  <si>
    <t>PTT-d4w3</t>
  </si>
  <si>
    <t>PTT-d5</t>
  </si>
  <si>
    <t>PTT-d6</t>
  </si>
  <si>
    <t>PTT-d7</t>
  </si>
  <si>
    <t>PTT-d8</t>
  </si>
  <si>
    <t>PTT-d9</t>
  </si>
  <si>
    <t>PTT-d10</t>
  </si>
  <si>
    <t>PTT-d11</t>
  </si>
  <si>
    <t>PTT-d12</t>
  </si>
  <si>
    <t>PTT-d13</t>
  </si>
  <si>
    <t>PTT-d14</t>
  </si>
  <si>
    <t>PTT-d15</t>
  </si>
  <si>
    <t>PTT-d18</t>
  </si>
  <si>
    <t>PTT-d20</t>
  </si>
  <si>
    <t>PTT-d23</t>
  </si>
  <si>
    <t>PTT-d25</t>
  </si>
  <si>
    <t>PTT-d27</t>
  </si>
  <si>
    <t>PTT-d29</t>
  </si>
  <si>
    <t>PTT-d32</t>
  </si>
  <si>
    <t>PTT-m20d28</t>
  </si>
  <si>
    <t>Anzahl PTT Daten</t>
  </si>
  <si>
    <t>TZ-d1</t>
  </si>
  <si>
    <t>Fibrinogen(mg/dl)-d1</t>
  </si>
  <si>
    <t>Fibrinogen-d2</t>
  </si>
  <si>
    <t>Fibrinogen-d3</t>
  </si>
  <si>
    <t>Fibrinogen-d4</t>
  </si>
  <si>
    <t>Fibrinogen-d4w1</t>
  </si>
  <si>
    <t>Fibrinogen-d4w2</t>
  </si>
  <si>
    <t>Fibrinogen-d5</t>
  </si>
  <si>
    <t>Fibrinogen-d7</t>
  </si>
  <si>
    <t>Fibrinogen-d8</t>
  </si>
  <si>
    <t>Fibrinogen-d12</t>
  </si>
  <si>
    <t>Fibrinogen-d13</t>
  </si>
  <si>
    <t>Fibrinogen-d14</t>
  </si>
  <si>
    <t>Anzahl Fibrinogen Daten</t>
  </si>
  <si>
    <t>AT III -d1</t>
  </si>
  <si>
    <t>AT III-d1w2</t>
  </si>
  <si>
    <t>ATIII-d2</t>
  </si>
  <si>
    <t>ATIII-d3</t>
  </si>
  <si>
    <t>ATII-d5</t>
  </si>
  <si>
    <t>ATIII-d6</t>
  </si>
  <si>
    <t>AT III-d7</t>
  </si>
  <si>
    <t>At III-d13</t>
  </si>
  <si>
    <t>AT III-d32</t>
  </si>
  <si>
    <t>AT III-d33</t>
  </si>
  <si>
    <t>Anzahl AT Daten</t>
  </si>
  <si>
    <t>Leukozyten-d1 (\mikrol)</t>
  </si>
  <si>
    <t>Leukozyten-d1w2</t>
  </si>
  <si>
    <t>Leukozyten-d2</t>
  </si>
  <si>
    <t>Leukozyten-d2w2</t>
  </si>
  <si>
    <t>Leukozyten-d2w3</t>
  </si>
  <si>
    <t>Leukozyten-d3</t>
  </si>
  <si>
    <t>Leukozyten-d3w2</t>
  </si>
  <si>
    <t>Leukozyten-d4</t>
  </si>
  <si>
    <t>Leukozyten-d4w2</t>
  </si>
  <si>
    <t>Leukozyten-d4w3</t>
  </si>
  <si>
    <t>Leukozyten-d4w4</t>
  </si>
  <si>
    <t>Leukozyten-d5</t>
  </si>
  <si>
    <t>Leukozyten-d5w2</t>
  </si>
  <si>
    <t>Leukozyten-d6</t>
  </si>
  <si>
    <t>Leukozyten-d6w2</t>
  </si>
  <si>
    <t>Leukozyten-d6w3</t>
  </si>
  <si>
    <t>Leukozyten-d7</t>
  </si>
  <si>
    <t>Leukozyten-d8</t>
  </si>
  <si>
    <t>Leukozyten-d9</t>
  </si>
  <si>
    <t>Leukozyten-d11</t>
  </si>
  <si>
    <t>Leukozyten-d12</t>
  </si>
  <si>
    <t>Leukozyten-d13</t>
  </si>
  <si>
    <t>Leukozyten-d14</t>
  </si>
  <si>
    <t>Leukozyten-d15</t>
  </si>
  <si>
    <t>Leukozyten-d16</t>
  </si>
  <si>
    <t>Leukozyten/d17</t>
  </si>
  <si>
    <t>Leukozyten-d19</t>
  </si>
  <si>
    <t>Leukozyten-d20</t>
  </si>
  <si>
    <t>Anzahl Leukozyten Daten</t>
  </si>
  <si>
    <t>GOT-d1 (u\l)</t>
  </si>
  <si>
    <t>GOT-d1w2</t>
  </si>
  <si>
    <t>GOT-d1w3</t>
  </si>
  <si>
    <t>GOT-d1w4</t>
  </si>
  <si>
    <t>GOT-d2</t>
  </si>
  <si>
    <t>GOT-d2w2</t>
  </si>
  <si>
    <t>GOT-d2w3</t>
  </si>
  <si>
    <t>GOT-d3</t>
  </si>
  <si>
    <t>GOT-d4</t>
  </si>
  <si>
    <t>GOT-d4w2</t>
  </si>
  <si>
    <t>GOT-d4w3</t>
  </si>
  <si>
    <t>GOT-d4w4</t>
  </si>
  <si>
    <t>GOT-d5</t>
  </si>
  <si>
    <t>GOT-d5w2</t>
  </si>
  <si>
    <t>GOT-d6</t>
  </si>
  <si>
    <t>GOT-d6w2</t>
  </si>
  <si>
    <t>GOTd6w3</t>
  </si>
  <si>
    <t>GOT-d7</t>
  </si>
  <si>
    <t>GOT-d8</t>
  </si>
  <si>
    <t>GOT-d9</t>
  </si>
  <si>
    <t>GOT-d10</t>
  </si>
  <si>
    <t>GOT-d11</t>
  </si>
  <si>
    <t>GOT-d12</t>
  </si>
  <si>
    <t>GOT-d13</t>
  </si>
  <si>
    <t>GOT-d14</t>
  </si>
  <si>
    <t>GOT-d15</t>
  </si>
  <si>
    <t>GOT-d16</t>
  </si>
  <si>
    <t>GOT-d17</t>
  </si>
  <si>
    <t>GOT-d18</t>
  </si>
  <si>
    <t>GOT-d19</t>
  </si>
  <si>
    <t>GOT-d20</t>
  </si>
  <si>
    <t>GOT-d21</t>
  </si>
  <si>
    <t>GOT-d23</t>
  </si>
  <si>
    <t>GOT-d25</t>
  </si>
  <si>
    <t>GOT-d26</t>
  </si>
  <si>
    <t>GOT-d27</t>
  </si>
  <si>
    <t>GOT-d28</t>
  </si>
  <si>
    <t>GOT-d29</t>
  </si>
  <si>
    <t>GOT-d31</t>
  </si>
  <si>
    <t>GOT-d32</t>
  </si>
  <si>
    <t>Got-d33</t>
  </si>
  <si>
    <t>GOT-d35</t>
  </si>
  <si>
    <t>GOT-d36</t>
  </si>
  <si>
    <t>GOT-d37</t>
  </si>
  <si>
    <t>GOT-d38</t>
  </si>
  <si>
    <t>GOT-d39</t>
  </si>
  <si>
    <t>GOT-d40</t>
  </si>
  <si>
    <t>GOT-d42</t>
  </si>
  <si>
    <t>GOT-d54</t>
  </si>
  <si>
    <t>GOT-m2d2</t>
  </si>
  <si>
    <t>GOT-m4d6</t>
  </si>
  <si>
    <t>GOT-m5d21</t>
  </si>
  <si>
    <t>GOT-m5d26</t>
  </si>
  <si>
    <t>GOT-m5d29</t>
  </si>
  <si>
    <t>GOT-m6d7</t>
  </si>
  <si>
    <t>GOT-m6d4</t>
  </si>
  <si>
    <t>GOT-m7d6</t>
  </si>
  <si>
    <t>GOT-m10d6</t>
  </si>
  <si>
    <t>GOT-m11d10</t>
  </si>
  <si>
    <t>GOT-m11d30</t>
  </si>
  <si>
    <t>GOT-m20d28</t>
  </si>
  <si>
    <t>GOT-m21d1</t>
  </si>
  <si>
    <t>GOT-m21d2</t>
  </si>
  <si>
    <t>GOTm21/d5</t>
  </si>
  <si>
    <t>GOTm21/d9</t>
  </si>
  <si>
    <t>GOT Therapieende</t>
  </si>
  <si>
    <t>Anzahl GOT Daten</t>
  </si>
  <si>
    <t>GPT-d1 (u\l)</t>
  </si>
  <si>
    <t>GPT-d1w2</t>
  </si>
  <si>
    <t>GPT-d1w3</t>
  </si>
  <si>
    <t>GPT-d2</t>
  </si>
  <si>
    <t>GPT-d2w2</t>
  </si>
  <si>
    <t>Gpt-d2w3</t>
  </si>
  <si>
    <t>GPT-d3</t>
  </si>
  <si>
    <t>GPT-d4</t>
  </si>
  <si>
    <t>GPT-d4w2</t>
  </si>
  <si>
    <t>GPT-d4w3</t>
  </si>
  <si>
    <t>GPT-d4w4</t>
  </si>
  <si>
    <t>GPT-d5</t>
  </si>
  <si>
    <t>GPT-d5w2</t>
  </si>
  <si>
    <t>GPT-d6</t>
  </si>
  <si>
    <t>GPT-d6w2</t>
  </si>
  <si>
    <t>GPT-d6w3</t>
  </si>
  <si>
    <t>GPT-d7</t>
  </si>
  <si>
    <t>GPT-d8</t>
  </si>
  <si>
    <t>GPT-d9</t>
  </si>
  <si>
    <t>GPT-d10</t>
  </si>
  <si>
    <t>GPT-d11</t>
  </si>
  <si>
    <t>GPT-d12</t>
  </si>
  <si>
    <t>GPT-d13</t>
  </si>
  <si>
    <t>GPT-d14</t>
  </si>
  <si>
    <t>GPT-d15</t>
  </si>
  <si>
    <t>GPT-d16</t>
  </si>
  <si>
    <t>GPT-d17</t>
  </si>
  <si>
    <t>GPT-d18</t>
  </si>
  <si>
    <t>GPT-d19</t>
  </si>
  <si>
    <t>GPT-d20</t>
  </si>
  <si>
    <t>GPT-d21</t>
  </si>
  <si>
    <t>GPT-d23</t>
  </si>
  <si>
    <t>GPT-d25</t>
  </si>
  <si>
    <t>GPT-d26</t>
  </si>
  <si>
    <t>GPT-d27</t>
  </si>
  <si>
    <t>GPT-d28</t>
  </si>
  <si>
    <t>GPT-d29</t>
  </si>
  <si>
    <t>GPT-d31</t>
  </si>
  <si>
    <t>GPT-d32</t>
  </si>
  <si>
    <t>GPT-d33</t>
  </si>
  <si>
    <t>GPT-d35</t>
  </si>
  <si>
    <t>GPT-d36</t>
  </si>
  <si>
    <t>GPT-d37</t>
  </si>
  <si>
    <t>GPT-d38</t>
  </si>
  <si>
    <t>GPT-d39</t>
  </si>
  <si>
    <t>GPT-d40</t>
  </si>
  <si>
    <t>GPT-d42</t>
  </si>
  <si>
    <t>GPT-d54</t>
  </si>
  <si>
    <t>GPT-m2d2</t>
  </si>
  <si>
    <t>GPT-m4d6</t>
  </si>
  <si>
    <t>GPT-m5d21</t>
  </si>
  <si>
    <t>GPT-m5d26</t>
  </si>
  <si>
    <t>GPT-m5d29</t>
  </si>
  <si>
    <t>GPT-m6d7</t>
  </si>
  <si>
    <t>GPT-m6d14</t>
  </si>
  <si>
    <t>GPT-m7d16</t>
  </si>
  <si>
    <t>GPT-m10d6</t>
  </si>
  <si>
    <t>GPT-m11d10</t>
  </si>
  <si>
    <t>GPT-m11d30</t>
  </si>
  <si>
    <t>GPT-m20d28</t>
  </si>
  <si>
    <t>GPT-m21/d1</t>
  </si>
  <si>
    <t>GPTm21d2</t>
  </si>
  <si>
    <t>GPTm21d5</t>
  </si>
  <si>
    <t>GPTm21d9</t>
  </si>
  <si>
    <t>GPT-Therapieende</t>
  </si>
  <si>
    <t>Anzahl GP Daten</t>
  </si>
  <si>
    <t>GGT-d1 (u\l)</t>
  </si>
  <si>
    <t>GGT-d1w2</t>
  </si>
  <si>
    <t>GGT-d2</t>
  </si>
  <si>
    <t>GGT-d2w2</t>
  </si>
  <si>
    <t>GGT-d3</t>
  </si>
  <si>
    <t>GGT-d4</t>
  </si>
  <si>
    <t>GGT-d4w2</t>
  </si>
  <si>
    <t>GGT-d4w3</t>
  </si>
  <si>
    <t>GGT-d4w4</t>
  </si>
  <si>
    <t>GGT-d5</t>
  </si>
  <si>
    <t>GGT-d5w2</t>
  </si>
  <si>
    <t>GGT-d6</t>
  </si>
  <si>
    <t>GGT-d6w2</t>
  </si>
  <si>
    <t>GGT-d6w3</t>
  </si>
  <si>
    <t>GGT-d7</t>
  </si>
  <si>
    <t>GGT-d8</t>
  </si>
  <si>
    <t>GGT-d9</t>
  </si>
  <si>
    <t>GGT-d10</t>
  </si>
  <si>
    <t>GGT-d11</t>
  </si>
  <si>
    <t>GGT-d12</t>
  </si>
  <si>
    <t>GGT-d13</t>
  </si>
  <si>
    <t>GGT-d14</t>
  </si>
  <si>
    <t>GGT-d15</t>
  </si>
  <si>
    <t>GGT-d16</t>
  </si>
  <si>
    <t>GGT-d17</t>
  </si>
  <si>
    <t>GGT-d18</t>
  </si>
  <si>
    <t>GGT-d19</t>
  </si>
  <si>
    <t>GGT-d20</t>
  </si>
  <si>
    <t>GGT-d21</t>
  </si>
  <si>
    <t>GGT-d23</t>
  </si>
  <si>
    <t>GGT-d25</t>
  </si>
  <si>
    <t>GGT-d26</t>
  </si>
  <si>
    <t>GGT-d27</t>
  </si>
  <si>
    <t>GGT-d28</t>
  </si>
  <si>
    <t>GGT-d29</t>
  </si>
  <si>
    <t>GGT-d31</t>
  </si>
  <si>
    <t>GGT-d32</t>
  </si>
  <si>
    <t>GGT-d33</t>
  </si>
  <si>
    <t>GGT-d35</t>
  </si>
  <si>
    <t>GGT-d36</t>
  </si>
  <si>
    <t>GGT-d37</t>
  </si>
  <si>
    <t>GGT-d38</t>
  </si>
  <si>
    <t>GGT-d39</t>
  </si>
  <si>
    <t>GGT-d40</t>
  </si>
  <si>
    <t>GGT-d42</t>
  </si>
  <si>
    <t>GGT-d54</t>
  </si>
  <si>
    <t>GGT-m2d2</t>
  </si>
  <si>
    <t>GGT-m4d6</t>
  </si>
  <si>
    <t>GGT-m5d21</t>
  </si>
  <si>
    <t>GGT-m5d26</t>
  </si>
  <si>
    <t>GGT-m5d29</t>
  </si>
  <si>
    <t>GGT-m6d7</t>
  </si>
  <si>
    <t>GGT-m6d14</t>
  </si>
  <si>
    <t>GGT-m7d16</t>
  </si>
  <si>
    <t>GGT-m10d6</t>
  </si>
  <si>
    <t>GGT-m11d10</t>
  </si>
  <si>
    <t>GGT-m11d30</t>
  </si>
  <si>
    <t>GGT-m7</t>
  </si>
  <si>
    <t>GGT-m20d28</t>
  </si>
  <si>
    <t>GGTm21d1</t>
  </si>
  <si>
    <t>GGTm21d2</t>
  </si>
  <si>
    <t>GGTm21d5</t>
  </si>
  <si>
    <t>GGTm21d9</t>
  </si>
  <si>
    <t>GGT-Verlauf/Therapieende</t>
  </si>
  <si>
    <t>Anzahl GGT Daten</t>
  </si>
  <si>
    <t>LDH-d1 (u\l)</t>
  </si>
  <si>
    <t>LDH-d1w2</t>
  </si>
  <si>
    <t>LDH-d1w3</t>
  </si>
  <si>
    <t>LDH-d2</t>
  </si>
  <si>
    <t>LDH-d2w2</t>
  </si>
  <si>
    <t>LDH-d2w3</t>
  </si>
  <si>
    <t>LDH-d3</t>
  </si>
  <si>
    <t>LDH-d4</t>
  </si>
  <si>
    <t>LDH-d4w2</t>
  </si>
  <si>
    <t>LDH-d4w3</t>
  </si>
  <si>
    <t>LDH-d4w4</t>
  </si>
  <si>
    <t>LDH-d5</t>
  </si>
  <si>
    <t>LDH-d5w2</t>
  </si>
  <si>
    <t>LDH-d6</t>
  </si>
  <si>
    <t>LDH-d6w2</t>
  </si>
  <si>
    <t>LDH-d6w3</t>
  </si>
  <si>
    <t>LDH-d7</t>
  </si>
  <si>
    <t>LDH-d8</t>
  </si>
  <si>
    <t>LDH-d11</t>
  </si>
  <si>
    <t>LDH-d13</t>
  </si>
  <si>
    <t>LDH-d14</t>
  </si>
  <si>
    <t>LDH-d15</t>
  </si>
  <si>
    <t>LDH-d16</t>
  </si>
  <si>
    <t>LDH-d17</t>
  </si>
  <si>
    <t>LDH-d18</t>
  </si>
  <si>
    <t>LDH-d19</t>
  </si>
  <si>
    <t>LDH-d20</t>
  </si>
  <si>
    <t>LDH-d21</t>
  </si>
  <si>
    <t>LDH-23</t>
  </si>
  <si>
    <t>LDH-25</t>
  </si>
  <si>
    <t>LDH-d27</t>
  </si>
  <si>
    <t>Ldh-d28</t>
  </si>
  <si>
    <t>LDH-d29</t>
  </si>
  <si>
    <t>LDH-d32</t>
  </si>
  <si>
    <t>LDH-d33</t>
  </si>
  <si>
    <t>LDH-d35</t>
  </si>
  <si>
    <t>LDH-d38</t>
  </si>
  <si>
    <t>LDH-d39</t>
  </si>
  <si>
    <t>LDH-d40</t>
  </si>
  <si>
    <t>LDH-m20d28</t>
  </si>
  <si>
    <t>LDH-m21d2</t>
  </si>
  <si>
    <t>LDH-m21d9</t>
  </si>
  <si>
    <t>Anzahl LDH Daten</t>
  </si>
  <si>
    <t>Lymphozyten-d1 (%)</t>
  </si>
  <si>
    <t>Lymphozyten-d2</t>
  </si>
  <si>
    <t>Lymphozyten-d8</t>
  </si>
  <si>
    <t>Lymphozyten-m20d28</t>
  </si>
  <si>
    <t>Lymphozyten-m21d2</t>
  </si>
  <si>
    <t>Anzahl Lymphozyten Daten</t>
  </si>
  <si>
    <t>Bilirubin-d1 (mikromol/l)</t>
  </si>
  <si>
    <t>Bilirubin-d2</t>
  </si>
  <si>
    <t>Bilirubin-d1w2</t>
  </si>
  <si>
    <t>Bilirubin-d2w2</t>
  </si>
  <si>
    <t>Bilirubin-d2w3</t>
  </si>
  <si>
    <t>Billirubin-d3</t>
  </si>
  <si>
    <t>Bilirubin-d3w2</t>
  </si>
  <si>
    <t>Billirubin-d4</t>
  </si>
  <si>
    <t>Billirubin-d4w2</t>
  </si>
  <si>
    <t>Billirubin-d4w3</t>
  </si>
  <si>
    <t>Bilirubin-d4w4</t>
  </si>
  <si>
    <t>Billirubin-d5</t>
  </si>
  <si>
    <t>Billirubin-d5w2</t>
  </si>
  <si>
    <t>Billirubin-d6</t>
  </si>
  <si>
    <t>Bilirubin-d6w2</t>
  </si>
  <si>
    <t>Billirubin-d6w3</t>
  </si>
  <si>
    <t>Bilirubin-d7</t>
  </si>
  <si>
    <t>Billirubin-d8</t>
  </si>
  <si>
    <t>Billirubin-d9</t>
  </si>
  <si>
    <t>Billirubin-d10</t>
  </si>
  <si>
    <t>Billirubin-d11</t>
  </si>
  <si>
    <t>Bilirubin-d12</t>
  </si>
  <si>
    <t>Bilirubin-d13</t>
  </si>
  <si>
    <t>Bilirubin-d14</t>
  </si>
  <si>
    <t>Bilirubin-d15</t>
  </si>
  <si>
    <t>Bilirubin-d16</t>
  </si>
  <si>
    <t>Bilirubin-d17</t>
  </si>
  <si>
    <t>Bilirubin-d18</t>
  </si>
  <si>
    <t>Bilirubin-d19</t>
  </si>
  <si>
    <t>Bilirubin-d20</t>
  </si>
  <si>
    <t>Bilirubin-d21</t>
  </si>
  <si>
    <t>Bilirubin-d23</t>
  </si>
  <si>
    <t>Bilirubin-25</t>
  </si>
  <si>
    <t>Billirubin-d27</t>
  </si>
  <si>
    <t>Billirubin-d28</t>
  </si>
  <si>
    <t>Bilirubin-d31</t>
  </si>
  <si>
    <t>Billirubin-d32</t>
  </si>
  <si>
    <t>Billirubin-d35</t>
  </si>
  <si>
    <t>Billirubin-d37</t>
  </si>
  <si>
    <t>Billirubin-d38</t>
  </si>
  <si>
    <t>Bilirubin-d39</t>
  </si>
  <si>
    <t>Billirubin-d40</t>
  </si>
  <si>
    <t>Bilirubin-d42</t>
  </si>
  <si>
    <t>Bili-m4d6</t>
  </si>
  <si>
    <t>Bili-m5d21</t>
  </si>
  <si>
    <t>Bili-m5d26</t>
  </si>
  <si>
    <t>Bili-m5d29</t>
  </si>
  <si>
    <t>Bili-m6d7</t>
  </si>
  <si>
    <t>Bili-m6d14</t>
  </si>
  <si>
    <t>Bili-m7d16</t>
  </si>
  <si>
    <t>Bili-m10d6</t>
  </si>
  <si>
    <t>Bili-m11d10</t>
  </si>
  <si>
    <t>Bili-m11d30</t>
  </si>
  <si>
    <t>Bilirubin-m7</t>
  </si>
  <si>
    <t>Bilirubin-m21d1</t>
  </si>
  <si>
    <t>Bilirubin-m21d2</t>
  </si>
  <si>
    <t>Bilirubin-m21d5</t>
  </si>
  <si>
    <t>Anzahl BILLI Werte</t>
  </si>
  <si>
    <t>GLDH-d1 (u/l)</t>
  </si>
  <si>
    <t>GLDH-d1w2</t>
  </si>
  <si>
    <t>GLDH-d1w3</t>
  </si>
  <si>
    <t>GLDH-d2</t>
  </si>
  <si>
    <t>GLDH-d2w2</t>
  </si>
  <si>
    <t>GLDH-d3</t>
  </si>
  <si>
    <t>GLDH-d4</t>
  </si>
  <si>
    <t>GLDH-d6</t>
  </si>
  <si>
    <t>GLDH-d13</t>
  </si>
  <si>
    <t>GLDH-d14</t>
  </si>
  <si>
    <t>GLDH-m6d7</t>
  </si>
  <si>
    <t>GLDH-m6d14</t>
  </si>
  <si>
    <t>GLDH-m7d16</t>
  </si>
  <si>
    <t>GLDH-m11d10</t>
  </si>
  <si>
    <t>GLDH-m11d30</t>
  </si>
  <si>
    <t>GLDH- Verlauf</t>
  </si>
  <si>
    <t>Anzahl GLDH Daten</t>
  </si>
  <si>
    <t>AP-d1 (u/l)</t>
  </si>
  <si>
    <t>AP-d1w2</t>
  </si>
  <si>
    <t>Ap-d1w3</t>
  </si>
  <si>
    <t>AP-d2</t>
  </si>
  <si>
    <t>AP-d2w2</t>
  </si>
  <si>
    <t>Ap-d2w3</t>
  </si>
  <si>
    <t>AP-d3</t>
  </si>
  <si>
    <t>Ap-d4</t>
  </si>
  <si>
    <t>AP-d4w2</t>
  </si>
  <si>
    <t>AP-d4w3</t>
  </si>
  <si>
    <t>Ap-d4w4</t>
  </si>
  <si>
    <t>AP-d5</t>
  </si>
  <si>
    <t>AP-d5w2</t>
  </si>
  <si>
    <t>Ap-d6</t>
  </si>
  <si>
    <t>AP-d6w2</t>
  </si>
  <si>
    <t>Ap-d6w3</t>
  </si>
  <si>
    <t>AP-d7</t>
  </si>
  <si>
    <t>AP-d8</t>
  </si>
  <si>
    <t>AP-d9</t>
  </si>
  <si>
    <t>AP-d10</t>
  </si>
  <si>
    <t>Ap-d11</t>
  </si>
  <si>
    <t>Ap-d12</t>
  </si>
  <si>
    <t>AP-d13</t>
  </si>
  <si>
    <t>AP-d14</t>
  </si>
  <si>
    <t>AP-d15</t>
  </si>
  <si>
    <t>AP-d16</t>
  </si>
  <si>
    <t>AP-d17</t>
  </si>
  <si>
    <t>AP-d18</t>
  </si>
  <si>
    <t>AP-d19</t>
  </si>
  <si>
    <t>AP-d20</t>
  </si>
  <si>
    <t>AP-d21</t>
  </si>
  <si>
    <t>AP-d22</t>
  </si>
  <si>
    <t>AP-d23</t>
  </si>
  <si>
    <t>Ap-d25</t>
  </si>
  <si>
    <t>AP-d27</t>
  </si>
  <si>
    <t>AP-d28</t>
  </si>
  <si>
    <t>AP-d29</t>
  </si>
  <si>
    <t>AP-d30</t>
  </si>
  <si>
    <t>AP-d31</t>
  </si>
  <si>
    <t>Ap-d32</t>
  </si>
  <si>
    <t>Ap-d35</t>
  </si>
  <si>
    <t>Ap-d36</t>
  </si>
  <si>
    <t>Ap-d38</t>
  </si>
  <si>
    <t>AP-d39</t>
  </si>
  <si>
    <t>Ap-d40</t>
  </si>
  <si>
    <t>AP-m2d2</t>
  </si>
  <si>
    <t>Ap-m5d21</t>
  </si>
  <si>
    <t>Ap-m5d26</t>
  </si>
  <si>
    <t>Ap-m5d29</t>
  </si>
  <si>
    <t>AP-m6d7</t>
  </si>
  <si>
    <t>AP-m6d14</t>
  </si>
  <si>
    <t>AP-m7d16</t>
  </si>
  <si>
    <t>Ap-m10d6</t>
  </si>
  <si>
    <t>Ap-m11d10</t>
  </si>
  <si>
    <t>Ap-m11d30</t>
  </si>
  <si>
    <t>Ap-m20d28</t>
  </si>
  <si>
    <t>Ap-m21d1</t>
  </si>
  <si>
    <t>Ap-m21d2</t>
  </si>
  <si>
    <t>Ap-m21d5</t>
  </si>
  <si>
    <t>Ap-m21d9</t>
  </si>
  <si>
    <t>AP Therapieende</t>
  </si>
  <si>
    <t>Anzahl AP Werte</t>
  </si>
  <si>
    <t>Cholinesterase-d1 (U/l)</t>
  </si>
  <si>
    <t>Cholinesterase-d1w2</t>
  </si>
  <si>
    <t>Cholinesterase-d2</t>
  </si>
  <si>
    <t>Cholinesterase-d2w2</t>
  </si>
  <si>
    <t>Cholinesterase-d2w3</t>
  </si>
  <si>
    <t>Cholinesterase-d3</t>
  </si>
  <si>
    <t>Cholinesterase-d4</t>
  </si>
  <si>
    <t>Cholinesterase-d5</t>
  </si>
  <si>
    <t>Cholinesterase-d6</t>
  </si>
  <si>
    <t>Cholinesterase-d5w2</t>
  </si>
  <si>
    <t>Cholinesterase-d6w2</t>
  </si>
  <si>
    <t>Cholinesterase-d6w3</t>
  </si>
  <si>
    <t>Cholinesterase-d7</t>
  </si>
  <si>
    <t>Cholinesterase-d9</t>
  </si>
  <si>
    <t>Cholinesterase-d11</t>
  </si>
  <si>
    <t>Cholinesterase-d13</t>
  </si>
  <si>
    <t>Cholinesterase-d15</t>
  </si>
  <si>
    <t>Cholinesterase-d18</t>
  </si>
  <si>
    <t>Cholinesterase-19</t>
  </si>
  <si>
    <t>Cholinesterase-d20</t>
  </si>
  <si>
    <t>Cholinesterase-d23</t>
  </si>
  <si>
    <t>Cholinesterase-25</t>
  </si>
  <si>
    <t>Cholinesterase-29</t>
  </si>
  <si>
    <t>Cholinesterase-m5d26</t>
  </si>
  <si>
    <t>Cholinesterase-m6d7</t>
  </si>
  <si>
    <t>Cholinesterase-m6d14</t>
  </si>
  <si>
    <t>Cholinesterase-m7d16</t>
  </si>
  <si>
    <t>Cholinesterase-m10d6</t>
  </si>
  <si>
    <t>Cholinesterase-m11d30</t>
  </si>
  <si>
    <t>Anzahl Choline Daten</t>
  </si>
  <si>
    <t>Kreatinin-d1 (mikromol/l)</t>
  </si>
  <si>
    <t>Kreatinin-d1w2</t>
  </si>
  <si>
    <t>Kreatinin-d2</t>
  </si>
  <si>
    <t>Kreatinin-d2w2</t>
  </si>
  <si>
    <t>Kreatinin-d2w3</t>
  </si>
  <si>
    <t>Kreatinin-d3</t>
  </si>
  <si>
    <t>Kreatinin-d4</t>
  </si>
  <si>
    <t>Kreatinin-d4w2</t>
  </si>
  <si>
    <t>Kreatinin-d4w3</t>
  </si>
  <si>
    <t>Kreatinin-d4w4</t>
  </si>
  <si>
    <t>Kreatinin-d5</t>
  </si>
  <si>
    <t>Kreatinin-d5w2</t>
  </si>
  <si>
    <t>Kreatinin-d6</t>
  </si>
  <si>
    <t>Kreatinin-d6w2</t>
  </si>
  <si>
    <t>Kreatinin-d6w3</t>
  </si>
  <si>
    <t>Kreatinin-d7</t>
  </si>
  <si>
    <t>Kreatinin-d8</t>
  </si>
  <si>
    <t>Kreatinin-d9</t>
  </si>
  <si>
    <t>Kreatinin-d11</t>
  </si>
  <si>
    <t>Kreatinin-d13</t>
  </si>
  <si>
    <t>Kreatinin-d14</t>
  </si>
  <si>
    <t>Kreatin-d19</t>
  </si>
  <si>
    <t>Kreatinin-d21</t>
  </si>
  <si>
    <t>Kreatinin-d27</t>
  </si>
  <si>
    <t>Kreatinin-d32</t>
  </si>
  <si>
    <t>Kreatinin-d33</t>
  </si>
  <si>
    <t>Kreatinin-d40</t>
  </si>
  <si>
    <t>Kreatinin-m20d28</t>
  </si>
  <si>
    <t>Anzahl Kreatinin Daten</t>
  </si>
  <si>
    <t xml:space="preserve">INR-d1 </t>
  </si>
  <si>
    <t>INR-d1w2</t>
  </si>
  <si>
    <t>INR-d2</t>
  </si>
  <si>
    <t>INR-d2w2</t>
  </si>
  <si>
    <t>INR-d3</t>
  </si>
  <si>
    <t>INR-d4</t>
  </si>
  <si>
    <t>INR-d4w2</t>
  </si>
  <si>
    <t>INR-d4w3</t>
  </si>
  <si>
    <t>INR-d4w4</t>
  </si>
  <si>
    <t>INR-d5</t>
  </si>
  <si>
    <t>INR-d6</t>
  </si>
  <si>
    <t>INR-d7</t>
  </si>
  <si>
    <t>INR-d9</t>
  </si>
  <si>
    <t>INR-d10</t>
  </si>
  <si>
    <t>INR-d12</t>
  </si>
  <si>
    <t>INR-d13</t>
  </si>
  <si>
    <t>INR-d14</t>
  </si>
  <si>
    <t>INR-d15</t>
  </si>
  <si>
    <t>INR-d20</t>
  </si>
  <si>
    <t>INR-d38</t>
  </si>
  <si>
    <t>Anzahl INR Daten</t>
  </si>
  <si>
    <t>Amylase-d1 (U/l)</t>
  </si>
  <si>
    <t>Amylase-d2</t>
  </si>
  <si>
    <t>Amylase-d2w2</t>
  </si>
  <si>
    <t>Amylase-d2w3</t>
  </si>
  <si>
    <t>Amylase-d3</t>
  </si>
  <si>
    <t>Amylase-d4</t>
  </si>
  <si>
    <t>Amylase-d4w2</t>
  </si>
  <si>
    <t>Amylase-d4w3</t>
  </si>
  <si>
    <t>Amzlase-d4w4</t>
  </si>
  <si>
    <t>Amylase-d5</t>
  </si>
  <si>
    <t>Amylase-d5w2</t>
  </si>
  <si>
    <t>Amylase-d6</t>
  </si>
  <si>
    <t>Amylase-d6w2</t>
  </si>
  <si>
    <t>Amylase-d6w3</t>
  </si>
  <si>
    <t>Amylase-d7</t>
  </si>
  <si>
    <t>Amylase-d9</t>
  </si>
  <si>
    <t>Amylase-d12</t>
  </si>
  <si>
    <t>Amylase-d14</t>
  </si>
  <si>
    <t>Amylase-d20</t>
  </si>
  <si>
    <t>Amylase-d28</t>
  </si>
  <si>
    <t>Amylase-d37</t>
  </si>
  <si>
    <t>Anzahl Amylase Daten</t>
  </si>
  <si>
    <t>Lipase-d1  (U/L)</t>
  </si>
  <si>
    <t>Lipase-d1w2</t>
  </si>
  <si>
    <t>Lipase-d2</t>
  </si>
  <si>
    <t>Lipase-d2w2</t>
  </si>
  <si>
    <t>Lipase-d2w3</t>
  </si>
  <si>
    <t>Lipase-d3</t>
  </si>
  <si>
    <t>Lipase-d4</t>
  </si>
  <si>
    <t>Lipase-d4w2</t>
  </si>
  <si>
    <t>Lipase-d4w3</t>
  </si>
  <si>
    <t>Lipase-d4w5</t>
  </si>
  <si>
    <t>Lipase-d5</t>
  </si>
  <si>
    <t>Lipase-d5w2</t>
  </si>
  <si>
    <t>Lipase-d6</t>
  </si>
  <si>
    <t>Lipase-d6w2</t>
  </si>
  <si>
    <t>Lipase-d6w3</t>
  </si>
  <si>
    <t>Lipase-d7</t>
  </si>
  <si>
    <t>Lipase-d14</t>
  </si>
  <si>
    <t>Lipase-d20</t>
  </si>
  <si>
    <t>Lipase-d28</t>
  </si>
  <si>
    <t>Anzahl Lipase Daten</t>
  </si>
  <si>
    <t>Crp-d1 (mg/l)</t>
  </si>
  <si>
    <t>CRP-d1w2</t>
  </si>
  <si>
    <t>Crp-d2</t>
  </si>
  <si>
    <t>Crp-d3</t>
  </si>
  <si>
    <t>Crp-d4</t>
  </si>
  <si>
    <t>CRP-d4w2</t>
  </si>
  <si>
    <t>CRP-d4w3</t>
  </si>
  <si>
    <t>CRP-d4w4</t>
  </si>
  <si>
    <t>Crp-d5</t>
  </si>
  <si>
    <t>Crp-d6</t>
  </si>
  <si>
    <t>Crp-d7</t>
  </si>
  <si>
    <t>Crp-d8</t>
  </si>
  <si>
    <t>Crp-d9</t>
  </si>
  <si>
    <t>CRP-d13</t>
  </si>
  <si>
    <t>CRP-d14</t>
  </si>
  <si>
    <t>CRP-d16</t>
  </si>
  <si>
    <t>CRP-m20d28</t>
  </si>
  <si>
    <t>CRP-m21d1</t>
  </si>
  <si>
    <t>CRP-m21d2</t>
  </si>
  <si>
    <t>Anzahl CRP DATEN</t>
  </si>
  <si>
    <t>PTZ-d1 (%)</t>
  </si>
  <si>
    <t>PTZ-d5</t>
  </si>
  <si>
    <t>PTZ-d7</t>
  </si>
  <si>
    <t>PTZ-d8</t>
  </si>
  <si>
    <t>PTZ-d27</t>
  </si>
  <si>
    <t>Azahl PTZ dATEN</t>
  </si>
  <si>
    <t>Harnstoff-d1 (mmol/l)</t>
  </si>
  <si>
    <t>Harnstoff-d2</t>
  </si>
  <si>
    <t>Harnstoff-d2w2</t>
  </si>
  <si>
    <t>Harnstoff-d2w3</t>
  </si>
  <si>
    <t>Harnstoff-d3</t>
  </si>
  <si>
    <t>Harnstoff-d4</t>
  </si>
  <si>
    <t>Harnstoff-d4w2</t>
  </si>
  <si>
    <t>Harnstoff-d4w3</t>
  </si>
  <si>
    <t>Harnstoff-d4w4</t>
  </si>
  <si>
    <t>Harnstoff-d5</t>
  </si>
  <si>
    <t>|Harnstoff-d5w2</t>
  </si>
  <si>
    <t>Harnstoff-d6</t>
  </si>
  <si>
    <t>Harnstoff-d6w2</t>
  </si>
  <si>
    <t>Harnstoff-d6w3</t>
  </si>
  <si>
    <t>Harnstoff-d7</t>
  </si>
  <si>
    <t>Harnstoff-d11</t>
  </si>
  <si>
    <t>Harnstoff-d13</t>
  </si>
  <si>
    <t>Harnstoff-d14</t>
  </si>
  <si>
    <t>Harnstoff-d21</t>
  </si>
  <si>
    <t>Harnstoff-d27</t>
  </si>
  <si>
    <t>Harnstoff-d28</t>
  </si>
  <si>
    <t>Anzahl Harnstoff Daten</t>
  </si>
  <si>
    <t>Thrombozyten-d1 (GPT/l)</t>
  </si>
  <si>
    <t>Thrombozyten-d1w2</t>
  </si>
  <si>
    <t>Thrombozyten-d2</t>
  </si>
  <si>
    <t>Trhombozyten-d2w2</t>
  </si>
  <si>
    <t>Thrombozyten-d2w3</t>
  </si>
  <si>
    <t>Thrombozyten-d3</t>
  </si>
  <si>
    <t>Trhomozyten-d3w2</t>
  </si>
  <si>
    <t>Thrombozyten-d4</t>
  </si>
  <si>
    <t>Thrombozyten-d5</t>
  </si>
  <si>
    <t>Thrombozyten-d5w2</t>
  </si>
  <si>
    <t>Thrombozyten-d6</t>
  </si>
  <si>
    <t>Thrombozyten-d6w2</t>
  </si>
  <si>
    <t>Trhombozyten-d6w3</t>
  </si>
  <si>
    <t>Thrombozyten-d7</t>
  </si>
  <si>
    <t>Thrombozyten-d8</t>
  </si>
  <si>
    <t>Thrombozyten-d9</t>
  </si>
  <si>
    <t>Thrombozyten-d12</t>
  </si>
  <si>
    <t>Thrombozyten-d13</t>
  </si>
  <si>
    <t>Thrombozyten-d14</t>
  </si>
  <si>
    <t>Thrombozyten-d15</t>
  </si>
  <si>
    <t>Thrombozyten-d17</t>
  </si>
  <si>
    <t>Thrombozyten-d20</t>
  </si>
  <si>
    <t>Anzahl Thromb Daten</t>
  </si>
  <si>
    <t>Laktat-d1 (mmol/l)</t>
  </si>
  <si>
    <t>Laktat-d3</t>
  </si>
  <si>
    <t>Laktat-d4</t>
  </si>
  <si>
    <t>Laktat-d7</t>
  </si>
  <si>
    <t>Anzahl Laktat Daten</t>
  </si>
  <si>
    <t>NH3-d1</t>
  </si>
  <si>
    <t>NH3-d2</t>
  </si>
  <si>
    <t>NH3-d3</t>
  </si>
  <si>
    <t>NH3-d4</t>
  </si>
  <si>
    <t>NH3-d5</t>
  </si>
  <si>
    <t>NH3-d7</t>
  </si>
  <si>
    <t>Anzahl NH3 Daten</t>
  </si>
  <si>
    <t>PLT-d1 /mikrol</t>
  </si>
  <si>
    <t>BSG-d1 (mm/h)</t>
  </si>
  <si>
    <t>Monozyten (%)</t>
  </si>
  <si>
    <t>Eosinophile Granuloyzten (%)</t>
  </si>
  <si>
    <t>Albumin-d1 (g/l)</t>
  </si>
  <si>
    <t>Albumin-d1w2</t>
  </si>
  <si>
    <t>Albumin-d2</t>
  </si>
  <si>
    <t>Albumin-d3</t>
  </si>
  <si>
    <t>Albumin-d4</t>
  </si>
  <si>
    <t>Albumin-d4w2</t>
  </si>
  <si>
    <t>Albumin-d4w3</t>
  </si>
  <si>
    <t>Albumin-d13</t>
  </si>
  <si>
    <t>Albumin-d14</t>
  </si>
  <si>
    <t>Anzahl Albumin Daten</t>
  </si>
  <si>
    <t>alpha-1-G-d1 (%)</t>
  </si>
  <si>
    <t>alpha-2-G-d1 (%)</t>
  </si>
  <si>
    <t>beta-G-d1 (%)</t>
  </si>
  <si>
    <t>gamma-G-d1 (%)</t>
  </si>
  <si>
    <t>Harnsaure-d1 (mg/dl)</t>
  </si>
  <si>
    <t>Harnsaure-d5</t>
  </si>
  <si>
    <t>Harnsaure-d7</t>
  </si>
  <si>
    <t>Harnsaure-d13</t>
  </si>
  <si>
    <t>Harnsaure-d14</t>
  </si>
  <si>
    <t>Anzahl Hansäure Daten</t>
  </si>
  <si>
    <t>Cholesterin-(mg/dl)-d1</t>
  </si>
  <si>
    <t>Cholesterin-d3</t>
  </si>
  <si>
    <t>Cholesterin-d4</t>
  </si>
  <si>
    <t>Cholesterin-d7</t>
  </si>
  <si>
    <t>Cholesterin-d8</t>
  </si>
  <si>
    <t>Cholesterin-d14</t>
  </si>
  <si>
    <t>Cholesterin-m4d6</t>
  </si>
  <si>
    <t>Cholesterin-m7d16</t>
  </si>
  <si>
    <t>Cholesterin-m10d6</t>
  </si>
  <si>
    <t>Cholesterin-m11d10</t>
  </si>
  <si>
    <t>Cholesterin-m11d30</t>
  </si>
  <si>
    <t>Anzahl Cholest Daten</t>
  </si>
  <si>
    <t>Triacyglyceride-(mg/dl)-d1</t>
  </si>
  <si>
    <t>Triacylglyceride-d2</t>
  </si>
  <si>
    <t>Triacylglyceride-d2w2</t>
  </si>
  <si>
    <t>Triacylglyceride-d2w3</t>
  </si>
  <si>
    <t>Triacylglyceride-d3</t>
  </si>
  <si>
    <t>Triacylglyceride-d4</t>
  </si>
  <si>
    <t>Triacylglyceride-d4w2</t>
  </si>
  <si>
    <t>Triacylglyceride-d4w3</t>
  </si>
  <si>
    <t>Triacylglyceride-d4w4</t>
  </si>
  <si>
    <t>Triacylglyceride-d5</t>
  </si>
  <si>
    <t>Triacylglyceride-d5w2</t>
  </si>
  <si>
    <t>Triacylglyceride-d6</t>
  </si>
  <si>
    <t>Triacylglyceride-d6w2</t>
  </si>
  <si>
    <t>Triacylglyceride-d6w3</t>
  </si>
  <si>
    <t>Triacylgylceride-d7</t>
  </si>
  <si>
    <t>Triacylglyceride-d14 (mmol/l)</t>
  </si>
  <si>
    <t>Tria-m4d6</t>
  </si>
  <si>
    <t>Tria-m7d16</t>
  </si>
  <si>
    <t>Tria-m10d6</t>
  </si>
  <si>
    <t>Tria-m11d10</t>
  </si>
  <si>
    <t>Tria-m11d30</t>
  </si>
  <si>
    <t>Anzahl Tria Daten</t>
  </si>
  <si>
    <t>00001263</t>
  </si>
  <si>
    <t>K.A.</t>
  </si>
  <si>
    <t>w</t>
  </si>
  <si>
    <t>Ja</t>
  </si>
  <si>
    <t>nein</t>
  </si>
  <si>
    <t>Konakionsgabe(Vit. K), Absetzen aller Medikamente</t>
  </si>
  <si>
    <t>Steven Johnson</t>
  </si>
  <si>
    <t>16,7</t>
  </si>
  <si>
    <t>8 Tage</t>
  </si>
  <si>
    <t>2 g/d</t>
  </si>
  <si>
    <t>Harnwegsinfektion</t>
  </si>
  <si>
    <t>Makrohaematurie</t>
  </si>
  <si>
    <t>Gerinnungsstörung, haemorrhagische Bullae</t>
  </si>
  <si>
    <t>Tarivid, Firin</t>
  </si>
  <si>
    <t>&gt;5</t>
  </si>
  <si>
    <t>&gt;180</t>
  </si>
  <si>
    <t>33,6</t>
  </si>
  <si>
    <t>14,4</t>
  </si>
  <si>
    <t>00001480</t>
  </si>
  <si>
    <t>P.H.</t>
  </si>
  <si>
    <t>Nein</t>
  </si>
  <si>
    <t>Tinnitus rechts, Kopfschmerzen</t>
  </si>
  <si>
    <t>28,9</t>
  </si>
  <si>
    <t>Tinnitus</t>
  </si>
  <si>
    <t>akute Gastrointeritis</t>
  </si>
  <si>
    <t>Bläschen, HV an Händen MSH/GSH</t>
  </si>
  <si>
    <t>Cortison, Corticoid</t>
  </si>
  <si>
    <t>00001505</t>
  </si>
  <si>
    <t>S.B.</t>
  </si>
  <si>
    <t>m</t>
  </si>
  <si>
    <t>Fieberhafter Infekt</t>
  </si>
  <si>
    <t>26,1</t>
  </si>
  <si>
    <t>Mykoplasmen-Pneumonie</t>
  </si>
  <si>
    <t>Erkältung, verschleterung AZ, Bläschen</t>
  </si>
  <si>
    <t>Fluimucil,Lindoxyl,Tavanic,Rhinotussal</t>
  </si>
  <si>
    <t>9,9</t>
  </si>
  <si>
    <t>00001506</t>
  </si>
  <si>
    <t>E.R.</t>
  </si>
  <si>
    <t xml:space="preserve">Fieber </t>
  </si>
  <si>
    <t>25,8</t>
  </si>
  <si>
    <t>Cystitis</t>
  </si>
  <si>
    <t>syst. lupus erythematodes</t>
  </si>
  <si>
    <t>Flecken an Händen, Füßen</t>
  </si>
  <si>
    <t>Cortison, Cotrim,Amoxcillin</t>
  </si>
  <si>
    <t>01000192</t>
  </si>
  <si>
    <t>F.R.</t>
  </si>
  <si>
    <t xml:space="preserve">Schmerzen   </t>
  </si>
  <si>
    <t>26,6</t>
  </si>
  <si>
    <t>01.09.1999/25.09.1999</t>
  </si>
  <si>
    <t>1 Tag/1Tag</t>
  </si>
  <si>
    <t>1*1 Tbsp/ 1x</t>
  </si>
  <si>
    <t>Astrozytom Grad III</t>
  </si>
  <si>
    <t>Hepatitis C, Gastroentiritis</t>
  </si>
  <si>
    <t>orale Erosionen, Bläschen</t>
  </si>
  <si>
    <t>Bepanthen, Phenydan,Remestan</t>
  </si>
  <si>
    <t>12000/mikrol</t>
  </si>
  <si>
    <t>01000197</t>
  </si>
  <si>
    <t>H.G.</t>
  </si>
  <si>
    <t>Mittelohrentzuendung</t>
  </si>
  <si>
    <t>31,2</t>
  </si>
  <si>
    <t>2 Tage</t>
  </si>
  <si>
    <t>5 DF/Tag</t>
  </si>
  <si>
    <t>Leukämie,refraktäre Anämie</t>
  </si>
  <si>
    <t>Erkältung und Otitis</t>
  </si>
  <si>
    <t>Exanthem, Blasen</t>
  </si>
  <si>
    <t>Acetylsalicylsäure,...</t>
  </si>
  <si>
    <t>9000/mikrol</t>
  </si>
  <si>
    <t>01003215</t>
  </si>
  <si>
    <t>T.H.</t>
  </si>
  <si>
    <t>Kopfschmerzen</t>
  </si>
  <si>
    <t>Glukokortikosteriod Gabe, Candio Hermal Suspension,Hydrocortison,Subkutin Lösung,...</t>
  </si>
  <si>
    <t>Krampfanfälle, Hepatitis B</t>
  </si>
  <si>
    <t>Ten(toxic epidermal necrolysis) mit Schleimhautbeteiligung, Bläschen</t>
  </si>
  <si>
    <t>Tegretal,Novalgin, Carbamezapin (Krampfanfälle)</t>
  </si>
  <si>
    <t>378 000</t>
  </si>
  <si>
    <t>04003543</t>
  </si>
  <si>
    <t>M.J.</t>
  </si>
  <si>
    <t>Fieber</t>
  </si>
  <si>
    <t>Steven Johnson Syndrom, Erhöhte Leberwerte</t>
  </si>
  <si>
    <t>Gliederschmerzen, Arterielle Hypertonie</t>
  </si>
  <si>
    <t>Juckenden Haut, Exanthem</t>
  </si>
  <si>
    <t>Voltaren,Ketek</t>
  </si>
  <si>
    <t xml:space="preserve">105.6 </t>
  </si>
  <si>
    <t>79.2</t>
  </si>
  <si>
    <t>Thrombozyten-Datum unbekannt</t>
  </si>
  <si>
    <t>LDH-Datum unbekannt</t>
  </si>
  <si>
    <t>Lymphozyten-d3</t>
  </si>
  <si>
    <t>GOT-d3w2</t>
  </si>
  <si>
    <t>GPT-d3w2</t>
  </si>
  <si>
    <t>GGT-d3w2</t>
  </si>
  <si>
    <t>Lymphozyten-d5</t>
  </si>
  <si>
    <t>GOT-Datum unbekannt</t>
  </si>
  <si>
    <t>GPT-Datum unbekannt</t>
  </si>
  <si>
    <t>GGT-Datum unbekannt</t>
  </si>
  <si>
    <t>Lymphozyten-Datum unbekannt</t>
  </si>
  <si>
    <t>Harnstoff-Datum unbekannt</t>
  </si>
  <si>
    <t>Anti-HAV-IgG</t>
  </si>
  <si>
    <t>EBV-VCA-IgG</t>
  </si>
  <si>
    <t>Leukozyten-Datum unbekannt</t>
  </si>
  <si>
    <t>Neutrophile-Datum unbekannt (%)</t>
  </si>
  <si>
    <t>13.12 G/L</t>
  </si>
  <si>
    <t>Kreatinkinase</t>
  </si>
  <si>
    <t>Gesamt (alle Fälle)</t>
  </si>
  <si>
    <t>BfArM Nummer</t>
  </si>
  <si>
    <t>Gesamteiweiß-Datum unbekannt</t>
  </si>
  <si>
    <t>Kreatinin-Datum unbekannt</t>
  </si>
  <si>
    <t>CK-Datum unbekannt</t>
  </si>
  <si>
    <t>Troponin-Datum unbekannt (mg/dL)</t>
  </si>
  <si>
    <t>PTT-Datum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</si>
  <si>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</si>
  <si>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</si>
  <si>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</si>
  <si>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</si>
  <si>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Fibrinogen-Datum unbekannt</t>
  </si>
  <si>
    <t>ANA (Antinukleäre Antikörper)-Datum umbekannt</t>
  </si>
  <si>
    <t>Anti-Ro (SSA(Ro)-Antikörper)-Datum unbekannt</t>
  </si>
  <si>
    <t>Anti-La (SSB(La)-Antikörper)-Datum unbekannt</t>
  </si>
  <si>
    <t>Antihistonantikörper-Datum unbekannt</t>
  </si>
  <si>
    <t>DsDNA-Antikörper-Datum unbekannt</t>
  </si>
  <si>
    <t>Ibuprofen (ohne zeitlichen Verlauf)</t>
  </si>
  <si>
    <t>Eosinophile Granuloyzten-Datum unbekannt (%)</t>
  </si>
  <si>
    <t>Monozyten-Datum unbekannt  (%)</t>
  </si>
  <si>
    <t>Thrombozyten-d1 (/mikroliter)</t>
  </si>
  <si>
    <t>BSG-Datum unbekannt</t>
  </si>
  <si>
    <t>Cholinesterase-Datum unbekannt</t>
  </si>
  <si>
    <t>Amylase-Datum unbekannt</t>
  </si>
  <si>
    <t>8,7 (um 14:10 Uhr), 6,4 (um 20:11 Uhr)</t>
  </si>
  <si>
    <t>Ibuprofen (mit zeitlichem Verlauf)</t>
  </si>
  <si>
    <t>&lt; 10000</t>
  </si>
  <si>
    <t>Leukozyten-d1w4</t>
  </si>
  <si>
    <t>Hb (Hämoglobin)-Datum unbekannt</t>
  </si>
  <si>
    <t>Hb-d6</t>
  </si>
  <si>
    <t>Hb-d1w4</t>
  </si>
  <si>
    <t>Trhombozyten-d1w4</t>
  </si>
  <si>
    <t>GPT-d1w4</t>
  </si>
  <si>
    <t>GGT-d1w4</t>
  </si>
  <si>
    <t>Lipase-d1w4</t>
  </si>
  <si>
    <t>Lymphozyten-d4w1</t>
  </si>
  <si>
    <t>Lymphozyten-d1w2</t>
  </si>
  <si>
    <t>Trhombozyten-d1w2</t>
  </si>
  <si>
    <t>Kreatinin-d4w1</t>
  </si>
  <si>
    <t>Kreatinin-d3w2</t>
  </si>
  <si>
    <t>Kreatinin-d1w4</t>
  </si>
  <si>
    <t>Kreatinin-d3w4</t>
  </si>
  <si>
    <t>GOT-d4w1</t>
  </si>
  <si>
    <t>GOT-d3w4</t>
  </si>
  <si>
    <t>GPT-d4w1</t>
  </si>
  <si>
    <t>GPT-d3w4</t>
  </si>
  <si>
    <t>GGT-d4w1</t>
  </si>
  <si>
    <t>LDH-d3w2</t>
  </si>
  <si>
    <t>LDH-d1w4</t>
  </si>
  <si>
    <t>Harnstoff-d1w2</t>
  </si>
  <si>
    <t>Harnstoff-d3w2</t>
  </si>
  <si>
    <t>Harnstoff-d1w4</t>
  </si>
  <si>
    <t>Diclofenac (mit zeitlichem Verlauf)</t>
  </si>
  <si>
    <t>CRP-d5w1</t>
  </si>
  <si>
    <t>Kreatinin-d5w1</t>
  </si>
  <si>
    <t>GOT-d5w1</t>
  </si>
  <si>
    <t>GPT-d1w1</t>
  </si>
  <si>
    <t>GPT-d5w1</t>
  </si>
  <si>
    <t>Kreatinin-d6w1</t>
  </si>
  <si>
    <t>Kreatinin-d3w3</t>
  </si>
  <si>
    <t>LDH-d6w1</t>
  </si>
  <si>
    <t>LDH-d3w3</t>
  </si>
  <si>
    <t>Ck-d1w1</t>
  </si>
  <si>
    <t>Ck-d6w1</t>
  </si>
  <si>
    <t>Ck-d3w3</t>
  </si>
  <si>
    <t>CK-MB-d3 (U/L)</t>
  </si>
  <si>
    <t>CK-MB-d4 (U/L)</t>
  </si>
  <si>
    <t>CK-MB-d5 (U/L)</t>
  </si>
  <si>
    <t>CK-MB-d1w1 (U/L)</t>
  </si>
  <si>
    <t>CK-MB-d6w1 (U/L)</t>
  </si>
  <si>
    <t>CK-MB-d3w3 (U/L)</t>
  </si>
  <si>
    <t>Paracetamol (mit zeitlichem Verlauf)</t>
  </si>
  <si>
    <t>Leukozyten-d3w1</t>
  </si>
  <si>
    <t>Lymphozyten-d6</t>
  </si>
  <si>
    <t>Lymphozyten-d4</t>
  </si>
  <si>
    <t>GOT-d2w1</t>
  </si>
  <si>
    <t>GGT-d2w1</t>
  </si>
  <si>
    <t>Leukozyten-d5w1</t>
  </si>
  <si>
    <t>Leukozyten-d2w1</t>
  </si>
  <si>
    <t>Leukozyten-w2</t>
  </si>
  <si>
    <t>Monozyten-d6</t>
  </si>
  <si>
    <t>Hb-d2  [g/dl]</t>
  </si>
  <si>
    <t>Hb-d3</t>
  </si>
  <si>
    <t>Hb-d4</t>
  </si>
  <si>
    <t>Hb-d5</t>
  </si>
  <si>
    <t>Hb-d2w1</t>
  </si>
  <si>
    <t>Hb-d5w1</t>
  </si>
  <si>
    <t>Hb-d3w2</t>
  </si>
  <si>
    <t>Gesamteiweiß-d5w1</t>
  </si>
  <si>
    <t>Albumin-d5</t>
  </si>
  <si>
    <t>Albumin-d5w1</t>
  </si>
  <si>
    <t>gamma-Globulin-d5 (g/dl)</t>
  </si>
  <si>
    <t>gamma-Globulin-d5w1</t>
  </si>
  <si>
    <t>GGT-d5w1</t>
  </si>
  <si>
    <t>PTT-d1 (sec.)</t>
  </si>
  <si>
    <t>AP-d5w1</t>
  </si>
  <si>
    <t>Amylase-d2w1</t>
  </si>
  <si>
    <t>Amylase-d5w1</t>
  </si>
  <si>
    <t>Bilirubin-d2w1</t>
  </si>
  <si>
    <t>Bilirubin-d5w1</t>
  </si>
  <si>
    <t>Natrium-d6</t>
  </si>
  <si>
    <t>Kalium-d6</t>
  </si>
  <si>
    <t>THS (Thyreoidea-stimulierendes Hormon)-d6</t>
  </si>
  <si>
    <t>T3-d6</t>
  </si>
  <si>
    <t>T4-d6</t>
  </si>
  <si>
    <t>TBK (Thyroxinbindungskapazität)-d6</t>
  </si>
  <si>
    <t>Koagulase-d3w2</t>
  </si>
  <si>
    <t>Fieber 
[°C]-d2</t>
  </si>
  <si>
    <t>Fieber 
[°C]-d3</t>
  </si>
  <si>
    <t>Erythrozyten
[Erys/ul]-d2w1</t>
  </si>
  <si>
    <t>Protein
[mg/dl]-d2w1</t>
  </si>
  <si>
    <t>Urobilinogen
[mg/dl]-d2w1</t>
  </si>
  <si>
    <t>Nitrit-d2w1</t>
  </si>
  <si>
    <t>6,5(widersprüchlicher zweiter Wert vorhanden (am Ende der Tabelle Übersicht Laborwerte)</t>
  </si>
  <si>
    <t>IgE
[U/ml]-d1w2</t>
  </si>
  <si>
    <t>IgG-Datum unbekannt</t>
  </si>
  <si>
    <t>Leukozyten-12 Tage vor Krankheitsbeginn</t>
  </si>
  <si>
    <t>GOT-4 Tage vor Krankheitsbeginn</t>
  </si>
  <si>
    <t>GGT-7 Tage vor Krankheitsbeginn</t>
  </si>
  <si>
    <t>LDH-7 Tage vor Krankheitsbeginn</t>
  </si>
  <si>
    <t>Harnstoff-7 Tage vor Krankheitsbeginn</t>
  </si>
  <si>
    <t>Leukozyten-d6w1</t>
  </si>
  <si>
    <t>Lymphozyten-d6w1</t>
  </si>
  <si>
    <t>GGT-d6w1</t>
  </si>
  <si>
    <t>Leukozyten-d7w2</t>
  </si>
  <si>
    <t>Leukozyten-d1w1</t>
  </si>
  <si>
    <t>Tag der Erkrankung ist Tag 1 (nicht Tag 0, Tag 0 gibt es nicht)</t>
  </si>
  <si>
    <t>d7w3 bedeutet: 3 Wochen und 7 Tage nach Erkrankung = der 28. Tag der Erkrankung</t>
  </si>
  <si>
    <t>d1w1 bedeutet: eine Woche (7 Tage) und 1 Tag nach Erkrankung = 8. Tag der Erkrankung</t>
  </si>
  <si>
    <t xml:space="preserve">nicht nur nach expliziten Fällen SJS schauen sondern auch nach Fällen, die nur Symprome davon aufweisen (Beispiel Fall 0001263)? </t>
  </si>
  <si>
    <t>Fragen:</t>
  </si>
  <si>
    <t>Leukozyten-d4w1</t>
  </si>
  <si>
    <t>Epstein-Barr-IgM-d7</t>
  </si>
  <si>
    <t>schwach positiv</t>
  </si>
  <si>
    <t>11 (ohne Einheit)</t>
  </si>
  <si>
    <t>4000 und 12000 (zwei Werte am selben Tag S. 124 Einzelfälle_Paracetamol)</t>
  </si>
  <si>
    <t>9000/MCL</t>
  </si>
  <si>
    <t>Ap-d1w4</t>
  </si>
  <si>
    <t>AT III-Datum unbekannt  (%)</t>
  </si>
  <si>
    <t>LDH-d1w1 (u\l)</t>
  </si>
  <si>
    <t>Gesamteiweiß-d5 [g/dl]</t>
  </si>
  <si>
    <t>AP-d2 (u/l)</t>
  </si>
  <si>
    <t>Amylase-d2 (U/l)</t>
  </si>
  <si>
    <t>BSG-d5w1 (mm/h)</t>
  </si>
  <si>
    <t>Paracetamol</t>
  </si>
  <si>
    <t>Paracetamol (ohne zeitlichen Verlauf)</t>
  </si>
  <si>
    <t>Messung scheinbar vor Krankheitsauftritt</t>
  </si>
  <si>
    <t>Diclofenac (ohne zeitlichen Verlauf)</t>
  </si>
  <si>
    <t>Tod eingetreten</t>
  </si>
  <si>
    <t>Comorbiditäten</t>
  </si>
  <si>
    <t>Co-Medikation</t>
  </si>
  <si>
    <t>Allgemeinanamnese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</si>
  <si>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</si>
  <si>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</si>
  <si>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</si>
  <si>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</si>
  <si>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</si>
  <si>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</si>
  <si>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</si>
  <si>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</si>
  <si>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</si>
  <si>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Hautblasen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</si>
  <si>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</si>
  <si>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</si>
  <si>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</si>
  <si>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</si>
  <si>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</si>
  <si>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</si>
  <si>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</si>
  <si>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</si>
  <si>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Hoden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</si>
  <si>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</si>
  <si>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</si>
  <si>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</si>
  <si>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</si>
  <si>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</si>
  <si>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</si>
  <si>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</si>
  <si>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</si>
  <si>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</si>
  <si>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</si>
  <si>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</si>
  <si>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</si>
  <si>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</si>
  <si>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Einnahme &lt;6Mo</t>
  </si>
  <si>
    <t>Einnahme &gt;6Mo</t>
  </si>
  <si>
    <t>Einnahmedauer unbekannt</t>
  </si>
  <si>
    <t>Acetylsalizylsäure</t>
  </si>
  <si>
    <t>Amoxicillin</t>
  </si>
  <si>
    <t>Erkältung</t>
  </si>
  <si>
    <t>allgemeine Symptome</t>
  </si>
  <si>
    <t>Hautsymptome</t>
  </si>
  <si>
    <t>Augenrötung</t>
  </si>
  <si>
    <t xml:space="preserve">Hämorrhagien </t>
  </si>
  <si>
    <t>Konjunktivitis</t>
  </si>
  <si>
    <t>Pharynx</t>
  </si>
  <si>
    <t>Weiblich</t>
  </si>
  <si>
    <t>Männlich</t>
  </si>
  <si>
    <t>Überleben unbekannt</t>
  </si>
  <si>
    <t xml:space="preserve"> 415 mg% (Einheit korrekt?)</t>
  </si>
  <si>
    <t xml:space="preserve"> 17.0 (warum der Punkt?)</t>
  </si>
  <si>
    <t>0,0023 (Ungerechnet von 23/nL)</t>
  </si>
  <si>
    <t>11,92 (keine Einheit S.44 "Einzelfälle_Paracetamol, DE ab 1993, SMQ Hepatic disorders")</t>
  </si>
  <si>
    <t>dunkelrot: Inkonsistenzen zwischen SJS+first analysis und Übersicht Laborwerte (Quelle: S. 213 " Diclofenac_ab_1992_Haut_Narratives_ohne_Scans")</t>
  </si>
  <si>
    <t>12000/ul (Wie umrechnen in %)</t>
  </si>
  <si>
    <t>Datum für GOT, GPT, y-GT, LDH uneindeutig -&gt; heißt das über den Zeitraum gleichgeblieben? S.1834 Einzelfälle_Paracetamol, DE ab 1993, SMQ Hepatic disorders</t>
  </si>
  <si>
    <t>Leukozyten-4 Tage vor Krankheitsbeginn</t>
  </si>
  <si>
    <t>12700 (so richtig verstanden: am 11. und 17. denselben Wert gemessen? S.1890 und 1901   Einzelfälle_Paracetamol, DE ab 1993, SMQ Hepatic disorders)</t>
  </si>
  <si>
    <t>Lymphozyten-4 Tage vor Krankheitsbeginn</t>
  </si>
  <si>
    <t>9 (so richtig verstanden: am 11. und 17. denselben Wert gemessen? S.1890 und 1901   Einzelfälle_Paracetamol, DE ab 1993, SMQ Hepatic disorders)</t>
  </si>
  <si>
    <t>0,25 (Umgerechnet von 250/nl  S. 285 Ibuprofen, DE ab 1993, SMQ Hepatic disorders</t>
  </si>
  <si>
    <t>0,0029 Umgerechnet aus 2,9/nl S.1443 Einzelfälle_Paracetamol, DE ab 1993, SMQ Hepatic disorders</t>
  </si>
  <si>
    <t>2000 (S.1459 widersprüchlich zu S.1467 Einzelfälle_Paracetamol, DE ab 1993, SMQ Hepatic disorders)</t>
  </si>
  <si>
    <t>7,9 (Unbekannte Einheit S.1467)</t>
  </si>
  <si>
    <t>10,1 (Unbekannte Einheit S.1467)</t>
  </si>
  <si>
    <t>3,8 (Unbekannte Einheit S.1467)</t>
  </si>
  <si>
    <t>7,5 (Unbekannte Einheit S.1467)</t>
  </si>
  <si>
    <t>2,1 (Unbekannte Einheit S.1467)</t>
  </si>
  <si>
    <t>3 (Unbekannte Einheit S.1467)</t>
  </si>
  <si>
    <t>107000 (umgerechnet S.1442 + unterscheidet sich vom Wert aus Tabelle S.1467))</t>
  </si>
  <si>
    <t>0,101 (umgerechnet S. 1443 + unterscheidet sich vom Wert aus Tabelle S.1467)</t>
  </si>
  <si>
    <t>14 (Unterschied zwischen S.1443 und Tabelle S.1467)</t>
  </si>
  <si>
    <t>4,1 (direktes Bilirubin: 3,1 S.1443 + Unterscheidet sich von Tabelle S.1467)</t>
  </si>
  <si>
    <t>dunkelrot markiert: Tabelle siehe Ausdruck oder S. 1467 mit Werten ohne Einheit durchgehen, Konflikte mit Werten aus Narrativ)</t>
  </si>
  <si>
    <t>272 (Unterschied von S. 1443 +1455 zu Tabelle S.1467)</t>
  </si>
  <si>
    <t>1083 (Unterschied von S.1442 + 1455 zu Tabelle S.1467 + S.1476)</t>
  </si>
  <si>
    <t>1493 (S.1442 unterscheidet sich von Tabelle S.1467 + 1476)</t>
  </si>
  <si>
    <t>792 (S.1443 unterscheidet sich von Tabelle S. 467 + 1476)</t>
  </si>
  <si>
    <t>GGT-1 Tag vor Krankheitsbeginn</t>
  </si>
  <si>
    <t>1400 (S.1442 unterscheidet sich von Tabele S.1467)</t>
  </si>
  <si>
    <t>1988 (S.1443 unterscheidet sich von Tabelle S.1467)</t>
  </si>
  <si>
    <t>&gt;1000 (wie "mehr als" schreiben? S.1455)</t>
  </si>
  <si>
    <t>weitere Werte ohne Einheit in Tabelle S. 1467</t>
  </si>
  <si>
    <t xml:space="preserve">hier ist nur von Hämorrhagischen Bullae die Rede, nicht explizit von SJS) + (Werte sind falsch datiert S. 29 in Einzelfälle_Paracetamol </t>
  </si>
  <si>
    <t>GOT-d1w1</t>
  </si>
  <si>
    <t>GOT-d2 (u\l)</t>
  </si>
  <si>
    <t>GPT-d7w1</t>
  </si>
  <si>
    <t>GGT-d7w1</t>
  </si>
  <si>
    <t>GGT-d1w1</t>
  </si>
  <si>
    <t>GGT-d2 (u\l)</t>
  </si>
  <si>
    <t>Hb-d7w1</t>
  </si>
  <si>
    <t>Bilirubin-d7w1</t>
  </si>
  <si>
    <t>AP-d7w1</t>
  </si>
  <si>
    <t>Amylase-d7w1</t>
  </si>
  <si>
    <t>Kreatinin-d1w1</t>
  </si>
  <si>
    <t>Kreatinin-d3 (mg/dl)</t>
  </si>
  <si>
    <t xml:space="preserve">CRP-d1w1 </t>
  </si>
  <si>
    <t xml:space="preserve">Harnstoff-d4w1 </t>
  </si>
  <si>
    <t>Harnstoff-d6 (mmol/l)</t>
  </si>
  <si>
    <t>Leberbiopsiewerte</t>
  </si>
  <si>
    <t>Hautreaktionen</t>
  </si>
  <si>
    <t>Leberreaktionen</t>
  </si>
  <si>
    <t>Diclofenac_ab_1992_Haut_Narratives_ohne_Scans</t>
  </si>
  <si>
    <t>Diagnose</t>
  </si>
  <si>
    <t>Stomatitis</t>
  </si>
  <si>
    <t xml:space="preserve">senile keratosis </t>
  </si>
  <si>
    <t>facial swelling, redness</t>
  </si>
  <si>
    <t>skin reaction</t>
  </si>
  <si>
    <t>Ibuprofen_ab_1992_Haut_Narratives_ohne_Scans</t>
  </si>
  <si>
    <t>contact eczema</t>
  </si>
  <si>
    <t>Bloody vesicles on the lips, Petechiae</t>
  </si>
  <si>
    <t>Aphthae, Blanditis</t>
  </si>
  <si>
    <t>rash, DRESS</t>
  </si>
  <si>
    <t>Mucosal erosion</t>
  </si>
  <si>
    <t>DRESS</t>
  </si>
  <si>
    <t>Rash</t>
  </si>
  <si>
    <t>Exanthematic drug eruption</t>
  </si>
  <si>
    <t>Paracetamol_ab_1992_Haut_Narratives_ohne_Scans</t>
  </si>
  <si>
    <t>Acute generalised exanthematous pustulosis</t>
  </si>
  <si>
    <t>Facial swelling, Redness</t>
  </si>
  <si>
    <t>Diclofenac, DE ab 1993, SMQ Hepatic disorders</t>
  </si>
  <si>
    <t>Elevated liver enzymes</t>
  </si>
  <si>
    <t>Transaminase NOS increased</t>
  </si>
  <si>
    <t>Quick's value decreased</t>
  </si>
  <si>
    <t>Hepatitis toxic drug-induced</t>
  </si>
  <si>
    <t>Liver failure, Phlegmon</t>
  </si>
  <si>
    <t>Jaundice</t>
  </si>
  <si>
    <t>Leberwerte erhöht</t>
  </si>
  <si>
    <t>Transaminases increased</t>
  </si>
  <si>
    <t>Hepatic enzymes increased</t>
  </si>
  <si>
    <t>Lipase increased</t>
  </si>
  <si>
    <t>Liver function tests raised</t>
  </si>
  <si>
    <t>Hepatitis</t>
  </si>
  <si>
    <t>Hepatic failure</t>
  </si>
  <si>
    <t>Hyperbilirubinaemia</t>
  </si>
  <si>
    <t>Liver function tests abnormal</t>
  </si>
  <si>
    <t>Bilirubin increased</t>
  </si>
  <si>
    <t>Hepatic lesion</t>
  </si>
  <si>
    <t>Hepatitis acute</t>
  </si>
  <si>
    <t>Icterus</t>
  </si>
  <si>
    <t>Hepatitis viral</t>
  </si>
  <si>
    <t>Mucosal discoloration</t>
  </si>
  <si>
    <t>Hepatocellular injury</t>
  </si>
  <si>
    <t>AST increased</t>
  </si>
  <si>
    <t>Hepatic enzyme increased</t>
  </si>
  <si>
    <t>Alkaline phosphatase increased</t>
  </si>
  <si>
    <t>INR increased</t>
  </si>
  <si>
    <t>Prothrombin time decreased</t>
  </si>
  <si>
    <t>PTT prolonged</t>
  </si>
  <si>
    <t>Acute fulminant hepatitis</t>
  </si>
  <si>
    <t>Damage liver</t>
  </si>
  <si>
    <t>ALT increased</t>
  </si>
  <si>
    <t>CRP increased</t>
  </si>
  <si>
    <t>Liver enlargement</t>
  </si>
  <si>
    <t>Bilirubin conjugated increased</t>
  </si>
  <si>
    <t>Hepatic cirrhosis</t>
  </si>
  <si>
    <t>Fibrosis liver</t>
  </si>
  <si>
    <t>GOT increased transient</t>
  </si>
  <si>
    <t>Hepatocellular damage</t>
  </si>
  <si>
    <t>wegen Datum fragen</t>
  </si>
  <si>
    <t>Gamma GT increased</t>
  </si>
  <si>
    <t>Thrombin time prolonged</t>
  </si>
  <si>
    <t>Erythema</t>
  </si>
  <si>
    <t>Drug-induced hepatitis</t>
  </si>
  <si>
    <t>Fatty liver</t>
  </si>
  <si>
    <t>Gamma-glutamyltransferase increased</t>
  </si>
  <si>
    <t>Hepatic steatosis</t>
  </si>
  <si>
    <t>Abnormal liver function tests</t>
  </si>
  <si>
    <t>GPT increased</t>
  </si>
  <si>
    <t>Bilirubin total high</t>
  </si>
  <si>
    <t xml:space="preserve">generalised exanthematic pustulosis (AGEP) </t>
  </si>
  <si>
    <r>
      <t xml:space="preserve">Bilirubin-d2 (mg/dl) </t>
    </r>
    <r>
      <rPr>
        <sz val="11"/>
        <color rgb="FFFF0000"/>
        <rFont val="Calibri"/>
        <family val="2"/>
        <scheme val="minor"/>
      </rPr>
      <t>--&gt;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ungebräuchliche Einheit</t>
    </r>
  </si>
  <si>
    <r>
      <t xml:space="preserve">Cholinesterase-d3 </t>
    </r>
    <r>
      <rPr>
        <sz val="11"/>
        <color rgb="FFFF0000"/>
        <rFont val="Calibri"/>
        <family val="2"/>
        <scheme val="minor"/>
      </rPr>
      <t>-&gt; Einheit fehlt</t>
    </r>
  </si>
  <si>
    <t>CRP-d6</t>
  </si>
  <si>
    <t>CRP-d4 (mg/l)</t>
  </si>
  <si>
    <t>CRP-Datum unbekannt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</si>
</sst>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9" fontId="0" fillId="0" borderId="0" xfId="0" applyNumberFormat="1"/>
    <xf numFmtId="0" fontId="1" fillId="2" borderId="1" xfId="0" applyFont="1" applyFill="1" applyBorder="1"/>
    <xf numFmtId="14" fontId="0" fillId="0" borderId="0" xfId="0" applyNumberFormat="1"/>
    <xf numFmtId="0" fontId="1" fillId="2" borderId="1" xfId="0" applyFont="1" applyFill="1" applyBorder="1" applyAlignment="1">
      <alignment wrapText="1"/>
    </xf>
    <xf numFmtId="0" fontId="0" fillId="0" borderId="0" xfId="0" applyNumberFormat="1"/>
    <xf numFmtId="9" fontId="0" fillId="3" borderId="0" xfId="0" applyNumberFormat="1" applyFill="1"/>
    <xf numFmtId="0" fontId="0" fillId="3" borderId="0" xfId="0" applyFill="1"/>
    <xf numFmtId="49" fontId="0" fillId="5" borderId="0" xfId="0" applyNumberFormat="1" applyFill="1"/>
    <xf numFmtId="16" fontId="0" fillId="0" borderId="0" xfId="0" applyNumberFormat="1"/>
    <xf numFmtId="0" fontId="4" fillId="0" borderId="0" xfId="0" applyFont="1"/>
    <xf numFmtId="49" fontId="0" fillId="3" borderId="0" xfId="0" applyNumberFormat="1" applyFill="1"/>
    <xf numFmtId="0" fontId="4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49" fontId="0" fillId="4" borderId="0" xfId="0" applyNumberFormat="1" applyFill="1" applyAlignment="1">
      <alignment wrapText="1"/>
    </xf>
    <xf numFmtId="3" fontId="0" fillId="0" borderId="0" xfId="0" applyNumberFormat="1"/>
    <xf numFmtId="0" fontId="0" fillId="4" borderId="1" xfId="0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0" fillId="0" borderId="0" xfId="0" applyFont="1" applyFill="1" applyAlignment="1">
      <alignment wrapText="1"/>
    </xf>
    <xf numFmtId="0" fontId="0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vertical="top" wrapText="1"/>
    </xf>
    <xf numFmtId="49" fontId="0" fillId="0" borderId="0" xfId="0" applyNumberFormat="1" applyFill="1"/>
    <xf numFmtId="0" fontId="1" fillId="0" borderId="0" xfId="0" applyFont="1" applyFill="1" applyAlignment="1"/>
    <xf numFmtId="0" fontId="1" fillId="0" borderId="0" xfId="0" applyFont="1"/>
    <xf numFmtId="0" fontId="0" fillId="4" borderId="1" xfId="0" applyFont="1" applyFill="1" applyBorder="1"/>
    <xf numFmtId="0" fontId="0" fillId="3" borderId="0" xfId="0" applyFill="1" applyAlignment="1">
      <alignment wrapText="1"/>
    </xf>
    <xf numFmtId="0" fontId="5" fillId="3" borderId="0" xfId="0" applyFont="1" applyFill="1" applyAlignment="1"/>
    <xf numFmtId="0" fontId="0" fillId="3" borderId="0" xfId="0" applyFill="1" applyAlignment="1"/>
    <xf numFmtId="0" fontId="5" fillId="4" borderId="1" xfId="0" applyFont="1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7" borderId="1" xfId="0" applyFill="1" applyBorder="1"/>
    <xf numFmtId="0" fontId="0" fillId="9" borderId="0" xfId="0" applyFill="1"/>
    <xf numFmtId="0" fontId="0" fillId="9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0" borderId="0" xfId="0" applyFill="1"/>
    <xf numFmtId="0" fontId="0" fillId="11" borderId="0" xfId="0" applyFill="1"/>
    <xf numFmtId="0" fontId="0" fillId="0" borderId="0" xfId="0" applyNumberFormat="1" applyFill="1"/>
    <xf numFmtId="0" fontId="0" fillId="12" borderId="0" xfId="0" applyFill="1"/>
    <xf numFmtId="0" fontId="0" fillId="12" borderId="0" xfId="0" applyFill="1" applyAlignment="1"/>
    <xf numFmtId="0" fontId="5" fillId="0" borderId="0" xfId="0" applyFont="1" applyFill="1"/>
    <xf numFmtId="0" fontId="5" fillId="0" borderId="0" xfId="0" applyFont="1" applyFill="1" applyAlignment="1"/>
    <xf numFmtId="0" fontId="0" fillId="13" borderId="0" xfId="0" applyFill="1"/>
    <xf numFmtId="0" fontId="0" fillId="13" borderId="1" xfId="0" applyFill="1" applyBorder="1"/>
    <xf numFmtId="0" fontId="1" fillId="14" borderId="0" xfId="0" applyFont="1" applyFill="1"/>
    <xf numFmtId="0" fontId="1" fillId="0" borderId="0" xfId="0" applyFont="1" applyFill="1"/>
    <xf numFmtId="0" fontId="1" fillId="15" borderId="0" xfId="0" applyFont="1" applyFill="1"/>
    <xf numFmtId="0" fontId="0" fillId="5" borderId="0" xfId="0" applyFill="1"/>
    <xf numFmtId="0" fontId="4" fillId="5" borderId="0" xfId="0" applyFont="1" applyFill="1" applyAlignment="1">
      <alignment wrapText="1"/>
    </xf>
  </cellXfs>
  <cellStyles count="1">
    <cellStyle name="Standard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66FFCC"/>
      <color rgb="FFFFCC66"/>
      <color rgb="FFCC9900"/>
      <color rgb="FFEAABF7"/>
      <color rgb="FFE69DF5"/>
      <color rgb="FFF8D09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63DF-6B77-4387-83AD-E7381E7F20D4}">
  <dimension ref="A1:BP84"/>
  <sheetViews>
    <sheetView zoomScale="85" zoomScaleNormal="85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E89" sqref="E89"/>
    </sheetView>
  </sheetViews>
  <sheetFormatPr baseColWidth="10" defaultRowHeight="15" x14ac:dyDescent="0.25"/>
  <sheetData>
    <row r="1" spans="1:68" x14ac:dyDescent="0.25">
      <c r="A1" t="s">
        <v>1</v>
      </c>
    </row>
    <row r="2" spans="1:68" x14ac:dyDescent="0.25">
      <c r="BG2" t="s">
        <v>116</v>
      </c>
      <c r="BH2" t="s">
        <v>116</v>
      </c>
      <c r="BI2" t="s">
        <v>116</v>
      </c>
      <c r="BJ2" t="s">
        <v>116</v>
      </c>
      <c r="BK2" t="s">
        <v>116</v>
      </c>
      <c r="BL2" t="s">
        <v>121</v>
      </c>
      <c r="BM2" t="s">
        <v>121</v>
      </c>
      <c r="BO2" t="s">
        <v>123</v>
      </c>
      <c r="BP2" t="s">
        <v>124</v>
      </c>
    </row>
    <row r="3" spans="1:68" ht="90" x14ac:dyDescent="0.25">
      <c r="A3" s="22" t="s">
        <v>3</v>
      </c>
      <c r="B3" s="22" t="s">
        <v>34</v>
      </c>
      <c r="C3" s="2" t="s">
        <v>17</v>
      </c>
      <c r="D3" s="4" t="s">
        <v>81</v>
      </c>
      <c r="E3" s="4" t="s">
        <v>79</v>
      </c>
      <c r="F3" s="4" t="s">
        <v>80</v>
      </c>
      <c r="G3" s="4" t="s">
        <v>53</v>
      </c>
      <c r="H3" s="4" t="s">
        <v>105</v>
      </c>
      <c r="I3" s="2" t="s">
        <v>31</v>
      </c>
      <c r="J3" s="4" t="s">
        <v>61</v>
      </c>
      <c r="K3" s="4" t="s">
        <v>126</v>
      </c>
      <c r="L3" s="2" t="s">
        <v>49</v>
      </c>
      <c r="M3" s="4" t="s">
        <v>99</v>
      </c>
      <c r="N3" s="4" t="s">
        <v>60</v>
      </c>
      <c r="O3" s="4" t="s">
        <v>54</v>
      </c>
      <c r="P3" s="4" t="s">
        <v>55</v>
      </c>
      <c r="Q3" s="4" t="s">
        <v>56</v>
      </c>
      <c r="R3" s="4" t="s">
        <v>57</v>
      </c>
      <c r="S3" s="4" t="s">
        <v>62</v>
      </c>
      <c r="T3" s="4" t="s">
        <v>64</v>
      </c>
      <c r="U3" s="2" t="s">
        <v>8</v>
      </c>
      <c r="V3" s="2" t="s">
        <v>9</v>
      </c>
      <c r="W3" s="4" t="s">
        <v>102</v>
      </c>
      <c r="X3" s="4" t="s">
        <v>96</v>
      </c>
      <c r="Y3" s="2" t="s">
        <v>19</v>
      </c>
      <c r="Z3" s="2" t="s">
        <v>11</v>
      </c>
      <c r="AA3" s="2" t="s">
        <v>13</v>
      </c>
      <c r="AB3" s="2" t="s">
        <v>15</v>
      </c>
      <c r="AC3" s="4" t="s">
        <v>103</v>
      </c>
      <c r="AD3" s="2" t="s">
        <v>21</v>
      </c>
      <c r="AE3" s="2" t="s">
        <v>23</v>
      </c>
      <c r="AF3" s="2" t="s">
        <v>25</v>
      </c>
      <c r="AG3" s="2" t="s">
        <v>27</v>
      </c>
      <c r="AH3" s="2" t="s">
        <v>29</v>
      </c>
      <c r="AI3" s="2" t="s">
        <v>38</v>
      </c>
      <c r="AJ3" s="4" t="s">
        <v>136</v>
      </c>
      <c r="AK3" s="4" t="s">
        <v>58</v>
      </c>
      <c r="AL3" s="4" t="s">
        <v>78</v>
      </c>
      <c r="AM3" s="4" t="s">
        <v>75</v>
      </c>
      <c r="AN3" s="4" t="s">
        <v>76</v>
      </c>
      <c r="AO3" s="4" t="s">
        <v>95</v>
      </c>
      <c r="AP3" s="4" t="s">
        <v>109</v>
      </c>
      <c r="AQ3" s="4" t="s">
        <v>110</v>
      </c>
      <c r="AR3" s="4" t="s">
        <v>111</v>
      </c>
      <c r="AS3" s="4" t="s">
        <v>112</v>
      </c>
      <c r="AT3" s="4" t="s">
        <v>113</v>
      </c>
      <c r="AU3" s="4" t="s">
        <v>114</v>
      </c>
      <c r="AV3" s="2" t="s">
        <v>83</v>
      </c>
      <c r="AW3" s="2" t="s">
        <v>85</v>
      </c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128</v>
      </c>
      <c r="BF3" s="4" t="s">
        <v>100</v>
      </c>
      <c r="BG3" s="4" t="s">
        <v>115</v>
      </c>
      <c r="BH3" s="4" t="s">
        <v>117</v>
      </c>
      <c r="BI3" s="4" t="s">
        <v>118</v>
      </c>
      <c r="BJ3" s="4" t="s">
        <v>119</v>
      </c>
      <c r="BK3" s="4" t="s">
        <v>120</v>
      </c>
      <c r="BL3" s="4" t="s">
        <v>122</v>
      </c>
      <c r="BM3" s="2" t="s">
        <v>82</v>
      </c>
      <c r="BN3" s="4" t="s">
        <v>1059</v>
      </c>
    </row>
    <row r="4" spans="1:68" x14ac:dyDescent="0.25">
      <c r="A4" t="s">
        <v>2</v>
      </c>
    </row>
    <row r="5" spans="1:68" x14ac:dyDescent="0.25">
      <c r="A5">
        <v>7072184</v>
      </c>
      <c r="C5" t="s">
        <v>5</v>
      </c>
      <c r="D5" s="5">
        <v>80</v>
      </c>
      <c r="E5" s="1"/>
      <c r="F5" s="1"/>
      <c r="G5" s="5">
        <v>11</v>
      </c>
      <c r="H5" s="7">
        <v>8</v>
      </c>
      <c r="I5" t="s">
        <v>6</v>
      </c>
      <c r="J5" t="s">
        <v>7</v>
      </c>
      <c r="K5">
        <v>3.3</v>
      </c>
      <c r="N5" s="5">
        <v>2.4</v>
      </c>
      <c r="O5">
        <v>916</v>
      </c>
      <c r="P5">
        <v>190</v>
      </c>
      <c r="R5">
        <v>5.423</v>
      </c>
      <c r="S5">
        <v>12.441000000000001</v>
      </c>
      <c r="U5" t="s">
        <v>18</v>
      </c>
      <c r="V5" s="1">
        <v>0.18</v>
      </c>
      <c r="W5">
        <v>108.5</v>
      </c>
      <c r="Y5" t="s">
        <v>10</v>
      </c>
      <c r="Z5" s="7" t="s">
        <v>12</v>
      </c>
      <c r="AA5" t="s">
        <v>14</v>
      </c>
      <c r="AB5" t="s">
        <v>16</v>
      </c>
      <c r="AC5" s="6">
        <v>69</v>
      </c>
    </row>
    <row r="6" spans="1:68" x14ac:dyDescent="0.25">
      <c r="A6">
        <v>9108231</v>
      </c>
      <c r="C6" t="s">
        <v>1058</v>
      </c>
      <c r="J6" t="s">
        <v>20</v>
      </c>
      <c r="N6" s="5"/>
    </row>
    <row r="7" spans="1:68" x14ac:dyDescent="0.25">
      <c r="A7">
        <v>12061933</v>
      </c>
      <c r="N7" s="5"/>
      <c r="AD7" t="s">
        <v>22</v>
      </c>
      <c r="AE7" t="s">
        <v>24</v>
      </c>
      <c r="AF7" t="s">
        <v>26</v>
      </c>
      <c r="AG7" t="s">
        <v>28</v>
      </c>
      <c r="AH7" t="s">
        <v>30</v>
      </c>
    </row>
    <row r="8" spans="1:68" x14ac:dyDescent="0.25">
      <c r="A8">
        <v>14242856</v>
      </c>
      <c r="C8" t="s">
        <v>46</v>
      </c>
      <c r="D8" s="5">
        <v>80</v>
      </c>
      <c r="E8" s="5">
        <v>4</v>
      </c>
      <c r="F8" s="5">
        <v>1</v>
      </c>
      <c r="G8" s="5">
        <v>25</v>
      </c>
      <c r="H8">
        <v>12.1</v>
      </c>
      <c r="I8" t="s">
        <v>47</v>
      </c>
      <c r="J8" t="s">
        <v>48</v>
      </c>
      <c r="K8">
        <v>5</v>
      </c>
      <c r="L8" t="s">
        <v>50</v>
      </c>
      <c r="N8" s="5"/>
      <c r="O8">
        <v>80</v>
      </c>
      <c r="P8">
        <v>145</v>
      </c>
    </row>
    <row r="9" spans="1:68" x14ac:dyDescent="0.25">
      <c r="A9">
        <v>7063959</v>
      </c>
      <c r="J9" t="s">
        <v>51</v>
      </c>
      <c r="N9" s="5"/>
    </row>
    <row r="10" spans="1:68" x14ac:dyDescent="0.25">
      <c r="A10">
        <v>99001183</v>
      </c>
      <c r="C10" t="s">
        <v>65</v>
      </c>
      <c r="N10" s="5"/>
      <c r="P10">
        <v>23</v>
      </c>
      <c r="Q10">
        <v>56</v>
      </c>
    </row>
    <row r="11" spans="1:68" x14ac:dyDescent="0.25">
      <c r="A11">
        <v>1480</v>
      </c>
      <c r="C11">
        <v>11.92</v>
      </c>
      <c r="N11" s="5"/>
      <c r="O11">
        <v>13</v>
      </c>
      <c r="P11">
        <v>24</v>
      </c>
      <c r="Q11">
        <v>49</v>
      </c>
      <c r="R11">
        <v>222</v>
      </c>
    </row>
    <row r="12" spans="1:68" x14ac:dyDescent="0.25">
      <c r="A12">
        <v>1003215</v>
      </c>
      <c r="E12">
        <v>8.1999999999999993</v>
      </c>
      <c r="F12">
        <v>22.4</v>
      </c>
      <c r="I12" t="s">
        <v>77</v>
      </c>
      <c r="J12">
        <v>22.5</v>
      </c>
      <c r="N12" s="5"/>
      <c r="O12">
        <v>20</v>
      </c>
      <c r="P12">
        <v>27</v>
      </c>
      <c r="R12">
        <v>248</v>
      </c>
      <c r="AL12">
        <v>61</v>
      </c>
      <c r="AM12">
        <v>2.9</v>
      </c>
      <c r="AN12">
        <v>196</v>
      </c>
      <c r="AV12" t="s">
        <v>84</v>
      </c>
      <c r="AW12" t="s">
        <v>86</v>
      </c>
      <c r="AX12" t="s">
        <v>86</v>
      </c>
      <c r="AY12" t="s">
        <v>86</v>
      </c>
      <c r="AZ12" t="s">
        <v>30</v>
      </c>
      <c r="BA12" t="s">
        <v>30</v>
      </c>
      <c r="BB12" t="s">
        <v>86</v>
      </c>
      <c r="BC12" t="s">
        <v>86</v>
      </c>
      <c r="BD12" t="s">
        <v>86</v>
      </c>
      <c r="BM12">
        <v>13000</v>
      </c>
    </row>
    <row r="13" spans="1:68" x14ac:dyDescent="0.25">
      <c r="A13">
        <v>99000802</v>
      </c>
      <c r="N13" s="5"/>
      <c r="O13">
        <v>16</v>
      </c>
      <c r="P13">
        <v>26</v>
      </c>
      <c r="Q13">
        <v>27</v>
      </c>
      <c r="R13">
        <v>299</v>
      </c>
    </row>
    <row r="14" spans="1:68" x14ac:dyDescent="0.25">
      <c r="B14" t="s">
        <v>144</v>
      </c>
      <c r="C14" t="s">
        <v>142</v>
      </c>
      <c r="N14" s="5"/>
    </row>
    <row r="15" spans="1:68" x14ac:dyDescent="0.25">
      <c r="B15" t="s">
        <v>145</v>
      </c>
      <c r="C15" t="s">
        <v>143</v>
      </c>
      <c r="N15" s="5"/>
    </row>
    <row r="16" spans="1:68" x14ac:dyDescent="0.25">
      <c r="A16">
        <v>99000892</v>
      </c>
      <c r="N16" s="5"/>
      <c r="O16" t="s">
        <v>146</v>
      </c>
      <c r="P16" t="s">
        <v>147</v>
      </c>
      <c r="Q16">
        <v>6.93</v>
      </c>
    </row>
    <row r="17" spans="1:68" x14ac:dyDescent="0.25">
      <c r="N17" s="5"/>
    </row>
    <row r="18" spans="1:68" x14ac:dyDescent="0.25">
      <c r="N18" s="5"/>
    </row>
    <row r="19" spans="1:68" x14ac:dyDescent="0.25">
      <c r="A19" t="s">
        <v>0</v>
      </c>
      <c r="C19">
        <v>7</v>
      </c>
      <c r="D19">
        <v>2</v>
      </c>
      <c r="E19">
        <v>2</v>
      </c>
      <c r="F19">
        <v>2</v>
      </c>
      <c r="G19">
        <v>2</v>
      </c>
      <c r="H19">
        <v>2</v>
      </c>
      <c r="I19">
        <v>3</v>
      </c>
      <c r="J19">
        <v>5</v>
      </c>
      <c r="K19">
        <v>2</v>
      </c>
      <c r="L19">
        <v>1</v>
      </c>
      <c r="M19">
        <v>0</v>
      </c>
      <c r="N19" s="5">
        <v>1</v>
      </c>
      <c r="O19" s="5">
        <v>6</v>
      </c>
      <c r="P19" s="5">
        <v>7</v>
      </c>
      <c r="Q19" s="5">
        <v>4</v>
      </c>
      <c r="R19" s="5">
        <v>4</v>
      </c>
      <c r="S19" s="5">
        <v>1</v>
      </c>
      <c r="T19" s="5">
        <v>0</v>
      </c>
      <c r="U19" s="5">
        <v>1</v>
      </c>
      <c r="V19" s="5">
        <v>1</v>
      </c>
      <c r="W19" s="5">
        <v>1</v>
      </c>
      <c r="X19" s="5">
        <v>0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0</v>
      </c>
      <c r="AJ19" s="5">
        <v>0</v>
      </c>
      <c r="AK19" s="5">
        <v>0</v>
      </c>
      <c r="AL19" s="5">
        <v>1</v>
      </c>
      <c r="AM19" s="5">
        <v>1</v>
      </c>
      <c r="AN19" s="5">
        <v>1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1</v>
      </c>
      <c r="BN19" s="5"/>
      <c r="BO19" s="5"/>
      <c r="BP19" s="5"/>
    </row>
    <row r="20" spans="1:68" x14ac:dyDescent="0.25">
      <c r="N20" s="5"/>
    </row>
    <row r="21" spans="1:68" x14ac:dyDescent="0.25">
      <c r="N21" s="5"/>
    </row>
    <row r="22" spans="1:68" x14ac:dyDescent="0.25">
      <c r="N22" s="5"/>
    </row>
    <row r="23" spans="1:68" x14ac:dyDescent="0.25">
      <c r="N23" s="5"/>
    </row>
    <row r="24" spans="1:68" x14ac:dyDescent="0.25">
      <c r="N24" s="5"/>
    </row>
    <row r="25" spans="1:68" x14ac:dyDescent="0.25">
      <c r="N25" s="5"/>
    </row>
    <row r="26" spans="1:68" x14ac:dyDescent="0.25">
      <c r="N26" s="5"/>
    </row>
    <row r="27" spans="1:68" x14ac:dyDescent="0.25">
      <c r="N27" s="5"/>
    </row>
    <row r="28" spans="1:68" x14ac:dyDescent="0.25">
      <c r="N28" s="5"/>
    </row>
    <row r="29" spans="1:68" x14ac:dyDescent="0.25">
      <c r="A29" t="s">
        <v>4</v>
      </c>
      <c r="N29" s="5"/>
    </row>
    <row r="30" spans="1:68" x14ac:dyDescent="0.25">
      <c r="A30">
        <v>3000983</v>
      </c>
      <c r="B30" t="s">
        <v>35</v>
      </c>
      <c r="C30" t="s">
        <v>33</v>
      </c>
      <c r="H30">
        <v>14.1</v>
      </c>
      <c r="I30" t="s">
        <v>32</v>
      </c>
      <c r="N30" s="5"/>
      <c r="O30">
        <v>28</v>
      </c>
      <c r="P30">
        <v>28</v>
      </c>
      <c r="Q30">
        <v>22</v>
      </c>
      <c r="R30">
        <v>511</v>
      </c>
    </row>
    <row r="31" spans="1:68" x14ac:dyDescent="0.25">
      <c r="B31" t="s">
        <v>36</v>
      </c>
      <c r="C31" t="s">
        <v>37</v>
      </c>
      <c r="H31" t="s">
        <v>106</v>
      </c>
      <c r="J31">
        <v>18.2</v>
      </c>
      <c r="N31" s="5"/>
      <c r="O31">
        <v>131</v>
      </c>
      <c r="P31">
        <v>241</v>
      </c>
      <c r="Q31">
        <v>943</v>
      </c>
      <c r="R31">
        <v>511</v>
      </c>
      <c r="AI31" t="s">
        <v>39</v>
      </c>
      <c r="AJ31">
        <v>408</v>
      </c>
    </row>
    <row r="32" spans="1:68" x14ac:dyDescent="0.25">
      <c r="B32" t="s">
        <v>40</v>
      </c>
      <c r="C32" t="s">
        <v>42</v>
      </c>
      <c r="H32">
        <v>12.3</v>
      </c>
      <c r="I32" t="s">
        <v>41</v>
      </c>
      <c r="N32" s="5"/>
      <c r="O32">
        <v>135</v>
      </c>
      <c r="P32">
        <v>264</v>
      </c>
      <c r="Q32">
        <v>847</v>
      </c>
      <c r="AI32" t="s">
        <v>43</v>
      </c>
      <c r="AJ32">
        <v>293</v>
      </c>
    </row>
    <row r="33" spans="1:38" x14ac:dyDescent="0.25">
      <c r="A33">
        <v>10064335</v>
      </c>
      <c r="B33" s="3">
        <v>39688</v>
      </c>
      <c r="G33" s="5">
        <v>7</v>
      </c>
      <c r="N33" s="5">
        <v>2.2599999999999998</v>
      </c>
      <c r="O33">
        <v>75</v>
      </c>
      <c r="P33">
        <v>52</v>
      </c>
      <c r="Q33">
        <v>126</v>
      </c>
      <c r="AK33">
        <v>125</v>
      </c>
    </row>
    <row r="34" spans="1:38" x14ac:dyDescent="0.25">
      <c r="B34" s="3">
        <v>39692</v>
      </c>
      <c r="G34" s="5">
        <v>7</v>
      </c>
      <c r="I34" t="s">
        <v>44</v>
      </c>
      <c r="N34" s="5">
        <v>1.6</v>
      </c>
      <c r="O34">
        <v>69</v>
      </c>
      <c r="P34">
        <v>101</v>
      </c>
      <c r="Q34">
        <v>140</v>
      </c>
      <c r="R34">
        <v>433</v>
      </c>
      <c r="AK34">
        <v>140</v>
      </c>
    </row>
    <row r="35" spans="1:38" x14ac:dyDescent="0.25">
      <c r="B35" s="3">
        <v>39694</v>
      </c>
      <c r="N35" s="5">
        <v>1.51</v>
      </c>
      <c r="O35">
        <v>47</v>
      </c>
      <c r="P35">
        <v>113</v>
      </c>
      <c r="Q35">
        <v>171</v>
      </c>
      <c r="R35">
        <v>384</v>
      </c>
      <c r="AK35">
        <v>107</v>
      </c>
    </row>
    <row r="36" spans="1:38" x14ac:dyDescent="0.25">
      <c r="B36" s="3">
        <v>39706</v>
      </c>
      <c r="I36" t="s">
        <v>45</v>
      </c>
      <c r="N36" s="5">
        <v>1.56</v>
      </c>
      <c r="O36">
        <v>191</v>
      </c>
      <c r="P36">
        <v>32</v>
      </c>
      <c r="Q36">
        <v>183</v>
      </c>
      <c r="R36">
        <v>263</v>
      </c>
      <c r="AK36">
        <v>98</v>
      </c>
    </row>
    <row r="37" spans="1:38" x14ac:dyDescent="0.25">
      <c r="B37" s="3">
        <v>39708</v>
      </c>
      <c r="N37" s="5">
        <v>1.8</v>
      </c>
      <c r="O37">
        <v>19</v>
      </c>
      <c r="P37">
        <v>32</v>
      </c>
    </row>
    <row r="38" spans="1:38" x14ac:dyDescent="0.25">
      <c r="A38">
        <v>1502</v>
      </c>
      <c r="B38" s="3">
        <v>36470</v>
      </c>
      <c r="C38" t="s">
        <v>59</v>
      </c>
      <c r="N38" s="5"/>
      <c r="O38">
        <v>52</v>
      </c>
      <c r="P38">
        <v>82</v>
      </c>
    </row>
    <row r="39" spans="1:38" x14ac:dyDescent="0.25">
      <c r="B39" s="3">
        <v>36472</v>
      </c>
      <c r="C39" t="s">
        <v>52</v>
      </c>
      <c r="G39">
        <v>12.6</v>
      </c>
      <c r="N39" s="5">
        <v>0.9</v>
      </c>
      <c r="Q39">
        <v>112</v>
      </c>
      <c r="R39">
        <v>351</v>
      </c>
    </row>
    <row r="40" spans="1:38" x14ac:dyDescent="0.25">
      <c r="A40">
        <v>4003543</v>
      </c>
      <c r="B40" s="3">
        <v>38047</v>
      </c>
      <c r="J40">
        <v>7.12</v>
      </c>
      <c r="N40" s="5">
        <v>1.2</v>
      </c>
      <c r="O40">
        <v>39</v>
      </c>
      <c r="P40">
        <v>53</v>
      </c>
    </row>
    <row r="41" spans="1:38" x14ac:dyDescent="0.25">
      <c r="B41" s="3">
        <v>38051</v>
      </c>
      <c r="J41">
        <v>1.03</v>
      </c>
      <c r="N41" s="5">
        <v>0.9</v>
      </c>
      <c r="O41">
        <v>25</v>
      </c>
      <c r="P41">
        <v>38</v>
      </c>
      <c r="AL41">
        <v>67</v>
      </c>
    </row>
    <row r="42" spans="1:38" x14ac:dyDescent="0.25">
      <c r="A42">
        <v>4900261</v>
      </c>
      <c r="B42" s="3" t="s">
        <v>63</v>
      </c>
      <c r="N42" s="5"/>
      <c r="S42">
        <v>18000</v>
      </c>
    </row>
    <row r="43" spans="1:38" x14ac:dyDescent="0.25">
      <c r="B43" s="3" t="s">
        <v>63</v>
      </c>
      <c r="N43" s="5"/>
      <c r="S43">
        <v>3000</v>
      </c>
    </row>
    <row r="44" spans="1:38" x14ac:dyDescent="0.25">
      <c r="B44" s="3">
        <v>38077</v>
      </c>
      <c r="N44" s="5">
        <v>0.76</v>
      </c>
      <c r="O44">
        <v>668</v>
      </c>
      <c r="R44">
        <v>1151</v>
      </c>
      <c r="S44">
        <v>18973</v>
      </c>
      <c r="T44">
        <v>258</v>
      </c>
    </row>
    <row r="45" spans="1:38" x14ac:dyDescent="0.25">
      <c r="B45" s="3">
        <v>38078</v>
      </c>
      <c r="N45" s="5">
        <v>0.53</v>
      </c>
      <c r="O45">
        <v>454</v>
      </c>
      <c r="R45">
        <v>804</v>
      </c>
      <c r="S45">
        <v>12480</v>
      </c>
      <c r="T45">
        <v>165</v>
      </c>
    </row>
    <row r="46" spans="1:38" x14ac:dyDescent="0.25">
      <c r="B46" s="3">
        <v>38079</v>
      </c>
      <c r="N46" s="5">
        <v>0.86</v>
      </c>
      <c r="O46">
        <v>184</v>
      </c>
      <c r="R46">
        <v>847</v>
      </c>
      <c r="S46">
        <v>13564</v>
      </c>
      <c r="T46">
        <v>132</v>
      </c>
    </row>
    <row r="47" spans="1:38" x14ac:dyDescent="0.25">
      <c r="B47" s="3">
        <v>38082</v>
      </c>
      <c r="N47" s="5">
        <v>0.71</v>
      </c>
      <c r="R47">
        <v>772</v>
      </c>
      <c r="S47">
        <v>7207</v>
      </c>
      <c r="T47">
        <v>106</v>
      </c>
    </row>
    <row r="48" spans="1:38" x14ac:dyDescent="0.25">
      <c r="B48" s="3">
        <v>38087</v>
      </c>
      <c r="N48" s="5">
        <v>0.79</v>
      </c>
      <c r="R48">
        <v>577</v>
      </c>
      <c r="S48">
        <v>4544</v>
      </c>
      <c r="T48">
        <v>71</v>
      </c>
    </row>
    <row r="49" spans="1:58" x14ac:dyDescent="0.25">
      <c r="B49" s="3">
        <v>38098</v>
      </c>
      <c r="N49" s="5">
        <v>0.69</v>
      </c>
      <c r="R49">
        <v>365</v>
      </c>
      <c r="S49">
        <v>341</v>
      </c>
      <c r="T49">
        <v>24</v>
      </c>
    </row>
    <row r="50" spans="1:58" x14ac:dyDescent="0.25">
      <c r="A50">
        <v>1505</v>
      </c>
      <c r="B50" s="3">
        <v>36460</v>
      </c>
      <c r="C50" t="s">
        <v>66</v>
      </c>
      <c r="G50">
        <v>9.9</v>
      </c>
    </row>
    <row r="51" spans="1:58" x14ac:dyDescent="0.25">
      <c r="B51" s="3">
        <v>36461</v>
      </c>
      <c r="O51">
        <v>28</v>
      </c>
      <c r="P51">
        <v>32</v>
      </c>
      <c r="R51">
        <v>249</v>
      </c>
    </row>
    <row r="52" spans="1:58" x14ac:dyDescent="0.25">
      <c r="B52" s="3">
        <v>36465</v>
      </c>
      <c r="C52" t="s">
        <v>67</v>
      </c>
    </row>
    <row r="53" spans="1:58" x14ac:dyDescent="0.25">
      <c r="A53">
        <v>1506</v>
      </c>
      <c r="B53" s="3">
        <v>36449</v>
      </c>
      <c r="C53" t="s">
        <v>68</v>
      </c>
      <c r="G53">
        <v>6.8</v>
      </c>
    </row>
    <row r="54" spans="1:58" x14ac:dyDescent="0.25">
      <c r="B54" s="3">
        <v>36452</v>
      </c>
      <c r="O54">
        <v>15</v>
      </c>
      <c r="P54">
        <v>28</v>
      </c>
      <c r="Q54">
        <v>45</v>
      </c>
      <c r="R54">
        <v>144</v>
      </c>
    </row>
    <row r="55" spans="1:58" x14ac:dyDescent="0.25">
      <c r="A55">
        <v>1000192</v>
      </c>
      <c r="B55" s="3">
        <v>36390</v>
      </c>
      <c r="C55" t="s">
        <v>69</v>
      </c>
    </row>
    <row r="56" spans="1:58" x14ac:dyDescent="0.25">
      <c r="B56" s="3">
        <v>36431</v>
      </c>
      <c r="C56" t="s">
        <v>70</v>
      </c>
      <c r="G56" t="s">
        <v>74</v>
      </c>
      <c r="J56">
        <v>11</v>
      </c>
      <c r="Q56">
        <v>240</v>
      </c>
    </row>
    <row r="57" spans="1:58" x14ac:dyDescent="0.25">
      <c r="A57">
        <v>1000197</v>
      </c>
      <c r="B57" s="3">
        <v>36545</v>
      </c>
      <c r="G57" t="s">
        <v>73</v>
      </c>
    </row>
    <row r="58" spans="1:58" x14ac:dyDescent="0.25">
      <c r="B58" s="3">
        <v>36546</v>
      </c>
      <c r="C58" t="s">
        <v>71</v>
      </c>
    </row>
    <row r="59" spans="1:58" x14ac:dyDescent="0.25">
      <c r="B59" s="3">
        <v>36547</v>
      </c>
      <c r="C59" t="s">
        <v>72</v>
      </c>
      <c r="P59">
        <v>64</v>
      </c>
    </row>
    <row r="60" spans="1:58" x14ac:dyDescent="0.25">
      <c r="B60" s="3">
        <v>36549</v>
      </c>
      <c r="O60">
        <v>25</v>
      </c>
      <c r="Q60">
        <v>51</v>
      </c>
    </row>
    <row r="61" spans="1:58" x14ac:dyDescent="0.25">
      <c r="A61">
        <v>96018835</v>
      </c>
      <c r="B61" s="3">
        <v>35257</v>
      </c>
      <c r="C61" t="s">
        <v>129</v>
      </c>
      <c r="I61" t="s">
        <v>94</v>
      </c>
    </row>
    <row r="62" spans="1:58" x14ac:dyDescent="0.25">
      <c r="B62" s="3">
        <v>35258</v>
      </c>
      <c r="C62" t="s">
        <v>104</v>
      </c>
      <c r="H62">
        <v>15.2</v>
      </c>
      <c r="I62" t="s">
        <v>97</v>
      </c>
      <c r="O62">
        <v>979</v>
      </c>
      <c r="P62">
        <v>1496</v>
      </c>
      <c r="Q62">
        <v>201</v>
      </c>
      <c r="R62">
        <v>1694</v>
      </c>
      <c r="X62">
        <v>67</v>
      </c>
      <c r="AI62">
        <v>273</v>
      </c>
      <c r="AJ62">
        <v>515</v>
      </c>
      <c r="AN62">
        <v>1400</v>
      </c>
      <c r="AO62">
        <v>3.9</v>
      </c>
      <c r="BF62">
        <v>39.5</v>
      </c>
    </row>
    <row r="63" spans="1:58" x14ac:dyDescent="0.25">
      <c r="B63" s="3">
        <v>35259</v>
      </c>
      <c r="C63">
        <v>3.8</v>
      </c>
      <c r="H63">
        <v>14</v>
      </c>
      <c r="I63" t="s">
        <v>107</v>
      </c>
      <c r="O63">
        <v>435</v>
      </c>
      <c r="P63">
        <v>1029</v>
      </c>
      <c r="Q63">
        <v>180</v>
      </c>
      <c r="R63">
        <v>617</v>
      </c>
      <c r="W63">
        <v>35</v>
      </c>
      <c r="X63">
        <v>82</v>
      </c>
      <c r="AI63">
        <v>890</v>
      </c>
      <c r="AJ63">
        <v>311</v>
      </c>
      <c r="AM63">
        <v>2082</v>
      </c>
      <c r="AN63">
        <v>1988</v>
      </c>
      <c r="AO63" t="s">
        <v>101</v>
      </c>
      <c r="BF63">
        <v>38.700000000000003</v>
      </c>
    </row>
    <row r="64" spans="1:58" x14ac:dyDescent="0.25">
      <c r="B64" s="3">
        <v>35260</v>
      </c>
      <c r="C64">
        <v>2.1</v>
      </c>
      <c r="H64">
        <v>13.4</v>
      </c>
      <c r="I64" t="s">
        <v>130</v>
      </c>
      <c r="O64">
        <v>155</v>
      </c>
      <c r="P64">
        <v>630</v>
      </c>
      <c r="Q64">
        <v>177</v>
      </c>
      <c r="AI64" t="s">
        <v>137</v>
      </c>
      <c r="AJ64">
        <v>288</v>
      </c>
      <c r="AN64">
        <v>1758</v>
      </c>
      <c r="AO64">
        <v>3.7</v>
      </c>
    </row>
    <row r="65" spans="1:68" x14ac:dyDescent="0.25">
      <c r="B65" s="3">
        <v>35261</v>
      </c>
      <c r="K65">
        <v>3.9</v>
      </c>
      <c r="L65" t="s">
        <v>98</v>
      </c>
      <c r="M65">
        <v>0.3</v>
      </c>
    </row>
    <row r="66" spans="1:68" x14ac:dyDescent="0.25">
      <c r="B66" s="3">
        <v>35262</v>
      </c>
      <c r="C66">
        <v>3</v>
      </c>
      <c r="F66">
        <v>66</v>
      </c>
      <c r="G66">
        <v>5</v>
      </c>
      <c r="H66">
        <v>11.8</v>
      </c>
      <c r="I66" t="s">
        <v>131</v>
      </c>
      <c r="N66" s="7" t="s">
        <v>108</v>
      </c>
      <c r="O66">
        <v>68</v>
      </c>
      <c r="P66">
        <v>356</v>
      </c>
      <c r="Q66">
        <v>246</v>
      </c>
      <c r="S66" s="7" t="s">
        <v>108</v>
      </c>
      <c r="AI66">
        <v>892</v>
      </c>
      <c r="AJ66">
        <v>381</v>
      </c>
      <c r="AK66" s="7" t="s">
        <v>108</v>
      </c>
      <c r="AN66">
        <v>332</v>
      </c>
      <c r="AO66">
        <v>3.9</v>
      </c>
      <c r="AP66" s="7" t="s">
        <v>108</v>
      </c>
      <c r="AQ66" s="7" t="s">
        <v>108</v>
      </c>
      <c r="AR66" s="7" t="s">
        <v>108</v>
      </c>
      <c r="AS66" s="7" t="s">
        <v>108</v>
      </c>
      <c r="AT66" s="7" t="s">
        <v>108</v>
      </c>
      <c r="AU66" s="7" t="s">
        <v>108</v>
      </c>
    </row>
    <row r="67" spans="1:68" x14ac:dyDescent="0.25">
      <c r="B67" s="3">
        <v>35265</v>
      </c>
      <c r="C67">
        <v>6.5</v>
      </c>
      <c r="H67">
        <v>10.7</v>
      </c>
      <c r="I67" t="s">
        <v>132</v>
      </c>
      <c r="O67">
        <v>19</v>
      </c>
      <c r="AN67">
        <v>24</v>
      </c>
      <c r="AO67">
        <v>8.4</v>
      </c>
      <c r="BG67">
        <v>200</v>
      </c>
      <c r="BH67">
        <v>30</v>
      </c>
      <c r="BI67">
        <v>0.2</v>
      </c>
      <c r="BJ67" t="s">
        <v>30</v>
      </c>
      <c r="BK67">
        <v>70</v>
      </c>
      <c r="BO67" t="s">
        <v>125</v>
      </c>
    </row>
    <row r="68" spans="1:68" x14ac:dyDescent="0.25">
      <c r="B68" s="3">
        <v>35268</v>
      </c>
      <c r="C68">
        <v>7.9</v>
      </c>
      <c r="H68">
        <v>8.6</v>
      </c>
      <c r="I68" t="s">
        <v>133</v>
      </c>
      <c r="K68">
        <v>3.5</v>
      </c>
      <c r="L68" t="s">
        <v>127</v>
      </c>
      <c r="M68">
        <v>0.3</v>
      </c>
      <c r="O68">
        <v>24</v>
      </c>
      <c r="P68">
        <v>18</v>
      </c>
      <c r="Q68">
        <v>41</v>
      </c>
      <c r="AJ68">
        <v>187</v>
      </c>
      <c r="AN68">
        <v>90</v>
      </c>
      <c r="AO68">
        <v>7.2</v>
      </c>
    </row>
    <row r="69" spans="1:68" x14ac:dyDescent="0.25">
      <c r="B69" s="3">
        <v>35270</v>
      </c>
      <c r="C69">
        <v>10.1</v>
      </c>
      <c r="H69">
        <v>10.5</v>
      </c>
      <c r="I69" t="s">
        <v>134</v>
      </c>
      <c r="O69">
        <v>51</v>
      </c>
      <c r="P69">
        <v>19</v>
      </c>
      <c r="Q69">
        <v>70</v>
      </c>
      <c r="AI69">
        <v>342</v>
      </c>
      <c r="AJ69">
        <v>326</v>
      </c>
      <c r="AN69">
        <v>99</v>
      </c>
      <c r="AO69">
        <v>8.3000000000000007</v>
      </c>
    </row>
    <row r="70" spans="1:68" x14ac:dyDescent="0.25">
      <c r="B70" s="3">
        <v>35271</v>
      </c>
      <c r="BL70">
        <v>290</v>
      </c>
      <c r="BP70" t="s">
        <v>125</v>
      </c>
    </row>
    <row r="71" spans="1:68" x14ac:dyDescent="0.25">
      <c r="B71" s="3">
        <v>35273</v>
      </c>
      <c r="C71">
        <v>7.5</v>
      </c>
      <c r="H71">
        <v>10</v>
      </c>
      <c r="I71" t="s">
        <v>135</v>
      </c>
      <c r="O71">
        <v>175</v>
      </c>
      <c r="AO71">
        <v>12.1</v>
      </c>
      <c r="BE71" t="s">
        <v>86</v>
      </c>
    </row>
    <row r="72" spans="1:68" x14ac:dyDescent="0.25">
      <c r="A72">
        <v>98008326</v>
      </c>
      <c r="B72" s="3">
        <v>35417</v>
      </c>
      <c r="C72" t="s">
        <v>138</v>
      </c>
      <c r="G72" s="1"/>
    </row>
    <row r="73" spans="1:68" x14ac:dyDescent="0.25">
      <c r="B73" s="3">
        <v>35422</v>
      </c>
      <c r="Q73">
        <v>27</v>
      </c>
      <c r="R73">
        <v>249</v>
      </c>
      <c r="AK73">
        <v>25.4</v>
      </c>
    </row>
    <row r="74" spans="1:68" x14ac:dyDescent="0.25">
      <c r="B74" s="3">
        <v>35425</v>
      </c>
      <c r="O74">
        <v>28</v>
      </c>
    </row>
    <row r="75" spans="1:68" x14ac:dyDescent="0.25">
      <c r="B75" s="3">
        <v>35429</v>
      </c>
      <c r="C75" t="s">
        <v>139</v>
      </c>
      <c r="G75">
        <v>10</v>
      </c>
    </row>
    <row r="76" spans="1:68" x14ac:dyDescent="0.25">
      <c r="A76">
        <v>99000717</v>
      </c>
      <c r="B76" s="3">
        <v>36101</v>
      </c>
      <c r="R76">
        <v>487</v>
      </c>
    </row>
    <row r="77" spans="1:68" x14ac:dyDescent="0.25">
      <c r="B77" s="3">
        <v>36108</v>
      </c>
      <c r="C77" t="s">
        <v>140</v>
      </c>
      <c r="G77">
        <v>11</v>
      </c>
      <c r="Q77">
        <v>75</v>
      </c>
    </row>
    <row r="78" spans="1:68" x14ac:dyDescent="0.25">
      <c r="B78" s="3">
        <v>36111</v>
      </c>
      <c r="O78">
        <v>31</v>
      </c>
      <c r="P78">
        <v>30</v>
      </c>
      <c r="R78" s="3"/>
    </row>
    <row r="79" spans="1:68" x14ac:dyDescent="0.25">
      <c r="B79" s="3">
        <v>36115</v>
      </c>
      <c r="C79" t="s">
        <v>141</v>
      </c>
    </row>
    <row r="80" spans="1:68" x14ac:dyDescent="0.25">
      <c r="A80">
        <v>99000894</v>
      </c>
      <c r="B80" s="3">
        <v>35544</v>
      </c>
      <c r="P80">
        <v>30</v>
      </c>
      <c r="Q80">
        <v>72</v>
      </c>
    </row>
    <row r="81" spans="1:68" x14ac:dyDescent="0.25">
      <c r="B81" s="3">
        <v>35550</v>
      </c>
      <c r="C81" t="s">
        <v>148</v>
      </c>
    </row>
    <row r="84" spans="1:68" x14ac:dyDescent="0.25">
      <c r="A84" t="s">
        <v>1060</v>
      </c>
      <c r="C84">
        <v>24</v>
      </c>
      <c r="D84">
        <v>2</v>
      </c>
      <c r="E84">
        <v>2</v>
      </c>
      <c r="F84">
        <v>3</v>
      </c>
      <c r="G84">
        <v>22</v>
      </c>
      <c r="H84">
        <v>4</v>
      </c>
      <c r="I84">
        <v>7</v>
      </c>
      <c r="J84">
        <v>11</v>
      </c>
      <c r="K84">
        <v>3</v>
      </c>
      <c r="L84">
        <v>2</v>
      </c>
      <c r="M84">
        <v>1</v>
      </c>
      <c r="N84">
        <v>6</v>
      </c>
      <c r="O84">
        <v>29</v>
      </c>
      <c r="P84">
        <v>30</v>
      </c>
      <c r="Q84">
        <v>26</v>
      </c>
      <c r="R84">
        <v>22</v>
      </c>
      <c r="S84">
        <v>2</v>
      </c>
      <c r="T84">
        <v>1</v>
      </c>
      <c r="U84">
        <v>1</v>
      </c>
      <c r="V84">
        <v>1</v>
      </c>
      <c r="W84">
        <v>3</v>
      </c>
      <c r="X84">
        <v>2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2</v>
      </c>
      <c r="AJ84">
        <v>2</v>
      </c>
      <c r="AK84">
        <v>3</v>
      </c>
      <c r="AL84">
        <v>2</v>
      </c>
      <c r="AM84">
        <v>3</v>
      </c>
      <c r="AN84">
        <v>3</v>
      </c>
      <c r="AO84">
        <v>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</row>
  </sheetData>
  <conditionalFormatting sqref="A40">
    <cfRule type="duplicateValues" dxfId="66" priority="30"/>
  </conditionalFormatting>
  <conditionalFormatting sqref="A40">
    <cfRule type="duplicateValues" dxfId="65" priority="29"/>
  </conditionalFormatting>
  <conditionalFormatting sqref="A42">
    <cfRule type="duplicateValues" dxfId="64" priority="28"/>
  </conditionalFormatting>
  <conditionalFormatting sqref="A42">
    <cfRule type="duplicateValues" dxfId="63" priority="27"/>
  </conditionalFormatting>
  <conditionalFormatting sqref="A10">
    <cfRule type="duplicateValues" dxfId="62" priority="26"/>
  </conditionalFormatting>
  <conditionalFormatting sqref="A50">
    <cfRule type="duplicateValues" dxfId="61" priority="24"/>
  </conditionalFormatting>
  <conditionalFormatting sqref="A50">
    <cfRule type="duplicateValues" dxfId="60" priority="23"/>
  </conditionalFormatting>
  <conditionalFormatting sqref="A53">
    <cfRule type="duplicateValues" dxfId="59" priority="22"/>
  </conditionalFormatting>
  <conditionalFormatting sqref="A53">
    <cfRule type="duplicateValues" dxfId="58" priority="21"/>
  </conditionalFormatting>
  <conditionalFormatting sqref="A55">
    <cfRule type="duplicateValues" dxfId="57" priority="20"/>
  </conditionalFormatting>
  <conditionalFormatting sqref="A55">
    <cfRule type="duplicateValues" dxfId="56" priority="19"/>
  </conditionalFormatting>
  <conditionalFormatting sqref="A57">
    <cfRule type="duplicateValues" dxfId="55" priority="18"/>
  </conditionalFormatting>
  <conditionalFormatting sqref="A57">
    <cfRule type="duplicateValues" dxfId="54" priority="17"/>
  </conditionalFormatting>
  <conditionalFormatting sqref="A12">
    <cfRule type="duplicateValues" dxfId="53" priority="16"/>
  </conditionalFormatting>
  <conditionalFormatting sqref="A61">
    <cfRule type="duplicateValues" dxfId="52" priority="14"/>
  </conditionalFormatting>
  <conditionalFormatting sqref="A61">
    <cfRule type="duplicateValues" dxfId="51" priority="13"/>
  </conditionalFormatting>
  <conditionalFormatting sqref="A72">
    <cfRule type="duplicateValues" dxfId="50" priority="12"/>
  </conditionalFormatting>
  <conditionalFormatting sqref="A72">
    <cfRule type="duplicateValues" dxfId="49" priority="11"/>
  </conditionalFormatting>
  <conditionalFormatting sqref="A76">
    <cfRule type="duplicateValues" dxfId="48" priority="10"/>
  </conditionalFormatting>
  <conditionalFormatting sqref="A76">
    <cfRule type="duplicateValues" dxfId="47" priority="9"/>
  </conditionalFormatting>
  <conditionalFormatting sqref="A13">
    <cfRule type="duplicateValues" dxfId="46" priority="8"/>
  </conditionalFormatting>
  <conditionalFormatting sqref="A16">
    <cfRule type="duplicateValues" dxfId="45" priority="6"/>
  </conditionalFormatting>
  <conditionalFormatting sqref="A80">
    <cfRule type="duplicateValues" dxfId="44" priority="4"/>
  </conditionalFormatting>
  <conditionalFormatting sqref="A80">
    <cfRule type="duplicateValues" dxfId="43" priority="3"/>
  </conditionalFormatting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48A5-F663-4AC3-91CD-5CEC3C856077}">
  <dimension ref="A1:VA847"/>
  <sheetViews>
    <sheetView tabSelected="1" zoomScale="70" zoomScaleNormal="70" workbookViewId="0">
      <pane xSplit="1" ySplit="2" topLeftCell="AJ3" activePane="bottomRight" state="frozen"/>
      <selection pane="topRight" activeCell="B1" sqref="B1"/>
      <selection pane="bottomLeft" activeCell="A2" sqref="A2"/>
      <selection pane="bottomRight" activeCell="AK31" sqref="AK31"/>
    </sheetView>
  </sheetViews>
  <sheetFormatPr baseColWidth="10" defaultRowHeight="15" x14ac:dyDescent="0.25"/>
  <sheetData>
    <row r="1" spans="1:573" x14ac:dyDescent="0.25">
      <c r="KT1" s="40" t="s">
        <v>1235</v>
      </c>
      <c r="KU1" s="18"/>
      <c r="KV1" s="18"/>
      <c r="KW1" s="18"/>
      <c r="KX1" s="18"/>
      <c r="LA1" s="40" t="s">
        <v>1238</v>
      </c>
      <c r="LB1" s="18"/>
      <c r="LC1" s="18"/>
      <c r="LD1" s="18"/>
      <c r="LE1" s="18"/>
      <c r="LH1" s="40" t="s">
        <v>1204</v>
      </c>
      <c r="LI1" s="18"/>
      <c r="LJ1" s="18"/>
      <c r="LK1" s="18"/>
      <c r="LL1" s="18"/>
      <c r="LO1" s="40" t="s">
        <v>1247</v>
      </c>
      <c r="LR1" s="40" t="s">
        <v>1248</v>
      </c>
      <c r="QU1" s="44" t="s">
        <v>1218</v>
      </c>
      <c r="QZ1" s="45" t="s">
        <v>1221</v>
      </c>
      <c r="RD1" s="46" t="s">
        <v>1224</v>
      </c>
      <c r="RQ1" s="46" t="s">
        <v>1253</v>
      </c>
      <c r="RT1" s="46" t="s">
        <v>1227</v>
      </c>
    </row>
    <row r="2" spans="1:573" ht="105" x14ac:dyDescent="0.25">
      <c r="A2" s="25" t="s">
        <v>1061</v>
      </c>
      <c r="B2" s="25" t="s">
        <v>1313</v>
      </c>
      <c r="C2" s="16" t="s">
        <v>1064</v>
      </c>
      <c r="D2" s="16" t="s">
        <v>173</v>
      </c>
      <c r="E2" s="16" t="s">
        <v>177</v>
      </c>
      <c r="F2" s="16" t="s">
        <v>178</v>
      </c>
      <c r="G2" s="16" t="s">
        <v>182</v>
      </c>
      <c r="H2" s="16" t="s">
        <v>184</v>
      </c>
      <c r="I2" s="16" t="s">
        <v>1122</v>
      </c>
      <c r="J2" s="16" t="s">
        <v>1123</v>
      </c>
      <c r="K2" s="16" t="s">
        <v>1124</v>
      </c>
      <c r="L2" s="17" t="s">
        <v>1125</v>
      </c>
      <c r="M2" s="17" t="s">
        <v>1126</v>
      </c>
      <c r="N2" s="17" t="s">
        <v>1127</v>
      </c>
      <c r="O2" s="17" t="s">
        <v>1128</v>
      </c>
      <c r="P2" s="17" t="s">
        <v>1129</v>
      </c>
      <c r="Q2" s="17" t="s">
        <v>1130</v>
      </c>
      <c r="R2" s="16" t="s">
        <v>201</v>
      </c>
      <c r="S2" s="16" t="s">
        <v>203</v>
      </c>
      <c r="T2" s="16" t="s">
        <v>205</v>
      </c>
      <c r="U2" s="16" t="s">
        <v>210</v>
      </c>
      <c r="V2" s="16" t="s">
        <v>212</v>
      </c>
      <c r="W2" s="24" t="s">
        <v>1065</v>
      </c>
      <c r="X2" s="24" t="s">
        <v>1067</v>
      </c>
      <c r="Y2" s="24" t="s">
        <v>1066</v>
      </c>
      <c r="Z2" s="16" t="s">
        <v>1154</v>
      </c>
      <c r="AA2" s="16" t="s">
        <v>232</v>
      </c>
      <c r="AB2" s="16" t="s">
        <v>238</v>
      </c>
      <c r="AC2" s="16" t="s">
        <v>257</v>
      </c>
      <c r="AD2" s="24" t="s">
        <v>1068</v>
      </c>
      <c r="AE2" s="24" t="s">
        <v>1069</v>
      </c>
      <c r="AF2" s="24" t="s">
        <v>1070</v>
      </c>
      <c r="AG2" s="16" t="s">
        <v>1071</v>
      </c>
      <c r="AH2" s="16" t="s">
        <v>1198</v>
      </c>
      <c r="AI2" s="16" t="s">
        <v>1056</v>
      </c>
      <c r="AJ2" s="16" t="s">
        <v>1176</v>
      </c>
      <c r="AK2" s="16" t="s">
        <v>1266</v>
      </c>
      <c r="AL2" s="16" t="s">
        <v>282</v>
      </c>
      <c r="AM2" s="16" t="s">
        <v>284</v>
      </c>
      <c r="AN2" s="16" t="s">
        <v>287</v>
      </c>
      <c r="AO2" s="16" t="s">
        <v>289</v>
      </c>
      <c r="AP2" s="16" t="s">
        <v>293</v>
      </c>
      <c r="AQ2" s="16" t="s">
        <v>295</v>
      </c>
      <c r="AR2" s="16" t="s">
        <v>298</v>
      </c>
      <c r="AS2" s="16" t="s">
        <v>1185</v>
      </c>
      <c r="AT2" s="16" t="s">
        <v>1138</v>
      </c>
      <c r="AU2" s="16" t="s">
        <v>1132</v>
      </c>
      <c r="AV2" s="16" t="s">
        <v>1191</v>
      </c>
      <c r="AW2" s="16" t="s">
        <v>1137</v>
      </c>
      <c r="AX2" s="16" t="s">
        <v>1181</v>
      </c>
      <c r="AY2" s="16" t="s">
        <v>1139</v>
      </c>
      <c r="AZ2" s="16" t="s">
        <v>288</v>
      </c>
      <c r="BA2" s="16" t="s">
        <v>296</v>
      </c>
      <c r="BB2" s="16" t="s">
        <v>1184</v>
      </c>
      <c r="BC2" s="16" t="s">
        <v>1087</v>
      </c>
      <c r="BD2" s="16" t="s">
        <v>1049</v>
      </c>
      <c r="BE2" s="16" t="s">
        <v>1177</v>
      </c>
      <c r="BF2" s="16" t="s">
        <v>1295</v>
      </c>
      <c r="BG2" s="16" t="s">
        <v>318</v>
      </c>
      <c r="BH2" s="16" t="s">
        <v>319</v>
      </c>
      <c r="BI2" s="16" t="s">
        <v>323</v>
      </c>
      <c r="BJ2" s="16" t="s">
        <v>325</v>
      </c>
      <c r="BK2" s="16" t="s">
        <v>328</v>
      </c>
      <c r="BL2" s="16" t="s">
        <v>1294</v>
      </c>
      <c r="BM2" s="16" t="s">
        <v>1135</v>
      </c>
      <c r="BN2" s="16" t="s">
        <v>1102</v>
      </c>
      <c r="BO2" s="16" t="s">
        <v>1115</v>
      </c>
      <c r="BP2" s="16" t="s">
        <v>312</v>
      </c>
      <c r="BQ2" s="16" t="s">
        <v>316</v>
      </c>
      <c r="BR2" s="16" t="s">
        <v>1045</v>
      </c>
      <c r="BS2" s="16" t="s">
        <v>314</v>
      </c>
      <c r="BT2" s="16" t="s">
        <v>1103</v>
      </c>
      <c r="BU2" s="16" t="s">
        <v>1050</v>
      </c>
      <c r="BV2" s="16" t="s">
        <v>378</v>
      </c>
      <c r="BW2" s="16" t="s">
        <v>381</v>
      </c>
      <c r="BX2" s="16" t="s">
        <v>384</v>
      </c>
      <c r="BY2" s="16" t="s">
        <v>385</v>
      </c>
      <c r="BZ2" s="16" t="s">
        <v>389</v>
      </c>
      <c r="CA2" s="16" t="s">
        <v>391</v>
      </c>
      <c r="CB2" s="16" t="s">
        <v>394</v>
      </c>
      <c r="CC2" s="16" t="s">
        <v>1116</v>
      </c>
      <c r="CD2" s="16" t="s">
        <v>1104</v>
      </c>
      <c r="CE2" s="16" t="s">
        <v>1117</v>
      </c>
      <c r="CF2" s="16" t="s">
        <v>1296</v>
      </c>
      <c r="CG2" s="16" t="s">
        <v>379</v>
      </c>
      <c r="CH2" s="16" t="s">
        <v>382</v>
      </c>
      <c r="CI2" s="16" t="s">
        <v>1046</v>
      </c>
      <c r="CJ2" s="16" t="s">
        <v>1092</v>
      </c>
      <c r="CK2" s="16" t="s">
        <v>1105</v>
      </c>
      <c r="CL2" s="16" t="s">
        <v>1051</v>
      </c>
      <c r="CM2" s="16" t="s">
        <v>1178</v>
      </c>
      <c r="CN2" s="16" t="s">
        <v>1288</v>
      </c>
      <c r="CO2" s="16" t="s">
        <v>1299</v>
      </c>
      <c r="CP2" s="16" t="s">
        <v>448</v>
      </c>
      <c r="CQ2" s="16" t="s">
        <v>449</v>
      </c>
      <c r="CR2" s="16" t="s">
        <v>453</v>
      </c>
      <c r="CS2" s="16" t="s">
        <v>455</v>
      </c>
      <c r="CT2" s="16" t="s">
        <v>1298</v>
      </c>
      <c r="CU2" s="16" t="s">
        <v>1136</v>
      </c>
      <c r="CV2" s="16" t="s">
        <v>1106</v>
      </c>
      <c r="CW2" s="16" t="s">
        <v>1153</v>
      </c>
      <c r="CX2" s="16" t="s">
        <v>1183</v>
      </c>
      <c r="CY2" s="16" t="s">
        <v>1297</v>
      </c>
      <c r="CZ2" s="16" t="s">
        <v>445</v>
      </c>
      <c r="DA2" s="16" t="s">
        <v>1047</v>
      </c>
      <c r="DB2" s="16" t="s">
        <v>1093</v>
      </c>
      <c r="DC2" s="17" t="s">
        <v>1043</v>
      </c>
      <c r="DD2" s="17" t="s">
        <v>1179</v>
      </c>
      <c r="DE2" s="16" t="s">
        <v>512</v>
      </c>
      <c r="DF2" s="16" t="s">
        <v>515</v>
      </c>
      <c r="DG2" s="16" t="s">
        <v>516</v>
      </c>
      <c r="DH2" s="16" t="s">
        <v>520</v>
      </c>
      <c r="DI2" s="16" t="s">
        <v>522</v>
      </c>
      <c r="DJ2" s="16" t="s">
        <v>525</v>
      </c>
      <c r="DK2" s="16" t="s">
        <v>1199</v>
      </c>
      <c r="DL2" s="16" t="s">
        <v>1120</v>
      </c>
      <c r="DM2" s="16" t="s">
        <v>510</v>
      </c>
      <c r="DN2" s="16" t="s">
        <v>1107</v>
      </c>
      <c r="DO2" s="16" t="s">
        <v>1121</v>
      </c>
      <c r="DP2" s="16" t="s">
        <v>1108</v>
      </c>
      <c r="DQ2" s="16" t="s">
        <v>1052</v>
      </c>
      <c r="DR2" s="16" t="s">
        <v>1268</v>
      </c>
      <c r="DS2" s="16" t="s">
        <v>552</v>
      </c>
      <c r="DT2" s="16" t="s">
        <v>553</v>
      </c>
      <c r="DU2" s="16" t="s">
        <v>1044</v>
      </c>
      <c r="DV2" s="16" t="s">
        <v>1134</v>
      </c>
      <c r="DW2" s="16" t="s">
        <v>1048</v>
      </c>
      <c r="DX2" s="16" t="s">
        <v>1133</v>
      </c>
      <c r="DY2" s="16" t="s">
        <v>1095</v>
      </c>
      <c r="DZ2" s="16" t="s">
        <v>1182</v>
      </c>
      <c r="EA2" s="16" t="s">
        <v>1096</v>
      </c>
      <c r="EB2" s="24" t="s">
        <v>1088</v>
      </c>
      <c r="EC2" s="24" t="s">
        <v>1141</v>
      </c>
      <c r="ED2" s="24" t="s">
        <v>1142</v>
      </c>
      <c r="EE2" s="24" t="s">
        <v>1143</v>
      </c>
      <c r="EF2" s="24" t="s">
        <v>1144</v>
      </c>
      <c r="EG2" s="24" t="s">
        <v>1089</v>
      </c>
      <c r="EH2" s="24" t="s">
        <v>1145</v>
      </c>
      <c r="EI2" s="24" t="s">
        <v>1146</v>
      </c>
      <c r="EJ2" s="24" t="s">
        <v>1300</v>
      </c>
      <c r="EK2" s="24" t="s">
        <v>1147</v>
      </c>
      <c r="EL2" s="24" t="s">
        <v>1090</v>
      </c>
      <c r="EM2" s="16" t="s">
        <v>1381</v>
      </c>
      <c r="EN2" s="16" t="s">
        <v>563</v>
      </c>
      <c r="EO2" s="16" t="s">
        <v>565</v>
      </c>
      <c r="EP2" s="16" t="s">
        <v>571</v>
      </c>
      <c r="EQ2" s="16" t="s">
        <v>1158</v>
      </c>
      <c r="ER2" s="16" t="s">
        <v>1159</v>
      </c>
      <c r="ES2" s="16" t="s">
        <v>1301</v>
      </c>
      <c r="ET2" s="16" t="s">
        <v>564</v>
      </c>
      <c r="EU2" s="24" t="s">
        <v>1062</v>
      </c>
      <c r="EV2" s="24" t="s">
        <v>1200</v>
      </c>
      <c r="EW2" s="24" t="s">
        <v>1148</v>
      </c>
      <c r="EX2" s="16" t="s">
        <v>1201</v>
      </c>
      <c r="EY2" s="16" t="s">
        <v>639</v>
      </c>
      <c r="EZ2" s="16" t="s">
        <v>640</v>
      </c>
      <c r="FA2" s="16" t="s">
        <v>646</v>
      </c>
      <c r="FB2" s="16" t="s">
        <v>1155</v>
      </c>
      <c r="FC2" s="16" t="s">
        <v>1302</v>
      </c>
      <c r="FD2" s="16" t="s">
        <v>1197</v>
      </c>
      <c r="FE2" s="16" t="s">
        <v>1082</v>
      </c>
      <c r="FF2" s="16" t="s">
        <v>1382</v>
      </c>
      <c r="FG2" s="16" t="s">
        <v>1063</v>
      </c>
      <c r="FH2" s="16" t="s">
        <v>1305</v>
      </c>
      <c r="FI2" s="16" t="s">
        <v>731</v>
      </c>
      <c r="FJ2" s="16" t="s">
        <v>735</v>
      </c>
      <c r="FK2" s="16" t="s">
        <v>737</v>
      </c>
      <c r="FL2" s="16" t="s">
        <v>1304</v>
      </c>
      <c r="FM2" s="16" t="s">
        <v>1098</v>
      </c>
      <c r="FN2" s="16" t="s">
        <v>1114</v>
      </c>
      <c r="FO2" s="16" t="s">
        <v>1118</v>
      </c>
      <c r="FP2" s="16" t="s">
        <v>726</v>
      </c>
      <c r="FQ2" s="16" t="s">
        <v>1099</v>
      </c>
      <c r="FR2" s="16" t="s">
        <v>1119</v>
      </c>
      <c r="FS2" s="16" t="s">
        <v>1100</v>
      </c>
      <c r="FT2" s="16" t="s">
        <v>1101</v>
      </c>
      <c r="FU2" s="16" t="s">
        <v>1083</v>
      </c>
      <c r="FV2" s="16" t="s">
        <v>1202</v>
      </c>
      <c r="FW2" s="16" t="s">
        <v>779</v>
      </c>
      <c r="FX2" s="16" t="s">
        <v>780</v>
      </c>
      <c r="FY2" s="16" t="s">
        <v>786</v>
      </c>
      <c r="FZ2" s="16" t="s">
        <v>1156</v>
      </c>
      <c r="GA2" s="16" t="s">
        <v>1157</v>
      </c>
      <c r="GB2" s="16" t="s">
        <v>1303</v>
      </c>
      <c r="GC2" s="16" t="s">
        <v>797</v>
      </c>
      <c r="GD2" s="16" t="s">
        <v>802</v>
      </c>
      <c r="GE2" s="16" t="s">
        <v>809</v>
      </c>
      <c r="GF2" s="16" t="s">
        <v>1094</v>
      </c>
      <c r="GG2" s="16" t="s">
        <v>1385</v>
      </c>
      <c r="GH2" s="16" t="s">
        <v>1384</v>
      </c>
      <c r="GI2" s="16" t="s">
        <v>1383</v>
      </c>
      <c r="GJ2" s="16" t="s">
        <v>1306</v>
      </c>
      <c r="GK2" s="16" t="s">
        <v>1113</v>
      </c>
      <c r="GL2" s="16" t="s">
        <v>1053</v>
      </c>
      <c r="GM2" s="16" t="s">
        <v>1180</v>
      </c>
      <c r="GN2" s="16" t="s">
        <v>1308</v>
      </c>
      <c r="GO2" s="16" t="s">
        <v>1307</v>
      </c>
      <c r="GP2" s="16" t="s">
        <v>1109</v>
      </c>
      <c r="GQ2" s="16" t="s">
        <v>1110</v>
      </c>
      <c r="GR2" s="16" t="s">
        <v>1111</v>
      </c>
      <c r="GS2" s="17" t="s">
        <v>1042</v>
      </c>
      <c r="GT2" s="16" t="s">
        <v>1080</v>
      </c>
      <c r="GU2" s="16" t="s">
        <v>867</v>
      </c>
      <c r="GV2" s="16" t="s">
        <v>870</v>
      </c>
      <c r="GW2" s="16" t="s">
        <v>872</v>
      </c>
      <c r="GX2" s="16" t="s">
        <v>1097</v>
      </c>
      <c r="GY2" s="16" t="s">
        <v>1091</v>
      </c>
      <c r="GZ2" s="17" t="s">
        <v>1081</v>
      </c>
      <c r="HA2" s="16" t="s">
        <v>1203</v>
      </c>
      <c r="HB2" s="16" t="s">
        <v>1079</v>
      </c>
      <c r="HC2" s="16" t="s">
        <v>1140</v>
      </c>
      <c r="HD2" s="16" t="s">
        <v>1078</v>
      </c>
      <c r="HE2" s="16" t="s">
        <v>1057</v>
      </c>
      <c r="HF2" s="16" t="s">
        <v>904</v>
      </c>
      <c r="HG2" s="16" t="s">
        <v>1149</v>
      </c>
      <c r="HH2" s="16" t="s">
        <v>1150</v>
      </c>
      <c r="HI2" s="16" t="s">
        <v>1151</v>
      </c>
      <c r="HJ2" s="16" t="s">
        <v>1152</v>
      </c>
      <c r="HK2" s="16" t="s">
        <v>1054</v>
      </c>
      <c r="HL2" s="16" t="s">
        <v>1055</v>
      </c>
      <c r="HM2" s="24" t="s">
        <v>1072</v>
      </c>
      <c r="HN2" s="24" t="s">
        <v>1073</v>
      </c>
      <c r="HO2" s="24" t="s">
        <v>1074</v>
      </c>
      <c r="HP2" s="24" t="s">
        <v>1075</v>
      </c>
      <c r="HQ2" s="24" t="s">
        <v>1076</v>
      </c>
      <c r="HR2" s="29" t="s">
        <v>83</v>
      </c>
      <c r="HS2" s="29" t="s">
        <v>85</v>
      </c>
      <c r="HT2" s="29" t="s">
        <v>87</v>
      </c>
      <c r="HU2" s="29" t="s">
        <v>88</v>
      </c>
      <c r="HV2" s="29" t="s">
        <v>89</v>
      </c>
      <c r="HW2" s="29" t="s">
        <v>90</v>
      </c>
      <c r="HX2" s="29" t="s">
        <v>91</v>
      </c>
      <c r="HY2" s="29" t="s">
        <v>92</v>
      </c>
      <c r="HZ2" s="29" t="s">
        <v>93</v>
      </c>
      <c r="IA2" s="24" t="s">
        <v>1160</v>
      </c>
      <c r="IB2" s="24" t="s">
        <v>1161</v>
      </c>
      <c r="IC2" s="24" t="s">
        <v>1162</v>
      </c>
      <c r="ID2" s="24" t="s">
        <v>1163</v>
      </c>
      <c r="IE2" s="24" t="s">
        <v>1164</v>
      </c>
      <c r="IF2" s="24" t="s">
        <v>1165</v>
      </c>
      <c r="IG2" s="29" t="s">
        <v>1166</v>
      </c>
      <c r="IH2" s="24" t="s">
        <v>1167</v>
      </c>
      <c r="II2" s="24" t="s">
        <v>1168</v>
      </c>
      <c r="IJ2" s="24" t="s">
        <v>1169</v>
      </c>
      <c r="IK2" s="24" t="s">
        <v>1170</v>
      </c>
      <c r="IL2" s="24" t="s">
        <v>1171</v>
      </c>
      <c r="IM2" s="24" t="s">
        <v>1172</v>
      </c>
      <c r="IN2" s="17" t="s">
        <v>1174</v>
      </c>
      <c r="IO2" s="33" t="s">
        <v>1175</v>
      </c>
      <c r="IP2" s="17" t="s">
        <v>1192</v>
      </c>
      <c r="IQ2" s="34" t="s">
        <v>151</v>
      </c>
      <c r="IR2" s="34" t="s">
        <v>1257</v>
      </c>
      <c r="IS2" s="34" t="s">
        <v>1256</v>
      </c>
      <c r="IT2" s="34" t="s">
        <v>162</v>
      </c>
      <c r="IU2" s="34" t="s">
        <v>1208</v>
      </c>
      <c r="IV2" s="34" t="s">
        <v>1258</v>
      </c>
      <c r="IW2" s="35" t="s">
        <v>1249</v>
      </c>
      <c r="IX2" s="41"/>
      <c r="IY2" s="41"/>
      <c r="IZ2" s="41"/>
      <c r="JA2" s="41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6" t="s">
        <v>1242</v>
      </c>
      <c r="KU2" s="36" t="s">
        <v>1243</v>
      </c>
      <c r="KV2" s="36" t="s">
        <v>1239</v>
      </c>
      <c r="KW2" s="36" t="s">
        <v>1240</v>
      </c>
      <c r="KX2" s="36" t="s">
        <v>1241</v>
      </c>
      <c r="KY2" s="36" t="s">
        <v>1236</v>
      </c>
      <c r="KZ2" s="36" t="s">
        <v>1237</v>
      </c>
      <c r="LA2" s="36" t="s">
        <v>1242</v>
      </c>
      <c r="LB2" s="36" t="s">
        <v>1243</v>
      </c>
      <c r="LC2" s="36" t="s">
        <v>1239</v>
      </c>
      <c r="LD2" s="36" t="s">
        <v>1240</v>
      </c>
      <c r="LE2" s="36" t="s">
        <v>1241</v>
      </c>
      <c r="LF2" s="36" t="s">
        <v>1236</v>
      </c>
      <c r="LG2" s="36" t="s">
        <v>1237</v>
      </c>
      <c r="LH2" s="36" t="s">
        <v>1242</v>
      </c>
      <c r="LI2" s="36" t="s">
        <v>1243</v>
      </c>
      <c r="LJ2" s="36" t="s">
        <v>1239</v>
      </c>
      <c r="LK2" s="36" t="s">
        <v>1240</v>
      </c>
      <c r="LL2" s="36" t="s">
        <v>1241</v>
      </c>
      <c r="LM2" s="36" t="s">
        <v>1236</v>
      </c>
      <c r="LN2" s="36" t="s">
        <v>1237</v>
      </c>
      <c r="LO2" s="36" t="s">
        <v>1246</v>
      </c>
      <c r="LP2" s="36" t="s">
        <v>1244</v>
      </c>
      <c r="LQ2" s="36" t="s">
        <v>1245</v>
      </c>
      <c r="LR2" s="36" t="s">
        <v>1246</v>
      </c>
      <c r="LS2" s="36" t="s">
        <v>1244</v>
      </c>
      <c r="LT2" s="36" t="s">
        <v>1245</v>
      </c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43" t="s">
        <v>1212</v>
      </c>
      <c r="PK2" s="43" t="s">
        <v>1213</v>
      </c>
      <c r="PL2" s="43" t="s">
        <v>1214</v>
      </c>
      <c r="PM2" s="43" t="s">
        <v>1215</v>
      </c>
      <c r="PN2" s="43" t="s">
        <v>1216</v>
      </c>
      <c r="PO2" s="43" t="s">
        <v>1252</v>
      </c>
      <c r="PP2" s="43" t="s">
        <v>1254</v>
      </c>
      <c r="PQ2" s="43" t="s">
        <v>1035</v>
      </c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4" t="s">
        <v>1231</v>
      </c>
      <c r="QS2" s="44" t="s">
        <v>1219</v>
      </c>
      <c r="QT2" s="44"/>
      <c r="QU2" s="44" t="s">
        <v>1232</v>
      </c>
      <c r="QV2" s="44" t="s">
        <v>1229</v>
      </c>
      <c r="QW2" s="44"/>
      <c r="QX2" s="44"/>
      <c r="QY2" s="44"/>
      <c r="QZ2" s="44" t="s">
        <v>1233</v>
      </c>
      <c r="RA2" s="44"/>
      <c r="RB2" s="44"/>
      <c r="RC2" s="44"/>
      <c r="RD2" s="44" t="s">
        <v>1225</v>
      </c>
      <c r="RE2" s="44" t="s">
        <v>1228</v>
      </c>
      <c r="RF2" s="44" t="s">
        <v>1234</v>
      </c>
      <c r="RG2" s="44" t="s">
        <v>1229</v>
      </c>
      <c r="RH2" s="44" t="s">
        <v>1226</v>
      </c>
      <c r="RI2" s="44" t="s">
        <v>1255</v>
      </c>
      <c r="RJ2" s="44" t="s">
        <v>1230</v>
      </c>
      <c r="RK2" s="44"/>
      <c r="RL2" s="44"/>
      <c r="RM2" s="44"/>
      <c r="RN2" s="44"/>
      <c r="RO2" s="44"/>
      <c r="RP2" s="44"/>
      <c r="RQ2" s="44" t="s">
        <v>1222</v>
      </c>
      <c r="RR2" s="44" t="s">
        <v>1223</v>
      </c>
      <c r="RS2" s="44" t="s">
        <v>1229</v>
      </c>
      <c r="RT2" s="44" t="s">
        <v>1222</v>
      </c>
      <c r="RU2" s="44" t="s">
        <v>1223</v>
      </c>
      <c r="RV2" s="44"/>
      <c r="RW2" s="44"/>
      <c r="RX2" s="44"/>
      <c r="RY2" s="44"/>
      <c r="RZ2" s="44" t="s">
        <v>1220</v>
      </c>
      <c r="SA2" s="44" t="s">
        <v>1217</v>
      </c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53"/>
      <c r="UK2" s="53"/>
      <c r="UL2" s="53"/>
      <c r="UM2" s="53"/>
      <c r="UN2" s="53"/>
      <c r="UO2" s="53"/>
      <c r="UP2" s="53"/>
      <c r="UQ2" s="53"/>
      <c r="UR2" s="53"/>
      <c r="US2" s="53"/>
      <c r="UT2" s="53"/>
      <c r="UU2" s="53"/>
      <c r="UV2" s="53"/>
      <c r="UW2" s="53"/>
      <c r="UX2" s="53"/>
      <c r="UY2" s="53"/>
      <c r="UZ2" s="53"/>
      <c r="VA2" s="53"/>
    </row>
    <row r="3" spans="1:573" x14ac:dyDescent="0.25">
      <c r="A3" s="27" t="s">
        <v>1207</v>
      </c>
      <c r="B3" s="27"/>
      <c r="C3" s="18"/>
      <c r="D3" s="19"/>
      <c r="E3" s="19"/>
      <c r="F3" s="19"/>
      <c r="G3" s="19"/>
      <c r="H3" s="19"/>
      <c r="I3" s="19"/>
      <c r="J3" s="19"/>
      <c r="K3" s="19"/>
      <c r="L3" s="20"/>
      <c r="M3" s="20"/>
      <c r="N3" s="20"/>
      <c r="O3" s="20"/>
      <c r="P3" s="20"/>
      <c r="Q3" s="20"/>
      <c r="R3" s="19"/>
      <c r="S3" s="19"/>
      <c r="T3" s="19"/>
      <c r="U3" s="19"/>
      <c r="V3" s="19"/>
      <c r="W3" s="20"/>
      <c r="X3" s="20"/>
      <c r="Y3" s="20"/>
      <c r="Z3" s="19"/>
      <c r="AA3" s="19"/>
      <c r="AB3" s="19"/>
      <c r="AC3" s="19"/>
      <c r="AD3" s="19"/>
      <c r="AE3" s="19"/>
      <c r="AF3" s="19"/>
      <c r="AG3" s="19"/>
      <c r="AH3" s="20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21"/>
      <c r="DD3" s="21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19"/>
      <c r="EN3" s="19"/>
      <c r="EO3" s="19"/>
      <c r="EP3" s="19"/>
      <c r="EQ3" s="19"/>
      <c r="ER3" s="19"/>
      <c r="ES3" s="19"/>
      <c r="ET3" s="19"/>
      <c r="EU3" s="20"/>
      <c r="EV3" s="20"/>
      <c r="EW3" s="20"/>
      <c r="EX3" s="19"/>
      <c r="EY3" s="19"/>
      <c r="EZ3" s="19"/>
      <c r="FA3" s="19"/>
      <c r="FB3" s="19"/>
      <c r="FC3" s="19"/>
      <c r="FD3" s="19"/>
      <c r="FE3" s="20"/>
      <c r="FF3" s="19"/>
      <c r="FG3" s="20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20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21"/>
      <c r="GT3" s="19"/>
      <c r="GU3" s="19"/>
      <c r="GV3" s="19"/>
      <c r="GW3" s="19"/>
      <c r="GX3" s="19"/>
      <c r="GY3" s="19"/>
      <c r="GZ3" s="20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</row>
    <row r="4" spans="1:573" x14ac:dyDescent="0.25">
      <c r="A4" s="7">
        <v>7072184</v>
      </c>
      <c r="B4" s="18"/>
      <c r="C4">
        <v>12.441000000000001</v>
      </c>
      <c r="D4" s="19"/>
      <c r="E4" s="19"/>
      <c r="F4" s="19"/>
      <c r="G4" s="19"/>
      <c r="H4" s="19"/>
      <c r="I4" s="49" t="s">
        <v>1263</v>
      </c>
      <c r="J4" s="19"/>
      <c r="K4" s="19"/>
      <c r="L4" s="20"/>
      <c r="M4" s="20"/>
      <c r="N4" s="20"/>
      <c r="O4" s="20"/>
      <c r="P4" s="20"/>
      <c r="Q4" s="20"/>
      <c r="R4" s="19"/>
      <c r="S4" s="19"/>
      <c r="T4" s="19"/>
      <c r="U4" s="19"/>
      <c r="V4" s="19"/>
      <c r="W4">
        <v>2.9</v>
      </c>
      <c r="X4" s="5">
        <v>18</v>
      </c>
      <c r="Y4">
        <v>108.5</v>
      </c>
      <c r="Z4" s="19"/>
      <c r="AA4" s="19"/>
      <c r="AB4" s="19"/>
      <c r="AC4" s="19"/>
      <c r="AD4" s="48">
        <v>2.4660000000000002</v>
      </c>
      <c r="AE4" s="48" t="s">
        <v>1260</v>
      </c>
      <c r="AF4">
        <v>282</v>
      </c>
      <c r="AG4" s="7" t="s">
        <v>1259</v>
      </c>
      <c r="AH4" s="47">
        <v>69</v>
      </c>
      <c r="AI4" s="23">
        <v>3.9600000000000003E-2</v>
      </c>
      <c r="AJ4" s="23"/>
      <c r="AK4" s="23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>
        <v>916</v>
      </c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>
        <v>190</v>
      </c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>
        <v>5.423</v>
      </c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8">
        <v>11</v>
      </c>
      <c r="DR4" s="18"/>
      <c r="DS4" s="19"/>
      <c r="DT4" s="19"/>
      <c r="DU4" s="19"/>
      <c r="DV4" s="19"/>
      <c r="DW4" s="19"/>
      <c r="DX4" s="19"/>
      <c r="DY4" s="19"/>
      <c r="DZ4" s="19"/>
      <c r="EA4" s="19"/>
      <c r="EB4" s="48">
        <v>8</v>
      </c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9"/>
      <c r="EN4" s="19"/>
      <c r="EO4" s="19"/>
      <c r="EP4" s="19"/>
      <c r="EQ4" s="19"/>
      <c r="ER4" s="19"/>
      <c r="ES4" s="19"/>
      <c r="ET4" s="19"/>
      <c r="EU4">
        <v>3.3</v>
      </c>
      <c r="EX4" s="19"/>
      <c r="EY4" s="19"/>
      <c r="EZ4" s="19"/>
      <c r="FA4" s="19"/>
      <c r="FB4" s="19"/>
      <c r="FC4" s="19"/>
      <c r="FD4" s="19"/>
      <c r="FE4" s="20"/>
      <c r="FF4" s="19"/>
      <c r="FG4">
        <v>2.4</v>
      </c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20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>
        <v>537</v>
      </c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7" t="s">
        <v>1261</v>
      </c>
      <c r="GT4" s="19"/>
      <c r="GU4" s="19"/>
      <c r="GV4" s="19"/>
      <c r="GW4" s="19"/>
      <c r="GX4" s="19"/>
      <c r="GY4" s="19"/>
      <c r="GZ4" s="20"/>
      <c r="HA4" s="19"/>
      <c r="HB4" s="19"/>
      <c r="HC4" s="19"/>
      <c r="HD4" s="19"/>
      <c r="HE4" s="18">
        <v>80</v>
      </c>
      <c r="HF4" s="19"/>
      <c r="HG4" s="19"/>
      <c r="HH4" s="19"/>
      <c r="HI4" s="19"/>
      <c r="HJ4" s="19"/>
      <c r="HK4" s="19"/>
      <c r="HL4" s="19"/>
      <c r="IQ4">
        <v>39</v>
      </c>
      <c r="IR4">
        <v>1</v>
      </c>
      <c r="IU4">
        <v>1</v>
      </c>
      <c r="IW4">
        <v>1</v>
      </c>
      <c r="KT4">
        <v>75</v>
      </c>
      <c r="KU4">
        <v>1</v>
      </c>
      <c r="KW4">
        <v>1</v>
      </c>
      <c r="KY4">
        <v>1</v>
      </c>
      <c r="KZ4">
        <v>0</v>
      </c>
      <c r="PJ4">
        <v>1</v>
      </c>
      <c r="PK4">
        <v>1</v>
      </c>
      <c r="PL4">
        <v>1</v>
      </c>
      <c r="PM4">
        <v>1</v>
      </c>
      <c r="PN4">
        <v>1</v>
      </c>
      <c r="QR4">
        <v>45</v>
      </c>
      <c r="QS4">
        <v>1</v>
      </c>
      <c r="QU4">
        <v>1</v>
      </c>
      <c r="QZ4">
        <v>1</v>
      </c>
      <c r="RD4">
        <v>1</v>
      </c>
      <c r="RE4">
        <v>1</v>
      </c>
      <c r="RF4">
        <v>1</v>
      </c>
      <c r="RG4">
        <v>1</v>
      </c>
      <c r="RH4">
        <v>1</v>
      </c>
      <c r="RJ4">
        <v>1</v>
      </c>
      <c r="RQ4">
        <v>1</v>
      </c>
      <c r="RR4">
        <v>1</v>
      </c>
      <c r="RT4">
        <v>1</v>
      </c>
      <c r="RU4">
        <v>1</v>
      </c>
      <c r="RZ4">
        <v>1</v>
      </c>
      <c r="SA4">
        <v>1</v>
      </c>
    </row>
    <row r="5" spans="1:573" x14ac:dyDescent="0.25">
      <c r="A5" s="18">
        <v>9108231</v>
      </c>
      <c r="B5" s="18"/>
      <c r="C5" s="19"/>
      <c r="D5" s="19"/>
      <c r="E5" s="19"/>
      <c r="F5" s="19"/>
      <c r="G5" s="19"/>
      <c r="H5" s="19"/>
      <c r="I5" s="19"/>
      <c r="J5" s="19"/>
      <c r="K5" s="19"/>
      <c r="L5" s="20"/>
      <c r="M5" s="20"/>
      <c r="N5" s="20"/>
      <c r="O5" s="20"/>
      <c r="P5" s="20"/>
      <c r="Q5" s="20"/>
      <c r="R5" s="19"/>
      <c r="S5" s="19"/>
      <c r="T5" s="19"/>
      <c r="U5" s="19"/>
      <c r="V5" s="19"/>
      <c r="W5" s="20"/>
      <c r="X5" s="20"/>
      <c r="Y5" s="20"/>
      <c r="Z5" s="19"/>
      <c r="AA5" s="19"/>
      <c r="AB5" s="19"/>
      <c r="AC5" s="19"/>
      <c r="AD5" s="19"/>
      <c r="AE5" s="19"/>
      <c r="AF5" s="19"/>
      <c r="AG5" s="19"/>
      <c r="AH5" s="20"/>
      <c r="AI5" s="23">
        <v>13120</v>
      </c>
      <c r="AJ5" s="23"/>
      <c r="AK5" s="23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21"/>
      <c r="DD5" s="21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19"/>
      <c r="EN5" s="19"/>
      <c r="EO5" s="19"/>
      <c r="EP5" s="19"/>
      <c r="EQ5" s="19"/>
      <c r="ER5" s="19"/>
      <c r="ES5" s="19"/>
      <c r="ET5" s="19"/>
      <c r="EU5" s="20"/>
      <c r="EV5" s="20"/>
      <c r="EW5" s="20"/>
      <c r="EX5" s="19"/>
      <c r="EY5" s="19"/>
      <c r="EZ5" s="19"/>
      <c r="FA5" s="19"/>
      <c r="FB5" s="19"/>
      <c r="FC5" s="19"/>
      <c r="FD5" s="19"/>
      <c r="FE5" s="20"/>
      <c r="FF5" s="19"/>
      <c r="FG5" s="20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20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>
        <v>193</v>
      </c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21"/>
      <c r="GT5" s="19"/>
      <c r="GU5" s="19"/>
      <c r="GV5" s="19"/>
      <c r="GW5" s="19"/>
      <c r="GX5" s="19"/>
      <c r="GY5" s="19"/>
      <c r="GZ5" s="20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IQ5">
        <v>24</v>
      </c>
      <c r="IS5">
        <v>1</v>
      </c>
      <c r="IW5">
        <v>1</v>
      </c>
      <c r="KT5">
        <v>50</v>
      </c>
      <c r="KU5">
        <v>3</v>
      </c>
      <c r="KX5">
        <v>1</v>
      </c>
      <c r="LE5">
        <v>1</v>
      </c>
      <c r="LL5">
        <v>1</v>
      </c>
      <c r="LO5">
        <v>1</v>
      </c>
      <c r="LP5">
        <v>1</v>
      </c>
      <c r="LR5">
        <v>1</v>
      </c>
      <c r="LS5">
        <v>1</v>
      </c>
      <c r="PO5">
        <v>1</v>
      </c>
      <c r="PP5">
        <v>1</v>
      </c>
      <c r="PQ5">
        <v>1</v>
      </c>
      <c r="QV5">
        <v>1</v>
      </c>
      <c r="RH5">
        <v>1</v>
      </c>
      <c r="RI5">
        <v>1</v>
      </c>
      <c r="RS5">
        <v>1</v>
      </c>
    </row>
    <row r="6" spans="1:573" x14ac:dyDescent="0.25">
      <c r="A6">
        <v>12061933</v>
      </c>
      <c r="B6" s="18"/>
      <c r="C6" s="19"/>
      <c r="D6" s="19"/>
      <c r="E6" s="19"/>
      <c r="F6" s="19"/>
      <c r="G6" s="19"/>
      <c r="H6" s="19"/>
      <c r="I6" s="19"/>
      <c r="J6" s="19"/>
      <c r="K6" s="19"/>
      <c r="L6" s="20"/>
      <c r="M6" s="20"/>
      <c r="N6" s="20"/>
      <c r="O6" s="20"/>
      <c r="P6" s="20"/>
      <c r="Q6" s="20"/>
      <c r="R6" s="19"/>
      <c r="S6" s="19"/>
      <c r="T6" s="19"/>
      <c r="U6" s="19"/>
      <c r="V6" s="19"/>
      <c r="W6" s="20"/>
      <c r="X6" s="20"/>
      <c r="Y6" s="20"/>
      <c r="Z6" s="19"/>
      <c r="AA6" s="19"/>
      <c r="AB6" s="19"/>
      <c r="AC6" s="19"/>
      <c r="AD6" s="19"/>
      <c r="AE6" s="19"/>
      <c r="AF6" s="19"/>
      <c r="AG6" s="19"/>
      <c r="AH6" s="20"/>
      <c r="AI6" s="20"/>
      <c r="AJ6" s="20"/>
      <c r="AK6" s="20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21"/>
      <c r="DD6" s="21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19"/>
      <c r="EN6" s="19"/>
      <c r="EO6" s="19"/>
      <c r="EP6" s="19"/>
      <c r="EQ6" s="19"/>
      <c r="ER6" s="19"/>
      <c r="ES6" s="19"/>
      <c r="ET6" s="19"/>
      <c r="EU6" s="20"/>
      <c r="EV6" s="20"/>
      <c r="EW6" s="20"/>
      <c r="EX6" s="19"/>
      <c r="EY6" s="19"/>
      <c r="EZ6" s="19"/>
      <c r="FA6" s="19"/>
      <c r="FB6" s="19"/>
      <c r="FC6" s="19"/>
      <c r="FD6" s="19"/>
      <c r="FE6" s="20"/>
      <c r="FF6" s="19"/>
      <c r="FG6" s="20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20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21"/>
      <c r="GT6" s="19"/>
      <c r="GU6" s="19"/>
      <c r="GV6" s="19"/>
      <c r="GW6" s="19"/>
      <c r="GX6" s="19"/>
      <c r="GY6" s="19"/>
      <c r="GZ6" s="20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t="s">
        <v>22</v>
      </c>
      <c r="HN6" t="s">
        <v>24</v>
      </c>
      <c r="HO6" t="s">
        <v>26</v>
      </c>
      <c r="HP6" t="s">
        <v>28</v>
      </c>
      <c r="HQ6" t="s">
        <v>30</v>
      </c>
    </row>
    <row r="7" spans="1:573" x14ac:dyDescent="0.25">
      <c r="A7">
        <v>95005911</v>
      </c>
      <c r="B7" s="18"/>
      <c r="C7" s="18"/>
      <c r="BU7">
        <v>40</v>
      </c>
      <c r="CL7">
        <v>70</v>
      </c>
      <c r="DW7">
        <v>16</v>
      </c>
      <c r="GG7">
        <v>5.3</v>
      </c>
    </row>
    <row r="8" spans="1:573" x14ac:dyDescent="0.25">
      <c r="A8">
        <v>99001908</v>
      </c>
      <c r="B8" s="18"/>
      <c r="C8" s="18"/>
      <c r="CL8">
        <v>25</v>
      </c>
      <c r="DC8">
        <v>253</v>
      </c>
    </row>
    <row r="9" spans="1:573" x14ac:dyDescent="0.25">
      <c r="A9">
        <v>99004067</v>
      </c>
      <c r="B9" s="18"/>
      <c r="C9" s="18"/>
      <c r="BD9">
        <v>20</v>
      </c>
      <c r="BU9">
        <v>22</v>
      </c>
      <c r="CL9">
        <v>106</v>
      </c>
      <c r="DQ9">
        <v>21.5</v>
      </c>
      <c r="GL9">
        <v>114.2</v>
      </c>
    </row>
    <row r="10" spans="1:573" x14ac:dyDescent="0.25">
      <c r="A10">
        <v>97002136</v>
      </c>
      <c r="B10" s="18"/>
      <c r="C10" s="18"/>
      <c r="BD10">
        <v>189</v>
      </c>
      <c r="BU10">
        <v>44</v>
      </c>
      <c r="CL10">
        <v>440</v>
      </c>
      <c r="DC10">
        <v>462</v>
      </c>
      <c r="HK10" t="s">
        <v>30</v>
      </c>
      <c r="HL10" t="s">
        <v>30</v>
      </c>
    </row>
    <row r="11" spans="1:573" x14ac:dyDescent="0.25"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20"/>
      <c r="M11" s="20"/>
      <c r="N11" s="20"/>
      <c r="O11" s="20"/>
      <c r="P11" s="20"/>
      <c r="Q11" s="20"/>
      <c r="R11" s="19"/>
      <c r="S11" s="19"/>
      <c r="T11" s="19"/>
      <c r="U11" s="19"/>
      <c r="V11" s="19"/>
      <c r="W11" s="20"/>
      <c r="X11" s="20"/>
      <c r="Y11" s="20"/>
      <c r="Z11" s="19"/>
      <c r="AA11" s="19"/>
      <c r="AB11" s="19"/>
      <c r="AC11" s="19"/>
      <c r="AD11" s="19"/>
      <c r="AE11" s="19"/>
      <c r="AF11" s="19"/>
      <c r="AG11" s="19"/>
      <c r="AH11" s="20"/>
      <c r="AI11" s="20"/>
      <c r="AJ11" s="20"/>
      <c r="AK11" s="20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21"/>
      <c r="DD11" s="21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19"/>
      <c r="EN11" s="19"/>
      <c r="EO11" s="19"/>
      <c r="EP11" s="19"/>
      <c r="EQ11" s="19"/>
      <c r="ER11" s="19"/>
      <c r="ES11" s="19"/>
      <c r="ET11" s="19"/>
      <c r="EU11" s="20"/>
      <c r="EV11" s="20"/>
      <c r="EW11" s="20"/>
      <c r="EX11" s="19"/>
      <c r="EY11" s="19"/>
      <c r="EZ11" s="19"/>
      <c r="FA11" s="19"/>
      <c r="FB11" s="19"/>
      <c r="FC11" s="19"/>
      <c r="FD11" s="19"/>
      <c r="FE11" s="20"/>
      <c r="FF11" s="19"/>
      <c r="FG11" s="20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20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21"/>
      <c r="GT11" s="19"/>
      <c r="GU11" s="19"/>
      <c r="GV11" s="19"/>
      <c r="GW11" s="19"/>
      <c r="GX11" s="19"/>
      <c r="GY11" s="19"/>
      <c r="GZ11" s="20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</row>
    <row r="12" spans="1:573" x14ac:dyDescent="0.25">
      <c r="A12" s="27" t="s">
        <v>1077</v>
      </c>
      <c r="B12" s="27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20"/>
      <c r="N12" s="20"/>
      <c r="O12" s="20"/>
      <c r="P12" s="20"/>
      <c r="Q12" s="20"/>
      <c r="R12" s="19"/>
      <c r="S12" s="19"/>
      <c r="T12" s="19"/>
      <c r="U12" s="19"/>
      <c r="V12" s="19"/>
      <c r="W12" s="20"/>
      <c r="X12" s="20"/>
      <c r="Y12" s="20"/>
      <c r="Z12" s="19"/>
      <c r="AA12" s="19"/>
      <c r="AB12" s="19"/>
      <c r="AC12" s="19"/>
      <c r="AD12" s="19"/>
      <c r="AE12" s="19"/>
      <c r="AF12" s="19"/>
      <c r="AG12" s="19"/>
      <c r="AH12" s="20"/>
      <c r="AI12" s="20"/>
      <c r="AJ12" s="20"/>
      <c r="AK12" s="20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21"/>
      <c r="DD12" s="21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19"/>
      <c r="EN12" s="19"/>
      <c r="EO12" s="19"/>
      <c r="EP12" s="19"/>
      <c r="EQ12" s="19"/>
      <c r="ER12" s="19"/>
      <c r="ES12" s="19"/>
      <c r="ET12" s="19"/>
      <c r="EU12" s="20"/>
      <c r="EV12" s="20"/>
      <c r="EW12" s="20"/>
      <c r="EX12" s="19"/>
      <c r="EY12" s="19"/>
      <c r="EZ12" s="19"/>
      <c r="FA12" s="19"/>
      <c r="FB12" s="19"/>
      <c r="FC12" s="19"/>
      <c r="FD12" s="19"/>
      <c r="FE12" s="20"/>
      <c r="FF12" s="19"/>
      <c r="FG12" s="20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20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21"/>
      <c r="GT12" s="19"/>
      <c r="GU12" s="19"/>
      <c r="GV12" s="19"/>
      <c r="GW12" s="19"/>
      <c r="GX12" s="19"/>
      <c r="GY12" s="19"/>
      <c r="GZ12" s="20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</row>
    <row r="13" spans="1:573" x14ac:dyDescent="0.25">
      <c r="A13">
        <v>14242856</v>
      </c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0"/>
      <c r="M13" s="20"/>
      <c r="N13" s="20"/>
      <c r="O13" s="20"/>
      <c r="P13" s="20"/>
      <c r="Q13" s="20"/>
      <c r="R13" s="19"/>
      <c r="S13" s="19"/>
      <c r="T13" s="19"/>
      <c r="U13" s="19"/>
      <c r="V13" s="19"/>
      <c r="W13" s="20"/>
      <c r="X13" s="20"/>
      <c r="Y13" s="20"/>
      <c r="Z13" s="19"/>
      <c r="AA13" s="19"/>
      <c r="AB13" s="19"/>
      <c r="AC13" s="19"/>
      <c r="AD13" s="19"/>
      <c r="AE13" s="19"/>
      <c r="AF13" s="19"/>
      <c r="AG13" s="19"/>
      <c r="AH13" s="20"/>
      <c r="AI13" s="23">
        <v>6770</v>
      </c>
      <c r="AJ13" s="20"/>
      <c r="AK13" s="20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>
        <v>80</v>
      </c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>
        <v>145</v>
      </c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21"/>
      <c r="DD13" s="21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>
        <v>25</v>
      </c>
      <c r="DS13" s="19"/>
      <c r="DT13" s="19"/>
      <c r="DU13" s="19"/>
      <c r="DV13" s="19"/>
      <c r="DW13" s="19"/>
      <c r="DX13" s="19"/>
      <c r="DY13" s="19"/>
      <c r="DZ13" s="19"/>
      <c r="EA13" s="19"/>
      <c r="EB13">
        <v>12.1</v>
      </c>
      <c r="EM13" s="19"/>
      <c r="EN13" s="19"/>
      <c r="EO13" s="19"/>
      <c r="EP13" s="19"/>
      <c r="EQ13" s="19"/>
      <c r="ER13" s="19"/>
      <c r="ES13" s="19"/>
      <c r="ET13" s="19"/>
      <c r="EU13" s="23">
        <v>5</v>
      </c>
      <c r="EV13" s="20"/>
      <c r="EW13" s="20"/>
      <c r="EX13" s="19"/>
      <c r="EY13" s="19"/>
      <c r="EZ13" s="19"/>
      <c r="FA13" s="19"/>
      <c r="FB13" s="19"/>
      <c r="FC13" s="19"/>
      <c r="FD13" s="19"/>
      <c r="FE13" s="20"/>
      <c r="FF13" s="19"/>
      <c r="FG13" s="20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20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>
        <v>330</v>
      </c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21">
        <v>466000</v>
      </c>
      <c r="GT13" s="19"/>
      <c r="GU13" s="19"/>
      <c r="GV13" s="19"/>
      <c r="GW13" s="19"/>
      <c r="GX13" s="19"/>
      <c r="GY13" s="19"/>
      <c r="GZ13" s="20"/>
      <c r="HA13" s="19"/>
      <c r="HB13">
        <v>1</v>
      </c>
      <c r="HD13">
        <v>4</v>
      </c>
      <c r="HE13">
        <v>80</v>
      </c>
      <c r="HF13" s="19">
        <v>22</v>
      </c>
      <c r="HG13" s="19"/>
      <c r="HH13" s="19"/>
      <c r="HI13" s="19"/>
      <c r="HJ13" s="19"/>
      <c r="HK13" s="19"/>
      <c r="HL13" s="19"/>
    </row>
    <row r="14" spans="1:573" x14ac:dyDescent="0.25">
      <c r="A14">
        <v>99001183</v>
      </c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20"/>
      <c r="N14" s="20"/>
      <c r="O14" s="20"/>
      <c r="P14" s="20"/>
      <c r="Q14" s="20"/>
      <c r="R14" s="19"/>
      <c r="S14" s="19"/>
      <c r="T14" s="19"/>
      <c r="U14" s="19"/>
      <c r="V14" s="19"/>
      <c r="W14" s="20"/>
      <c r="X14" s="20"/>
      <c r="Y14" s="20"/>
      <c r="Z14" s="19"/>
      <c r="AA14" s="19"/>
      <c r="AB14" s="19"/>
      <c r="AC14" s="19"/>
      <c r="AD14" s="19"/>
      <c r="AE14" s="19"/>
      <c r="AF14" s="19"/>
      <c r="AG14" s="19"/>
      <c r="AH14" s="20"/>
      <c r="AI14" s="20"/>
      <c r="AJ14" s="20"/>
      <c r="AK14" s="20"/>
      <c r="AL14" s="19"/>
      <c r="AM14" s="19"/>
      <c r="AN14" s="19"/>
      <c r="AO14" s="19"/>
      <c r="AP14" s="19"/>
      <c r="AQ14" s="19"/>
      <c r="AR14" s="19"/>
      <c r="AS14" s="19">
        <v>116000</v>
      </c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V14" s="19"/>
      <c r="BW14" s="19"/>
      <c r="BX14" s="19"/>
      <c r="BY14" s="19"/>
      <c r="BZ14" s="19"/>
      <c r="CA14" s="19"/>
      <c r="CB14" s="19"/>
      <c r="CC14" s="19">
        <v>23</v>
      </c>
      <c r="CD14" s="19"/>
      <c r="CE14" s="19"/>
      <c r="CF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>
        <v>56</v>
      </c>
      <c r="CU14" s="19"/>
      <c r="CV14" s="19"/>
      <c r="CW14" s="19"/>
      <c r="CX14" s="19"/>
      <c r="CY14" s="19"/>
      <c r="DA14" s="19"/>
      <c r="DB14" s="19"/>
      <c r="DC14" s="21"/>
      <c r="DD14" s="21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S14" s="19"/>
      <c r="DT14" s="19"/>
      <c r="DU14" s="19"/>
      <c r="DV14" s="19"/>
      <c r="DW14" s="19"/>
      <c r="DX14" s="19"/>
      <c r="DY14" s="19"/>
      <c r="DZ14" s="19"/>
      <c r="EA14" s="19"/>
      <c r="EM14" s="19"/>
      <c r="EN14" s="19"/>
      <c r="EO14" s="19"/>
      <c r="EP14" s="19"/>
      <c r="EQ14" s="19"/>
      <c r="ER14" s="19"/>
      <c r="ES14" s="19"/>
      <c r="ET14" s="19"/>
      <c r="EU14" s="20"/>
      <c r="EV14" s="20"/>
      <c r="EW14" s="20"/>
      <c r="EX14" s="19"/>
      <c r="EY14" s="19"/>
      <c r="EZ14" s="19"/>
      <c r="FA14" s="19"/>
      <c r="FB14" s="19"/>
      <c r="FC14" s="19"/>
      <c r="FD14" s="19"/>
      <c r="FE14" s="20"/>
      <c r="FF14" s="19"/>
      <c r="FG14" s="20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20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21"/>
      <c r="GT14" s="19"/>
      <c r="GU14" s="19"/>
      <c r="GV14" s="19"/>
      <c r="GW14" s="19"/>
      <c r="GX14" s="19"/>
      <c r="GY14" s="19"/>
      <c r="GZ14" s="20"/>
      <c r="HA14" s="19"/>
      <c r="HF14" s="19"/>
      <c r="HG14" s="19"/>
      <c r="HH14" s="19"/>
      <c r="HI14" s="19"/>
      <c r="HJ14" s="19"/>
      <c r="HK14" s="19"/>
      <c r="HL14" s="19"/>
    </row>
    <row r="15" spans="1:573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20"/>
      <c r="N15" s="20"/>
      <c r="O15" s="20"/>
      <c r="P15" s="20"/>
      <c r="Q15" s="20"/>
      <c r="R15" s="19"/>
      <c r="S15" s="19"/>
      <c r="T15" s="19"/>
      <c r="U15" s="19"/>
      <c r="V15" s="19"/>
      <c r="W15" s="20"/>
      <c r="X15" s="20"/>
      <c r="Y15" s="20"/>
      <c r="Z15" s="19"/>
      <c r="AA15" s="19"/>
      <c r="AB15" s="19"/>
      <c r="AC15" s="19"/>
      <c r="AD15" s="19"/>
      <c r="AE15" s="19"/>
      <c r="AF15" s="19"/>
      <c r="AG15" s="19"/>
      <c r="AH15" s="20"/>
      <c r="AI15" s="20"/>
      <c r="AJ15" s="20"/>
      <c r="AK15" s="20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21"/>
      <c r="DD15" s="21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19"/>
      <c r="EN15" s="19"/>
      <c r="EO15" s="19"/>
      <c r="EP15" s="19"/>
      <c r="EQ15" s="19"/>
      <c r="ER15" s="19"/>
      <c r="ES15" s="19"/>
      <c r="ET15" s="19"/>
      <c r="EU15" s="20"/>
      <c r="EV15" s="20"/>
      <c r="EW15" s="20"/>
      <c r="EX15" s="19"/>
      <c r="EY15" s="19"/>
      <c r="EZ15" s="19"/>
      <c r="FA15" s="19"/>
      <c r="FB15" s="19"/>
      <c r="FC15" s="19"/>
      <c r="FD15" s="19"/>
      <c r="FE15" s="20"/>
      <c r="FF15" s="19"/>
      <c r="FG15" s="20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20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21"/>
      <c r="GT15" s="19"/>
      <c r="GU15" s="19"/>
      <c r="GV15" s="19"/>
      <c r="GW15" s="19"/>
      <c r="GX15" s="19"/>
      <c r="GY15" s="19"/>
      <c r="GZ15" s="20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</row>
    <row r="16" spans="1:573" x14ac:dyDescent="0.25">
      <c r="A16" s="28" t="s">
        <v>1205</v>
      </c>
      <c r="B16" s="55"/>
      <c r="C16" s="19"/>
      <c r="D16" s="19"/>
      <c r="E16" s="19"/>
      <c r="F16" s="19"/>
      <c r="G16" s="19"/>
      <c r="H16" s="19"/>
      <c r="I16" s="19"/>
      <c r="J16" s="19"/>
      <c r="K16" s="19"/>
      <c r="L16" s="20"/>
      <c r="M16" s="20"/>
      <c r="N16" s="20"/>
      <c r="O16" s="20"/>
      <c r="P16" s="20"/>
      <c r="Q16" s="20"/>
      <c r="R16" s="19"/>
      <c r="S16" s="19"/>
      <c r="T16" s="19"/>
      <c r="U16" s="19"/>
      <c r="V16" s="19"/>
      <c r="W16" s="20"/>
      <c r="X16" s="20"/>
      <c r="Y16" s="20"/>
      <c r="Z16" s="19"/>
      <c r="AA16" s="19"/>
      <c r="AB16" s="19"/>
      <c r="AC16" s="19"/>
      <c r="AD16" s="19"/>
      <c r="AE16" s="19"/>
      <c r="AF16" s="19"/>
      <c r="AG16" s="19"/>
      <c r="AH16" s="20"/>
      <c r="AI16" s="20"/>
      <c r="AJ16" s="20"/>
      <c r="AK16" s="20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21"/>
      <c r="DD16" s="21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19"/>
      <c r="EN16" s="19"/>
      <c r="EO16" s="19"/>
      <c r="EP16" s="19"/>
      <c r="EQ16" s="19"/>
      <c r="ER16" s="19"/>
      <c r="ES16" s="19"/>
      <c r="ET16" s="19"/>
      <c r="EU16" s="20"/>
      <c r="EV16" s="20"/>
      <c r="EW16" s="20"/>
      <c r="EX16" s="19"/>
      <c r="EY16" s="19"/>
      <c r="EZ16" s="19"/>
      <c r="FA16" s="19"/>
      <c r="FB16" s="19"/>
      <c r="FC16" s="19"/>
      <c r="FD16" s="19"/>
      <c r="FE16" s="20"/>
      <c r="FF16" s="19"/>
      <c r="FG16" s="20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20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21"/>
      <c r="GT16" s="19"/>
      <c r="GU16" s="19"/>
      <c r="GV16" s="19"/>
      <c r="GW16" s="19"/>
      <c r="GX16" s="19"/>
      <c r="GY16" s="19"/>
      <c r="GZ16" s="20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</row>
    <row r="17" spans="1:249" x14ac:dyDescent="0.25">
      <c r="A17" s="11" t="s">
        <v>976</v>
      </c>
      <c r="B17" s="26"/>
      <c r="C17" s="26"/>
      <c r="AQ17" s="7" t="s">
        <v>1262</v>
      </c>
      <c r="BJ17">
        <v>13</v>
      </c>
      <c r="BV17">
        <v>24</v>
      </c>
      <c r="CA17">
        <v>24</v>
      </c>
      <c r="CS17">
        <v>49</v>
      </c>
      <c r="DI17">
        <v>222</v>
      </c>
    </row>
    <row r="18" spans="1:249" x14ac:dyDescent="0.25">
      <c r="A18">
        <v>7063959</v>
      </c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  <c r="M18" s="20"/>
      <c r="N18" s="20"/>
      <c r="O18" s="20"/>
      <c r="P18" s="20"/>
      <c r="Q18" s="20"/>
      <c r="R18" s="19"/>
      <c r="S18" s="19"/>
      <c r="T18" s="19"/>
      <c r="U18" s="19"/>
      <c r="V18" s="19"/>
      <c r="W18" s="20"/>
      <c r="X18" s="20"/>
      <c r="Y18" s="20"/>
      <c r="Z18" s="19"/>
      <c r="AA18" s="19"/>
      <c r="AB18" s="19"/>
      <c r="AC18" s="19"/>
      <c r="AD18" s="19"/>
      <c r="AE18" s="19"/>
      <c r="AF18" s="19"/>
      <c r="AG18" s="19"/>
      <c r="AH18" s="20"/>
      <c r="AI18" s="20"/>
      <c r="AJ18" s="20"/>
      <c r="AK18" s="20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21"/>
      <c r="DD18" s="21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19"/>
      <c r="EN18" s="19"/>
      <c r="EO18" s="19"/>
      <c r="EP18" s="19"/>
      <c r="EQ18" s="19"/>
      <c r="ER18" s="19"/>
      <c r="ES18" s="19"/>
      <c r="ET18" s="19"/>
      <c r="EU18" s="20"/>
      <c r="EV18" s="20"/>
      <c r="EW18" s="20"/>
      <c r="EX18" s="19"/>
      <c r="EY18" s="19"/>
      <c r="EZ18" s="19"/>
      <c r="FA18" s="19"/>
      <c r="FB18" s="19"/>
      <c r="FC18" s="19"/>
      <c r="FD18" s="19"/>
      <c r="FE18" s="20"/>
      <c r="FF18" s="19"/>
      <c r="FG18" s="20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20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>
        <v>66</v>
      </c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21"/>
      <c r="GT18" s="19"/>
      <c r="GU18" s="19"/>
      <c r="GV18" s="19"/>
      <c r="GW18" s="19"/>
      <c r="GX18" s="19"/>
      <c r="GY18" s="19"/>
      <c r="GZ18" s="20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</row>
    <row r="19" spans="1:249" x14ac:dyDescent="0.25">
      <c r="A19" s="18">
        <v>1003215</v>
      </c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20"/>
      <c r="N19" s="20"/>
      <c r="O19" s="20"/>
      <c r="P19" s="20"/>
      <c r="Q19" s="20"/>
      <c r="R19" s="19"/>
      <c r="S19" s="19"/>
      <c r="T19" s="19"/>
      <c r="U19" s="19"/>
      <c r="V19" s="19"/>
      <c r="W19" s="20"/>
      <c r="X19" s="20"/>
      <c r="Y19" s="20"/>
      <c r="Z19" s="19"/>
      <c r="AA19" s="19"/>
      <c r="AB19" s="19"/>
      <c r="AC19" s="19"/>
      <c r="AD19" s="19"/>
      <c r="AE19" s="19"/>
      <c r="AF19" s="19"/>
      <c r="AG19" s="19"/>
      <c r="AH19" s="20"/>
      <c r="AI19" s="20"/>
      <c r="AJ19" s="20"/>
      <c r="AK19" s="20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>
        <v>20</v>
      </c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>
        <v>27</v>
      </c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21">
        <v>248</v>
      </c>
      <c r="DD19" s="21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19"/>
      <c r="EN19" s="19"/>
      <c r="EO19" s="19"/>
      <c r="EP19" s="19"/>
      <c r="EQ19" s="19"/>
      <c r="ER19" s="19"/>
      <c r="ES19" s="19"/>
      <c r="ET19" s="19"/>
      <c r="EU19" s="20"/>
      <c r="EV19" s="20"/>
      <c r="EW19" s="20"/>
      <c r="EX19" s="19"/>
      <c r="EY19" s="19"/>
      <c r="EZ19" s="19"/>
      <c r="FA19" s="19"/>
      <c r="FB19" s="19"/>
      <c r="FC19" s="19"/>
      <c r="FD19" s="19"/>
      <c r="FE19">
        <v>2.9</v>
      </c>
      <c r="FF19" s="19"/>
      <c r="FG19" s="20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>
        <v>196</v>
      </c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>
        <v>225</v>
      </c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>
        <v>378000</v>
      </c>
      <c r="GT19" s="19"/>
      <c r="GU19" s="19"/>
      <c r="GV19" s="19"/>
      <c r="GW19" s="19"/>
      <c r="GX19" s="19"/>
      <c r="GY19" s="19"/>
      <c r="GZ19" s="23">
        <v>61</v>
      </c>
      <c r="HA19" s="19"/>
      <c r="HB19" s="19">
        <v>22.4</v>
      </c>
      <c r="HC19" s="19"/>
      <c r="HD19" s="19">
        <v>8.1999999999999993</v>
      </c>
      <c r="HE19" s="19"/>
      <c r="HF19" s="19"/>
      <c r="HG19" s="19"/>
      <c r="HH19" s="19"/>
      <c r="HI19" s="19"/>
      <c r="HJ19" s="19"/>
      <c r="HK19" s="19"/>
      <c r="HL19" s="19"/>
      <c r="HR19" t="s">
        <v>84</v>
      </c>
      <c r="HS19" t="s">
        <v>86</v>
      </c>
      <c r="HT19" t="s">
        <v>86</v>
      </c>
      <c r="HU19" t="s">
        <v>86</v>
      </c>
      <c r="HV19" t="s">
        <v>30</v>
      </c>
      <c r="HW19" t="s">
        <v>30</v>
      </c>
      <c r="HX19" t="s">
        <v>86</v>
      </c>
      <c r="HY19" t="s">
        <v>86</v>
      </c>
      <c r="HZ19" t="s">
        <v>86</v>
      </c>
      <c r="IO19">
        <v>13000</v>
      </c>
    </row>
    <row r="20" spans="1:249" x14ac:dyDescent="0.25">
      <c r="A20" s="7">
        <v>99000802</v>
      </c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  <c r="M20" s="20"/>
      <c r="N20" s="20"/>
      <c r="O20" s="20"/>
      <c r="P20" s="20"/>
      <c r="Q20" s="20"/>
      <c r="R20" s="19"/>
      <c r="S20" s="19"/>
      <c r="T20" s="19"/>
      <c r="U20" s="19"/>
      <c r="V20" s="19"/>
      <c r="W20" s="20"/>
      <c r="X20" s="20"/>
      <c r="Y20" s="20"/>
      <c r="Z20" s="19"/>
      <c r="AA20" s="19"/>
      <c r="AB20" s="19"/>
      <c r="AC20" s="19"/>
      <c r="AD20" s="19"/>
      <c r="AE20" s="19"/>
      <c r="AF20" s="19"/>
      <c r="AG20" s="19"/>
      <c r="AH20" s="20"/>
      <c r="AI20" s="20"/>
      <c r="AJ20" s="20"/>
      <c r="AK20" s="20"/>
      <c r="AL20" s="19"/>
      <c r="AM20" s="32" t="s">
        <v>1084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>
        <v>16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>
        <v>26</v>
      </c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>
        <v>27</v>
      </c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21"/>
      <c r="DD20" s="21"/>
      <c r="DE20">
        <v>299</v>
      </c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19"/>
      <c r="EN20" s="19"/>
      <c r="EO20" s="19"/>
      <c r="EP20" s="19"/>
      <c r="EQ20" s="19"/>
      <c r="ER20" s="19"/>
      <c r="ES20" s="19"/>
      <c r="ET20" s="19"/>
      <c r="EU20" s="20"/>
      <c r="EV20" s="20"/>
      <c r="EW20" s="20"/>
      <c r="EX20" s="19"/>
      <c r="EY20" s="19"/>
      <c r="EZ20" s="19"/>
      <c r="FA20" s="19"/>
      <c r="FB20" s="19"/>
      <c r="FC20" s="19"/>
      <c r="FD20" s="19"/>
      <c r="FF20" s="19"/>
      <c r="FG20" s="20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T20" s="19"/>
      <c r="GU20" s="19"/>
      <c r="GV20" s="19"/>
      <c r="GW20" s="19"/>
      <c r="GX20" s="19"/>
      <c r="GY20" s="19"/>
      <c r="GZ20" s="20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</row>
    <row r="21" spans="1:249" x14ac:dyDescent="0.25">
      <c r="A21" s="7">
        <v>99000892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  <c r="M21" s="20"/>
      <c r="N21" s="20"/>
      <c r="O21" s="20"/>
      <c r="P21" s="20"/>
      <c r="Q21" s="20"/>
      <c r="R21" s="19"/>
      <c r="S21" s="19"/>
      <c r="T21" s="19"/>
      <c r="U21" s="19"/>
      <c r="V21" s="19"/>
      <c r="W21" s="20"/>
      <c r="X21" s="20"/>
      <c r="Y21" s="20"/>
      <c r="Z21" s="19"/>
      <c r="AA21" s="19"/>
      <c r="AB21" s="19"/>
      <c r="AC21" s="19"/>
      <c r="AD21" s="19"/>
      <c r="AE21" s="19"/>
      <c r="AF21" s="19"/>
      <c r="AG21" s="19"/>
      <c r="AH21" s="20"/>
      <c r="AI21" s="20"/>
      <c r="AJ21" s="20"/>
      <c r="AK21" s="20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7" t="s">
        <v>146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7" t="s">
        <v>147</v>
      </c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>
        <v>6.93</v>
      </c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21"/>
      <c r="DD21" s="21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19"/>
      <c r="EN21" s="19"/>
      <c r="EO21" s="19"/>
      <c r="EP21" s="19"/>
      <c r="EQ21" s="19"/>
      <c r="ER21" s="19"/>
      <c r="ES21" s="19"/>
      <c r="ET21" s="19"/>
      <c r="EU21" s="20"/>
      <c r="EV21" s="20"/>
      <c r="EW21" s="20"/>
      <c r="EX21" s="19"/>
      <c r="EY21" s="19"/>
      <c r="EZ21" s="19"/>
      <c r="FA21" s="19"/>
      <c r="FB21" s="19"/>
      <c r="FC21" s="19"/>
      <c r="FD21" s="19"/>
      <c r="FF21" s="19"/>
      <c r="FG21" s="20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T21" s="19"/>
      <c r="GU21" s="19"/>
      <c r="GV21" s="19"/>
      <c r="GW21" s="19"/>
      <c r="GX21" s="19"/>
      <c r="GY21" s="19"/>
      <c r="GZ21" s="20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</row>
    <row r="22" spans="1:249" x14ac:dyDescent="0.25">
      <c r="A22" s="7">
        <v>1000192</v>
      </c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  <c r="M22" s="20"/>
      <c r="N22" s="20"/>
      <c r="O22" s="20"/>
      <c r="P22" s="20"/>
      <c r="Q22" s="20"/>
      <c r="R22" s="19"/>
      <c r="S22" s="19"/>
      <c r="T22" s="19"/>
      <c r="U22" s="19"/>
      <c r="V22" s="19"/>
      <c r="W22" s="20"/>
      <c r="X22" s="20"/>
      <c r="Y22" s="20"/>
      <c r="Z22" s="19"/>
      <c r="AA22" s="19"/>
      <c r="AB22" s="19"/>
      <c r="AC22" s="19"/>
      <c r="AD22" s="19"/>
      <c r="AE22" s="19"/>
      <c r="AF22" s="19"/>
      <c r="AG22" s="19"/>
      <c r="AH22" s="20"/>
      <c r="AI22" s="20"/>
      <c r="AJ22" s="20"/>
      <c r="AK22" s="20"/>
      <c r="AL22" s="19"/>
      <c r="AM22" s="19"/>
      <c r="AN22" s="19"/>
      <c r="AO22" s="7" t="s">
        <v>1195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>
        <v>240</v>
      </c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21"/>
      <c r="DD22" s="21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7" t="s">
        <v>1264</v>
      </c>
      <c r="DW22" s="19"/>
      <c r="DX22" s="19"/>
      <c r="DY22" s="19"/>
      <c r="DZ22" s="19"/>
      <c r="EA22" s="19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19"/>
      <c r="EN22" s="19"/>
      <c r="EO22" s="19"/>
      <c r="EP22" s="19"/>
      <c r="EQ22" s="19"/>
      <c r="ER22" s="19"/>
      <c r="ES22" s="19"/>
      <c r="ET22" s="19"/>
      <c r="EU22" s="20"/>
      <c r="EV22" s="20"/>
      <c r="EW22" s="20"/>
      <c r="EX22" s="19"/>
      <c r="EY22" s="19"/>
      <c r="EZ22" s="19"/>
      <c r="FA22" s="19"/>
      <c r="FB22" s="19"/>
      <c r="FC22" s="19"/>
      <c r="FD22" s="19"/>
      <c r="FE22" s="20"/>
      <c r="FF22" s="19"/>
      <c r="FG22" s="20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20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7" t="s">
        <v>1194</v>
      </c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21"/>
      <c r="GT22" s="19"/>
      <c r="GU22" s="19"/>
      <c r="GV22" s="19"/>
      <c r="GW22" s="19"/>
      <c r="GX22" s="19"/>
      <c r="GY22" s="19"/>
      <c r="GZ22" s="20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</row>
    <row r="23" spans="1:249" x14ac:dyDescent="0.25">
      <c r="A23">
        <v>1506</v>
      </c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20"/>
      <c r="M23" s="20"/>
      <c r="N23" s="20"/>
      <c r="O23" s="20"/>
      <c r="P23" s="20"/>
      <c r="Q23" s="20"/>
      <c r="R23" s="19"/>
      <c r="S23" s="19"/>
      <c r="T23" s="19"/>
      <c r="U23" s="19"/>
      <c r="V23" s="19"/>
      <c r="W23" s="20"/>
      <c r="X23" s="20"/>
      <c r="Y23" s="20"/>
      <c r="Z23" s="19"/>
      <c r="AA23" s="19"/>
      <c r="AB23" s="19"/>
      <c r="AC23" s="19"/>
      <c r="AD23" s="19"/>
      <c r="AE23" s="19"/>
      <c r="AF23" s="19"/>
      <c r="AG23" s="19"/>
      <c r="AH23" s="20"/>
      <c r="AI23" s="20"/>
      <c r="AJ23" s="20"/>
      <c r="AK23" s="20"/>
      <c r="AL23" s="19"/>
      <c r="AM23" s="19"/>
      <c r="AN23">
        <v>11.64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>
        <v>15</v>
      </c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>
        <v>28</v>
      </c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>
        <v>45</v>
      </c>
      <c r="CT23" s="19"/>
      <c r="CU23" s="19"/>
      <c r="CV23" s="19"/>
      <c r="CW23" s="19"/>
      <c r="CX23" s="19"/>
      <c r="CY23" s="19"/>
      <c r="CZ23" s="19"/>
      <c r="DA23" s="19"/>
      <c r="DB23" s="19"/>
      <c r="DC23" s="21"/>
      <c r="DD23" s="21"/>
      <c r="DE23" s="19"/>
      <c r="DF23" s="19"/>
      <c r="DG23" s="19"/>
      <c r="DH23" s="19"/>
      <c r="DI23">
        <v>144</v>
      </c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>
        <v>6.8</v>
      </c>
      <c r="DW23" s="19"/>
      <c r="DX23" s="19"/>
      <c r="DY23" s="19"/>
      <c r="DZ23" s="19"/>
      <c r="EA23" s="19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19"/>
      <c r="EN23" s="19"/>
      <c r="EO23" s="19"/>
      <c r="EP23" s="19"/>
      <c r="EQ23" s="19"/>
      <c r="ER23" s="19"/>
      <c r="ES23" s="19"/>
      <c r="ET23" s="19"/>
      <c r="EU23" s="20"/>
      <c r="EV23" s="20"/>
      <c r="EW23" s="20"/>
      <c r="EX23" s="19"/>
      <c r="EY23" s="19"/>
      <c r="EZ23" s="19"/>
      <c r="FA23" s="19"/>
      <c r="FB23" s="19"/>
      <c r="FC23" s="19"/>
      <c r="FD23" s="19"/>
      <c r="FE23" s="20"/>
      <c r="FF23" s="19"/>
      <c r="FG23" s="20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20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21"/>
      <c r="GT23" s="19"/>
      <c r="GU23" s="19"/>
      <c r="GV23" s="19"/>
      <c r="GW23" s="19"/>
      <c r="GX23" s="19"/>
      <c r="GY23" s="19"/>
      <c r="GZ23" s="20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</row>
    <row r="24" spans="1:249" x14ac:dyDescent="0.25">
      <c r="A24">
        <v>99000894</v>
      </c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  <c r="M24" s="20"/>
      <c r="N24" s="20"/>
      <c r="O24" s="20"/>
      <c r="P24" s="20"/>
      <c r="Q24" s="20"/>
      <c r="R24" s="19"/>
      <c r="S24" s="19"/>
      <c r="T24" s="19"/>
      <c r="U24" s="19"/>
      <c r="V24" s="19"/>
      <c r="W24" s="20"/>
      <c r="X24" s="20"/>
      <c r="Y24" s="20"/>
      <c r="Z24" s="19"/>
      <c r="AA24" s="19"/>
      <c r="AB24" s="19"/>
      <c r="AC24" s="19"/>
      <c r="AD24" s="19"/>
      <c r="AE24" s="19"/>
      <c r="AF24" s="19"/>
      <c r="AG24" s="19"/>
      <c r="AH24" s="20"/>
      <c r="AI24" s="20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>
        <v>14100</v>
      </c>
      <c r="BC24" s="19"/>
      <c r="BD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>
        <v>30</v>
      </c>
      <c r="CH24" s="19"/>
      <c r="CI24" s="19"/>
      <c r="CJ24" s="19"/>
      <c r="CK24" s="19"/>
      <c r="CL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>
        <v>72</v>
      </c>
      <c r="DA24" s="19"/>
      <c r="DB24" s="19"/>
      <c r="DC24" s="21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T24" s="19"/>
      <c r="DU24" s="19"/>
      <c r="DV24" s="19"/>
      <c r="DW24" s="19"/>
      <c r="DX24" s="19"/>
      <c r="DY24" s="19"/>
      <c r="DZ24" s="19"/>
      <c r="EA24" s="19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19"/>
      <c r="EN24" s="19"/>
      <c r="EO24" s="19"/>
      <c r="EP24" s="19"/>
      <c r="EQ24" s="19"/>
      <c r="ER24" s="19"/>
      <c r="ES24" s="19"/>
      <c r="ET24" s="19"/>
      <c r="EU24" s="20"/>
      <c r="EV24" s="20"/>
      <c r="EW24" s="20"/>
      <c r="EX24" s="19"/>
      <c r="EY24" s="19"/>
      <c r="EZ24" s="19"/>
      <c r="FA24" s="19"/>
      <c r="FB24" s="19"/>
      <c r="FC24" s="19"/>
      <c r="FD24" s="19"/>
      <c r="FE24" s="20"/>
      <c r="FF24" s="19"/>
      <c r="FG24" s="20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20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N24" s="19"/>
      <c r="GO24" s="19"/>
      <c r="GP24" s="19"/>
      <c r="GQ24" s="19"/>
      <c r="GR24" s="19"/>
      <c r="GS24" s="21"/>
      <c r="GT24" s="19"/>
      <c r="GU24" s="19"/>
      <c r="GV24" s="19"/>
      <c r="GW24" s="19"/>
      <c r="GX24" s="19"/>
      <c r="GY24" s="19"/>
      <c r="GZ24" s="20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</row>
    <row r="25" spans="1:249" x14ac:dyDescent="0.25">
      <c r="A25" s="18">
        <v>99000897</v>
      </c>
      <c r="B25" s="18"/>
      <c r="C25" s="18"/>
      <c r="AZ25" s="15">
        <v>14800</v>
      </c>
      <c r="BU25" s="50">
        <v>37</v>
      </c>
      <c r="DC25">
        <v>284</v>
      </c>
      <c r="DT25">
        <v>9</v>
      </c>
    </row>
    <row r="26" spans="1:249" x14ac:dyDescent="0.25">
      <c r="A26">
        <v>99001245</v>
      </c>
      <c r="B26" s="18"/>
      <c r="C26" s="18"/>
      <c r="BG26">
        <v>31</v>
      </c>
      <c r="DF26">
        <v>681</v>
      </c>
      <c r="DU26">
        <v>24.7</v>
      </c>
    </row>
    <row r="27" spans="1:249" x14ac:dyDescent="0.25">
      <c r="A27">
        <v>99001902</v>
      </c>
      <c r="B27" s="18"/>
      <c r="C27" s="18"/>
      <c r="AN27">
        <v>16500</v>
      </c>
      <c r="BG27">
        <v>50</v>
      </c>
      <c r="BX27">
        <v>29</v>
      </c>
      <c r="CP27">
        <v>18</v>
      </c>
      <c r="DU27">
        <v>29</v>
      </c>
    </row>
    <row r="28" spans="1:249" x14ac:dyDescent="0.25">
      <c r="A28" s="7">
        <v>99001912</v>
      </c>
      <c r="B28" s="18"/>
      <c r="C28" s="7" t="s">
        <v>1265</v>
      </c>
      <c r="AN28">
        <v>10900</v>
      </c>
      <c r="DU28">
        <v>15</v>
      </c>
    </row>
    <row r="29" spans="1:249" x14ac:dyDescent="0.25">
      <c r="A29">
        <v>99001913</v>
      </c>
      <c r="B29" s="18"/>
      <c r="C29" s="18"/>
      <c r="BG29">
        <v>28</v>
      </c>
      <c r="BX29">
        <v>24</v>
      </c>
      <c r="CP29">
        <v>22</v>
      </c>
      <c r="DU29">
        <v>9</v>
      </c>
    </row>
    <row r="30" spans="1:249" x14ac:dyDescent="0.25">
      <c r="A30">
        <v>99001937</v>
      </c>
      <c r="B30" s="18"/>
      <c r="C30" s="18"/>
      <c r="BK30">
        <v>21</v>
      </c>
      <c r="CC30">
        <v>48</v>
      </c>
      <c r="CT30">
        <v>53</v>
      </c>
      <c r="DJ30">
        <v>226</v>
      </c>
    </row>
    <row r="31" spans="1:249" x14ac:dyDescent="0.25">
      <c r="A31" s="7">
        <v>99001943</v>
      </c>
      <c r="B31" s="18"/>
      <c r="C31" s="18"/>
      <c r="AK31" s="7" t="s">
        <v>1267</v>
      </c>
      <c r="AN31" s="7">
        <v>12700</v>
      </c>
      <c r="BR31">
        <v>21</v>
      </c>
      <c r="CI31">
        <v>27</v>
      </c>
      <c r="DA31">
        <v>162</v>
      </c>
      <c r="DR31" s="7" t="s">
        <v>1269</v>
      </c>
      <c r="DU31" s="7">
        <v>9</v>
      </c>
    </row>
    <row r="32" spans="1:249" x14ac:dyDescent="0.25">
      <c r="B32" s="18"/>
      <c r="C32" s="18"/>
    </row>
    <row r="33" spans="1:250" x14ac:dyDescent="0.25">
      <c r="A33" s="27" t="s">
        <v>1085</v>
      </c>
      <c r="B33" s="27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20"/>
      <c r="N33" s="20"/>
      <c r="O33" s="20"/>
      <c r="P33" s="20"/>
      <c r="Q33" s="20"/>
      <c r="R33" s="19"/>
      <c r="S33" s="19"/>
      <c r="T33" s="19"/>
      <c r="U33" s="19"/>
      <c r="V33" s="19"/>
      <c r="W33" s="20"/>
      <c r="X33" s="20"/>
      <c r="Y33" s="20"/>
      <c r="Z33" s="19"/>
      <c r="AA33" s="19"/>
      <c r="AB33" s="19"/>
      <c r="AC33" s="19"/>
      <c r="AD33" s="19"/>
      <c r="AE33" s="19"/>
      <c r="AF33" s="19"/>
      <c r="AG33" s="19"/>
      <c r="AH33" s="20"/>
      <c r="AI33" s="20"/>
      <c r="AJ33" s="20"/>
      <c r="AK33" s="20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21"/>
      <c r="DD33" s="21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20"/>
      <c r="EC33" s="20"/>
      <c r="ED33" s="20"/>
      <c r="EE33" s="20"/>
      <c r="EM33" s="19"/>
      <c r="EN33" s="19"/>
      <c r="EO33" s="19"/>
      <c r="EP33" s="19"/>
      <c r="EQ33" s="19"/>
      <c r="ER33" s="19"/>
      <c r="ES33" s="19"/>
      <c r="ET33" s="19"/>
      <c r="EU33" s="20"/>
      <c r="EV33" s="20"/>
      <c r="EW33" s="20"/>
      <c r="EX33" s="19"/>
      <c r="EY33" s="19"/>
      <c r="EZ33" s="19"/>
      <c r="FA33" s="19"/>
      <c r="FB33" s="19"/>
      <c r="FC33" s="19"/>
      <c r="FD33" s="19"/>
      <c r="FE33" s="20"/>
      <c r="FF33" s="19"/>
      <c r="FG33" s="20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20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21"/>
      <c r="GT33" s="19"/>
      <c r="GU33" s="19"/>
      <c r="GV33" s="19"/>
      <c r="GW33" s="19"/>
      <c r="GX33" s="19"/>
      <c r="GY33" s="19"/>
      <c r="GZ33" s="20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</row>
    <row r="34" spans="1:250" x14ac:dyDescent="0.25">
      <c r="A34" s="7">
        <v>3000983</v>
      </c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20"/>
      <c r="N34" s="20"/>
      <c r="O34" s="20"/>
      <c r="P34" s="20"/>
      <c r="Q34" s="20"/>
      <c r="R34" s="19"/>
      <c r="S34" s="19"/>
      <c r="T34" s="19"/>
      <c r="U34" s="19"/>
      <c r="V34" s="19"/>
      <c r="W34" s="20"/>
      <c r="X34" s="20"/>
      <c r="Y34" s="20"/>
      <c r="Z34" s="19"/>
      <c r="AA34" s="19"/>
      <c r="AB34" s="19"/>
      <c r="AC34" s="19"/>
      <c r="AD34" s="19"/>
      <c r="AE34" s="19"/>
      <c r="AF34" s="19"/>
      <c r="AG34" s="19"/>
      <c r="AH34" s="20"/>
      <c r="AI34" s="20"/>
      <c r="AJ34" s="20"/>
      <c r="AK34" s="20"/>
      <c r="AL34" s="19"/>
      <c r="AM34" s="19"/>
      <c r="AN34" s="19"/>
      <c r="AO34" s="19"/>
      <c r="AP34" s="19">
        <v>7900</v>
      </c>
      <c r="AQ34" s="7" t="s">
        <v>1086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>
        <v>8000</v>
      </c>
      <c r="BD34" s="19"/>
      <c r="BE34" s="19"/>
      <c r="BF34" s="19"/>
      <c r="BG34" s="19"/>
      <c r="BH34" s="19"/>
      <c r="BI34">
        <v>28</v>
      </c>
      <c r="BJ34">
        <v>131</v>
      </c>
      <c r="BK34" s="19"/>
      <c r="BL34" s="19"/>
      <c r="BM34" s="19"/>
      <c r="BN34" s="19"/>
      <c r="BO34" s="19"/>
      <c r="BP34" s="19"/>
      <c r="BQ34" s="19"/>
      <c r="BR34" s="19"/>
      <c r="BS34">
        <v>135</v>
      </c>
      <c r="BT34" s="19"/>
      <c r="BU34" s="19"/>
      <c r="BV34" s="19"/>
      <c r="BW34" s="19"/>
      <c r="BX34" s="19"/>
      <c r="BY34" s="19"/>
      <c r="BZ34">
        <v>28</v>
      </c>
      <c r="CA34">
        <v>241</v>
      </c>
      <c r="CB34" s="19"/>
      <c r="CC34" s="19"/>
      <c r="CD34" s="19"/>
      <c r="CE34" s="19"/>
      <c r="CF34" s="19"/>
      <c r="CG34" s="19"/>
      <c r="CH34" s="19"/>
      <c r="CI34" s="19"/>
      <c r="CJ34">
        <v>264</v>
      </c>
      <c r="CL34" s="19"/>
      <c r="CM34" s="19"/>
      <c r="CN34" s="19"/>
      <c r="CO34" s="19"/>
      <c r="CP34" s="19"/>
      <c r="CQ34" s="19"/>
      <c r="CR34">
        <v>22</v>
      </c>
      <c r="CS34">
        <v>943</v>
      </c>
      <c r="CT34" s="19"/>
      <c r="CU34" s="19"/>
      <c r="CV34" s="19"/>
      <c r="CW34" s="19"/>
      <c r="CX34" s="19"/>
      <c r="CY34" s="19"/>
      <c r="CZ34" s="19"/>
      <c r="DA34" s="19"/>
      <c r="DB34">
        <v>847</v>
      </c>
      <c r="DC34" s="21"/>
      <c r="DD34" s="21"/>
      <c r="DE34" s="19"/>
      <c r="DF34" s="19"/>
      <c r="DG34" s="19"/>
      <c r="DH34">
        <v>511</v>
      </c>
      <c r="DI34">
        <v>511</v>
      </c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20"/>
      <c r="EC34" s="20"/>
      <c r="ED34" s="20"/>
      <c r="EE34" s="20"/>
      <c r="EF34">
        <v>14.1</v>
      </c>
      <c r="EG34" s="7" t="s">
        <v>106</v>
      </c>
      <c r="EH34" s="18"/>
      <c r="EI34" s="18"/>
      <c r="EJ34" s="18"/>
      <c r="EK34" s="18"/>
      <c r="EL34">
        <v>12.3</v>
      </c>
      <c r="EM34" s="19"/>
      <c r="EN34" s="19"/>
      <c r="EO34" s="19"/>
      <c r="EP34" s="19"/>
      <c r="EQ34" s="19"/>
      <c r="ER34" s="19"/>
      <c r="ES34" s="19"/>
      <c r="ET34" s="19"/>
      <c r="EU34" s="20"/>
      <c r="EV34" s="20"/>
      <c r="EW34" s="20"/>
      <c r="EX34" s="19"/>
      <c r="EY34" s="19"/>
      <c r="EZ34" s="19"/>
      <c r="FA34">
        <v>408</v>
      </c>
      <c r="FB34" s="19"/>
      <c r="FC34" s="19"/>
      <c r="FD34">
        <v>293</v>
      </c>
      <c r="FE34" s="20"/>
      <c r="FF34" s="19"/>
      <c r="FG34" s="20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20"/>
      <c r="FV34" s="19"/>
      <c r="FW34" s="19"/>
      <c r="FX34" s="19"/>
      <c r="FY34" s="19"/>
      <c r="FZ34" s="19"/>
      <c r="GA34" s="19"/>
      <c r="GB34" s="19"/>
      <c r="GC34" s="19"/>
      <c r="GD34" s="19"/>
      <c r="GE34">
        <v>632</v>
      </c>
      <c r="GF34">
        <v>162</v>
      </c>
      <c r="GG34" s="19"/>
      <c r="GH34" s="19"/>
      <c r="GI34">
        <v>182</v>
      </c>
      <c r="GJ34" s="19"/>
      <c r="GK34" s="19"/>
      <c r="GL34" s="19"/>
      <c r="GM34" s="19"/>
      <c r="GN34" s="19"/>
      <c r="GO34" s="19"/>
      <c r="GP34" s="19"/>
      <c r="GQ34" s="19"/>
      <c r="GR34" s="19"/>
      <c r="GS34" s="21"/>
      <c r="GT34" s="19"/>
      <c r="GU34" s="19"/>
      <c r="GV34" s="19"/>
      <c r="GW34">
        <v>121000</v>
      </c>
      <c r="GX34" s="19"/>
      <c r="GY34">
        <v>396000</v>
      </c>
      <c r="GZ34" s="20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</row>
    <row r="35" spans="1:250" x14ac:dyDescent="0.25">
      <c r="A35" s="7">
        <v>10064335</v>
      </c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20"/>
      <c r="N35" s="20"/>
      <c r="O35" s="20"/>
      <c r="P35" s="20"/>
      <c r="Q35" s="20"/>
      <c r="R35" s="19"/>
      <c r="S35" s="19"/>
      <c r="T35" s="19"/>
      <c r="U35" s="19"/>
      <c r="V35" s="19"/>
      <c r="W35" s="20"/>
      <c r="X35" s="20"/>
      <c r="Y35" s="20"/>
      <c r="Z35" s="19"/>
      <c r="AA35" s="19"/>
      <c r="AB35" s="19"/>
      <c r="AC35" s="19"/>
      <c r="AD35" s="19"/>
      <c r="AE35" s="19"/>
      <c r="AF35" s="19"/>
      <c r="AG35" s="19"/>
      <c r="AH35" s="20"/>
      <c r="AI35" s="20"/>
      <c r="AJ35" s="20"/>
      <c r="AK35" s="20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>
        <v>75</v>
      </c>
      <c r="BP35">
        <v>69</v>
      </c>
      <c r="BQ35" s="19"/>
      <c r="BR35">
        <v>47</v>
      </c>
      <c r="BS35">
        <v>191</v>
      </c>
      <c r="BT35">
        <v>19</v>
      </c>
      <c r="BU35" s="19"/>
      <c r="BV35" s="19"/>
      <c r="BW35" s="19"/>
      <c r="BX35" s="19"/>
      <c r="BY35" s="19"/>
      <c r="BZ35" s="19"/>
      <c r="CA35" s="19"/>
      <c r="CB35" s="19"/>
      <c r="CC35" s="19"/>
      <c r="CD35">
        <v>52</v>
      </c>
      <c r="CG35">
        <v>101</v>
      </c>
      <c r="CH35" s="19"/>
      <c r="CI35">
        <v>113</v>
      </c>
      <c r="CJ35">
        <v>32</v>
      </c>
      <c r="CK35">
        <v>32</v>
      </c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>
        <v>126</v>
      </c>
      <c r="CZ35">
        <v>140</v>
      </c>
      <c r="DA35">
        <v>171</v>
      </c>
      <c r="DB35">
        <v>183</v>
      </c>
      <c r="DC35" s="21"/>
      <c r="DD35" s="21"/>
      <c r="DE35" s="19"/>
      <c r="DF35" s="19"/>
      <c r="DG35" s="19"/>
      <c r="DH35" s="19"/>
      <c r="DI35" s="19"/>
      <c r="DJ35" s="19"/>
      <c r="DK35" s="19"/>
      <c r="DL35" s="19"/>
      <c r="DM35">
        <v>433</v>
      </c>
      <c r="DN35">
        <v>384</v>
      </c>
      <c r="DO35" s="19"/>
      <c r="DP35">
        <v>263</v>
      </c>
      <c r="DQ35" s="19"/>
      <c r="DR35" s="19"/>
      <c r="DS35" s="19"/>
      <c r="DT35" s="19"/>
      <c r="DU35" s="19"/>
      <c r="DV35" s="19"/>
      <c r="DW35" s="19"/>
      <c r="DX35" s="19"/>
      <c r="DY35" s="19">
        <v>7</v>
      </c>
      <c r="DZ35" s="19"/>
      <c r="EA35" s="19">
        <v>7</v>
      </c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19"/>
      <c r="EN35" s="19"/>
      <c r="EO35" s="19"/>
      <c r="EP35" s="19"/>
      <c r="EQ35" s="19"/>
      <c r="ER35" s="19"/>
      <c r="ES35" s="19"/>
      <c r="ET35" s="19"/>
      <c r="EU35" s="20"/>
      <c r="EV35" s="20"/>
      <c r="EW35" s="20"/>
      <c r="EX35" s="19"/>
      <c r="EY35" s="19"/>
      <c r="EZ35" s="19"/>
      <c r="FA35" s="19"/>
      <c r="FB35" s="19"/>
      <c r="FC35" s="19"/>
      <c r="FD35" s="19"/>
      <c r="FE35" s="20"/>
      <c r="FF35" s="19"/>
      <c r="FG35" s="20"/>
      <c r="FH35" s="19"/>
      <c r="FI35" s="19"/>
      <c r="FJ35" s="19"/>
      <c r="FK35" s="19"/>
      <c r="FL35" s="19"/>
      <c r="FM35">
        <v>2.2599999999999998</v>
      </c>
      <c r="FP35">
        <v>1.6</v>
      </c>
      <c r="FQ35">
        <v>1.51</v>
      </c>
      <c r="FR35" s="19"/>
      <c r="FS35">
        <v>1.56</v>
      </c>
      <c r="FT35">
        <v>1.8</v>
      </c>
      <c r="FU35" s="20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>
        <v>125</v>
      </c>
      <c r="GP35">
        <v>140</v>
      </c>
      <c r="GQ35">
        <v>107</v>
      </c>
      <c r="GR35">
        <v>98</v>
      </c>
      <c r="GS35" s="21"/>
      <c r="GT35" s="19"/>
      <c r="GU35" s="19"/>
      <c r="GV35" s="19"/>
      <c r="GW35" s="19"/>
      <c r="GX35" s="7" t="s">
        <v>1270</v>
      </c>
      <c r="GY35" s="30">
        <v>0.06</v>
      </c>
      <c r="GZ35" s="20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</row>
    <row r="36" spans="1:250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20"/>
      <c r="N36" s="20"/>
      <c r="O36" s="20"/>
      <c r="P36" s="20"/>
      <c r="Q36" s="20"/>
      <c r="R36" s="19"/>
      <c r="S36" s="19"/>
      <c r="T36" s="19"/>
      <c r="U36" s="19"/>
      <c r="V36" s="19"/>
      <c r="W36" s="20"/>
      <c r="X36" s="20"/>
      <c r="Y36" s="20"/>
      <c r="Z36" s="19"/>
      <c r="AA36" s="19"/>
      <c r="AB36" s="19"/>
      <c r="AC36" s="19"/>
      <c r="AD36" s="19"/>
      <c r="AE36" s="19"/>
      <c r="AF36" s="19"/>
      <c r="AG36" s="19"/>
      <c r="AH36" s="20"/>
      <c r="AI36" s="20"/>
      <c r="AJ36" s="20"/>
      <c r="AK36" s="20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21"/>
      <c r="DD36" s="21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19"/>
      <c r="EN36" s="19"/>
      <c r="EO36" s="19"/>
      <c r="EP36" s="19"/>
      <c r="EQ36" s="19"/>
      <c r="ER36" s="19"/>
      <c r="ES36" s="19"/>
      <c r="ET36" s="19"/>
      <c r="EU36" s="20"/>
      <c r="EV36" s="20"/>
      <c r="EW36" s="20"/>
      <c r="EX36" s="19"/>
      <c r="EY36" s="19"/>
      <c r="EZ36" s="19"/>
      <c r="FA36" s="19"/>
      <c r="FB36" s="19"/>
      <c r="FC36" s="19"/>
      <c r="FD36" s="19"/>
      <c r="FE36" s="20"/>
      <c r="FF36" s="19"/>
      <c r="FG36" s="20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20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21"/>
      <c r="GT36" s="19"/>
      <c r="GU36" s="19"/>
      <c r="GV36" s="19"/>
      <c r="GW36" s="19"/>
      <c r="GX36" s="19"/>
      <c r="GY36" s="19"/>
      <c r="GZ36" s="20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</row>
    <row r="37" spans="1:250" x14ac:dyDescent="0.25">
      <c r="A37" s="27" t="s">
        <v>1112</v>
      </c>
      <c r="B37" s="27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20"/>
      <c r="N37" s="20"/>
      <c r="O37" s="20"/>
      <c r="P37" s="20"/>
      <c r="Q37" s="20"/>
      <c r="R37" s="19"/>
      <c r="S37" s="19"/>
      <c r="T37" s="19"/>
      <c r="U37" s="19"/>
      <c r="V37" s="19"/>
      <c r="W37" s="20"/>
      <c r="X37" s="20"/>
      <c r="Y37" s="20"/>
      <c r="Z37" s="19"/>
      <c r="AA37" s="19"/>
      <c r="AB37" s="19"/>
      <c r="AC37" s="19"/>
      <c r="AD37" s="19"/>
      <c r="AE37" s="19"/>
      <c r="AF37" s="19"/>
      <c r="AG37" s="19"/>
      <c r="AH37" s="20"/>
      <c r="AI37" s="20"/>
      <c r="AJ37" s="20"/>
      <c r="AK37" s="20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21"/>
      <c r="DD37" s="21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19"/>
      <c r="EN37" s="19"/>
      <c r="EO37" s="19"/>
      <c r="EP37" s="19"/>
      <c r="EQ37" s="19"/>
      <c r="ER37" s="19"/>
      <c r="ES37" s="19"/>
      <c r="ET37" s="19"/>
      <c r="EU37" s="20"/>
      <c r="EV37" s="20"/>
      <c r="EW37" s="20"/>
      <c r="EX37" s="19"/>
      <c r="EY37" s="19"/>
      <c r="EZ37" s="19"/>
      <c r="FA37" s="19"/>
      <c r="FB37" s="19"/>
      <c r="FC37" s="19"/>
      <c r="FD37" s="19"/>
      <c r="FE37" s="20"/>
      <c r="FF37" s="19"/>
      <c r="FG37" s="20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20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21"/>
      <c r="GT37" s="19"/>
      <c r="GU37" s="19"/>
      <c r="GV37" s="19"/>
      <c r="GW37" s="19"/>
      <c r="GX37" s="19"/>
      <c r="GY37" s="19"/>
      <c r="GZ37" s="20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</row>
    <row r="38" spans="1:250" x14ac:dyDescent="0.25">
      <c r="A38">
        <v>1502</v>
      </c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20"/>
      <c r="N38" s="20"/>
      <c r="O38" s="20"/>
      <c r="P38" s="20"/>
      <c r="Q38" s="20"/>
      <c r="R38" s="19"/>
      <c r="S38" s="19"/>
      <c r="T38" s="19"/>
      <c r="U38" s="19"/>
      <c r="V38" s="19"/>
      <c r="W38" s="20"/>
      <c r="X38" s="20"/>
      <c r="Y38" s="20"/>
      <c r="Z38" s="19"/>
      <c r="AA38" s="19"/>
      <c r="AB38" s="19"/>
      <c r="AC38" s="19"/>
      <c r="AD38" s="19"/>
      <c r="AE38" s="19"/>
      <c r="AF38" s="19"/>
      <c r="AG38" s="19"/>
      <c r="AH38" s="20"/>
      <c r="AI38" s="20"/>
      <c r="AJ38" s="20"/>
      <c r="AK38" s="20"/>
      <c r="AL38" s="19"/>
      <c r="AM38" s="19"/>
      <c r="AN38" s="57">
        <v>8.6999999999999993</v>
      </c>
      <c r="AO38" s="19"/>
      <c r="AP38" s="57">
        <v>7.7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>
        <v>52</v>
      </c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>
        <v>82</v>
      </c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>
        <v>112</v>
      </c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21"/>
      <c r="DD38" s="21"/>
      <c r="DE38" s="19"/>
      <c r="DF38" s="19"/>
      <c r="DG38" s="19"/>
      <c r="DH38">
        <v>351</v>
      </c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>
        <v>12.6</v>
      </c>
      <c r="DY38" s="19"/>
      <c r="DZ38" s="19"/>
      <c r="EA38" s="19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19"/>
      <c r="EN38" s="19"/>
      <c r="EO38" s="19"/>
      <c r="EP38" s="19"/>
      <c r="EQ38" s="19"/>
      <c r="ER38" s="19"/>
      <c r="ES38" s="19"/>
      <c r="ET38" s="19"/>
      <c r="EU38" s="20"/>
      <c r="EV38" s="20"/>
      <c r="EW38" s="20"/>
      <c r="EX38" s="19"/>
      <c r="EY38" s="19"/>
      <c r="EZ38" s="19"/>
      <c r="FA38" s="19"/>
      <c r="FB38" s="19"/>
      <c r="FC38" s="19"/>
      <c r="FD38" s="19"/>
      <c r="FE38" s="20"/>
      <c r="FF38" s="19"/>
      <c r="FG38" s="20"/>
      <c r="FH38" s="19"/>
      <c r="FI38" s="19"/>
      <c r="FJ38">
        <v>0.9</v>
      </c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20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21"/>
      <c r="GT38" s="19"/>
      <c r="GU38" s="19"/>
      <c r="GV38" s="19"/>
      <c r="GW38" s="19"/>
      <c r="GX38" s="19"/>
      <c r="GY38" s="19"/>
      <c r="GZ38" s="20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</row>
    <row r="39" spans="1:250" x14ac:dyDescent="0.25">
      <c r="A39">
        <v>4003543</v>
      </c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20"/>
      <c r="N39" s="20"/>
      <c r="O39" s="20"/>
      <c r="P39" s="20"/>
      <c r="Q39" s="20"/>
      <c r="R39" s="19"/>
      <c r="S39" s="19"/>
      <c r="T39" s="19"/>
      <c r="U39" s="19"/>
      <c r="V39" s="19"/>
      <c r="W39" s="20"/>
      <c r="X39" s="20"/>
      <c r="Y39" s="20"/>
      <c r="Z39" s="19"/>
      <c r="AA39" s="19"/>
      <c r="AB39" s="19"/>
      <c r="AC39" s="19"/>
      <c r="AD39" s="19"/>
      <c r="AE39" s="19"/>
      <c r="AF39" s="19"/>
      <c r="AG39" s="19"/>
      <c r="AH39" s="20"/>
      <c r="AI39" s="20"/>
      <c r="AJ39" s="20"/>
      <c r="AK39" s="20"/>
      <c r="AL39" s="19"/>
      <c r="AM39" s="19"/>
      <c r="AO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H39" s="19"/>
      <c r="BI39" s="19"/>
      <c r="BJ39" s="19"/>
      <c r="BK39" s="19"/>
      <c r="BL39">
        <v>39</v>
      </c>
      <c r="BN39" s="19"/>
      <c r="BO39">
        <v>25</v>
      </c>
      <c r="BP39" s="19"/>
      <c r="BQ39" s="19"/>
      <c r="BR39" s="19"/>
      <c r="BS39" s="19"/>
      <c r="BT39" s="19"/>
      <c r="BU39" s="19"/>
      <c r="BV39" s="19"/>
      <c r="BW39" s="19"/>
      <c r="BY39" s="19"/>
      <c r="BZ39" s="19"/>
      <c r="CA39" s="19"/>
      <c r="CB39" s="19"/>
      <c r="CC39">
        <v>53</v>
      </c>
      <c r="CD39" s="19"/>
      <c r="CE39">
        <v>38</v>
      </c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21"/>
      <c r="DD39" s="21"/>
      <c r="DE39" s="19"/>
      <c r="DF39" s="19"/>
      <c r="DG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Y39" s="19"/>
      <c r="DZ39" s="19"/>
      <c r="EA39" s="19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19"/>
      <c r="EN39" s="19"/>
      <c r="EO39" s="19"/>
      <c r="EP39" s="19"/>
      <c r="EQ39" s="19"/>
      <c r="ER39" s="19"/>
      <c r="ES39" s="19"/>
      <c r="ET39" s="19"/>
      <c r="EU39" s="20"/>
      <c r="EV39" s="20"/>
      <c r="EW39" s="20"/>
      <c r="EX39" s="19"/>
      <c r="EY39" s="19"/>
      <c r="EZ39" s="19"/>
      <c r="FA39" s="19"/>
      <c r="FB39" s="19"/>
      <c r="FC39" s="19"/>
      <c r="FD39" s="19"/>
      <c r="FE39" s="20"/>
      <c r="FF39" s="19"/>
      <c r="FG39" s="20"/>
      <c r="FH39" s="19"/>
      <c r="FI39" s="19"/>
      <c r="FK39" s="19"/>
      <c r="FL39">
        <v>1.2</v>
      </c>
      <c r="FM39" s="19"/>
      <c r="FN39">
        <v>0.9</v>
      </c>
      <c r="FP39" s="19"/>
      <c r="FQ39" s="19"/>
      <c r="FR39" s="19"/>
      <c r="FS39" s="19"/>
      <c r="FT39" s="19"/>
      <c r="FU39" s="20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>
        <v>71.2</v>
      </c>
      <c r="GK39" s="19">
        <v>10.3</v>
      </c>
      <c r="GL39" s="19"/>
      <c r="GM39" s="19"/>
      <c r="GN39" s="19"/>
      <c r="GO39" s="19"/>
      <c r="GP39" s="19"/>
      <c r="GQ39" s="19"/>
      <c r="GR39" s="19"/>
      <c r="GS39" s="21"/>
      <c r="GT39" s="19"/>
      <c r="GU39" s="19"/>
      <c r="GV39" s="19"/>
      <c r="GW39" s="19"/>
      <c r="GX39" s="19"/>
      <c r="GY39" s="19"/>
      <c r="GZ39" s="20"/>
      <c r="HA39">
        <v>67</v>
      </c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</row>
    <row r="40" spans="1:250" x14ac:dyDescent="0.25">
      <c r="A40" s="18">
        <v>4900261</v>
      </c>
      <c r="B40" s="18"/>
      <c r="C40">
        <v>18000</v>
      </c>
      <c r="D40" s="19"/>
      <c r="E40">
        <v>18973</v>
      </c>
      <c r="F40">
        <v>12480</v>
      </c>
      <c r="G40">
        <v>13564</v>
      </c>
      <c r="H40" s="19"/>
      <c r="I40">
        <v>7207</v>
      </c>
      <c r="J40">
        <v>4544</v>
      </c>
      <c r="K40">
        <v>341</v>
      </c>
      <c r="L40">
        <v>258</v>
      </c>
      <c r="M40">
        <v>165</v>
      </c>
      <c r="N40">
        <v>132</v>
      </c>
      <c r="O40">
        <v>106</v>
      </c>
      <c r="P40">
        <v>71</v>
      </c>
      <c r="Q40">
        <v>24</v>
      </c>
      <c r="R40" s="19"/>
      <c r="S40" s="19"/>
      <c r="T40" s="19"/>
      <c r="U40" s="19"/>
      <c r="V40" s="19"/>
      <c r="W40" s="20"/>
      <c r="X40" s="20"/>
      <c r="Y40" s="20"/>
      <c r="Z40" s="19"/>
      <c r="AA40" s="19"/>
      <c r="AB40" s="19"/>
      <c r="AC40" s="19"/>
      <c r="AD40" s="19"/>
      <c r="AE40" s="19"/>
      <c r="AF40" s="19"/>
      <c r="AG40" s="19"/>
      <c r="AH40" s="20"/>
      <c r="AI40" s="20"/>
      <c r="AJ40" s="20"/>
      <c r="AK40" s="20"/>
      <c r="AL40" s="19"/>
      <c r="AM40" s="19"/>
      <c r="AO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>
        <v>668</v>
      </c>
      <c r="BH40">
        <v>454</v>
      </c>
      <c r="BI40">
        <v>184</v>
      </c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21"/>
      <c r="DD40" s="21"/>
      <c r="DE40" s="19"/>
      <c r="DF40">
        <v>1151</v>
      </c>
      <c r="DG40">
        <v>804</v>
      </c>
      <c r="DH40">
        <v>847</v>
      </c>
      <c r="DI40" s="19"/>
      <c r="DJ40" s="19"/>
      <c r="DK40">
        <v>772</v>
      </c>
      <c r="DL40">
        <v>577</v>
      </c>
      <c r="DM40" s="19"/>
      <c r="DN40" s="19"/>
      <c r="DO40">
        <v>365</v>
      </c>
      <c r="DP40" s="19"/>
      <c r="DQ40" s="19"/>
      <c r="DR40" s="19"/>
      <c r="DS40" s="19"/>
      <c r="DT40" s="19"/>
      <c r="DU40" s="19"/>
      <c r="DV40" s="19"/>
      <c r="DY40" s="19"/>
      <c r="DZ40" s="19"/>
      <c r="EA40" s="19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19"/>
      <c r="EN40" s="19"/>
      <c r="EO40" s="19"/>
      <c r="EP40" s="19"/>
      <c r="EQ40" s="19"/>
      <c r="ER40" s="19"/>
      <c r="ES40" s="19"/>
      <c r="ET40" s="19"/>
      <c r="EU40" s="20"/>
      <c r="EV40" s="20"/>
      <c r="EW40" s="20"/>
      <c r="EX40" s="19"/>
      <c r="EY40" s="19"/>
      <c r="EZ40" s="19"/>
      <c r="FA40" s="19"/>
      <c r="FB40" s="19"/>
      <c r="FC40" s="19"/>
      <c r="FD40" s="19"/>
      <c r="FE40" s="20"/>
      <c r="FF40" s="19"/>
      <c r="FG40" s="20"/>
      <c r="FH40">
        <v>0.76</v>
      </c>
      <c r="FI40">
        <v>0.53</v>
      </c>
      <c r="FJ40">
        <v>0.86</v>
      </c>
      <c r="FK40" s="19"/>
      <c r="FL40">
        <v>0.71</v>
      </c>
      <c r="FM40" s="19"/>
      <c r="FN40" s="19"/>
      <c r="FO40">
        <v>0.79</v>
      </c>
      <c r="FP40" s="19"/>
      <c r="FQ40" s="19"/>
      <c r="FR40">
        <v>0.69</v>
      </c>
      <c r="FS40" s="19"/>
      <c r="FT40" s="19"/>
      <c r="FU40" s="20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21"/>
      <c r="GT40" s="19"/>
      <c r="GU40" s="19"/>
      <c r="GV40" s="19"/>
      <c r="GW40" s="19"/>
      <c r="GX40" s="19"/>
      <c r="GY40" s="19"/>
      <c r="GZ40" s="20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</row>
    <row r="41" spans="1:250" x14ac:dyDescent="0.25"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20"/>
      <c r="N41" s="20"/>
      <c r="O41" s="20"/>
      <c r="P41" s="20"/>
      <c r="Q41" s="20"/>
      <c r="R41" s="19"/>
      <c r="S41" s="19"/>
      <c r="T41" s="19"/>
      <c r="U41" s="19"/>
      <c r="V41" s="19"/>
      <c r="W41" s="20"/>
      <c r="X41" s="20"/>
      <c r="Y41" s="20"/>
      <c r="Z41" s="19"/>
      <c r="AA41" s="19"/>
      <c r="AB41" s="19"/>
      <c r="AC41" s="19"/>
      <c r="AD41" s="19"/>
      <c r="AE41" s="19"/>
      <c r="AF41" s="19"/>
      <c r="AG41" s="19"/>
      <c r="AH41" s="20"/>
      <c r="AI41" s="20"/>
      <c r="AJ41" s="58"/>
      <c r="AK41" s="20"/>
      <c r="AL41" s="19"/>
      <c r="AM41" s="19"/>
      <c r="AO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21"/>
      <c r="DD41" s="21"/>
      <c r="DE41" s="19"/>
      <c r="DF41" s="19"/>
      <c r="DG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Y41" s="19"/>
      <c r="DZ41" s="19"/>
      <c r="EA41" s="19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19"/>
      <c r="EN41" s="19"/>
      <c r="EO41" s="19"/>
      <c r="EP41" s="19"/>
      <c r="EQ41" s="19"/>
      <c r="ER41" s="19"/>
      <c r="ES41" s="19"/>
      <c r="ET41" s="19"/>
      <c r="EU41" s="20"/>
      <c r="EV41" s="20"/>
      <c r="EW41" s="20"/>
      <c r="EX41" s="19"/>
      <c r="EY41" s="19"/>
      <c r="EZ41" s="19"/>
      <c r="FA41" s="19"/>
      <c r="FB41" s="19"/>
      <c r="FC41" s="19"/>
      <c r="FD41" s="19"/>
      <c r="FE41" s="20"/>
      <c r="FF41" s="19"/>
      <c r="FG41" s="20"/>
      <c r="FH41" s="19"/>
      <c r="FI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20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21"/>
      <c r="GT41" s="19"/>
      <c r="GU41" s="19"/>
      <c r="GV41" s="19"/>
      <c r="GW41" s="19"/>
      <c r="GX41" s="19"/>
      <c r="GY41" s="19"/>
      <c r="GZ41" s="20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</row>
    <row r="42" spans="1:250" x14ac:dyDescent="0.25">
      <c r="A42" s="27" t="s">
        <v>1131</v>
      </c>
      <c r="B42" s="27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20"/>
      <c r="N42" s="20"/>
      <c r="O42" s="20"/>
      <c r="P42" s="20"/>
      <c r="Q42" s="20"/>
      <c r="R42" s="19"/>
      <c r="S42" s="19"/>
      <c r="T42" s="19"/>
      <c r="U42" s="19"/>
      <c r="V42" s="19"/>
      <c r="W42" s="20"/>
      <c r="X42" s="20"/>
      <c r="Y42" s="20"/>
      <c r="Z42" s="19"/>
      <c r="AA42" s="19"/>
      <c r="AB42" s="19"/>
      <c r="AC42" s="19"/>
      <c r="AD42" s="19"/>
      <c r="AE42" s="19"/>
      <c r="AF42" s="19"/>
      <c r="AG42" s="19"/>
      <c r="AH42" s="20"/>
      <c r="AI42" s="20"/>
      <c r="AJ42" s="20"/>
      <c r="AK42" s="20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21"/>
      <c r="DD42" s="21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19"/>
      <c r="EN42" s="19"/>
      <c r="EO42" s="19"/>
      <c r="EP42" s="19"/>
      <c r="EQ42" s="19"/>
      <c r="ER42" s="19"/>
      <c r="ES42" s="19"/>
      <c r="ET42" s="19"/>
      <c r="EU42" s="20"/>
      <c r="EV42" s="20"/>
      <c r="EW42" s="20"/>
      <c r="EX42" s="19"/>
      <c r="EY42" s="19"/>
      <c r="EZ42" s="19"/>
      <c r="FA42" s="19"/>
      <c r="FB42" s="19"/>
      <c r="FC42" s="19"/>
      <c r="FD42" s="19"/>
      <c r="FE42" s="20"/>
      <c r="FF42" s="19"/>
      <c r="FG42" s="20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20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21"/>
      <c r="GT42" s="19"/>
      <c r="GU42" s="19"/>
      <c r="GV42" s="19"/>
      <c r="GW42" s="19"/>
      <c r="GX42" s="19"/>
      <c r="GY42" s="19"/>
      <c r="GZ42" s="20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</row>
    <row r="43" spans="1:250" x14ac:dyDescent="0.25">
      <c r="A43">
        <v>1505</v>
      </c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20"/>
      <c r="N43" s="20"/>
      <c r="O43" s="20"/>
      <c r="P43" s="20"/>
      <c r="Q43" s="20"/>
      <c r="R43" s="19"/>
      <c r="S43" s="19"/>
      <c r="T43" s="19"/>
      <c r="U43" s="19"/>
      <c r="V43" s="19"/>
      <c r="W43" s="20"/>
      <c r="X43" s="20"/>
      <c r="Y43" s="20"/>
      <c r="Z43" s="19"/>
      <c r="AA43" s="19"/>
      <c r="AB43" s="19"/>
      <c r="AC43" s="19"/>
      <c r="AD43" s="19"/>
      <c r="AE43" s="19"/>
      <c r="AF43" s="19"/>
      <c r="AG43" s="19"/>
      <c r="AH43" s="20"/>
      <c r="AI43" s="20"/>
      <c r="AJ43" s="20"/>
      <c r="AK43" s="20"/>
      <c r="AL43" s="19"/>
      <c r="AM43" s="19"/>
      <c r="AN43" s="19"/>
      <c r="AO43" s="19"/>
      <c r="AP43" s="19"/>
      <c r="AQ43" s="57">
        <v>12</v>
      </c>
      <c r="AR43" s="19"/>
      <c r="AS43" s="19"/>
      <c r="AT43" s="19"/>
      <c r="AV43" s="57">
        <v>20</v>
      </c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>
        <v>28</v>
      </c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>
        <v>32</v>
      </c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21"/>
      <c r="DD43" s="21"/>
      <c r="DE43" s="19"/>
      <c r="DF43" s="19"/>
      <c r="DG43" s="19"/>
      <c r="DH43" s="19"/>
      <c r="DI43" s="19"/>
      <c r="DJ43">
        <v>249</v>
      </c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>
        <v>9.9</v>
      </c>
      <c r="DY43" s="19"/>
      <c r="DZ43" s="19"/>
      <c r="EA43" s="19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19"/>
      <c r="EN43" s="19"/>
      <c r="EO43" s="19"/>
      <c r="EP43" s="19"/>
      <c r="EQ43" s="19"/>
      <c r="ER43" s="19"/>
      <c r="ES43" s="19"/>
      <c r="ET43" s="19"/>
      <c r="EU43" s="20"/>
      <c r="EV43" s="20"/>
      <c r="EW43" s="20"/>
      <c r="EX43" s="19"/>
      <c r="EY43" s="19"/>
      <c r="EZ43" s="19"/>
      <c r="FA43" s="19"/>
      <c r="FB43" s="19"/>
      <c r="FC43" s="19"/>
      <c r="FD43" s="19"/>
      <c r="FE43" s="20"/>
      <c r="FF43" s="19"/>
      <c r="FG43" s="20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20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21"/>
      <c r="GT43" s="19"/>
      <c r="GU43" s="19"/>
      <c r="GV43" s="19"/>
      <c r="GW43" s="19"/>
      <c r="GX43" s="19"/>
      <c r="GY43" s="19"/>
      <c r="GZ43" s="20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IP43" t="s">
        <v>1193</v>
      </c>
    </row>
    <row r="44" spans="1:250" x14ac:dyDescent="0.25">
      <c r="A44" s="7">
        <v>1000197</v>
      </c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20"/>
      <c r="N44" s="20"/>
      <c r="O44" s="20"/>
      <c r="P44" s="20"/>
      <c r="Q44" s="20"/>
      <c r="R44" s="19"/>
      <c r="S44" s="19"/>
      <c r="T44" s="19"/>
      <c r="U44" s="19"/>
      <c r="V44" s="19"/>
      <c r="W44" s="20"/>
      <c r="X44" s="20"/>
      <c r="Y44" s="20"/>
      <c r="Z44" s="19"/>
      <c r="AA44" s="19"/>
      <c r="AB44" s="19"/>
      <c r="AC44" s="19"/>
      <c r="AD44" s="19"/>
      <c r="AE44" s="19"/>
      <c r="AF44" s="19"/>
      <c r="AG44" s="19"/>
      <c r="AH44" s="20"/>
      <c r="AI44" s="20"/>
      <c r="AJ44" s="20"/>
      <c r="AK44" s="20"/>
      <c r="AL44" s="19"/>
      <c r="AM44" s="19"/>
      <c r="AO44" s="19"/>
      <c r="AP44" s="19"/>
      <c r="AQ44">
        <v>8900</v>
      </c>
      <c r="AR44">
        <v>10600</v>
      </c>
      <c r="AS44" s="19"/>
      <c r="AT44" s="19"/>
      <c r="AU44" s="19"/>
      <c r="AV44" s="19"/>
      <c r="AW44" s="19"/>
      <c r="AX44" s="19"/>
      <c r="AY44" s="19"/>
      <c r="AZ44" s="19"/>
      <c r="BA44" s="19"/>
      <c r="BC44" s="19"/>
      <c r="BD44" s="19"/>
      <c r="BE44" s="19"/>
      <c r="BF44" s="19"/>
      <c r="BG44" s="19"/>
      <c r="BH44" s="19"/>
      <c r="BI44" s="19"/>
      <c r="BK44" s="19"/>
      <c r="BL44" s="19"/>
      <c r="BM44">
        <v>25</v>
      </c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B44">
        <v>64</v>
      </c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T44" s="19"/>
      <c r="CU44">
        <v>51</v>
      </c>
      <c r="CV44" s="19"/>
      <c r="CW44" s="19"/>
      <c r="CX44" s="19"/>
      <c r="CY44" s="19"/>
      <c r="CZ44" s="19"/>
      <c r="DA44" s="19"/>
      <c r="DB44" s="19"/>
      <c r="DC44" s="21"/>
      <c r="DD44" s="21"/>
      <c r="DE44" s="19"/>
      <c r="DF44" s="19"/>
      <c r="DG44" s="19"/>
      <c r="DH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W44" s="7" t="s">
        <v>1196</v>
      </c>
      <c r="DX44" s="19"/>
      <c r="DY44" s="19"/>
      <c r="DZ44" s="19"/>
      <c r="EA44" s="19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19"/>
      <c r="EN44" s="19"/>
      <c r="EO44" s="19"/>
      <c r="EP44" s="19"/>
      <c r="EQ44" s="19"/>
      <c r="ER44" s="19"/>
      <c r="ES44" s="19"/>
      <c r="ET44" s="19"/>
      <c r="EU44" s="20"/>
      <c r="EV44" s="20"/>
      <c r="EW44" s="20"/>
      <c r="EX44" s="19"/>
      <c r="EY44" s="19"/>
      <c r="EZ44" s="19"/>
      <c r="FA44" s="19"/>
      <c r="FB44" s="19"/>
      <c r="FC44" s="19"/>
      <c r="FD44" s="19"/>
      <c r="FE44" s="20"/>
      <c r="FF44" s="19"/>
      <c r="FG44" s="20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20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21"/>
      <c r="GT44" s="19"/>
      <c r="GU44" s="19"/>
      <c r="GV44" s="19"/>
      <c r="GW44" s="19"/>
      <c r="GX44" s="19"/>
      <c r="GY44" s="19"/>
      <c r="GZ44" s="20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</row>
    <row r="45" spans="1:250" x14ac:dyDescent="0.25">
      <c r="A45" s="7">
        <v>96018835</v>
      </c>
      <c r="B45" s="18"/>
      <c r="C45" s="49" t="s">
        <v>1283</v>
      </c>
      <c r="D45" s="19"/>
      <c r="E45" s="19"/>
      <c r="F45" s="19"/>
      <c r="G45" s="19"/>
      <c r="H45" s="7" t="s">
        <v>108</v>
      </c>
      <c r="I45" s="19"/>
      <c r="J45" s="19"/>
      <c r="K45" s="19"/>
      <c r="L45" s="20"/>
      <c r="M45" s="20"/>
      <c r="N45" s="20"/>
      <c r="O45" s="20"/>
      <c r="P45" s="20"/>
      <c r="Q45" s="20"/>
      <c r="R45" s="19"/>
      <c r="S45">
        <v>67</v>
      </c>
      <c r="T45">
        <v>82</v>
      </c>
      <c r="U45" s="19"/>
      <c r="V45" s="19"/>
      <c r="W45" s="20"/>
      <c r="X45" s="20"/>
      <c r="Y45" s="20"/>
      <c r="Z45" s="19"/>
      <c r="AA45">
        <v>35</v>
      </c>
      <c r="AB45" s="19"/>
      <c r="AC45" s="19"/>
      <c r="AD45" s="19"/>
      <c r="AE45" s="19"/>
      <c r="AF45" s="19"/>
      <c r="AG45" s="19"/>
      <c r="AH45" s="20"/>
      <c r="AI45" s="51"/>
      <c r="AJ45" s="51"/>
      <c r="AK45" s="51"/>
      <c r="AL45" s="32" t="s">
        <v>1272</v>
      </c>
      <c r="AM45" s="32" t="s">
        <v>1271</v>
      </c>
      <c r="AN45" s="7" t="s">
        <v>1275</v>
      </c>
      <c r="AO45" s="7" t="s">
        <v>1277</v>
      </c>
      <c r="AP45" s="19"/>
      <c r="AQ45" s="7" t="s">
        <v>1278</v>
      </c>
      <c r="AS45" s="19"/>
      <c r="AT45" s="7" t="s">
        <v>1173</v>
      </c>
      <c r="AU45" s="19"/>
      <c r="AV45" s="19"/>
      <c r="AW45" s="7" t="s">
        <v>1273</v>
      </c>
      <c r="AY45" s="7" t="s">
        <v>1274</v>
      </c>
      <c r="AZ45" s="7" t="s">
        <v>1276</v>
      </c>
      <c r="BA45" s="19"/>
      <c r="BC45" s="19"/>
      <c r="BD45" s="19"/>
      <c r="BE45" s="19"/>
      <c r="BF45" s="7" t="s">
        <v>1285</v>
      </c>
      <c r="BG45" s="7" t="s">
        <v>1284</v>
      </c>
      <c r="BH45" s="48">
        <v>155</v>
      </c>
      <c r="BI45" s="19"/>
      <c r="BJ45" s="48">
        <v>68</v>
      </c>
      <c r="BK45" s="19"/>
      <c r="BL45" s="48">
        <v>51</v>
      </c>
      <c r="BM45" s="48">
        <v>19</v>
      </c>
      <c r="BN45" s="19"/>
      <c r="BO45" s="48">
        <v>24</v>
      </c>
      <c r="BP45" s="19"/>
      <c r="BQ45" s="19"/>
      <c r="BR45" s="48">
        <v>175</v>
      </c>
      <c r="BS45" s="19"/>
      <c r="BT45" s="19"/>
      <c r="BU45" s="19"/>
      <c r="BV45" s="19"/>
      <c r="BW45" s="7" t="s">
        <v>1286</v>
      </c>
      <c r="BX45" s="7" t="s">
        <v>1287</v>
      </c>
      <c r="BY45" s="48">
        <v>630</v>
      </c>
      <c r="BZ45" s="19"/>
      <c r="CA45" s="48">
        <v>356</v>
      </c>
      <c r="CC45" s="19"/>
      <c r="CD45" s="19"/>
      <c r="CE45" s="48">
        <v>18</v>
      </c>
      <c r="CF45" s="48">
        <v>19</v>
      </c>
      <c r="CG45" s="19"/>
      <c r="CH45" s="19"/>
      <c r="CI45" s="19"/>
      <c r="CJ45" s="19"/>
      <c r="CK45" s="19"/>
      <c r="CL45" s="19"/>
      <c r="CM45" s="19"/>
      <c r="CN45" s="19">
        <v>246</v>
      </c>
      <c r="CO45" s="48">
        <v>201</v>
      </c>
      <c r="CP45">
        <v>180</v>
      </c>
      <c r="CQ45" s="48">
        <v>177</v>
      </c>
      <c r="CR45" s="19"/>
      <c r="CS45" s="48">
        <v>246</v>
      </c>
      <c r="CT45" s="19"/>
      <c r="CV45" s="19"/>
      <c r="CW45" s="48">
        <v>41</v>
      </c>
      <c r="CY45" s="48">
        <v>70</v>
      </c>
      <c r="CZ45" s="19"/>
      <c r="DA45" s="19"/>
      <c r="DB45" s="19"/>
      <c r="DC45" s="21"/>
      <c r="DD45" s="21"/>
      <c r="DE45">
        <v>1694</v>
      </c>
      <c r="DF45">
        <v>617</v>
      </c>
      <c r="DG45" s="19"/>
      <c r="DH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W45" s="18"/>
      <c r="DX45">
        <v>5</v>
      </c>
      <c r="DY45" s="19"/>
      <c r="DZ45" s="19"/>
      <c r="EA45" s="19"/>
      <c r="EB45" s="20"/>
      <c r="EC45" s="48">
        <v>15.2</v>
      </c>
      <c r="ED45" s="7" t="s">
        <v>1281</v>
      </c>
      <c r="EE45" s="48">
        <v>13.4</v>
      </c>
      <c r="EF45" s="23"/>
      <c r="EG45" s="48">
        <v>11.8</v>
      </c>
      <c r="EH45" s="48">
        <v>10.7</v>
      </c>
      <c r="EI45" s="48">
        <v>8.6</v>
      </c>
      <c r="EJ45" s="48">
        <v>10.5</v>
      </c>
      <c r="EK45" s="48">
        <v>10</v>
      </c>
      <c r="EL45" s="20"/>
      <c r="EM45" s="48">
        <v>3.9</v>
      </c>
      <c r="EN45" s="7" t="s">
        <v>1282</v>
      </c>
      <c r="EO45" s="48">
        <v>3.7</v>
      </c>
      <c r="EP45" s="48">
        <v>3.9</v>
      </c>
      <c r="EQ45" s="48">
        <v>8.4</v>
      </c>
      <c r="ER45" s="48">
        <v>7.2</v>
      </c>
      <c r="ES45" s="48">
        <v>8.3000000000000007</v>
      </c>
      <c r="ET45" s="48">
        <v>12.1</v>
      </c>
      <c r="EU45" s="20"/>
      <c r="EV45">
        <v>3.9</v>
      </c>
      <c r="EW45">
        <v>3.5</v>
      </c>
      <c r="EX45" s="48">
        <v>515</v>
      </c>
      <c r="EY45">
        <v>311</v>
      </c>
      <c r="EZ45" s="48">
        <v>288</v>
      </c>
      <c r="FA45" s="48">
        <v>381</v>
      </c>
      <c r="FB45" s="48">
        <v>187</v>
      </c>
      <c r="FC45" s="48">
        <v>326</v>
      </c>
      <c r="FD45" s="19"/>
      <c r="FE45" s="20"/>
      <c r="FF45">
        <v>2082</v>
      </c>
      <c r="FG45" s="20"/>
      <c r="FH45" s="19"/>
      <c r="FI45" s="19"/>
      <c r="FJ45" s="19"/>
      <c r="FK45" s="30" t="s">
        <v>108</v>
      </c>
      <c r="FL45" s="19"/>
      <c r="FM45" s="19"/>
      <c r="FN45" s="19"/>
      <c r="FO45" s="19"/>
      <c r="FP45" s="19"/>
      <c r="FQ45" s="19"/>
      <c r="FR45" s="19"/>
      <c r="FS45" s="19"/>
      <c r="FT45" s="19"/>
      <c r="FU45" s="20"/>
      <c r="FV45" s="7" t="s">
        <v>1289</v>
      </c>
      <c r="FW45" s="7" t="s">
        <v>1290</v>
      </c>
      <c r="FX45" s="48">
        <v>1758</v>
      </c>
      <c r="FY45" s="48">
        <v>332</v>
      </c>
      <c r="FZ45" s="48">
        <v>24</v>
      </c>
      <c r="GA45" s="48">
        <v>90</v>
      </c>
      <c r="GB45" s="48">
        <v>99</v>
      </c>
      <c r="GC45" s="49" t="s">
        <v>1292</v>
      </c>
      <c r="GD45" s="32" t="s">
        <v>1291</v>
      </c>
      <c r="GE45" s="19"/>
      <c r="GF45" s="19"/>
      <c r="GG45" s="19"/>
      <c r="GH45" s="19"/>
      <c r="GI45" s="19"/>
      <c r="GJ45" s="19"/>
      <c r="GK45" s="19"/>
      <c r="GL45" s="19"/>
      <c r="GM45" s="19"/>
      <c r="GN45" s="7" t="s">
        <v>108</v>
      </c>
      <c r="GO45" s="19"/>
      <c r="GP45" s="19"/>
      <c r="GQ45" s="19"/>
      <c r="GR45" s="19"/>
      <c r="GS45" s="21"/>
      <c r="GT45" s="48">
        <v>90</v>
      </c>
      <c r="GU45" s="7" t="s">
        <v>1279</v>
      </c>
      <c r="GV45" s="32" t="s">
        <v>1280</v>
      </c>
      <c r="GW45" s="31"/>
      <c r="GX45" s="19"/>
      <c r="GY45" s="19"/>
      <c r="GZ45" s="20"/>
      <c r="HA45" s="19"/>
      <c r="HB45" s="19"/>
      <c r="HC45">
        <v>66</v>
      </c>
      <c r="HD45" s="19"/>
      <c r="HE45" s="19"/>
      <c r="HF45" s="19"/>
      <c r="HG45" s="19">
        <v>25</v>
      </c>
      <c r="HH45" s="19">
        <v>22</v>
      </c>
      <c r="HI45">
        <v>0.3</v>
      </c>
      <c r="HJ45">
        <v>0.3</v>
      </c>
      <c r="HK45" s="19"/>
      <c r="HL45" s="19"/>
      <c r="IA45" s="7" t="s">
        <v>108</v>
      </c>
      <c r="IB45" s="7" t="s">
        <v>108</v>
      </c>
      <c r="IC45" s="7" t="s">
        <v>108</v>
      </c>
      <c r="ID45" s="7" t="s">
        <v>108</v>
      </c>
      <c r="IE45" s="7" t="s">
        <v>108</v>
      </c>
      <c r="IF45" s="7" t="s">
        <v>108</v>
      </c>
      <c r="IG45" s="7" t="s">
        <v>86</v>
      </c>
      <c r="IH45">
        <v>39.5</v>
      </c>
      <c r="II45">
        <v>38.700000000000003</v>
      </c>
      <c r="IJ45">
        <v>200</v>
      </c>
      <c r="IK45">
        <v>30</v>
      </c>
      <c r="IL45">
        <v>0.2</v>
      </c>
      <c r="IM45" s="7" t="s">
        <v>30</v>
      </c>
      <c r="IN45">
        <v>290</v>
      </c>
    </row>
    <row r="46" spans="1:250" x14ac:dyDescent="0.25">
      <c r="A46" s="18">
        <v>98008326</v>
      </c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20"/>
      <c r="N46" s="20"/>
      <c r="O46" s="20"/>
      <c r="P46" s="20"/>
      <c r="Q46" s="20"/>
      <c r="R46" s="19"/>
      <c r="S46" s="19"/>
      <c r="T46" s="19"/>
      <c r="U46" s="19"/>
      <c r="V46" s="19"/>
      <c r="W46" s="20"/>
      <c r="X46" s="20"/>
      <c r="Y46" s="20"/>
      <c r="Z46" s="19"/>
      <c r="AA46" s="19"/>
      <c r="AB46" s="19"/>
      <c r="AC46" s="19"/>
      <c r="AD46" s="19"/>
      <c r="AE46" s="19"/>
      <c r="AF46" s="19"/>
      <c r="AG46" s="19"/>
      <c r="AH46" s="20"/>
      <c r="AI46" s="20"/>
      <c r="AJ46">
        <v>6000</v>
      </c>
      <c r="AL46">
        <v>11400</v>
      </c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>
        <v>28</v>
      </c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>
        <v>27</v>
      </c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21"/>
      <c r="DD46">
        <v>249</v>
      </c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>
        <v>10</v>
      </c>
      <c r="DT46" s="19"/>
      <c r="DU46" s="19"/>
      <c r="DV46" s="19"/>
      <c r="DW46" s="19"/>
      <c r="DX46" s="19"/>
      <c r="DY46" s="19"/>
      <c r="DZ46" s="19"/>
      <c r="EA46" s="19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19"/>
      <c r="EN46" s="19"/>
      <c r="EO46" s="19"/>
      <c r="EP46" s="19"/>
      <c r="EQ46" s="19"/>
      <c r="ER46" s="19"/>
      <c r="ES46" s="19"/>
      <c r="ET46" s="19"/>
      <c r="EU46" s="20"/>
      <c r="EV46" s="20"/>
      <c r="EW46" s="20"/>
      <c r="EX46" s="19"/>
      <c r="EY46" s="19"/>
      <c r="EZ46" s="19"/>
      <c r="FA46" s="19"/>
      <c r="FB46" s="19"/>
      <c r="FC46" s="19"/>
      <c r="FD46" s="19"/>
      <c r="FE46" s="20"/>
      <c r="FF46" s="19"/>
      <c r="FG46" s="20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20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>
        <v>25.4</v>
      </c>
      <c r="GN46" s="19"/>
      <c r="GO46" s="19"/>
      <c r="GP46" s="19"/>
      <c r="GQ46" s="19"/>
      <c r="GR46" s="19"/>
      <c r="GS46" s="21"/>
      <c r="GT46" s="19"/>
      <c r="GU46" s="19"/>
      <c r="GV46" s="19"/>
      <c r="GW46" s="19"/>
      <c r="GX46" s="19"/>
      <c r="GY46" s="19"/>
      <c r="GZ46" s="20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</row>
    <row r="47" spans="1:250" x14ac:dyDescent="0.25">
      <c r="A47">
        <v>99000717</v>
      </c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20"/>
      <c r="N47" s="20"/>
      <c r="O47" s="20"/>
      <c r="P47" s="20"/>
      <c r="Q47" s="20"/>
      <c r="R47" s="19"/>
      <c r="S47" s="19"/>
      <c r="T47" s="19"/>
      <c r="U47" s="19"/>
      <c r="V47" s="19"/>
      <c r="W47" s="20"/>
      <c r="X47" s="20"/>
      <c r="Y47" s="20"/>
      <c r="Z47" s="19"/>
      <c r="AA47" s="19"/>
      <c r="AB47" s="19"/>
      <c r="AC47" s="19"/>
      <c r="AD47" s="19"/>
      <c r="AE47" s="19"/>
      <c r="AF47" s="19"/>
      <c r="AG47" s="19"/>
      <c r="AH47" s="20"/>
      <c r="AI47" s="20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>
        <v>7700</v>
      </c>
      <c r="AY47" s="19"/>
      <c r="AZ47" s="19"/>
      <c r="BA47">
        <v>4300</v>
      </c>
      <c r="BB47" s="19"/>
      <c r="BC47" s="19"/>
      <c r="BD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>
        <v>31</v>
      </c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>
        <v>30</v>
      </c>
      <c r="CI47" s="19"/>
      <c r="CJ47" s="19"/>
      <c r="CK47" s="19"/>
      <c r="CL47" s="19"/>
      <c r="CO47" s="19"/>
      <c r="CP47" s="19"/>
      <c r="CQ47" s="19"/>
      <c r="CR47" s="19"/>
      <c r="CS47" s="19"/>
      <c r="CT47" s="19"/>
      <c r="CU47" s="19"/>
      <c r="CV47" s="19"/>
      <c r="CW47" s="19"/>
      <c r="CX47">
        <v>75</v>
      </c>
      <c r="CY47" s="19"/>
      <c r="CZ47" s="19"/>
      <c r="DA47" s="19"/>
      <c r="DB47" s="19"/>
      <c r="DC47" s="21"/>
      <c r="DE47" s="19"/>
      <c r="DF47" s="19"/>
      <c r="DG47" s="19"/>
      <c r="DH47" s="19"/>
      <c r="DI47">
        <v>487</v>
      </c>
      <c r="DJ47" s="19"/>
      <c r="DK47" s="19"/>
      <c r="DL47" s="19"/>
      <c r="DM47" s="19"/>
      <c r="DN47" s="19"/>
      <c r="DO47" s="19"/>
      <c r="DP47" s="19"/>
      <c r="DQ47" s="19"/>
      <c r="DR47" s="19"/>
      <c r="DT47" s="19"/>
      <c r="DU47" s="19"/>
      <c r="DV47" s="19"/>
      <c r="DW47" s="19"/>
      <c r="DX47" s="19"/>
      <c r="DY47" s="19"/>
      <c r="DZ47">
        <v>11</v>
      </c>
      <c r="EA47" s="19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19"/>
      <c r="EN47" s="19"/>
      <c r="EO47" s="19"/>
      <c r="EP47" s="19"/>
      <c r="EQ47" s="19"/>
      <c r="ER47" s="19"/>
      <c r="ES47" s="19"/>
      <c r="ET47" s="19"/>
      <c r="EU47" s="20"/>
      <c r="EV47" s="20"/>
      <c r="EW47" s="20"/>
      <c r="EX47" s="19"/>
      <c r="EY47" s="19"/>
      <c r="EZ47" s="19"/>
      <c r="FA47" s="19"/>
      <c r="FB47" s="19"/>
      <c r="FC47" s="19"/>
      <c r="FD47" s="19"/>
      <c r="FE47" s="20"/>
      <c r="FF47" s="19"/>
      <c r="FG47" s="20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20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N47" s="19"/>
      <c r="GO47" s="19"/>
      <c r="GP47" s="19"/>
      <c r="GQ47" s="19"/>
      <c r="GR47" s="19"/>
      <c r="GS47" s="21"/>
      <c r="GT47" s="19"/>
      <c r="GU47" s="19"/>
      <c r="GV47" s="19"/>
      <c r="GW47" s="19"/>
      <c r="GX47" s="19"/>
      <c r="GY47" s="19"/>
      <c r="GZ47" s="20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</row>
    <row r="48" spans="1:250" x14ac:dyDescent="0.25">
      <c r="B48" s="18"/>
    </row>
    <row r="49" spans="1:220" x14ac:dyDescent="0.25">
      <c r="A49" s="18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20"/>
      <c r="N49" s="20"/>
      <c r="O49" s="20"/>
      <c r="P49" s="20"/>
      <c r="Q49" s="20"/>
      <c r="R49" s="19"/>
      <c r="S49" s="19"/>
      <c r="T49" s="19"/>
      <c r="U49" s="19"/>
      <c r="V49" s="19"/>
      <c r="W49" s="20"/>
      <c r="X49" s="20"/>
      <c r="Y49" s="20"/>
      <c r="Z49" s="19"/>
      <c r="AA49" s="19"/>
      <c r="AB49" s="19"/>
      <c r="AC49" s="19"/>
      <c r="AD49" s="19"/>
      <c r="AE49" s="19"/>
      <c r="AF49" s="19"/>
      <c r="AG49" s="19"/>
      <c r="AH49" s="20"/>
      <c r="AI49" s="20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21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T49" s="19"/>
      <c r="DU49" s="19"/>
      <c r="DV49" s="19"/>
      <c r="DW49" s="19"/>
      <c r="DX49" s="19"/>
      <c r="DY49" s="19"/>
      <c r="DZ49" s="19"/>
      <c r="EA49" s="19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19"/>
      <c r="EN49" s="19"/>
      <c r="EO49" s="19"/>
      <c r="EP49" s="19"/>
      <c r="EQ49" s="19"/>
      <c r="ER49" s="19"/>
      <c r="ES49" s="19"/>
      <c r="ET49" s="19"/>
      <c r="EU49" s="20"/>
      <c r="EV49" s="20"/>
      <c r="EW49" s="20"/>
      <c r="EX49" s="19"/>
      <c r="EY49" s="19"/>
      <c r="EZ49" s="19"/>
      <c r="FA49" s="19"/>
      <c r="FB49" s="19"/>
      <c r="FC49" s="19"/>
      <c r="FD49" s="19"/>
      <c r="FE49" s="20"/>
      <c r="FF49" s="19"/>
      <c r="FG49" s="20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20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N49" s="19"/>
      <c r="GO49" s="19"/>
      <c r="GP49" s="19"/>
      <c r="GQ49" s="19"/>
      <c r="GR49" s="19"/>
      <c r="GS49" s="21"/>
      <c r="GT49" s="19"/>
      <c r="GU49" s="19"/>
      <c r="GV49" s="19"/>
      <c r="GW49" s="19"/>
      <c r="GX49" s="19"/>
      <c r="GY49" s="19"/>
      <c r="GZ49" s="20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</row>
    <row r="50" spans="1:220" x14ac:dyDescent="0.25">
      <c r="A50" s="18"/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20"/>
      <c r="N50" s="20"/>
      <c r="O50" s="20"/>
      <c r="P50" s="20"/>
      <c r="Q50" s="20"/>
      <c r="R50" s="19"/>
      <c r="S50" s="19"/>
      <c r="T50" s="19"/>
      <c r="U50" s="19"/>
      <c r="V50" s="19"/>
      <c r="W50" s="20"/>
      <c r="X50" s="20"/>
      <c r="Y50" s="20"/>
      <c r="Z50" s="19"/>
      <c r="AA50" s="19"/>
      <c r="AB50" s="19"/>
      <c r="AC50" s="19"/>
      <c r="AD50" s="19"/>
      <c r="AE50" s="19"/>
      <c r="AF50" s="19"/>
      <c r="AG50" s="19"/>
      <c r="AH50" s="20"/>
      <c r="AI50" s="20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21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T50" s="19"/>
      <c r="DU50" s="19"/>
      <c r="DV50" s="19"/>
      <c r="DW50" s="19"/>
      <c r="DX50" s="19"/>
      <c r="DY50" s="19"/>
      <c r="DZ50" s="19"/>
      <c r="EA50" s="19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19"/>
      <c r="EN50" s="19"/>
      <c r="EO50" s="19"/>
      <c r="EP50" s="19"/>
      <c r="EQ50" s="19"/>
      <c r="ER50" s="19"/>
      <c r="ES50" s="19"/>
      <c r="ET50" s="19"/>
      <c r="EU50" s="20"/>
      <c r="EV50" s="20"/>
      <c r="EW50" s="20"/>
      <c r="EX50" s="19"/>
      <c r="EY50" s="19"/>
      <c r="EZ50" s="19"/>
      <c r="FA50" s="19"/>
      <c r="FB50" s="19"/>
      <c r="FC50" s="19"/>
      <c r="FD50" s="19"/>
      <c r="FE50" s="20"/>
      <c r="FF50" s="19"/>
      <c r="FG50" s="20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20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N50" s="19"/>
      <c r="GO50" s="19"/>
      <c r="GP50" s="19"/>
      <c r="GQ50" s="19"/>
      <c r="GR50" s="19"/>
      <c r="GS50" s="21"/>
      <c r="GT50" s="19"/>
      <c r="GU50" s="19"/>
      <c r="GV50" s="19"/>
      <c r="GW50" s="19"/>
      <c r="GX50" s="19"/>
      <c r="GY50" s="19"/>
      <c r="GZ50" s="20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</row>
    <row r="51" spans="1:220" ht="30" x14ac:dyDescent="0.25">
      <c r="A51" s="19" t="s">
        <v>1204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20"/>
      <c r="N51" s="20"/>
      <c r="O51" s="20"/>
      <c r="P51" s="20"/>
      <c r="Q51" s="20"/>
      <c r="R51" s="19"/>
      <c r="S51" s="19"/>
      <c r="T51" s="19"/>
      <c r="U51" s="19"/>
      <c r="V51" s="19"/>
      <c r="W51" s="20"/>
      <c r="X51" s="20"/>
      <c r="Y51" s="20"/>
      <c r="Z51" s="19"/>
      <c r="AA51" s="19"/>
      <c r="AB51" s="19"/>
      <c r="AC51" s="19"/>
      <c r="AD51" s="19"/>
      <c r="AE51" s="19"/>
      <c r="AF51" s="19"/>
      <c r="AG51" s="19"/>
      <c r="AH51" s="20"/>
      <c r="AI51" s="20"/>
      <c r="AJ51" s="20"/>
      <c r="AK51" s="20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21"/>
      <c r="DD51" s="21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19"/>
      <c r="EN51" s="19"/>
      <c r="EO51" s="19"/>
      <c r="EP51" s="19"/>
      <c r="EQ51" s="19"/>
      <c r="ER51" s="19"/>
      <c r="ES51" s="19"/>
      <c r="ET51" s="19"/>
      <c r="EU51" s="20"/>
      <c r="EV51" s="20"/>
      <c r="EW51" s="20"/>
      <c r="EX51" s="19"/>
      <c r="EY51" s="19"/>
      <c r="EZ51" s="19"/>
      <c r="FA51" s="19"/>
      <c r="FB51" s="19"/>
      <c r="FC51" s="19"/>
      <c r="FD51" s="19"/>
      <c r="FE51" s="20"/>
      <c r="FF51" s="19"/>
      <c r="FG51" s="20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20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21"/>
      <c r="GT51" s="19"/>
      <c r="GU51" s="19"/>
      <c r="GV51" s="19"/>
      <c r="GW51" s="19"/>
      <c r="GX51" s="19"/>
      <c r="GY51" s="19"/>
      <c r="GZ51" s="20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</row>
    <row r="52" spans="1:220" x14ac:dyDescent="0.25">
      <c r="A52" s="7">
        <v>99001898</v>
      </c>
      <c r="B52" s="18"/>
      <c r="C52" s="7" t="s">
        <v>1206</v>
      </c>
    </row>
    <row r="53" spans="1:220" x14ac:dyDescent="0.25">
      <c r="A53" s="7">
        <v>99001927</v>
      </c>
      <c r="B53" s="18"/>
      <c r="C53" s="7" t="s">
        <v>1206</v>
      </c>
    </row>
    <row r="54" spans="1:220" x14ac:dyDescent="0.25">
      <c r="A54" s="11" t="s">
        <v>958</v>
      </c>
      <c r="B54" s="26"/>
      <c r="C54" s="11" t="s">
        <v>1293</v>
      </c>
      <c r="D54">
        <v>124</v>
      </c>
      <c r="E54">
        <v>41</v>
      </c>
      <c r="R54" t="s">
        <v>972</v>
      </c>
      <c r="T54">
        <v>20</v>
      </c>
      <c r="U54">
        <v>75</v>
      </c>
      <c r="V54">
        <v>74</v>
      </c>
      <c r="Z54" t="s">
        <v>973</v>
      </c>
      <c r="AA54">
        <v>61</v>
      </c>
      <c r="AB54" t="s">
        <v>974</v>
      </c>
      <c r="AC54" t="s">
        <v>975</v>
      </c>
    </row>
    <row r="55" spans="1:220" x14ac:dyDescent="0.25">
      <c r="B55" s="18"/>
    </row>
    <row r="56" spans="1:220" x14ac:dyDescent="0.25">
      <c r="B56" s="18"/>
    </row>
    <row r="57" spans="1:220" x14ac:dyDescent="0.25">
      <c r="B57" s="18"/>
    </row>
    <row r="58" spans="1:220" x14ac:dyDescent="0.25">
      <c r="B58" s="18"/>
    </row>
    <row r="62" spans="1:220" x14ac:dyDescent="0.25">
      <c r="A62" s="18"/>
      <c r="B62" s="18"/>
      <c r="C62" s="18"/>
    </row>
    <row r="63" spans="1:220" x14ac:dyDescent="0.25">
      <c r="A63" s="18"/>
      <c r="B63" s="18"/>
      <c r="C63" s="18"/>
    </row>
    <row r="68" spans="3:3" x14ac:dyDescent="0.25">
      <c r="C68" t="s">
        <v>1188</v>
      </c>
    </row>
    <row r="69" spans="3:3" x14ac:dyDescent="0.25">
      <c r="C69" t="s">
        <v>1187</v>
      </c>
    </row>
    <row r="70" spans="3:3" x14ac:dyDescent="0.25">
      <c r="C70" t="s">
        <v>1186</v>
      </c>
    </row>
    <row r="75" spans="3:3" x14ac:dyDescent="0.25">
      <c r="C75" t="s">
        <v>1190</v>
      </c>
    </row>
    <row r="76" spans="3:3" x14ac:dyDescent="0.25">
      <c r="C76" t="s">
        <v>1189</v>
      </c>
    </row>
    <row r="81" spans="1:3" x14ac:dyDescent="0.25">
      <c r="C81" s="37" t="s">
        <v>154</v>
      </c>
    </row>
    <row r="82" spans="1:3" x14ac:dyDescent="0.25">
      <c r="C82" s="38" t="s">
        <v>1211</v>
      </c>
    </row>
    <row r="83" spans="1:3" x14ac:dyDescent="0.25">
      <c r="C83" s="39" t="s">
        <v>1209</v>
      </c>
    </row>
    <row r="84" spans="1:3" x14ac:dyDescent="0.25">
      <c r="C84" s="40" t="s">
        <v>1210</v>
      </c>
    </row>
    <row r="85" spans="1:3" x14ac:dyDescent="0.25">
      <c r="C85" s="42" t="s">
        <v>1250</v>
      </c>
    </row>
    <row r="86" spans="1:3" x14ac:dyDescent="0.25">
      <c r="C86" s="46" t="s">
        <v>1251</v>
      </c>
    </row>
    <row r="87" spans="1:3" x14ac:dyDescent="0.25">
      <c r="C87" s="52" t="s">
        <v>1309</v>
      </c>
    </row>
    <row r="92" spans="1:3" x14ac:dyDescent="0.25">
      <c r="A92" s="54" t="s">
        <v>1310</v>
      </c>
      <c r="B92" s="54"/>
    </row>
    <row r="93" spans="1:3" x14ac:dyDescent="0.25">
      <c r="A93" s="28" t="s">
        <v>1312</v>
      </c>
      <c r="B93" s="28"/>
    </row>
    <row r="94" spans="1:3" x14ac:dyDescent="0.25">
      <c r="A94">
        <v>6016435</v>
      </c>
      <c r="B94" t="s">
        <v>1314</v>
      </c>
    </row>
    <row r="95" spans="1:3" x14ac:dyDescent="0.25">
      <c r="A95">
        <v>8045149</v>
      </c>
      <c r="B95" t="s">
        <v>1380</v>
      </c>
    </row>
    <row r="96" spans="1:3" x14ac:dyDescent="0.25">
      <c r="A96">
        <v>10023001</v>
      </c>
      <c r="B96" t="s">
        <v>1315</v>
      </c>
    </row>
    <row r="97" spans="1:2" x14ac:dyDescent="0.25">
      <c r="A97">
        <v>10027526</v>
      </c>
      <c r="B97" t="s">
        <v>1316</v>
      </c>
    </row>
    <row r="98" spans="1:2" x14ac:dyDescent="0.25">
      <c r="A98">
        <v>14222171</v>
      </c>
      <c r="B98" t="s">
        <v>1317</v>
      </c>
    </row>
    <row r="100" spans="1:2" x14ac:dyDescent="0.25">
      <c r="A100" s="28" t="s">
        <v>1318</v>
      </c>
    </row>
    <row r="101" spans="1:2" x14ac:dyDescent="0.25">
      <c r="A101">
        <v>8057159</v>
      </c>
      <c r="B101" t="s">
        <v>1319</v>
      </c>
    </row>
    <row r="102" spans="1:2" x14ac:dyDescent="0.25">
      <c r="A102">
        <v>9140312</v>
      </c>
      <c r="B102" t="s">
        <v>1320</v>
      </c>
    </row>
    <row r="103" spans="1:2" x14ac:dyDescent="0.25">
      <c r="A103">
        <v>12008230</v>
      </c>
      <c r="B103" t="s">
        <v>1321</v>
      </c>
    </row>
    <row r="104" spans="1:2" x14ac:dyDescent="0.25">
      <c r="A104">
        <v>12088444</v>
      </c>
      <c r="B104" t="s">
        <v>1322</v>
      </c>
    </row>
    <row r="105" spans="1:2" x14ac:dyDescent="0.25">
      <c r="A105">
        <v>12090163</v>
      </c>
      <c r="B105" t="s">
        <v>1323</v>
      </c>
    </row>
    <row r="106" spans="1:2" x14ac:dyDescent="0.25">
      <c r="A106">
        <v>12100613</v>
      </c>
      <c r="B106" t="s">
        <v>1324</v>
      </c>
    </row>
    <row r="107" spans="1:2" x14ac:dyDescent="0.25">
      <c r="A107">
        <v>12111434</v>
      </c>
      <c r="B107" t="s">
        <v>1325</v>
      </c>
    </row>
    <row r="108" spans="1:2" x14ac:dyDescent="0.25">
      <c r="A108">
        <v>13118872</v>
      </c>
      <c r="B108" t="s">
        <v>1326</v>
      </c>
    </row>
    <row r="110" spans="1:2" x14ac:dyDescent="0.25">
      <c r="A110" s="28" t="s">
        <v>1327</v>
      </c>
    </row>
    <row r="111" spans="1:2" x14ac:dyDescent="0.25">
      <c r="A111">
        <v>9074418</v>
      </c>
      <c r="B111" t="s">
        <v>1328</v>
      </c>
    </row>
    <row r="112" spans="1:2" x14ac:dyDescent="0.25">
      <c r="A112">
        <v>10027526</v>
      </c>
      <c r="B112" t="s">
        <v>1329</v>
      </c>
    </row>
    <row r="114" spans="1:2" x14ac:dyDescent="0.25">
      <c r="A114" s="28" t="s">
        <v>1330</v>
      </c>
    </row>
    <row r="115" spans="1:2" x14ac:dyDescent="0.25">
      <c r="A115">
        <v>6016435</v>
      </c>
      <c r="B115" t="s">
        <v>1314</v>
      </c>
    </row>
    <row r="116" spans="1:2" x14ac:dyDescent="0.25">
      <c r="A116">
        <v>8146347</v>
      </c>
      <c r="B116" t="s">
        <v>1351</v>
      </c>
    </row>
    <row r="117" spans="1:2" x14ac:dyDescent="0.25">
      <c r="A117">
        <v>11004391</v>
      </c>
      <c r="B117" t="s">
        <v>1372</v>
      </c>
    </row>
    <row r="754" spans="1:2" x14ac:dyDescent="0.25">
      <c r="A754" s="56" t="s">
        <v>1311</v>
      </c>
      <c r="B754" s="28"/>
    </row>
    <row r="756" spans="1:2" x14ac:dyDescent="0.25">
      <c r="A756" s="28" t="s">
        <v>1330</v>
      </c>
    </row>
    <row r="757" spans="1:2" x14ac:dyDescent="0.25">
      <c r="A757">
        <v>5013780</v>
      </c>
      <c r="B757" t="s">
        <v>1331</v>
      </c>
    </row>
    <row r="758" spans="1:2" x14ac:dyDescent="0.25">
      <c r="A758">
        <v>5015869</v>
      </c>
      <c r="B758" t="s">
        <v>1332</v>
      </c>
    </row>
    <row r="759" spans="1:2" x14ac:dyDescent="0.25">
      <c r="A759">
        <v>5016969</v>
      </c>
      <c r="B759" s="7" t="s">
        <v>1333</v>
      </c>
    </row>
    <row r="760" spans="1:2" x14ac:dyDescent="0.25">
      <c r="A760">
        <v>6006554</v>
      </c>
      <c r="B760" t="s">
        <v>1334</v>
      </c>
    </row>
    <row r="761" spans="1:2" x14ac:dyDescent="0.25">
      <c r="A761">
        <v>6023231</v>
      </c>
      <c r="B761" t="s">
        <v>1335</v>
      </c>
    </row>
    <row r="762" spans="1:2" x14ac:dyDescent="0.25">
      <c r="A762">
        <v>6010712</v>
      </c>
      <c r="B762" t="s">
        <v>1336</v>
      </c>
    </row>
    <row r="763" spans="1:2" x14ac:dyDescent="0.25">
      <c r="A763">
        <v>6010715</v>
      </c>
      <c r="B763" t="s">
        <v>1336</v>
      </c>
    </row>
    <row r="764" spans="1:2" x14ac:dyDescent="0.25">
      <c r="A764">
        <v>6010719</v>
      </c>
      <c r="B764" t="s">
        <v>1336</v>
      </c>
    </row>
    <row r="765" spans="1:2" x14ac:dyDescent="0.25">
      <c r="A765">
        <v>6010722</v>
      </c>
      <c r="B765" t="s">
        <v>1336</v>
      </c>
    </row>
    <row r="766" spans="1:2" x14ac:dyDescent="0.25">
      <c r="A766">
        <v>6011198</v>
      </c>
      <c r="B766" t="s">
        <v>1336</v>
      </c>
    </row>
    <row r="767" spans="1:2" x14ac:dyDescent="0.25">
      <c r="A767">
        <v>6012681</v>
      </c>
      <c r="B767" t="s">
        <v>1337</v>
      </c>
    </row>
    <row r="768" spans="1:2" x14ac:dyDescent="0.25">
      <c r="A768">
        <v>6014511</v>
      </c>
      <c r="B768" t="s">
        <v>1338</v>
      </c>
    </row>
    <row r="769" spans="1:2" x14ac:dyDescent="0.25">
      <c r="A769">
        <v>6045127</v>
      </c>
      <c r="B769" t="s">
        <v>1339</v>
      </c>
    </row>
    <row r="770" spans="1:2" x14ac:dyDescent="0.25">
      <c r="A770">
        <v>7000458</v>
      </c>
      <c r="B770" t="s">
        <v>1340</v>
      </c>
    </row>
    <row r="771" spans="1:2" x14ac:dyDescent="0.25">
      <c r="A771">
        <v>7015502</v>
      </c>
      <c r="B771" t="s">
        <v>1341</v>
      </c>
    </row>
    <row r="772" spans="1:2" x14ac:dyDescent="0.25">
      <c r="A772">
        <v>7025847</v>
      </c>
      <c r="B772" t="s">
        <v>1338</v>
      </c>
    </row>
    <row r="773" spans="1:2" x14ac:dyDescent="0.25">
      <c r="A773">
        <v>7082707</v>
      </c>
      <c r="B773" t="s">
        <v>1341</v>
      </c>
    </row>
    <row r="774" spans="1:2" x14ac:dyDescent="0.25">
      <c r="A774">
        <v>7083159</v>
      </c>
      <c r="B774" t="s">
        <v>1342</v>
      </c>
    </row>
    <row r="775" spans="1:2" x14ac:dyDescent="0.25">
      <c r="A775">
        <v>7084659</v>
      </c>
      <c r="B775" t="s">
        <v>1343</v>
      </c>
    </row>
    <row r="776" spans="1:2" x14ac:dyDescent="0.25">
      <c r="A776">
        <v>7076814</v>
      </c>
      <c r="B776" t="s">
        <v>1338</v>
      </c>
    </row>
    <row r="777" spans="1:2" x14ac:dyDescent="0.25">
      <c r="A777">
        <v>7076815</v>
      </c>
      <c r="B777" t="s">
        <v>1344</v>
      </c>
    </row>
    <row r="778" spans="1:2" x14ac:dyDescent="0.25">
      <c r="A778">
        <v>7089231</v>
      </c>
      <c r="B778" t="s">
        <v>1338</v>
      </c>
    </row>
    <row r="779" spans="1:2" x14ac:dyDescent="0.25">
      <c r="A779">
        <v>7116004</v>
      </c>
      <c r="B779" t="s">
        <v>1338</v>
      </c>
    </row>
    <row r="780" spans="1:2" x14ac:dyDescent="0.25">
      <c r="A780">
        <v>8003819</v>
      </c>
      <c r="B780" t="s">
        <v>1345</v>
      </c>
    </row>
    <row r="781" spans="1:2" x14ac:dyDescent="0.25">
      <c r="A781">
        <v>8061313</v>
      </c>
      <c r="B781" t="s">
        <v>1342</v>
      </c>
    </row>
    <row r="782" spans="1:2" x14ac:dyDescent="0.25">
      <c r="A782">
        <v>8091779</v>
      </c>
      <c r="B782" t="s">
        <v>1346</v>
      </c>
    </row>
    <row r="783" spans="1:2" x14ac:dyDescent="0.25">
      <c r="A783">
        <v>8097989</v>
      </c>
      <c r="B783" t="s">
        <v>1347</v>
      </c>
    </row>
    <row r="784" spans="1:2" x14ac:dyDescent="0.25">
      <c r="A784">
        <v>8112522</v>
      </c>
      <c r="B784" t="s">
        <v>1348</v>
      </c>
    </row>
    <row r="785" spans="1:2" x14ac:dyDescent="0.25">
      <c r="A785">
        <v>8127397</v>
      </c>
      <c r="B785" t="s">
        <v>1349</v>
      </c>
    </row>
    <row r="786" spans="1:2" x14ac:dyDescent="0.25">
      <c r="A786">
        <v>8130089</v>
      </c>
      <c r="B786" t="s">
        <v>1336</v>
      </c>
    </row>
    <row r="787" spans="1:2" x14ac:dyDescent="0.25">
      <c r="A787">
        <v>8130998</v>
      </c>
      <c r="B787" t="s">
        <v>1350</v>
      </c>
    </row>
    <row r="788" spans="1:2" x14ac:dyDescent="0.25">
      <c r="A788">
        <v>8146902</v>
      </c>
      <c r="B788" t="s">
        <v>1352</v>
      </c>
    </row>
    <row r="789" spans="1:2" x14ac:dyDescent="0.25">
      <c r="A789">
        <v>9002836</v>
      </c>
      <c r="B789" t="s">
        <v>1353</v>
      </c>
    </row>
    <row r="790" spans="1:2" x14ac:dyDescent="0.25">
      <c r="A790">
        <v>9003331</v>
      </c>
      <c r="B790" t="s">
        <v>1354</v>
      </c>
    </row>
    <row r="791" spans="1:2" x14ac:dyDescent="0.25">
      <c r="A791">
        <v>9003370</v>
      </c>
      <c r="B791" t="s">
        <v>1355</v>
      </c>
    </row>
    <row r="792" spans="1:2" x14ac:dyDescent="0.25">
      <c r="A792">
        <v>9013015</v>
      </c>
      <c r="B792" t="s">
        <v>1356</v>
      </c>
    </row>
    <row r="793" spans="1:2" x14ac:dyDescent="0.25">
      <c r="A793">
        <v>9016278</v>
      </c>
      <c r="B793" t="s">
        <v>1334</v>
      </c>
    </row>
    <row r="794" spans="1:2" x14ac:dyDescent="0.25">
      <c r="A794">
        <v>9030684</v>
      </c>
      <c r="B794" s="7" t="s">
        <v>1357</v>
      </c>
    </row>
    <row r="795" spans="1:2" x14ac:dyDescent="0.25">
      <c r="A795">
        <v>9031387</v>
      </c>
      <c r="B795" s="7" t="s">
        <v>1357</v>
      </c>
    </row>
    <row r="796" spans="1:2" x14ac:dyDescent="0.25">
      <c r="A796">
        <v>9038676</v>
      </c>
      <c r="B796" t="s">
        <v>1358</v>
      </c>
    </row>
    <row r="797" spans="1:2" x14ac:dyDescent="0.25">
      <c r="A797">
        <v>9039416</v>
      </c>
      <c r="B797" t="s">
        <v>1353</v>
      </c>
    </row>
    <row r="798" spans="1:2" x14ac:dyDescent="0.25">
      <c r="A798">
        <v>9042861</v>
      </c>
      <c r="B798" t="s">
        <v>1359</v>
      </c>
    </row>
    <row r="799" spans="1:2" x14ac:dyDescent="0.25">
      <c r="A799">
        <v>9044899</v>
      </c>
      <c r="B799" t="s">
        <v>1341</v>
      </c>
    </row>
    <row r="800" spans="1:2" x14ac:dyDescent="0.25">
      <c r="A800">
        <v>9052398</v>
      </c>
      <c r="B800" t="s">
        <v>1339</v>
      </c>
    </row>
    <row r="801" spans="1:2" x14ac:dyDescent="0.25">
      <c r="A801">
        <v>9085204</v>
      </c>
      <c r="B801" t="s">
        <v>1360</v>
      </c>
    </row>
    <row r="802" spans="1:2" x14ac:dyDescent="0.25">
      <c r="A802">
        <v>9090323</v>
      </c>
      <c r="B802" t="s">
        <v>1361</v>
      </c>
    </row>
    <row r="803" spans="1:2" x14ac:dyDescent="0.25">
      <c r="A803">
        <v>9097281</v>
      </c>
      <c r="B803" t="s">
        <v>1338</v>
      </c>
    </row>
    <row r="804" spans="1:2" x14ac:dyDescent="0.25">
      <c r="A804">
        <v>9105492</v>
      </c>
      <c r="B804" t="s">
        <v>1348</v>
      </c>
    </row>
    <row r="805" spans="1:2" x14ac:dyDescent="0.25">
      <c r="A805">
        <v>9125095</v>
      </c>
      <c r="B805" t="s">
        <v>1362</v>
      </c>
    </row>
    <row r="806" spans="1:2" x14ac:dyDescent="0.25">
      <c r="A806">
        <v>9138268</v>
      </c>
      <c r="B806" t="s">
        <v>1363</v>
      </c>
    </row>
    <row r="807" spans="1:2" x14ac:dyDescent="0.25">
      <c r="A807">
        <v>9138470</v>
      </c>
      <c r="B807" t="s">
        <v>1339</v>
      </c>
    </row>
    <row r="808" spans="1:2" x14ac:dyDescent="0.25">
      <c r="A808">
        <v>9150676</v>
      </c>
      <c r="B808" t="s">
        <v>1354</v>
      </c>
    </row>
    <row r="809" spans="1:2" x14ac:dyDescent="0.25">
      <c r="A809">
        <v>10010926</v>
      </c>
      <c r="B809" t="s">
        <v>1364</v>
      </c>
    </row>
    <row r="810" spans="1:2" x14ac:dyDescent="0.25">
      <c r="A810">
        <v>10016588</v>
      </c>
      <c r="B810" t="s">
        <v>1342</v>
      </c>
    </row>
    <row r="811" spans="1:2" x14ac:dyDescent="0.25">
      <c r="A811">
        <v>10027550</v>
      </c>
      <c r="B811" t="s">
        <v>1365</v>
      </c>
    </row>
    <row r="812" spans="1:2" x14ac:dyDescent="0.25">
      <c r="A812">
        <v>10030897</v>
      </c>
      <c r="B812" t="s">
        <v>1366</v>
      </c>
    </row>
    <row r="813" spans="1:2" x14ac:dyDescent="0.25">
      <c r="A813">
        <v>10091530</v>
      </c>
      <c r="B813" t="s">
        <v>1347</v>
      </c>
    </row>
    <row r="814" spans="1:2" x14ac:dyDescent="0.25">
      <c r="A814">
        <v>10102052</v>
      </c>
      <c r="B814" t="s">
        <v>1367</v>
      </c>
    </row>
    <row r="815" spans="1:2" x14ac:dyDescent="0.25">
      <c r="A815">
        <v>10104735</v>
      </c>
      <c r="B815" t="s">
        <v>1368</v>
      </c>
    </row>
    <row r="816" spans="1:2" x14ac:dyDescent="0.25">
      <c r="A816">
        <v>10109552</v>
      </c>
      <c r="B816" t="s">
        <v>1339</v>
      </c>
    </row>
    <row r="817" spans="1:7" x14ac:dyDescent="0.25">
      <c r="A817">
        <v>10131550</v>
      </c>
      <c r="B817" t="s">
        <v>1342</v>
      </c>
    </row>
    <row r="818" spans="1:7" x14ac:dyDescent="0.25">
      <c r="A818">
        <v>10131607</v>
      </c>
      <c r="B818" t="s">
        <v>1331</v>
      </c>
      <c r="G818" s="7" t="s">
        <v>1369</v>
      </c>
    </row>
    <row r="819" spans="1:7" x14ac:dyDescent="0.25">
      <c r="A819">
        <v>10145202</v>
      </c>
      <c r="B819" t="s">
        <v>1348</v>
      </c>
    </row>
    <row r="820" spans="1:7" x14ac:dyDescent="0.25">
      <c r="A820">
        <v>10158770</v>
      </c>
      <c r="B820" s="7" t="s">
        <v>1333</v>
      </c>
    </row>
    <row r="821" spans="1:7" x14ac:dyDescent="0.25">
      <c r="A821">
        <v>10162949</v>
      </c>
      <c r="B821" t="s">
        <v>1370</v>
      </c>
    </row>
    <row r="822" spans="1:7" x14ac:dyDescent="0.25">
      <c r="A822">
        <v>10171633</v>
      </c>
      <c r="B822" t="s">
        <v>1371</v>
      </c>
    </row>
    <row r="823" spans="1:7" x14ac:dyDescent="0.25">
      <c r="A823">
        <v>10180409</v>
      </c>
      <c r="B823" t="s">
        <v>1354</v>
      </c>
    </row>
    <row r="824" spans="1:7" x14ac:dyDescent="0.25">
      <c r="A824">
        <v>11005762</v>
      </c>
      <c r="B824" t="s">
        <v>1347</v>
      </c>
    </row>
    <row r="825" spans="1:7" x14ac:dyDescent="0.25">
      <c r="A825">
        <v>11014307</v>
      </c>
      <c r="B825" t="s">
        <v>1373</v>
      </c>
    </row>
    <row r="826" spans="1:7" x14ac:dyDescent="0.25">
      <c r="A826">
        <v>11014313</v>
      </c>
      <c r="B826" t="s">
        <v>1348</v>
      </c>
    </row>
    <row r="827" spans="1:7" x14ac:dyDescent="0.25">
      <c r="A827">
        <v>11018341</v>
      </c>
      <c r="B827" t="s">
        <v>1343</v>
      </c>
    </row>
    <row r="828" spans="1:7" x14ac:dyDescent="0.25">
      <c r="A828">
        <v>11021445</v>
      </c>
      <c r="B828" t="s">
        <v>1331</v>
      </c>
    </row>
    <row r="829" spans="1:7" x14ac:dyDescent="0.25">
      <c r="A829">
        <v>11025151</v>
      </c>
      <c r="B829" t="s">
        <v>1348</v>
      </c>
    </row>
    <row r="830" spans="1:7" x14ac:dyDescent="0.25">
      <c r="A830">
        <v>11039110</v>
      </c>
      <c r="B830" t="s">
        <v>1374</v>
      </c>
    </row>
    <row r="831" spans="1:7" x14ac:dyDescent="0.25">
      <c r="A831">
        <v>11084088</v>
      </c>
      <c r="B831" t="s">
        <v>1339</v>
      </c>
    </row>
    <row r="832" spans="1:7" x14ac:dyDescent="0.25">
      <c r="A832">
        <v>11108410</v>
      </c>
      <c r="B832" t="s">
        <v>1375</v>
      </c>
    </row>
    <row r="833" spans="1:2" x14ac:dyDescent="0.25">
      <c r="A833">
        <v>11139605</v>
      </c>
      <c r="B833" t="s">
        <v>1339</v>
      </c>
    </row>
    <row r="834" spans="1:2" x14ac:dyDescent="0.25">
      <c r="A834">
        <v>11201694</v>
      </c>
      <c r="B834" t="s">
        <v>1339</v>
      </c>
    </row>
    <row r="835" spans="1:2" x14ac:dyDescent="0.25">
      <c r="A835">
        <v>11209748</v>
      </c>
      <c r="B835" t="s">
        <v>1333</v>
      </c>
    </row>
    <row r="836" spans="1:2" x14ac:dyDescent="0.25">
      <c r="A836">
        <v>11242543</v>
      </c>
      <c r="B836" t="s">
        <v>1376</v>
      </c>
    </row>
    <row r="837" spans="1:2" x14ac:dyDescent="0.25">
      <c r="A837">
        <v>11247293</v>
      </c>
      <c r="B837" t="s">
        <v>1377</v>
      </c>
    </row>
    <row r="838" spans="1:2" x14ac:dyDescent="0.25">
      <c r="A838">
        <v>12006449</v>
      </c>
      <c r="B838" t="s">
        <v>1348</v>
      </c>
    </row>
    <row r="839" spans="1:2" x14ac:dyDescent="0.25">
      <c r="A839">
        <v>12049136</v>
      </c>
      <c r="B839" t="s">
        <v>1378</v>
      </c>
    </row>
    <row r="840" spans="1:2" x14ac:dyDescent="0.25">
      <c r="A840">
        <v>12087508</v>
      </c>
      <c r="B840" t="s">
        <v>1346</v>
      </c>
    </row>
    <row r="841" spans="1:2" x14ac:dyDescent="0.25">
      <c r="A841">
        <v>12088753</v>
      </c>
      <c r="B841" t="s">
        <v>1379</v>
      </c>
    </row>
    <row r="842" spans="1:2" x14ac:dyDescent="0.25">
      <c r="A842">
        <v>12229481</v>
      </c>
      <c r="B842" t="s">
        <v>1342</v>
      </c>
    </row>
    <row r="843" spans="1:2" x14ac:dyDescent="0.25">
      <c r="A843">
        <v>12258821</v>
      </c>
      <c r="B843" t="s">
        <v>1361</v>
      </c>
    </row>
    <row r="844" spans="1:2" x14ac:dyDescent="0.25">
      <c r="A844">
        <v>12309729</v>
      </c>
      <c r="B844" t="s">
        <v>1338</v>
      </c>
    </row>
    <row r="845" spans="1:2" x14ac:dyDescent="0.25">
      <c r="A845">
        <v>12314941</v>
      </c>
      <c r="B845" t="s">
        <v>1339</v>
      </c>
    </row>
    <row r="846" spans="1:2" x14ac:dyDescent="0.25">
      <c r="A846">
        <v>12323945</v>
      </c>
      <c r="B846" t="s">
        <v>1339</v>
      </c>
    </row>
    <row r="847" spans="1:2" x14ac:dyDescent="0.25">
      <c r="A847">
        <v>13005942</v>
      </c>
      <c r="B847" t="s">
        <v>1334</v>
      </c>
    </row>
  </sheetData>
  <conditionalFormatting sqref="A25:C25">
    <cfRule type="duplicateValues" dxfId="42" priority="54"/>
  </conditionalFormatting>
  <conditionalFormatting sqref="A25:C25">
    <cfRule type="duplicateValues" dxfId="41" priority="53"/>
  </conditionalFormatting>
  <conditionalFormatting sqref="A26:C26">
    <cfRule type="duplicateValues" dxfId="40" priority="52"/>
  </conditionalFormatting>
  <conditionalFormatting sqref="A26:C26">
    <cfRule type="duplicateValues" dxfId="39" priority="51"/>
  </conditionalFormatting>
  <conditionalFormatting sqref="A52:B52">
    <cfRule type="duplicateValues" dxfId="38" priority="50"/>
  </conditionalFormatting>
  <conditionalFormatting sqref="A52:B52">
    <cfRule type="duplicateValues" dxfId="37" priority="49"/>
  </conditionalFormatting>
  <conditionalFormatting sqref="A27:C27 A32:C32">
    <cfRule type="duplicateValues" dxfId="36" priority="48"/>
  </conditionalFormatting>
  <conditionalFormatting sqref="A28:C28">
    <cfRule type="duplicateValues" dxfId="35" priority="46"/>
  </conditionalFormatting>
  <conditionalFormatting sqref="A29:C29">
    <cfRule type="duplicateValues" dxfId="34" priority="44"/>
  </conditionalFormatting>
  <conditionalFormatting sqref="A29:C29">
    <cfRule type="duplicateValues" dxfId="33" priority="43"/>
  </conditionalFormatting>
  <conditionalFormatting sqref="A53:B53">
    <cfRule type="duplicateValues" dxfId="32" priority="42"/>
  </conditionalFormatting>
  <conditionalFormatting sqref="A53:B53">
    <cfRule type="duplicateValues" dxfId="31" priority="41"/>
  </conditionalFormatting>
  <conditionalFormatting sqref="A30:C30">
    <cfRule type="duplicateValues" dxfId="30" priority="40"/>
  </conditionalFormatting>
  <conditionalFormatting sqref="A30:C30">
    <cfRule type="duplicateValues" dxfId="29" priority="39"/>
  </conditionalFormatting>
  <conditionalFormatting sqref="A7:C7">
    <cfRule type="duplicateValues" dxfId="28" priority="36"/>
  </conditionalFormatting>
  <conditionalFormatting sqref="A7:C7">
    <cfRule type="duplicateValues" dxfId="27" priority="35"/>
  </conditionalFormatting>
  <conditionalFormatting sqref="A8:C8">
    <cfRule type="duplicateValues" dxfId="26" priority="34"/>
  </conditionalFormatting>
  <conditionalFormatting sqref="A9:C9">
    <cfRule type="duplicateValues" dxfId="25" priority="32"/>
  </conditionalFormatting>
  <conditionalFormatting sqref="A9:C9">
    <cfRule type="duplicateValues" dxfId="24" priority="31"/>
  </conditionalFormatting>
  <conditionalFormatting sqref="A10:C10">
    <cfRule type="duplicateValues" dxfId="23" priority="30"/>
  </conditionalFormatting>
  <conditionalFormatting sqref="A10:C10">
    <cfRule type="duplicateValues" dxfId="22" priority="29"/>
  </conditionalFormatting>
  <conditionalFormatting sqref="C3">
    <cfRule type="duplicateValues" dxfId="21" priority="28"/>
  </conditionalFormatting>
  <conditionalFormatting sqref="C3">
    <cfRule type="duplicateValues" dxfId="20" priority="27"/>
  </conditionalFormatting>
  <conditionalFormatting sqref="A14:B14">
    <cfRule type="duplicateValues" dxfId="19" priority="26"/>
  </conditionalFormatting>
  <conditionalFormatting sqref="A19:B19">
    <cfRule type="duplicateValues" dxfId="18" priority="25"/>
  </conditionalFormatting>
  <conditionalFormatting sqref="A20:B20">
    <cfRule type="duplicateValues" dxfId="17" priority="24"/>
  </conditionalFormatting>
  <conditionalFormatting sqref="A21:B21">
    <cfRule type="duplicateValues" dxfId="16" priority="23"/>
  </conditionalFormatting>
  <conditionalFormatting sqref="A39:B39">
    <cfRule type="duplicateValues" dxfId="15" priority="22"/>
  </conditionalFormatting>
  <conditionalFormatting sqref="A40:B40">
    <cfRule type="duplicateValues" dxfId="14" priority="20"/>
  </conditionalFormatting>
  <conditionalFormatting sqref="A40:B40">
    <cfRule type="duplicateValues" dxfId="13" priority="19"/>
  </conditionalFormatting>
  <conditionalFormatting sqref="A43:B43">
    <cfRule type="duplicateValues" dxfId="12" priority="18"/>
  </conditionalFormatting>
  <conditionalFormatting sqref="A23:B23">
    <cfRule type="duplicateValues" dxfId="11" priority="16"/>
  </conditionalFormatting>
  <conditionalFormatting sqref="A22:B22">
    <cfRule type="duplicateValues" dxfId="10" priority="14"/>
  </conditionalFormatting>
  <conditionalFormatting sqref="A22:B22">
    <cfRule type="duplicateValues" dxfId="9" priority="13"/>
  </conditionalFormatting>
  <conditionalFormatting sqref="A44:B44">
    <cfRule type="duplicateValues" dxfId="8" priority="12"/>
  </conditionalFormatting>
  <conditionalFormatting sqref="A45:B45">
    <cfRule type="duplicateValues" dxfId="7" priority="10"/>
  </conditionalFormatting>
  <conditionalFormatting sqref="A45:B45">
    <cfRule type="duplicateValues" dxfId="6" priority="9"/>
  </conditionalFormatting>
  <conditionalFormatting sqref="A46:B46 A49:B50">
    <cfRule type="duplicateValues" dxfId="5" priority="8"/>
  </conditionalFormatting>
  <conditionalFormatting sqref="A46:B46">
    <cfRule type="duplicateValues" dxfId="4" priority="7"/>
  </conditionalFormatting>
  <conditionalFormatting sqref="A47:B47">
    <cfRule type="duplicateValues" dxfId="3" priority="6"/>
  </conditionalFormatting>
  <conditionalFormatting sqref="A47:B47">
    <cfRule type="duplicateValues" dxfId="2" priority="5"/>
  </conditionalFormatting>
  <conditionalFormatting sqref="A24:B24">
    <cfRule type="duplicateValues" dxfId="1" priority="55"/>
  </conditionalFormatting>
  <conditionalFormatting sqref="A31:C31">
    <cfRule type="duplicateValues" dxfId="0" priority="59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024A-FEF5-4952-8FA3-248E825E3707}">
  <dimension ref="A1:AEH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5" x14ac:dyDescent="0.25"/>
  <sheetData>
    <row r="1" spans="1:814" ht="60" x14ac:dyDescent="0.25">
      <c r="A1" s="14" t="s">
        <v>149</v>
      </c>
      <c r="B1" s="13" t="s">
        <v>150</v>
      </c>
      <c r="C1" s="13" t="s">
        <v>151</v>
      </c>
      <c r="D1" s="13" t="s">
        <v>152</v>
      </c>
      <c r="E1" s="13" t="s">
        <v>153</v>
      </c>
      <c r="F1" s="13" t="s">
        <v>154</v>
      </c>
      <c r="G1" s="13" t="s">
        <v>155</v>
      </c>
      <c r="H1" s="13" t="s">
        <v>156</v>
      </c>
      <c r="I1" s="13" t="s">
        <v>157</v>
      </c>
      <c r="J1" s="13" t="s">
        <v>158</v>
      </c>
      <c r="K1" s="13" t="s">
        <v>159</v>
      </c>
      <c r="L1" s="13" t="s">
        <v>160</v>
      </c>
      <c r="M1" s="13" t="s">
        <v>161</v>
      </c>
      <c r="N1" s="13" t="s">
        <v>162</v>
      </c>
      <c r="O1" s="13" t="s">
        <v>163</v>
      </c>
      <c r="P1" s="13" t="s">
        <v>164</v>
      </c>
      <c r="Q1" s="13" t="s">
        <v>165</v>
      </c>
      <c r="R1" s="13" t="s">
        <v>166</v>
      </c>
      <c r="S1" s="13" t="s">
        <v>167</v>
      </c>
      <c r="T1" s="13" t="s">
        <v>168</v>
      </c>
      <c r="U1" s="13" t="s">
        <v>169</v>
      </c>
      <c r="V1" s="13" t="s">
        <v>170</v>
      </c>
      <c r="W1" s="13" t="s">
        <v>171</v>
      </c>
      <c r="X1" s="13" t="s">
        <v>172</v>
      </c>
      <c r="Y1" s="13" t="s">
        <v>173</v>
      </c>
      <c r="Z1" s="13" t="s">
        <v>174</v>
      </c>
      <c r="AA1" s="13" t="s">
        <v>175</v>
      </c>
      <c r="AB1" s="13" t="s">
        <v>176</v>
      </c>
      <c r="AC1" s="13" t="s">
        <v>177</v>
      </c>
      <c r="AD1" s="13" t="s">
        <v>178</v>
      </c>
      <c r="AE1" s="13" t="s">
        <v>179</v>
      </c>
      <c r="AF1" s="13" t="s">
        <v>180</v>
      </c>
      <c r="AG1" s="13" t="s">
        <v>181</v>
      </c>
      <c r="AH1" s="13" t="s">
        <v>182</v>
      </c>
      <c r="AI1" s="13" t="s">
        <v>183</v>
      </c>
      <c r="AJ1" s="13" t="s">
        <v>184</v>
      </c>
      <c r="AK1" s="13" t="s">
        <v>185</v>
      </c>
      <c r="AL1" s="13" t="s">
        <v>186</v>
      </c>
      <c r="AM1" s="13" t="s">
        <v>187</v>
      </c>
      <c r="AN1" s="13" t="s">
        <v>188</v>
      </c>
      <c r="AO1" s="13" t="s">
        <v>189</v>
      </c>
      <c r="AP1" s="13" t="s">
        <v>190</v>
      </c>
      <c r="AQ1" s="13" t="s">
        <v>191</v>
      </c>
      <c r="AR1" s="13" t="s">
        <v>192</v>
      </c>
      <c r="AS1" s="13" t="s">
        <v>193</v>
      </c>
      <c r="AT1" s="13" t="s">
        <v>194</v>
      </c>
      <c r="AU1" s="13" t="s">
        <v>195</v>
      </c>
      <c r="AV1" s="13" t="s">
        <v>196</v>
      </c>
      <c r="AW1" s="13" t="s">
        <v>197</v>
      </c>
      <c r="AX1" s="13" t="s">
        <v>198</v>
      </c>
      <c r="AY1" s="13" t="s">
        <v>199</v>
      </c>
      <c r="AZ1" s="12" t="s">
        <v>200</v>
      </c>
      <c r="BA1" s="13" t="s">
        <v>201</v>
      </c>
      <c r="BB1" s="13" t="s">
        <v>202</v>
      </c>
      <c r="BC1" s="13" t="s">
        <v>203</v>
      </c>
      <c r="BD1" s="13" t="s">
        <v>204</v>
      </c>
      <c r="BE1" s="13" t="s">
        <v>205</v>
      </c>
      <c r="BF1" s="13" t="s">
        <v>206</v>
      </c>
      <c r="BG1" s="13" t="s">
        <v>207</v>
      </c>
      <c r="BH1" s="13" t="s">
        <v>208</v>
      </c>
      <c r="BI1" s="13" t="s">
        <v>209</v>
      </c>
      <c r="BJ1" s="13" t="s">
        <v>210</v>
      </c>
      <c r="BK1" s="13" t="s">
        <v>211</v>
      </c>
      <c r="BL1" s="13" t="s">
        <v>212</v>
      </c>
      <c r="BM1" s="13" t="s">
        <v>213</v>
      </c>
      <c r="BN1" s="13" t="s">
        <v>214</v>
      </c>
      <c r="BO1" s="13" t="s">
        <v>215</v>
      </c>
      <c r="BP1" s="13" t="s">
        <v>216</v>
      </c>
      <c r="BQ1" s="13" t="s">
        <v>217</v>
      </c>
      <c r="BR1" s="13" t="s">
        <v>218</v>
      </c>
      <c r="BS1" s="13" t="s">
        <v>219</v>
      </c>
      <c r="BT1" s="13" t="s">
        <v>220</v>
      </c>
      <c r="BU1" s="13" t="s">
        <v>221</v>
      </c>
      <c r="BV1" s="13" t="s">
        <v>222</v>
      </c>
      <c r="BW1" s="13" t="s">
        <v>223</v>
      </c>
      <c r="BX1" s="13" t="s">
        <v>224</v>
      </c>
      <c r="BY1" s="13" t="s">
        <v>225</v>
      </c>
      <c r="BZ1" s="13" t="s">
        <v>226</v>
      </c>
      <c r="CA1" s="12" t="s">
        <v>227</v>
      </c>
      <c r="CB1" s="13" t="s">
        <v>228</v>
      </c>
      <c r="CC1" s="13" t="s">
        <v>229</v>
      </c>
      <c r="CD1" s="13" t="s">
        <v>230</v>
      </c>
      <c r="CE1" s="13" t="s">
        <v>231</v>
      </c>
      <c r="CF1" s="13" t="s">
        <v>232</v>
      </c>
      <c r="CG1" s="13" t="s">
        <v>233</v>
      </c>
      <c r="CH1" s="13" t="s">
        <v>234</v>
      </c>
      <c r="CI1" s="13" t="s">
        <v>235</v>
      </c>
      <c r="CJ1" s="13" t="s">
        <v>236</v>
      </c>
      <c r="CK1" s="13" t="s">
        <v>237</v>
      </c>
      <c r="CL1" s="13" t="s">
        <v>238</v>
      </c>
      <c r="CM1" s="13" t="s">
        <v>239</v>
      </c>
      <c r="CN1" s="13" t="s">
        <v>240</v>
      </c>
      <c r="CO1" s="13" t="s">
        <v>241</v>
      </c>
      <c r="CP1" s="13" t="s">
        <v>242</v>
      </c>
      <c r="CQ1" s="13" t="s">
        <v>243</v>
      </c>
      <c r="CR1" s="13" t="s">
        <v>244</v>
      </c>
      <c r="CS1" s="13" t="s">
        <v>245</v>
      </c>
      <c r="CT1" s="13" t="s">
        <v>246</v>
      </c>
      <c r="CU1" s="13" t="s">
        <v>247</v>
      </c>
      <c r="CV1" s="13" t="s">
        <v>248</v>
      </c>
      <c r="CW1" s="13" t="s">
        <v>249</v>
      </c>
      <c r="CX1" s="13" t="s">
        <v>250</v>
      </c>
      <c r="CY1" s="13" t="s">
        <v>251</v>
      </c>
      <c r="CZ1" s="13" t="s">
        <v>252</v>
      </c>
      <c r="DA1" s="13" t="s">
        <v>253</v>
      </c>
      <c r="DB1" s="13" t="s">
        <v>254</v>
      </c>
      <c r="DC1" s="13" t="s">
        <v>255</v>
      </c>
      <c r="DD1" s="12" t="s">
        <v>256</v>
      </c>
      <c r="DE1" s="13" t="s">
        <v>257</v>
      </c>
      <c r="DF1" s="13" t="s">
        <v>258</v>
      </c>
      <c r="DG1" s="13" t="s">
        <v>259</v>
      </c>
      <c r="DH1" s="13" t="s">
        <v>260</v>
      </c>
      <c r="DI1" s="13" t="s">
        <v>261</v>
      </c>
      <c r="DJ1" s="13" t="s">
        <v>262</v>
      </c>
      <c r="DK1" s="13" t="s">
        <v>263</v>
      </c>
      <c r="DL1" s="13" t="s">
        <v>264</v>
      </c>
      <c r="DM1" s="13" t="s">
        <v>265</v>
      </c>
      <c r="DN1" s="13" t="s">
        <v>266</v>
      </c>
      <c r="DO1" s="13" t="s">
        <v>267</v>
      </c>
      <c r="DP1" s="13" t="s">
        <v>268</v>
      </c>
      <c r="DQ1" s="13" t="s">
        <v>269</v>
      </c>
      <c r="DR1" s="12" t="s">
        <v>270</v>
      </c>
      <c r="DS1" s="13" t="s">
        <v>271</v>
      </c>
      <c r="DT1" s="13"/>
      <c r="DU1" s="13"/>
      <c r="DV1" s="13" t="s">
        <v>272</v>
      </c>
      <c r="DW1" s="13" t="s">
        <v>273</v>
      </c>
      <c r="DX1" s="13" t="s">
        <v>274</v>
      </c>
      <c r="DY1" s="13" t="s">
        <v>275</v>
      </c>
      <c r="DZ1" s="13" t="s">
        <v>276</v>
      </c>
      <c r="EA1" s="13" t="s">
        <v>277</v>
      </c>
      <c r="EB1" s="13" t="s">
        <v>278</v>
      </c>
      <c r="EC1" s="13" t="s">
        <v>279</v>
      </c>
      <c r="ED1" s="13" t="s">
        <v>280</v>
      </c>
      <c r="EE1" s="12" t="s">
        <v>281</v>
      </c>
      <c r="EF1" s="13" t="s">
        <v>282</v>
      </c>
      <c r="EG1" s="13" t="s">
        <v>283</v>
      </c>
      <c r="EH1" s="13" t="s">
        <v>284</v>
      </c>
      <c r="EI1" s="13" t="s">
        <v>285</v>
      </c>
      <c r="EJ1" s="13" t="s">
        <v>286</v>
      </c>
      <c r="EK1" s="13" t="s">
        <v>287</v>
      </c>
      <c r="EL1" s="13" t="s">
        <v>288</v>
      </c>
      <c r="EM1" s="13" t="s">
        <v>289</v>
      </c>
      <c r="EN1" s="13" t="s">
        <v>290</v>
      </c>
      <c r="EO1" s="13" t="s">
        <v>291</v>
      </c>
      <c r="EP1" s="13" t="s">
        <v>292</v>
      </c>
      <c r="EQ1" s="13" t="s">
        <v>293</v>
      </c>
      <c r="ER1" s="13" t="s">
        <v>294</v>
      </c>
      <c r="ES1" s="13" t="s">
        <v>295</v>
      </c>
      <c r="ET1" s="13" t="s">
        <v>296</v>
      </c>
      <c r="EU1" s="13" t="s">
        <v>297</v>
      </c>
      <c r="EV1" s="13" t="s">
        <v>298</v>
      </c>
      <c r="EW1" s="13" t="s">
        <v>299</v>
      </c>
      <c r="EX1" s="13" t="s">
        <v>300</v>
      </c>
      <c r="EY1" s="13" t="s">
        <v>301</v>
      </c>
      <c r="EZ1" s="13" t="s">
        <v>302</v>
      </c>
      <c r="FA1" s="13" t="s">
        <v>303</v>
      </c>
      <c r="FB1" s="13" t="s">
        <v>304</v>
      </c>
      <c r="FC1" s="13" t="s">
        <v>305</v>
      </c>
      <c r="FD1" s="13" t="s">
        <v>306</v>
      </c>
      <c r="FE1" s="13" t="s">
        <v>307</v>
      </c>
      <c r="FF1" s="13" t="s">
        <v>308</v>
      </c>
      <c r="FG1" s="13" t="s">
        <v>309</v>
      </c>
      <c r="FH1" s="12" t="s">
        <v>310</v>
      </c>
      <c r="FI1" s="13" t="s">
        <v>311</v>
      </c>
      <c r="FJ1" s="13" t="s">
        <v>312</v>
      </c>
      <c r="FK1" s="13" t="s">
        <v>313</v>
      </c>
      <c r="FL1" s="13" t="s">
        <v>314</v>
      </c>
      <c r="FM1" s="13" t="s">
        <v>315</v>
      </c>
      <c r="FN1" s="13" t="s">
        <v>316</v>
      </c>
      <c r="FO1" s="13" t="s">
        <v>317</v>
      </c>
      <c r="FP1" s="13" t="s">
        <v>318</v>
      </c>
      <c r="FQ1" s="13" t="s">
        <v>319</v>
      </c>
      <c r="FR1" s="13" t="s">
        <v>320</v>
      </c>
      <c r="FS1" s="13" t="s">
        <v>321</v>
      </c>
      <c r="FT1" s="13" t="s">
        <v>322</v>
      </c>
      <c r="FU1" s="13" t="s">
        <v>323</v>
      </c>
      <c r="FV1" s="13" t="s">
        <v>324</v>
      </c>
      <c r="FW1" s="13" t="s">
        <v>325</v>
      </c>
      <c r="FX1" s="13" t="s">
        <v>326</v>
      </c>
      <c r="FY1" s="13" t="s">
        <v>327</v>
      </c>
      <c r="FZ1" s="13" t="s">
        <v>328</v>
      </c>
      <c r="GA1" s="13" t="s">
        <v>329</v>
      </c>
      <c r="GB1" s="13" t="s">
        <v>330</v>
      </c>
      <c r="GC1" s="13" t="s">
        <v>331</v>
      </c>
      <c r="GD1" s="13" t="s">
        <v>332</v>
      </c>
      <c r="GE1" s="13" t="s">
        <v>333</v>
      </c>
      <c r="GF1" s="13" t="s">
        <v>334</v>
      </c>
      <c r="GG1" s="13" t="s">
        <v>335</v>
      </c>
      <c r="GH1" s="13" t="s">
        <v>336</v>
      </c>
      <c r="GI1" s="13" t="s">
        <v>337</v>
      </c>
      <c r="GJ1" s="13" t="s">
        <v>338</v>
      </c>
      <c r="GK1" s="13" t="s">
        <v>339</v>
      </c>
      <c r="GL1" s="13" t="s">
        <v>340</v>
      </c>
      <c r="GM1" s="13" t="s">
        <v>341</v>
      </c>
      <c r="GN1" s="13" t="s">
        <v>342</v>
      </c>
      <c r="GO1" s="13" t="s">
        <v>343</v>
      </c>
      <c r="GP1" s="13" t="s">
        <v>344</v>
      </c>
      <c r="GQ1" s="13" t="s">
        <v>345</v>
      </c>
      <c r="GR1" s="13" t="s">
        <v>346</v>
      </c>
      <c r="GS1" s="13" t="s">
        <v>347</v>
      </c>
      <c r="GT1" s="13" t="s">
        <v>348</v>
      </c>
      <c r="GU1" s="13" t="s">
        <v>349</v>
      </c>
      <c r="GV1" s="13" t="s">
        <v>350</v>
      </c>
      <c r="GW1" s="13" t="s">
        <v>351</v>
      </c>
      <c r="GX1" s="13" t="s">
        <v>352</v>
      </c>
      <c r="GY1" s="13" t="s">
        <v>353</v>
      </c>
      <c r="GZ1" s="13" t="s">
        <v>354</v>
      </c>
      <c r="HA1" s="13" t="s">
        <v>355</v>
      </c>
      <c r="HB1" s="13" t="s">
        <v>356</v>
      </c>
      <c r="HC1" s="13"/>
      <c r="HD1" s="13" t="s">
        <v>357</v>
      </c>
      <c r="HE1" s="13" t="s">
        <v>358</v>
      </c>
      <c r="HF1" s="13" t="s">
        <v>359</v>
      </c>
      <c r="HG1" s="13" t="s">
        <v>360</v>
      </c>
      <c r="HH1" s="13" t="s">
        <v>361</v>
      </c>
      <c r="HI1" s="13" t="s">
        <v>362</v>
      </c>
      <c r="HJ1" s="13" t="s">
        <v>363</v>
      </c>
      <c r="HK1" s="13" t="s">
        <v>364</v>
      </c>
      <c r="HL1" s="13" t="s">
        <v>365</v>
      </c>
      <c r="HM1" s="13" t="s">
        <v>366</v>
      </c>
      <c r="HN1" s="13" t="s">
        <v>367</v>
      </c>
      <c r="HO1" s="13" t="s">
        <v>368</v>
      </c>
      <c r="HP1" s="13" t="s">
        <v>369</v>
      </c>
      <c r="HQ1" s="13" t="s">
        <v>370</v>
      </c>
      <c r="HR1" s="13" t="s">
        <v>371</v>
      </c>
      <c r="HS1" s="13" t="s">
        <v>372</v>
      </c>
      <c r="HT1" s="13" t="s">
        <v>373</v>
      </c>
      <c r="HU1" s="13" t="s">
        <v>374</v>
      </c>
      <c r="HV1" s="13" t="s">
        <v>375</v>
      </c>
      <c r="HW1" s="13" t="s">
        <v>376</v>
      </c>
      <c r="HX1" s="12" t="s">
        <v>377</v>
      </c>
      <c r="HY1" s="13" t="s">
        <v>378</v>
      </c>
      <c r="HZ1" s="13" t="s">
        <v>379</v>
      </c>
      <c r="IA1" s="13" t="s">
        <v>380</v>
      </c>
      <c r="IB1" s="13" t="s">
        <v>381</v>
      </c>
      <c r="IC1" s="13" t="s">
        <v>382</v>
      </c>
      <c r="ID1" s="13" t="s">
        <v>383</v>
      </c>
      <c r="IE1" s="13" t="s">
        <v>384</v>
      </c>
      <c r="IF1" s="13" t="s">
        <v>385</v>
      </c>
      <c r="IG1" s="13" t="s">
        <v>386</v>
      </c>
      <c r="IH1" s="13" t="s">
        <v>387</v>
      </c>
      <c r="II1" s="13" t="s">
        <v>388</v>
      </c>
      <c r="IJ1" s="13" t="s">
        <v>389</v>
      </c>
      <c r="IK1" s="13" t="s">
        <v>390</v>
      </c>
      <c r="IL1" s="13" t="s">
        <v>391</v>
      </c>
      <c r="IM1" s="13" t="s">
        <v>392</v>
      </c>
      <c r="IN1" s="13" t="s">
        <v>393</v>
      </c>
      <c r="IO1" s="13" t="s">
        <v>394</v>
      </c>
      <c r="IP1" s="13" t="s">
        <v>395</v>
      </c>
      <c r="IQ1" s="13" t="s">
        <v>396</v>
      </c>
      <c r="IR1" s="13" t="s">
        <v>397</v>
      </c>
      <c r="IS1" s="13" t="s">
        <v>398</v>
      </c>
      <c r="IT1" s="13" t="s">
        <v>399</v>
      </c>
      <c r="IU1" s="13" t="s">
        <v>400</v>
      </c>
      <c r="IV1" s="13" t="s">
        <v>401</v>
      </c>
      <c r="IW1" s="13" t="s">
        <v>402</v>
      </c>
      <c r="IX1" s="13" t="s">
        <v>403</v>
      </c>
      <c r="IY1" s="13" t="s">
        <v>404</v>
      </c>
      <c r="IZ1" s="13" t="s">
        <v>405</v>
      </c>
      <c r="JA1" s="13" t="s">
        <v>406</v>
      </c>
      <c r="JB1" s="13" t="s">
        <v>407</v>
      </c>
      <c r="JC1" s="13" t="s">
        <v>408</v>
      </c>
      <c r="JD1" s="13" t="s">
        <v>409</v>
      </c>
      <c r="JE1" s="13" t="s">
        <v>410</v>
      </c>
      <c r="JF1" s="13" t="s">
        <v>411</v>
      </c>
      <c r="JG1" s="13" t="s">
        <v>412</v>
      </c>
      <c r="JH1" s="13" t="s">
        <v>413</v>
      </c>
      <c r="JI1" s="13" t="s">
        <v>414</v>
      </c>
      <c r="JJ1" s="13" t="s">
        <v>415</v>
      </c>
      <c r="JK1" s="13" t="s">
        <v>416</v>
      </c>
      <c r="JL1" s="13" t="s">
        <v>417</v>
      </c>
      <c r="JM1" s="13" t="s">
        <v>418</v>
      </c>
      <c r="JN1" s="13" t="s">
        <v>419</v>
      </c>
      <c r="JO1" s="13" t="s">
        <v>420</v>
      </c>
      <c r="JP1" s="13" t="s">
        <v>421</v>
      </c>
      <c r="JQ1" s="13" t="s">
        <v>422</v>
      </c>
      <c r="JR1" s="13" t="s">
        <v>423</v>
      </c>
      <c r="JS1" s="13" t="s">
        <v>424</v>
      </c>
      <c r="JT1" s="13" t="s">
        <v>425</v>
      </c>
      <c r="JU1" s="13" t="s">
        <v>426</v>
      </c>
      <c r="JV1" s="13" t="s">
        <v>427</v>
      </c>
      <c r="JW1" s="13" t="s">
        <v>428</v>
      </c>
      <c r="JX1" s="13" t="s">
        <v>429</v>
      </c>
      <c r="JY1" s="13" t="s">
        <v>430</v>
      </c>
      <c r="JZ1" s="13" t="s">
        <v>431</v>
      </c>
      <c r="KA1" s="13" t="s">
        <v>432</v>
      </c>
      <c r="KB1" s="13" t="s">
        <v>433</v>
      </c>
      <c r="KC1" s="13" t="s">
        <v>434</v>
      </c>
      <c r="KD1" s="13" t="s">
        <v>435</v>
      </c>
      <c r="KE1" s="13" t="s">
        <v>436</v>
      </c>
      <c r="KF1" s="13" t="s">
        <v>437</v>
      </c>
      <c r="KG1" s="13" t="s">
        <v>438</v>
      </c>
      <c r="KH1" s="13" t="s">
        <v>439</v>
      </c>
      <c r="KI1" s="13" t="s">
        <v>440</v>
      </c>
      <c r="KJ1" s="13" t="s">
        <v>441</v>
      </c>
      <c r="KK1" s="13" t="s">
        <v>442</v>
      </c>
      <c r="KL1" s="12" t="s">
        <v>443</v>
      </c>
      <c r="KM1" s="13" t="s">
        <v>444</v>
      </c>
      <c r="KN1" s="13" t="s">
        <v>445</v>
      </c>
      <c r="KO1" s="13" t="s">
        <v>446</v>
      </c>
      <c r="KP1" s="13" t="s">
        <v>447</v>
      </c>
      <c r="KQ1" s="13" t="s">
        <v>448</v>
      </c>
      <c r="KR1" s="13" t="s">
        <v>449</v>
      </c>
      <c r="KS1" s="13" t="s">
        <v>450</v>
      </c>
      <c r="KT1" s="13" t="s">
        <v>451</v>
      </c>
      <c r="KU1" s="13" t="s">
        <v>452</v>
      </c>
      <c r="KV1" s="13" t="s">
        <v>453</v>
      </c>
      <c r="KW1" s="13" t="s">
        <v>454</v>
      </c>
      <c r="KX1" s="13" t="s">
        <v>455</v>
      </c>
      <c r="KY1" s="13" t="s">
        <v>456</v>
      </c>
      <c r="KZ1" s="13" t="s">
        <v>457</v>
      </c>
      <c r="LA1" s="13" t="s">
        <v>458</v>
      </c>
      <c r="LB1" s="13" t="s">
        <v>459</v>
      </c>
      <c r="LC1" s="13" t="s">
        <v>460</v>
      </c>
      <c r="LD1" s="13" t="s">
        <v>461</v>
      </c>
      <c r="LE1" s="13" t="s">
        <v>462</v>
      </c>
      <c r="LF1" s="13" t="s">
        <v>463</v>
      </c>
      <c r="LG1" s="13" t="s">
        <v>464</v>
      </c>
      <c r="LH1" s="13" t="s">
        <v>465</v>
      </c>
      <c r="LI1" s="13" t="s">
        <v>466</v>
      </c>
      <c r="LJ1" s="13" t="s">
        <v>467</v>
      </c>
      <c r="LK1" s="13" t="s">
        <v>468</v>
      </c>
      <c r="LL1" s="13" t="s">
        <v>469</v>
      </c>
      <c r="LM1" s="13" t="s">
        <v>470</v>
      </c>
      <c r="LN1" s="13" t="s">
        <v>471</v>
      </c>
      <c r="LO1" s="13" t="s">
        <v>472</v>
      </c>
      <c r="LP1" s="13" t="s">
        <v>473</v>
      </c>
      <c r="LQ1" s="13" t="s">
        <v>474</v>
      </c>
      <c r="LR1" s="13" t="s">
        <v>475</v>
      </c>
      <c r="LS1" s="13" t="s">
        <v>476</v>
      </c>
      <c r="LT1" s="13" t="s">
        <v>477</v>
      </c>
      <c r="LU1" s="13" t="s">
        <v>478</v>
      </c>
      <c r="LV1" s="13" t="s">
        <v>479</v>
      </c>
      <c r="LW1" s="13" t="s">
        <v>480</v>
      </c>
      <c r="LX1" s="13" t="s">
        <v>481</v>
      </c>
      <c r="LY1" s="13" t="s">
        <v>482</v>
      </c>
      <c r="LZ1" s="13" t="s">
        <v>483</v>
      </c>
      <c r="MA1" s="13" t="s">
        <v>484</v>
      </c>
      <c r="MB1" s="13" t="s">
        <v>485</v>
      </c>
      <c r="MC1" s="13" t="s">
        <v>486</v>
      </c>
      <c r="MD1" s="13" t="s">
        <v>487</v>
      </c>
      <c r="ME1" s="13" t="s">
        <v>488</v>
      </c>
      <c r="MF1" s="13" t="s">
        <v>489</v>
      </c>
      <c r="MG1" s="13" t="s">
        <v>490</v>
      </c>
      <c r="MH1" s="13" t="s">
        <v>491</v>
      </c>
      <c r="MI1" s="13" t="s">
        <v>492</v>
      </c>
      <c r="MJ1" s="13" t="s">
        <v>493</v>
      </c>
      <c r="MK1" s="13" t="s">
        <v>494</v>
      </c>
      <c r="ML1" s="13" t="s">
        <v>495</v>
      </c>
      <c r="MM1" s="13" t="s">
        <v>496</v>
      </c>
      <c r="MN1" s="13" t="s">
        <v>497</v>
      </c>
      <c r="MO1" s="13" t="s">
        <v>498</v>
      </c>
      <c r="MP1" s="13" t="s">
        <v>499</v>
      </c>
      <c r="MQ1" s="13" t="s">
        <v>500</v>
      </c>
      <c r="MR1" s="13" t="s">
        <v>501</v>
      </c>
      <c r="MS1" s="13" t="s">
        <v>502</v>
      </c>
      <c r="MT1" s="13" t="s">
        <v>503</v>
      </c>
      <c r="MU1" s="13" t="s">
        <v>504</v>
      </c>
      <c r="MV1" s="13" t="s">
        <v>505</v>
      </c>
      <c r="MW1" s="13" t="s">
        <v>506</v>
      </c>
      <c r="MX1" s="13" t="s">
        <v>507</v>
      </c>
      <c r="MY1" s="12" t="s">
        <v>508</v>
      </c>
      <c r="MZ1" s="13" t="s">
        <v>509</v>
      </c>
      <c r="NA1" s="13" t="s">
        <v>510</v>
      </c>
      <c r="NB1" s="13" t="s">
        <v>511</v>
      </c>
      <c r="NC1" s="13" t="s">
        <v>512</v>
      </c>
      <c r="ND1" s="13" t="s">
        <v>513</v>
      </c>
      <c r="NE1" s="13" t="s">
        <v>514</v>
      </c>
      <c r="NF1" s="13" t="s">
        <v>515</v>
      </c>
      <c r="NG1" s="13" t="s">
        <v>516</v>
      </c>
      <c r="NH1" s="13" t="s">
        <v>517</v>
      </c>
      <c r="NI1" s="13" t="s">
        <v>518</v>
      </c>
      <c r="NJ1" s="13" t="s">
        <v>519</v>
      </c>
      <c r="NK1" s="13" t="s">
        <v>520</v>
      </c>
      <c r="NL1" s="13" t="s">
        <v>521</v>
      </c>
      <c r="NM1" s="13" t="s">
        <v>522</v>
      </c>
      <c r="NN1" s="13" t="s">
        <v>523</v>
      </c>
      <c r="NO1" s="13" t="s">
        <v>524</v>
      </c>
      <c r="NP1" s="13" t="s">
        <v>525</v>
      </c>
      <c r="NQ1" s="13" t="s">
        <v>526</v>
      </c>
      <c r="NR1" s="13" t="s">
        <v>527</v>
      </c>
      <c r="NS1" s="13" t="s">
        <v>528</v>
      </c>
      <c r="NT1" s="13" t="s">
        <v>529</v>
      </c>
      <c r="NU1" s="13" t="s">
        <v>530</v>
      </c>
      <c r="NV1" s="13" t="s">
        <v>531</v>
      </c>
      <c r="NW1" s="13" t="s">
        <v>532</v>
      </c>
      <c r="NX1" s="13" t="s">
        <v>533</v>
      </c>
      <c r="NY1" s="13" t="s">
        <v>534</v>
      </c>
      <c r="NZ1" s="13" t="s">
        <v>535</v>
      </c>
      <c r="OA1" s="13" t="s">
        <v>536</v>
      </c>
      <c r="OB1" s="13" t="s">
        <v>537</v>
      </c>
      <c r="OC1" s="13" t="s">
        <v>538</v>
      </c>
      <c r="OD1" s="13" t="s">
        <v>539</v>
      </c>
      <c r="OE1" s="13" t="s">
        <v>540</v>
      </c>
      <c r="OF1" s="13" t="s">
        <v>541</v>
      </c>
      <c r="OG1" s="13" t="s">
        <v>542</v>
      </c>
      <c r="OH1" s="13" t="s">
        <v>543</v>
      </c>
      <c r="OI1" s="13" t="s">
        <v>544</v>
      </c>
      <c r="OJ1" s="13" t="s">
        <v>545</v>
      </c>
      <c r="OK1" s="13" t="s">
        <v>546</v>
      </c>
      <c r="OL1" s="13" t="s">
        <v>547</v>
      </c>
      <c r="OM1" s="13" t="s">
        <v>548</v>
      </c>
      <c r="ON1" s="13" t="s">
        <v>549</v>
      </c>
      <c r="OO1" s="13" t="s">
        <v>550</v>
      </c>
      <c r="OP1" s="12" t="s">
        <v>551</v>
      </c>
      <c r="OQ1" s="13" t="s">
        <v>552</v>
      </c>
      <c r="OR1" s="13" t="s">
        <v>553</v>
      </c>
      <c r="OS1" s="13" t="s">
        <v>554</v>
      </c>
      <c r="OT1" s="13" t="s">
        <v>555</v>
      </c>
      <c r="OU1" s="13" t="s">
        <v>556</v>
      </c>
      <c r="OV1" s="12" t="s">
        <v>557</v>
      </c>
      <c r="OW1" s="13" t="s">
        <v>558</v>
      </c>
      <c r="OX1" s="13" t="s">
        <v>559</v>
      </c>
      <c r="OY1" s="13" t="s">
        <v>560</v>
      </c>
      <c r="OZ1" s="13" t="s">
        <v>559</v>
      </c>
      <c r="PA1" s="13" t="s">
        <v>561</v>
      </c>
      <c r="PB1" s="13" t="s">
        <v>562</v>
      </c>
      <c r="PC1" s="13" t="s">
        <v>563</v>
      </c>
      <c r="PD1" s="13" t="s">
        <v>564</v>
      </c>
      <c r="PE1" s="13" t="s">
        <v>565</v>
      </c>
      <c r="PF1" s="13" t="s">
        <v>566</v>
      </c>
      <c r="PG1" s="13" t="s">
        <v>567</v>
      </c>
      <c r="PH1" s="13" t="s">
        <v>568</v>
      </c>
      <c r="PI1" s="13" t="s">
        <v>569</v>
      </c>
      <c r="PJ1" s="13" t="s">
        <v>570</v>
      </c>
      <c r="PK1" s="13" t="s">
        <v>571</v>
      </c>
      <c r="PL1" s="13" t="s">
        <v>572</v>
      </c>
      <c r="PM1" s="13" t="s">
        <v>573</v>
      </c>
      <c r="PN1" s="13" t="s">
        <v>574</v>
      </c>
      <c r="PO1" s="13" t="s">
        <v>575</v>
      </c>
      <c r="PP1" s="13" t="s">
        <v>576</v>
      </c>
      <c r="PQ1" s="13" t="s">
        <v>577</v>
      </c>
      <c r="PR1" s="13" t="s">
        <v>578</v>
      </c>
      <c r="PS1" s="13" t="s">
        <v>579</v>
      </c>
      <c r="PT1" s="13" t="s">
        <v>580</v>
      </c>
      <c r="PU1" s="13" t="s">
        <v>581</v>
      </c>
      <c r="PV1" s="13" t="s">
        <v>582</v>
      </c>
      <c r="PW1" s="13" t="s">
        <v>583</v>
      </c>
      <c r="PX1" s="13" t="s">
        <v>584</v>
      </c>
      <c r="PY1" s="13" t="s">
        <v>585</v>
      </c>
      <c r="PZ1" s="13" t="s">
        <v>586</v>
      </c>
      <c r="QA1" s="13" t="s">
        <v>587</v>
      </c>
      <c r="QB1" s="13" t="s">
        <v>588</v>
      </c>
      <c r="QC1" s="13" t="s">
        <v>589</v>
      </c>
      <c r="QD1" s="13" t="s">
        <v>590</v>
      </c>
      <c r="QE1" s="13" t="s">
        <v>591</v>
      </c>
      <c r="QF1" s="13" t="s">
        <v>592</v>
      </c>
      <c r="QG1" s="13" t="s">
        <v>593</v>
      </c>
      <c r="QH1" s="13" t="s">
        <v>594</v>
      </c>
      <c r="QI1" s="13" t="s">
        <v>595</v>
      </c>
      <c r="QJ1" s="13" t="s">
        <v>596</v>
      </c>
      <c r="QK1" s="13" t="s">
        <v>597</v>
      </c>
      <c r="QL1" s="13" t="s">
        <v>598</v>
      </c>
      <c r="QM1" s="13" t="s">
        <v>599</v>
      </c>
      <c r="QN1" s="13" t="s">
        <v>600</v>
      </c>
      <c r="QO1" s="13" t="s">
        <v>601</v>
      </c>
      <c r="QP1" s="13" t="s">
        <v>602</v>
      </c>
      <c r="QQ1" s="13" t="s">
        <v>603</v>
      </c>
      <c r="QR1" s="13" t="s">
        <v>604</v>
      </c>
      <c r="QS1" s="13" t="s">
        <v>605</v>
      </c>
      <c r="QT1" s="13" t="s">
        <v>606</v>
      </c>
      <c r="QU1" s="13" t="s">
        <v>607</v>
      </c>
      <c r="QV1" s="13" t="s">
        <v>608</v>
      </c>
      <c r="QW1" s="13" t="s">
        <v>609</v>
      </c>
      <c r="QX1" s="13" t="s">
        <v>610</v>
      </c>
      <c r="QY1" s="13" t="s">
        <v>611</v>
      </c>
      <c r="QZ1" s="13" t="s">
        <v>612</v>
      </c>
      <c r="RA1" s="13" t="s">
        <v>613</v>
      </c>
      <c r="RB1" s="13" t="s">
        <v>614</v>
      </c>
      <c r="RC1" s="12" t="s">
        <v>615</v>
      </c>
      <c r="RD1" s="13" t="s">
        <v>616</v>
      </c>
      <c r="RE1" s="13" t="s">
        <v>617</v>
      </c>
      <c r="RF1" s="13" t="s">
        <v>618</v>
      </c>
      <c r="RG1" s="13" t="s">
        <v>619</v>
      </c>
      <c r="RH1" s="13" t="s">
        <v>620</v>
      </c>
      <c r="RI1" s="13" t="s">
        <v>621</v>
      </c>
      <c r="RJ1" s="13" t="s">
        <v>622</v>
      </c>
      <c r="RK1" s="13" t="s">
        <v>623</v>
      </c>
      <c r="RL1" s="13" t="s">
        <v>624</v>
      </c>
      <c r="RM1" s="13" t="s">
        <v>625</v>
      </c>
      <c r="RN1" s="13" t="s">
        <v>626</v>
      </c>
      <c r="RO1" s="13" t="s">
        <v>627</v>
      </c>
      <c r="RP1" s="13" t="s">
        <v>628</v>
      </c>
      <c r="RQ1" s="13" t="s">
        <v>629</v>
      </c>
      <c r="RR1" s="13" t="s">
        <v>630</v>
      </c>
      <c r="RS1" s="13" t="s">
        <v>631</v>
      </c>
      <c r="RT1" s="12" t="s">
        <v>632</v>
      </c>
      <c r="RU1" s="13" t="s">
        <v>633</v>
      </c>
      <c r="RV1" s="13" t="s">
        <v>634</v>
      </c>
      <c r="RW1" s="13" t="s">
        <v>635</v>
      </c>
      <c r="RX1" s="13" t="s">
        <v>636</v>
      </c>
      <c r="RY1" s="13" t="s">
        <v>637</v>
      </c>
      <c r="RZ1" s="13" t="s">
        <v>638</v>
      </c>
      <c r="SA1" s="13" t="s">
        <v>639</v>
      </c>
      <c r="SB1" s="13" t="s">
        <v>640</v>
      </c>
      <c r="SC1" s="13" t="s">
        <v>641</v>
      </c>
      <c r="SD1" s="13" t="s">
        <v>642</v>
      </c>
      <c r="SE1" s="13" t="s">
        <v>643</v>
      </c>
      <c r="SF1" s="13" t="s">
        <v>644</v>
      </c>
      <c r="SG1" s="13" t="s">
        <v>645</v>
      </c>
      <c r="SH1" s="13" t="s">
        <v>646</v>
      </c>
      <c r="SI1" s="13" t="s">
        <v>647</v>
      </c>
      <c r="SJ1" s="13" t="s">
        <v>648</v>
      </c>
      <c r="SK1" s="13" t="s">
        <v>649</v>
      </c>
      <c r="SL1" s="13" t="s">
        <v>650</v>
      </c>
      <c r="SM1" s="13" t="s">
        <v>651</v>
      </c>
      <c r="SN1" s="13" t="s">
        <v>652</v>
      </c>
      <c r="SO1" s="13" t="s">
        <v>653</v>
      </c>
      <c r="SP1" s="13" t="s">
        <v>654</v>
      </c>
      <c r="SQ1" s="13" t="s">
        <v>655</v>
      </c>
      <c r="SR1" s="13" t="s">
        <v>656</v>
      </c>
      <c r="SS1" s="13" t="s">
        <v>657</v>
      </c>
      <c r="ST1" s="13" t="s">
        <v>658</v>
      </c>
      <c r="SU1" s="13" t="s">
        <v>659</v>
      </c>
      <c r="SV1" s="13" t="s">
        <v>660</v>
      </c>
      <c r="SW1" s="13" t="s">
        <v>661</v>
      </c>
      <c r="SX1" s="13" t="s">
        <v>662</v>
      </c>
      <c r="SY1" s="13" t="s">
        <v>663</v>
      </c>
      <c r="SZ1" s="13" t="s">
        <v>664</v>
      </c>
      <c r="TA1" s="13" t="s">
        <v>665</v>
      </c>
      <c r="TB1" s="13" t="s">
        <v>666</v>
      </c>
      <c r="TC1" s="13" t="s">
        <v>667</v>
      </c>
      <c r="TD1" s="13" t="s">
        <v>668</v>
      </c>
      <c r="TE1" s="13" t="s">
        <v>669</v>
      </c>
      <c r="TF1" s="13" t="s">
        <v>670</v>
      </c>
      <c r="TG1" s="13" t="s">
        <v>671</v>
      </c>
      <c r="TH1" s="13" t="s">
        <v>672</v>
      </c>
      <c r="TI1" s="13" t="s">
        <v>673</v>
      </c>
      <c r="TJ1" s="13" t="s">
        <v>674</v>
      </c>
      <c r="TK1" s="13" t="s">
        <v>675</v>
      </c>
      <c r="TL1" s="13" t="s">
        <v>676</v>
      </c>
      <c r="TM1" s="13" t="s">
        <v>677</v>
      </c>
      <c r="TN1" s="13" t="s">
        <v>678</v>
      </c>
      <c r="TO1" s="13" t="s">
        <v>679</v>
      </c>
      <c r="TP1" s="13" t="s">
        <v>680</v>
      </c>
      <c r="TQ1" s="13" t="s">
        <v>681</v>
      </c>
      <c r="TR1" s="13" t="s">
        <v>682</v>
      </c>
      <c r="TS1" s="13" t="s">
        <v>683</v>
      </c>
      <c r="TT1" s="13" t="s">
        <v>684</v>
      </c>
      <c r="TU1" s="13" t="s">
        <v>685</v>
      </c>
      <c r="TV1" s="13" t="s">
        <v>686</v>
      </c>
      <c r="TW1" s="13" t="s">
        <v>687</v>
      </c>
      <c r="TX1" s="13" t="s">
        <v>688</v>
      </c>
      <c r="TY1" s="13" t="s">
        <v>689</v>
      </c>
      <c r="TZ1" s="13" t="s">
        <v>690</v>
      </c>
      <c r="UA1" s="13" t="s">
        <v>691</v>
      </c>
      <c r="UB1" s="13" t="s">
        <v>692</v>
      </c>
      <c r="UC1" s="13" t="s">
        <v>693</v>
      </c>
      <c r="UD1" s="12" t="s">
        <v>694</v>
      </c>
      <c r="UE1" s="13" t="s">
        <v>695</v>
      </c>
      <c r="UF1" s="13" t="s">
        <v>696</v>
      </c>
      <c r="UG1" s="13" t="s">
        <v>697</v>
      </c>
      <c r="UH1" s="13" t="s">
        <v>698</v>
      </c>
      <c r="UI1" s="13" t="s">
        <v>699</v>
      </c>
      <c r="UJ1" s="13" t="s">
        <v>700</v>
      </c>
      <c r="UK1" s="13" t="s">
        <v>701</v>
      </c>
      <c r="UL1" s="13" t="s">
        <v>702</v>
      </c>
      <c r="UM1" s="13" t="s">
        <v>703</v>
      </c>
      <c r="UN1" s="13" t="s">
        <v>704</v>
      </c>
      <c r="UO1" s="13" t="s">
        <v>703</v>
      </c>
      <c r="UP1" s="13" t="s">
        <v>705</v>
      </c>
      <c r="UQ1" s="13" t="s">
        <v>706</v>
      </c>
      <c r="UR1" s="13" t="s">
        <v>707</v>
      </c>
      <c r="US1" s="13" t="s">
        <v>708</v>
      </c>
      <c r="UT1" s="13" t="s">
        <v>709</v>
      </c>
      <c r="UU1" s="13" t="s">
        <v>710</v>
      </c>
      <c r="UV1" s="13" t="s">
        <v>711</v>
      </c>
      <c r="UW1" s="13" t="s">
        <v>712</v>
      </c>
      <c r="UX1" s="13" t="s">
        <v>713</v>
      </c>
      <c r="UY1" s="13" t="s">
        <v>714</v>
      </c>
      <c r="UZ1" s="13" t="s">
        <v>715</v>
      </c>
      <c r="VA1" s="13" t="s">
        <v>716</v>
      </c>
      <c r="VB1" s="13" t="s">
        <v>717</v>
      </c>
      <c r="VC1" s="13" t="s">
        <v>718</v>
      </c>
      <c r="VD1" s="13" t="s">
        <v>719</v>
      </c>
      <c r="VE1" s="13" t="s">
        <v>720</v>
      </c>
      <c r="VF1" s="13" t="s">
        <v>721</v>
      </c>
      <c r="VG1" s="13" t="s">
        <v>722</v>
      </c>
      <c r="VH1" s="13" t="s">
        <v>723</v>
      </c>
      <c r="VI1" s="12" t="s">
        <v>724</v>
      </c>
      <c r="VJ1" s="13" t="s">
        <v>725</v>
      </c>
      <c r="VK1" s="13" t="s">
        <v>726</v>
      </c>
      <c r="VL1" s="13" t="s">
        <v>727</v>
      </c>
      <c r="VM1" s="13" t="s">
        <v>728</v>
      </c>
      <c r="VN1" s="13" t="s">
        <v>729</v>
      </c>
      <c r="VO1" s="13" t="s">
        <v>730</v>
      </c>
      <c r="VP1" s="13" t="s">
        <v>731</v>
      </c>
      <c r="VQ1" s="13" t="s">
        <v>732</v>
      </c>
      <c r="VR1" s="13" t="s">
        <v>733</v>
      </c>
      <c r="VS1" s="13" t="s">
        <v>734</v>
      </c>
      <c r="VT1" s="13" t="s">
        <v>735</v>
      </c>
      <c r="VU1" s="13" t="s">
        <v>736</v>
      </c>
      <c r="VV1" s="13" t="s">
        <v>737</v>
      </c>
      <c r="VW1" s="13" t="s">
        <v>738</v>
      </c>
      <c r="VX1" s="13" t="s">
        <v>739</v>
      </c>
      <c r="VY1" s="13" t="s">
        <v>740</v>
      </c>
      <c r="VZ1" s="13" t="s">
        <v>741</v>
      </c>
      <c r="WA1" s="13" t="s">
        <v>742</v>
      </c>
      <c r="WB1" s="13" t="s">
        <v>743</v>
      </c>
      <c r="WC1" s="13" t="s">
        <v>744</v>
      </c>
      <c r="WD1" s="13" t="s">
        <v>745</v>
      </c>
      <c r="WE1" s="13" t="s">
        <v>746</v>
      </c>
      <c r="WF1" s="13" t="s">
        <v>747</v>
      </c>
      <c r="WG1" s="13" t="s">
        <v>748</v>
      </c>
      <c r="WH1" s="13" t="s">
        <v>749</v>
      </c>
      <c r="WI1" s="13" t="s">
        <v>750</v>
      </c>
      <c r="WJ1" s="13" t="s">
        <v>751</v>
      </c>
      <c r="WK1" s="13" t="s">
        <v>752</v>
      </c>
      <c r="WL1" s="12" t="s">
        <v>753</v>
      </c>
      <c r="WM1" s="13" t="s">
        <v>754</v>
      </c>
      <c r="WN1" s="13" t="s">
        <v>755</v>
      </c>
      <c r="WO1" s="13" t="s">
        <v>756</v>
      </c>
      <c r="WP1" s="13" t="s">
        <v>757</v>
      </c>
      <c r="WQ1" s="13" t="s">
        <v>758</v>
      </c>
      <c r="WR1" s="13" t="s">
        <v>759</v>
      </c>
      <c r="WS1" s="13" t="s">
        <v>760</v>
      </c>
      <c r="WT1" s="13" t="s">
        <v>761</v>
      </c>
      <c r="WU1" s="13" t="s">
        <v>762</v>
      </c>
      <c r="WV1" s="13" t="s">
        <v>763</v>
      </c>
      <c r="WW1" s="13" t="s">
        <v>764</v>
      </c>
      <c r="WX1" s="13" t="s">
        <v>765</v>
      </c>
      <c r="WY1" s="13" t="s">
        <v>766</v>
      </c>
      <c r="WZ1" s="13" t="s">
        <v>767</v>
      </c>
      <c r="XA1" s="13" t="s">
        <v>768</v>
      </c>
      <c r="XB1" s="13" t="s">
        <v>769</v>
      </c>
      <c r="XC1" s="13" t="s">
        <v>770</v>
      </c>
      <c r="XD1" s="13" t="s">
        <v>771</v>
      </c>
      <c r="XE1" s="13" t="s">
        <v>772</v>
      </c>
      <c r="XF1" s="13" t="s">
        <v>773</v>
      </c>
      <c r="XG1" s="12" t="s">
        <v>774</v>
      </c>
      <c r="XH1" s="13" t="s">
        <v>775</v>
      </c>
      <c r="XI1" s="13" t="s">
        <v>776</v>
      </c>
      <c r="XJ1" s="13" t="s">
        <v>777</v>
      </c>
      <c r="XK1" s="13" t="s">
        <v>778</v>
      </c>
      <c r="XL1" s="13" t="s">
        <v>779</v>
      </c>
      <c r="XM1" s="13" t="s">
        <v>780</v>
      </c>
      <c r="XN1" s="13" t="s">
        <v>781</v>
      </c>
      <c r="XO1" s="13" t="s">
        <v>782</v>
      </c>
      <c r="XP1" s="13" t="s">
        <v>783</v>
      </c>
      <c r="XQ1" s="13" t="s">
        <v>784</v>
      </c>
      <c r="XR1" s="13" t="s">
        <v>785</v>
      </c>
      <c r="XS1" s="13" t="s">
        <v>786</v>
      </c>
      <c r="XT1" s="13" t="s">
        <v>787</v>
      </c>
      <c r="XU1" s="13" t="s">
        <v>788</v>
      </c>
      <c r="XV1" s="13" t="s">
        <v>789</v>
      </c>
      <c r="XW1" s="13" t="s">
        <v>790</v>
      </c>
      <c r="XX1" s="13" t="s">
        <v>791</v>
      </c>
      <c r="XY1" s="13" t="s">
        <v>792</v>
      </c>
      <c r="XZ1" s="13" t="s">
        <v>793</v>
      </c>
      <c r="YA1" s="13" t="s">
        <v>794</v>
      </c>
      <c r="YB1" s="13" t="s">
        <v>795</v>
      </c>
      <c r="YC1" s="12" t="s">
        <v>796</v>
      </c>
      <c r="YD1" s="13" t="s">
        <v>797</v>
      </c>
      <c r="YE1" s="13" t="s">
        <v>798</v>
      </c>
      <c r="YF1" s="13" t="s">
        <v>799</v>
      </c>
      <c r="YG1" s="13" t="s">
        <v>800</v>
      </c>
      <c r="YH1" s="13" t="s">
        <v>801</v>
      </c>
      <c r="YI1" s="13" t="s">
        <v>802</v>
      </c>
      <c r="YJ1" s="13" t="s">
        <v>803</v>
      </c>
      <c r="YK1" s="13" t="s">
        <v>804</v>
      </c>
      <c r="YL1" s="13" t="s">
        <v>805</v>
      </c>
      <c r="YM1" s="13" t="s">
        <v>806</v>
      </c>
      <c r="YN1" s="13" t="s">
        <v>807</v>
      </c>
      <c r="YO1" s="13" t="s">
        <v>808</v>
      </c>
      <c r="YP1" s="13" t="s">
        <v>809</v>
      </c>
      <c r="YQ1" s="13" t="s">
        <v>810</v>
      </c>
      <c r="YR1" s="13" t="s">
        <v>811</v>
      </c>
      <c r="YS1" s="13" t="s">
        <v>812</v>
      </c>
      <c r="YT1" s="13" t="s">
        <v>813</v>
      </c>
      <c r="YU1" s="13" t="s">
        <v>814</v>
      </c>
      <c r="YV1" s="13" t="s">
        <v>815</v>
      </c>
      <c r="YW1" s="12" t="s">
        <v>816</v>
      </c>
      <c r="YX1" s="13" t="s">
        <v>817</v>
      </c>
      <c r="YY1" s="13" t="s">
        <v>818</v>
      </c>
      <c r="YZ1" s="13" t="s">
        <v>819</v>
      </c>
      <c r="ZA1" s="13" t="s">
        <v>820</v>
      </c>
      <c r="ZB1" s="13" t="s">
        <v>821</v>
      </c>
      <c r="ZC1" s="13" t="s">
        <v>822</v>
      </c>
      <c r="ZD1" s="13" t="s">
        <v>823</v>
      </c>
      <c r="ZE1" s="13" t="s">
        <v>824</v>
      </c>
      <c r="ZF1" s="13" t="s">
        <v>825</v>
      </c>
      <c r="ZG1" s="13" t="s">
        <v>826</v>
      </c>
      <c r="ZH1" s="13" t="s">
        <v>827</v>
      </c>
      <c r="ZI1" s="13" t="s">
        <v>828</v>
      </c>
      <c r="ZJ1" s="13" t="s">
        <v>829</v>
      </c>
      <c r="ZK1" s="13" t="s">
        <v>830</v>
      </c>
      <c r="ZL1" s="13" t="s">
        <v>831</v>
      </c>
      <c r="ZM1" s="13" t="s">
        <v>832</v>
      </c>
      <c r="ZN1" s="13" t="s">
        <v>833</v>
      </c>
      <c r="ZO1" s="13" t="s">
        <v>834</v>
      </c>
      <c r="ZP1" s="13" t="s">
        <v>835</v>
      </c>
      <c r="ZQ1" s="12" t="s">
        <v>836</v>
      </c>
      <c r="ZR1" s="13" t="s">
        <v>837</v>
      </c>
      <c r="ZS1" s="13" t="s">
        <v>838</v>
      </c>
      <c r="ZT1" s="13" t="s">
        <v>839</v>
      </c>
      <c r="ZU1" s="13" t="s">
        <v>840</v>
      </c>
      <c r="ZV1" s="13" t="s">
        <v>841</v>
      </c>
      <c r="ZW1" s="12" t="s">
        <v>842</v>
      </c>
      <c r="ZX1" s="13" t="s">
        <v>843</v>
      </c>
      <c r="ZY1" s="13" t="s">
        <v>844</v>
      </c>
      <c r="ZZ1" s="13" t="s">
        <v>845</v>
      </c>
      <c r="AAA1" s="13" t="s">
        <v>846</v>
      </c>
      <c r="AAB1" s="13" t="s">
        <v>847</v>
      </c>
      <c r="AAC1" s="13" t="s">
        <v>848</v>
      </c>
      <c r="AAD1" s="13" t="s">
        <v>849</v>
      </c>
      <c r="AAE1" s="13" t="s">
        <v>850</v>
      </c>
      <c r="AAF1" s="13" t="s">
        <v>851</v>
      </c>
      <c r="AAG1" s="13" t="s">
        <v>852</v>
      </c>
      <c r="AAH1" s="13" t="s">
        <v>853</v>
      </c>
      <c r="AAI1" s="13" t="s">
        <v>854</v>
      </c>
      <c r="AAJ1" s="13" t="s">
        <v>855</v>
      </c>
      <c r="AAK1" s="13" t="s">
        <v>856</v>
      </c>
      <c r="AAL1" s="13" t="s">
        <v>857</v>
      </c>
      <c r="AAM1" s="13" t="s">
        <v>858</v>
      </c>
      <c r="AAN1" s="13" t="s">
        <v>859</v>
      </c>
      <c r="AAO1" s="13" t="s">
        <v>860</v>
      </c>
      <c r="AAP1" s="13" t="s">
        <v>861</v>
      </c>
      <c r="AAQ1" s="13" t="s">
        <v>862</v>
      </c>
      <c r="AAR1" s="13" t="s">
        <v>863</v>
      </c>
      <c r="AAS1" s="12" t="s">
        <v>864</v>
      </c>
      <c r="AAT1" s="13" t="s">
        <v>865</v>
      </c>
      <c r="AAU1" s="13" t="s">
        <v>866</v>
      </c>
      <c r="AAV1" s="13" t="s">
        <v>867</v>
      </c>
      <c r="AAW1" s="13" t="s">
        <v>868</v>
      </c>
      <c r="AAX1" s="13" t="s">
        <v>869</v>
      </c>
      <c r="AAY1" s="13" t="s">
        <v>870</v>
      </c>
      <c r="AAZ1" s="13" t="s">
        <v>871</v>
      </c>
      <c r="ABA1" s="13" t="s">
        <v>872</v>
      </c>
      <c r="ABB1" s="13" t="s">
        <v>873</v>
      </c>
      <c r="ABC1" s="13" t="s">
        <v>874</v>
      </c>
      <c r="ABD1" s="13" t="s">
        <v>875</v>
      </c>
      <c r="ABE1" s="13" t="s">
        <v>876</v>
      </c>
      <c r="ABF1" s="13" t="s">
        <v>877</v>
      </c>
      <c r="ABG1" s="13" t="s">
        <v>878</v>
      </c>
      <c r="ABH1" s="13" t="s">
        <v>879</v>
      </c>
      <c r="ABI1" s="13" t="s">
        <v>880</v>
      </c>
      <c r="ABJ1" s="13" t="s">
        <v>881</v>
      </c>
      <c r="ABK1" s="13" t="s">
        <v>882</v>
      </c>
      <c r="ABL1" s="13" t="s">
        <v>883</v>
      </c>
      <c r="ABM1" s="13" t="s">
        <v>884</v>
      </c>
      <c r="ABN1" s="13" t="s">
        <v>885</v>
      </c>
      <c r="ABO1" s="13" t="s">
        <v>886</v>
      </c>
      <c r="ABP1" s="12" t="s">
        <v>887</v>
      </c>
      <c r="ABQ1" s="13" t="s">
        <v>888</v>
      </c>
      <c r="ABR1" s="13" t="s">
        <v>889</v>
      </c>
      <c r="ABS1" s="13" t="s">
        <v>890</v>
      </c>
      <c r="ABT1" s="13" t="s">
        <v>891</v>
      </c>
      <c r="ABU1" s="12" t="s">
        <v>892</v>
      </c>
      <c r="ABV1" s="13" t="s">
        <v>893</v>
      </c>
      <c r="ABW1" s="13" t="s">
        <v>894</v>
      </c>
      <c r="ABX1" s="13" t="s">
        <v>895</v>
      </c>
      <c r="ABY1" s="13" t="s">
        <v>896</v>
      </c>
      <c r="ABZ1" s="13" t="s">
        <v>897</v>
      </c>
      <c r="ACA1" s="13" t="s">
        <v>898</v>
      </c>
      <c r="ACB1" s="12" t="s">
        <v>899</v>
      </c>
      <c r="ACC1" s="13" t="s">
        <v>900</v>
      </c>
      <c r="ACD1" s="13" t="s">
        <v>901</v>
      </c>
      <c r="ACE1" s="13" t="s">
        <v>902</v>
      </c>
      <c r="ACF1" s="13" t="s">
        <v>903</v>
      </c>
      <c r="ACG1" s="13" t="s">
        <v>904</v>
      </c>
      <c r="ACH1" s="13" t="s">
        <v>905</v>
      </c>
      <c r="ACI1" s="13" t="s">
        <v>906</v>
      </c>
      <c r="ACJ1" s="13" t="s">
        <v>907</v>
      </c>
      <c r="ACK1" s="13" t="s">
        <v>908</v>
      </c>
      <c r="ACL1" s="13" t="s">
        <v>909</v>
      </c>
      <c r="ACM1" s="13" t="s">
        <v>910</v>
      </c>
      <c r="ACN1" s="13" t="s">
        <v>911</v>
      </c>
      <c r="ACO1" s="13" t="s">
        <v>912</v>
      </c>
      <c r="ACP1" s="12" t="s">
        <v>913</v>
      </c>
      <c r="ACQ1" s="13" t="s">
        <v>914</v>
      </c>
      <c r="ACR1" s="13" t="s">
        <v>915</v>
      </c>
      <c r="ACS1" s="13" t="s">
        <v>916</v>
      </c>
      <c r="ACT1" s="13" t="s">
        <v>917</v>
      </c>
      <c r="ACU1" s="13" t="s">
        <v>918</v>
      </c>
      <c r="ACV1" s="13" t="s">
        <v>919</v>
      </c>
      <c r="ACW1" s="13" t="s">
        <v>920</v>
      </c>
      <c r="ACX1" s="13" t="s">
        <v>921</v>
      </c>
      <c r="ACY1" s="13" t="s">
        <v>922</v>
      </c>
      <c r="ACZ1" s="12" t="s">
        <v>923</v>
      </c>
      <c r="ADA1" s="13" t="s">
        <v>924</v>
      </c>
      <c r="ADB1" s="13" t="s">
        <v>925</v>
      </c>
      <c r="ADC1" s="13" t="s">
        <v>926</v>
      </c>
      <c r="ADD1" s="13" t="s">
        <v>927</v>
      </c>
      <c r="ADE1" s="13" t="s">
        <v>928</v>
      </c>
      <c r="ADF1" s="13" t="s">
        <v>929</v>
      </c>
      <c r="ADG1" s="13" t="s">
        <v>930</v>
      </c>
      <c r="ADH1" s="13" t="s">
        <v>931</v>
      </c>
      <c r="ADI1" s="13" t="s">
        <v>932</v>
      </c>
      <c r="ADJ1" s="13" t="s">
        <v>933</v>
      </c>
      <c r="ADK1" s="13" t="s">
        <v>934</v>
      </c>
      <c r="ADL1" s="12" t="s">
        <v>935</v>
      </c>
      <c r="ADM1" s="13" t="s">
        <v>936</v>
      </c>
      <c r="ADN1" s="13" t="s">
        <v>937</v>
      </c>
      <c r="ADO1" s="13" t="s">
        <v>938</v>
      </c>
      <c r="ADP1" s="13" t="s">
        <v>939</v>
      </c>
      <c r="ADQ1" s="13" t="s">
        <v>940</v>
      </c>
      <c r="ADR1" s="13" t="s">
        <v>941</v>
      </c>
      <c r="ADS1" s="13" t="s">
        <v>942</v>
      </c>
      <c r="ADT1" s="13" t="s">
        <v>943</v>
      </c>
      <c r="ADU1" s="13" t="s">
        <v>944</v>
      </c>
      <c r="ADV1" s="13" t="s">
        <v>945</v>
      </c>
      <c r="ADW1" s="13" t="s">
        <v>946</v>
      </c>
      <c r="ADX1" s="13" t="s">
        <v>947</v>
      </c>
      <c r="ADY1" s="13" t="s">
        <v>948</v>
      </c>
      <c r="ADZ1" s="13" t="s">
        <v>949</v>
      </c>
      <c r="AEA1" s="13" t="s">
        <v>950</v>
      </c>
      <c r="AEB1" s="13" t="s">
        <v>951</v>
      </c>
      <c r="AEC1" s="13" t="s">
        <v>952</v>
      </c>
      <c r="AED1" s="13" t="s">
        <v>953</v>
      </c>
      <c r="AEE1" s="13" t="s">
        <v>954</v>
      </c>
      <c r="AEF1" s="13" t="s">
        <v>955</v>
      </c>
      <c r="AEG1" s="13" t="s">
        <v>956</v>
      </c>
      <c r="AEH1" s="12" t="s">
        <v>957</v>
      </c>
    </row>
    <row r="2" spans="1:814" x14ac:dyDescent="0.25">
      <c r="A2" s="8" t="s">
        <v>958</v>
      </c>
      <c r="B2" t="s">
        <v>959</v>
      </c>
      <c r="C2">
        <v>70</v>
      </c>
      <c r="D2" t="s">
        <v>960</v>
      </c>
      <c r="E2" t="s">
        <v>961</v>
      </c>
      <c r="F2" t="s">
        <v>961</v>
      </c>
      <c r="H2" t="s">
        <v>962</v>
      </c>
      <c r="I2" t="s">
        <v>961</v>
      </c>
      <c r="J2" t="s">
        <v>963</v>
      </c>
      <c r="K2" t="s">
        <v>964</v>
      </c>
      <c r="L2">
        <v>47</v>
      </c>
      <c r="M2">
        <v>168</v>
      </c>
      <c r="N2" t="s">
        <v>965</v>
      </c>
      <c r="O2" s="9">
        <v>36615</v>
      </c>
      <c r="P2" s="9">
        <v>36622</v>
      </c>
      <c r="Q2" t="s">
        <v>966</v>
      </c>
      <c r="R2" t="s">
        <v>967</v>
      </c>
      <c r="S2" t="s">
        <v>968</v>
      </c>
      <c r="T2" t="s">
        <v>969</v>
      </c>
      <c r="U2" t="s">
        <v>970</v>
      </c>
      <c r="V2" t="s">
        <v>971</v>
      </c>
      <c r="Y2">
        <v>124</v>
      </c>
      <c r="AC2">
        <v>41</v>
      </c>
      <c r="AZ2" s="10">
        <f t="shared" ref="AZ2:AZ9" si="0">COUNTA(Y2:AY2)</f>
        <v>2</v>
      </c>
      <c r="BA2" t="s">
        <v>972</v>
      </c>
      <c r="BE2">
        <v>20</v>
      </c>
      <c r="BJ2">
        <v>75</v>
      </c>
      <c r="BL2">
        <v>74</v>
      </c>
      <c r="CA2" s="10">
        <f t="shared" ref="CA2:CA9" si="1">COUNTA(BA2:BZ2)</f>
        <v>4</v>
      </c>
      <c r="CB2" t="s">
        <v>973</v>
      </c>
      <c r="CF2">
        <v>61</v>
      </c>
      <c r="CL2" t="s">
        <v>974</v>
      </c>
      <c r="DD2" s="10">
        <f t="shared" ref="DD2:DD9" si="2">COUNTA(CB2:DC2)</f>
        <v>3</v>
      </c>
      <c r="DE2" t="s">
        <v>975</v>
      </c>
      <c r="DR2" s="10">
        <f t="shared" ref="DR2:DR9" si="3">COUNTA(DF2:DQ2)</f>
        <v>0</v>
      </c>
      <c r="EE2" s="10">
        <f t="shared" ref="EE2:EE9" si="4">COUNTA(DS2:ED2)</f>
        <v>0</v>
      </c>
      <c r="FH2" s="10">
        <f t="shared" ref="FH2:FH9" si="5">COUNTA(EF2:FG2)</f>
        <v>0</v>
      </c>
      <c r="HX2" s="10">
        <f t="shared" ref="HX2:HX9" si="6">COUNTA(FI2:HW2)</f>
        <v>0</v>
      </c>
      <c r="KL2" s="10">
        <f t="shared" ref="KL2:KL9" si="7">COUNTA(HY2:KK2)</f>
        <v>0</v>
      </c>
      <c r="MY2" s="10">
        <f t="shared" ref="MY2:MY9" si="8">COUNTA(KM2:MX2)</f>
        <v>0</v>
      </c>
      <c r="OP2" s="10">
        <f t="shared" ref="OP2:OP9" si="9">COUNTA(MZ2:OO2)</f>
        <v>0</v>
      </c>
      <c r="OV2" s="10">
        <f t="shared" ref="OV2:OV9" si="10">COUNTA(OQ2:OU2)</f>
        <v>0</v>
      </c>
      <c r="RC2" s="10">
        <f t="shared" ref="RC2:RC9" si="11">COUNTA(OW2:RB2)</f>
        <v>0</v>
      </c>
      <c r="RT2" s="10">
        <f t="shared" ref="RT2:RT9" si="12">COUNTA(RD2:RS2)</f>
        <v>0</v>
      </c>
      <c r="UD2" s="10">
        <f t="shared" ref="UD2:UD9" si="13">COUNTA(RU2:UC2)</f>
        <v>0</v>
      </c>
      <c r="VI2" s="10">
        <f t="shared" ref="VI2:VI9" si="14">COUNTA(UE2:VH2)</f>
        <v>0</v>
      </c>
      <c r="WL2" s="10">
        <f t="shared" ref="WL2:WL9" si="15">COUNTA(VJ2:WK2)</f>
        <v>0</v>
      </c>
      <c r="XG2" s="10">
        <f t="shared" ref="XG2:XG9" si="16">COUNTA(WM2:XF2)</f>
        <v>0</v>
      </c>
      <c r="YC2" s="10">
        <f t="shared" ref="YC2:YC9" si="17">COUNTA(XH2:YB2)</f>
        <v>0</v>
      </c>
      <c r="YW2" s="10">
        <f t="shared" ref="YW2:YW9" si="18">COUNTA(YD2:YV2)</f>
        <v>0</v>
      </c>
      <c r="ZQ2" s="10">
        <f t="shared" ref="ZQ2:ZQ9" si="19">COUNTA(YX2:ZP2)</f>
        <v>0</v>
      </c>
      <c r="ZW2" s="10">
        <f t="shared" ref="ZW2:ZW9" si="20">COUNTA(ZR2:ZV2)</f>
        <v>0</v>
      </c>
      <c r="AAS2" s="10">
        <f t="shared" ref="AAS2:AAS9" si="21">COUNTA(ZX2:AAR2)</f>
        <v>0</v>
      </c>
      <c r="ABP2" s="10">
        <f t="shared" ref="ABP2:ABP9" si="22">COUNTA(AAT2,ABO2)</f>
        <v>0</v>
      </c>
      <c r="ABU2" s="10">
        <f t="shared" ref="ABU2:ABU9" si="23">COUNTA(ABQ2:ABT2)</f>
        <v>0</v>
      </c>
      <c r="ACB2" s="10">
        <f t="shared" ref="ACB2:ACB9" si="24">COUNTA(ABV2:ACA2)</f>
        <v>0</v>
      </c>
      <c r="ACP2" s="10">
        <f t="shared" ref="ACP2:ACP9" si="25">COUNTA(ACG2:ACO2)</f>
        <v>0</v>
      </c>
      <c r="ACZ2" s="10">
        <f t="shared" ref="ACZ2:ACZ9" si="26">COUNTA(ACU2:ACY2)</f>
        <v>0</v>
      </c>
      <c r="ADL2" s="10">
        <f t="shared" ref="ADL2:ADL9" si="27">COUNTA(ADA2:ADK2)</f>
        <v>0</v>
      </c>
      <c r="AEH2" s="10">
        <f t="shared" ref="AEH2:AEH9" si="28">COUNTA(ADM2:AEG2)</f>
        <v>0</v>
      </c>
    </row>
    <row r="3" spans="1:814" x14ac:dyDescent="0.25">
      <c r="A3" s="8" t="s">
        <v>976</v>
      </c>
      <c r="B3" t="s">
        <v>977</v>
      </c>
      <c r="C3">
        <v>58</v>
      </c>
      <c r="D3" t="s">
        <v>960</v>
      </c>
      <c r="E3" t="s">
        <v>978</v>
      </c>
      <c r="F3" t="s">
        <v>961</v>
      </c>
      <c r="G3" t="s">
        <v>979</v>
      </c>
      <c r="H3" t="s">
        <v>962</v>
      </c>
      <c r="I3" t="s">
        <v>961</v>
      </c>
      <c r="K3" t="s">
        <v>964</v>
      </c>
      <c r="L3">
        <v>65</v>
      </c>
      <c r="M3">
        <v>150</v>
      </c>
      <c r="N3" t="s">
        <v>980</v>
      </c>
      <c r="S3" t="s">
        <v>981</v>
      </c>
      <c r="T3" t="s">
        <v>982</v>
      </c>
      <c r="U3" t="s">
        <v>983</v>
      </c>
      <c r="V3" t="s">
        <v>984</v>
      </c>
      <c r="AZ3" s="10">
        <f t="shared" si="0"/>
        <v>0</v>
      </c>
      <c r="CA3" s="10">
        <f t="shared" si="1"/>
        <v>0</v>
      </c>
      <c r="DD3" s="10">
        <f t="shared" si="2"/>
        <v>0</v>
      </c>
      <c r="DR3" s="10">
        <f t="shared" si="3"/>
        <v>0</v>
      </c>
      <c r="EE3" s="10">
        <f t="shared" si="4"/>
        <v>0</v>
      </c>
      <c r="FH3" s="10">
        <f t="shared" si="5"/>
        <v>0</v>
      </c>
      <c r="FI3">
        <v>13</v>
      </c>
      <c r="HX3" s="10">
        <f t="shared" si="6"/>
        <v>1</v>
      </c>
      <c r="HY3">
        <v>24</v>
      </c>
      <c r="KL3" s="10">
        <f t="shared" si="7"/>
        <v>1</v>
      </c>
      <c r="KM3">
        <v>49</v>
      </c>
      <c r="MY3" s="10">
        <f t="shared" si="8"/>
        <v>1</v>
      </c>
      <c r="MZ3">
        <v>222</v>
      </c>
      <c r="OP3" s="10">
        <f t="shared" si="9"/>
        <v>1</v>
      </c>
      <c r="OV3" s="10">
        <f t="shared" si="10"/>
        <v>0</v>
      </c>
      <c r="RC3" s="10">
        <f t="shared" si="11"/>
        <v>0</v>
      </c>
      <c r="RT3" s="10">
        <f t="shared" si="12"/>
        <v>0</v>
      </c>
      <c r="UD3" s="10">
        <f t="shared" si="13"/>
        <v>0</v>
      </c>
      <c r="VI3" s="10">
        <f t="shared" si="14"/>
        <v>0</v>
      </c>
      <c r="WL3" s="10">
        <f t="shared" si="15"/>
        <v>0</v>
      </c>
      <c r="XG3" s="10">
        <f t="shared" si="16"/>
        <v>0</v>
      </c>
      <c r="YC3" s="10">
        <f t="shared" si="17"/>
        <v>0</v>
      </c>
      <c r="YW3" s="10">
        <f t="shared" si="18"/>
        <v>0</v>
      </c>
      <c r="ZQ3" s="10">
        <f t="shared" si="19"/>
        <v>0</v>
      </c>
      <c r="ZW3" s="10">
        <f t="shared" si="20"/>
        <v>0</v>
      </c>
      <c r="AAS3" s="10">
        <f t="shared" si="21"/>
        <v>0</v>
      </c>
      <c r="ABP3" s="10">
        <f t="shared" si="22"/>
        <v>0</v>
      </c>
      <c r="ABU3" s="10">
        <f t="shared" si="23"/>
        <v>0</v>
      </c>
      <c r="ACB3" s="10">
        <f t="shared" si="24"/>
        <v>0</v>
      </c>
      <c r="ACP3" s="10">
        <f t="shared" si="25"/>
        <v>0</v>
      </c>
      <c r="ACZ3" s="10">
        <f t="shared" si="26"/>
        <v>0</v>
      </c>
      <c r="ADL3" s="10">
        <f t="shared" si="27"/>
        <v>0</v>
      </c>
      <c r="AEH3" s="10">
        <f t="shared" si="28"/>
        <v>0</v>
      </c>
    </row>
    <row r="4" spans="1:814" x14ac:dyDescent="0.25">
      <c r="A4" s="8" t="s">
        <v>985</v>
      </c>
      <c r="B4" t="s">
        <v>986</v>
      </c>
      <c r="C4">
        <v>15</v>
      </c>
      <c r="D4" t="s">
        <v>987</v>
      </c>
      <c r="E4" t="s">
        <v>961</v>
      </c>
      <c r="F4" t="s">
        <v>961</v>
      </c>
      <c r="G4" t="s">
        <v>988</v>
      </c>
      <c r="H4" t="s">
        <v>962</v>
      </c>
      <c r="I4" t="s">
        <v>961</v>
      </c>
      <c r="K4" t="s">
        <v>964</v>
      </c>
      <c r="L4">
        <v>78</v>
      </c>
      <c r="M4">
        <v>173</v>
      </c>
      <c r="N4" t="s">
        <v>989</v>
      </c>
      <c r="S4" t="s">
        <v>990</v>
      </c>
      <c r="U4" t="s">
        <v>991</v>
      </c>
      <c r="V4" t="s">
        <v>992</v>
      </c>
      <c r="AZ4" s="10">
        <f t="shared" si="0"/>
        <v>0</v>
      </c>
      <c r="CA4" s="10">
        <f t="shared" si="1"/>
        <v>0</v>
      </c>
      <c r="DD4" s="10">
        <f t="shared" si="2"/>
        <v>0</v>
      </c>
      <c r="DR4" s="10">
        <f t="shared" si="3"/>
        <v>0</v>
      </c>
      <c r="EE4" s="10">
        <f t="shared" si="4"/>
        <v>0</v>
      </c>
      <c r="EQ4">
        <v>200</v>
      </c>
      <c r="FH4" s="10">
        <f t="shared" si="5"/>
        <v>1</v>
      </c>
      <c r="FM4">
        <v>28</v>
      </c>
      <c r="HX4" s="10">
        <f t="shared" si="6"/>
        <v>1</v>
      </c>
      <c r="IB4">
        <v>32</v>
      </c>
      <c r="KL4" s="10">
        <f t="shared" si="7"/>
        <v>1</v>
      </c>
      <c r="MY4" s="10">
        <f t="shared" si="8"/>
        <v>0</v>
      </c>
      <c r="NC4">
        <v>249</v>
      </c>
      <c r="OP4" s="10">
        <f t="shared" si="9"/>
        <v>1</v>
      </c>
      <c r="OQ4" t="s">
        <v>993</v>
      </c>
      <c r="OV4" s="10">
        <f t="shared" si="10"/>
        <v>1</v>
      </c>
      <c r="RC4" s="10">
        <f t="shared" si="11"/>
        <v>0</v>
      </c>
      <c r="RT4" s="10">
        <f t="shared" si="12"/>
        <v>0</v>
      </c>
      <c r="UD4" s="10">
        <f t="shared" si="13"/>
        <v>0</v>
      </c>
      <c r="VI4" s="10">
        <f t="shared" si="14"/>
        <v>0</v>
      </c>
      <c r="WL4" s="10">
        <f t="shared" si="15"/>
        <v>0</v>
      </c>
      <c r="XG4" s="10">
        <f t="shared" si="16"/>
        <v>0</v>
      </c>
      <c r="YC4" s="10">
        <f t="shared" si="17"/>
        <v>0</v>
      </c>
      <c r="YW4" s="10">
        <f t="shared" si="18"/>
        <v>0</v>
      </c>
      <c r="ZQ4" s="10">
        <f t="shared" si="19"/>
        <v>0</v>
      </c>
      <c r="ZW4" s="10">
        <f t="shared" si="20"/>
        <v>0</v>
      </c>
      <c r="AAS4" s="10">
        <f t="shared" si="21"/>
        <v>0</v>
      </c>
      <c r="ABP4" s="10">
        <f t="shared" si="22"/>
        <v>0</v>
      </c>
      <c r="ABU4" s="10">
        <f t="shared" si="23"/>
        <v>0</v>
      </c>
      <c r="ACB4" s="10">
        <f t="shared" si="24"/>
        <v>0</v>
      </c>
      <c r="ACP4" s="10">
        <f t="shared" si="25"/>
        <v>0</v>
      </c>
      <c r="ACZ4" s="10">
        <f t="shared" si="26"/>
        <v>0</v>
      </c>
      <c r="ADL4" s="10">
        <f t="shared" si="27"/>
        <v>0</v>
      </c>
      <c r="AEH4" s="10">
        <f t="shared" si="28"/>
        <v>0</v>
      </c>
    </row>
    <row r="5" spans="1:814" x14ac:dyDescent="0.25">
      <c r="A5" s="8" t="s">
        <v>994</v>
      </c>
      <c r="B5" t="s">
        <v>995</v>
      </c>
      <c r="C5">
        <v>36</v>
      </c>
      <c r="D5" t="s">
        <v>960</v>
      </c>
      <c r="E5" t="s">
        <v>978</v>
      </c>
      <c r="F5" t="s">
        <v>961</v>
      </c>
      <c r="G5" t="s">
        <v>996</v>
      </c>
      <c r="H5" t="s">
        <v>962</v>
      </c>
      <c r="I5" t="s">
        <v>961</v>
      </c>
      <c r="K5" t="s">
        <v>964</v>
      </c>
      <c r="L5">
        <v>62</v>
      </c>
      <c r="M5">
        <v>155</v>
      </c>
      <c r="N5" t="s">
        <v>997</v>
      </c>
      <c r="S5" t="s">
        <v>998</v>
      </c>
      <c r="T5" t="s">
        <v>999</v>
      </c>
      <c r="U5" t="s">
        <v>1000</v>
      </c>
      <c r="V5" t="s">
        <v>1001</v>
      </c>
      <c r="AZ5" s="10">
        <f t="shared" si="0"/>
        <v>0</v>
      </c>
      <c r="CA5" s="10">
        <f t="shared" si="1"/>
        <v>0</v>
      </c>
      <c r="DD5" s="10">
        <f t="shared" si="2"/>
        <v>0</v>
      </c>
      <c r="DR5" s="10">
        <f t="shared" si="3"/>
        <v>0</v>
      </c>
      <c r="EE5" s="10">
        <f t="shared" si="4"/>
        <v>0</v>
      </c>
      <c r="EH5">
        <v>11.64</v>
      </c>
      <c r="FH5" s="10">
        <f t="shared" si="5"/>
        <v>1</v>
      </c>
      <c r="FI5">
        <v>15</v>
      </c>
      <c r="HX5" s="10">
        <f t="shared" si="6"/>
        <v>1</v>
      </c>
      <c r="HY5">
        <v>28</v>
      </c>
      <c r="KL5" s="10">
        <f t="shared" si="7"/>
        <v>1</v>
      </c>
      <c r="KM5">
        <v>45</v>
      </c>
      <c r="MY5" s="10">
        <f t="shared" si="8"/>
        <v>1</v>
      </c>
      <c r="MZ5">
        <v>144</v>
      </c>
      <c r="OP5" s="10">
        <f t="shared" si="9"/>
        <v>1</v>
      </c>
      <c r="OR5">
        <v>6.8</v>
      </c>
      <c r="OV5" s="10">
        <f t="shared" si="10"/>
        <v>1</v>
      </c>
      <c r="RC5" s="10">
        <f t="shared" si="11"/>
        <v>0</v>
      </c>
      <c r="RT5" s="10">
        <f t="shared" si="12"/>
        <v>0</v>
      </c>
      <c r="UD5" s="10">
        <f t="shared" si="13"/>
        <v>0</v>
      </c>
      <c r="VI5" s="10">
        <f t="shared" si="14"/>
        <v>0</v>
      </c>
      <c r="WL5" s="10">
        <f t="shared" si="15"/>
        <v>0</v>
      </c>
      <c r="XG5" s="10">
        <f t="shared" si="16"/>
        <v>0</v>
      </c>
      <c r="YC5" s="10">
        <f t="shared" si="17"/>
        <v>0</v>
      </c>
      <c r="YW5" s="10">
        <f t="shared" si="18"/>
        <v>0</v>
      </c>
      <c r="ZQ5" s="10">
        <f t="shared" si="19"/>
        <v>0</v>
      </c>
      <c r="ZW5" s="10">
        <f t="shared" si="20"/>
        <v>0</v>
      </c>
      <c r="AAS5" s="10">
        <f t="shared" si="21"/>
        <v>0</v>
      </c>
      <c r="ABP5" s="10">
        <f t="shared" si="22"/>
        <v>0</v>
      </c>
      <c r="ABU5" s="10">
        <f t="shared" si="23"/>
        <v>0</v>
      </c>
      <c r="ACB5" s="10">
        <f t="shared" si="24"/>
        <v>0</v>
      </c>
      <c r="ACP5" s="10">
        <f t="shared" si="25"/>
        <v>0</v>
      </c>
      <c r="ACZ5" s="10">
        <f t="shared" si="26"/>
        <v>0</v>
      </c>
      <c r="ADL5" s="10">
        <f t="shared" si="27"/>
        <v>0</v>
      </c>
      <c r="AEH5" s="10">
        <f t="shared" si="28"/>
        <v>0</v>
      </c>
    </row>
    <row r="6" spans="1:814" x14ac:dyDescent="0.25">
      <c r="A6" s="8" t="s">
        <v>1002</v>
      </c>
      <c r="B6" t="s">
        <v>1003</v>
      </c>
      <c r="C6">
        <v>59</v>
      </c>
      <c r="D6" t="s">
        <v>960</v>
      </c>
      <c r="E6" t="s">
        <v>961</v>
      </c>
      <c r="F6" t="s">
        <v>961</v>
      </c>
      <c r="G6" t="s">
        <v>1004</v>
      </c>
      <c r="H6" t="s">
        <v>978</v>
      </c>
      <c r="I6" t="s">
        <v>961</v>
      </c>
      <c r="K6" t="s">
        <v>964</v>
      </c>
      <c r="L6">
        <v>77</v>
      </c>
      <c r="M6">
        <v>170</v>
      </c>
      <c r="N6" t="s">
        <v>1005</v>
      </c>
      <c r="O6" s="3" t="s">
        <v>1006</v>
      </c>
      <c r="P6" s="3" t="s">
        <v>1006</v>
      </c>
      <c r="Q6" t="s">
        <v>1007</v>
      </c>
      <c r="R6" t="s">
        <v>1008</v>
      </c>
      <c r="S6" t="s">
        <v>1009</v>
      </c>
      <c r="T6" t="s">
        <v>1010</v>
      </c>
      <c r="U6" t="s">
        <v>1011</v>
      </c>
      <c r="V6" t="s">
        <v>1012</v>
      </c>
      <c r="AZ6" s="10">
        <f t="shared" si="0"/>
        <v>0</v>
      </c>
      <c r="CA6" s="10">
        <f t="shared" si="1"/>
        <v>0</v>
      </c>
      <c r="DD6" s="10">
        <f t="shared" si="2"/>
        <v>0</v>
      </c>
      <c r="DR6" s="10">
        <f t="shared" si="3"/>
        <v>0</v>
      </c>
      <c r="EE6" s="10">
        <f t="shared" si="4"/>
        <v>0</v>
      </c>
      <c r="EF6">
        <v>4000</v>
      </c>
      <c r="FH6" s="10">
        <f t="shared" si="5"/>
        <v>1</v>
      </c>
      <c r="HX6" s="10">
        <f t="shared" si="6"/>
        <v>0</v>
      </c>
      <c r="KL6" s="10">
        <f t="shared" si="7"/>
        <v>0</v>
      </c>
      <c r="KM6">
        <v>240</v>
      </c>
      <c r="MY6" s="10">
        <f t="shared" si="8"/>
        <v>1</v>
      </c>
      <c r="OP6" s="10">
        <f t="shared" si="9"/>
        <v>0</v>
      </c>
      <c r="OQ6" t="s">
        <v>1013</v>
      </c>
      <c r="OV6" s="10">
        <f t="shared" si="10"/>
        <v>1</v>
      </c>
      <c r="RC6" s="10">
        <f t="shared" si="11"/>
        <v>0</v>
      </c>
      <c r="RT6" s="10">
        <f t="shared" si="12"/>
        <v>0</v>
      </c>
      <c r="UD6" s="10">
        <f t="shared" si="13"/>
        <v>0</v>
      </c>
      <c r="VI6" s="10">
        <f t="shared" si="14"/>
        <v>0</v>
      </c>
      <c r="WL6" s="10">
        <f t="shared" si="15"/>
        <v>0</v>
      </c>
      <c r="XG6" s="10">
        <f t="shared" si="16"/>
        <v>0</v>
      </c>
      <c r="YC6" s="10">
        <f t="shared" si="17"/>
        <v>0</v>
      </c>
      <c r="YW6" s="10">
        <f t="shared" si="18"/>
        <v>0</v>
      </c>
      <c r="YX6">
        <v>11</v>
      </c>
      <c r="ZQ6" s="10">
        <f t="shared" si="19"/>
        <v>1</v>
      </c>
      <c r="ZW6" s="10">
        <f t="shared" si="20"/>
        <v>0</v>
      </c>
      <c r="AAS6" s="10">
        <f t="shared" si="21"/>
        <v>0</v>
      </c>
      <c r="ABP6" s="10">
        <f t="shared" si="22"/>
        <v>0</v>
      </c>
      <c r="ABU6" s="10">
        <f t="shared" si="23"/>
        <v>0</v>
      </c>
      <c r="ACB6" s="10">
        <f t="shared" si="24"/>
        <v>0</v>
      </c>
      <c r="ACP6" s="10">
        <f t="shared" si="25"/>
        <v>0</v>
      </c>
      <c r="ACZ6" s="10">
        <f t="shared" si="26"/>
        <v>0</v>
      </c>
      <c r="ADL6" s="10">
        <f t="shared" si="27"/>
        <v>0</v>
      </c>
      <c r="AEH6" s="10">
        <f t="shared" si="28"/>
        <v>0</v>
      </c>
    </row>
    <row r="7" spans="1:814" x14ac:dyDescent="0.25">
      <c r="A7" s="8" t="s">
        <v>1014</v>
      </c>
      <c r="B7" t="s">
        <v>1015</v>
      </c>
      <c r="C7">
        <v>53</v>
      </c>
      <c r="D7" t="s">
        <v>960</v>
      </c>
      <c r="E7" t="s">
        <v>961</v>
      </c>
      <c r="F7" t="s">
        <v>961</v>
      </c>
      <c r="G7" t="s">
        <v>1016</v>
      </c>
      <c r="H7" t="s">
        <v>978</v>
      </c>
      <c r="I7" t="s">
        <v>978</v>
      </c>
      <c r="K7" t="s">
        <v>964</v>
      </c>
      <c r="L7">
        <v>78</v>
      </c>
      <c r="M7">
        <v>158</v>
      </c>
      <c r="N7" t="s">
        <v>1017</v>
      </c>
      <c r="O7" s="3">
        <v>36536</v>
      </c>
      <c r="P7" s="3">
        <v>36537</v>
      </c>
      <c r="Q7" t="s">
        <v>1018</v>
      </c>
      <c r="R7" t="s">
        <v>1019</v>
      </c>
      <c r="S7" t="s">
        <v>1020</v>
      </c>
      <c r="T7" t="s">
        <v>1021</v>
      </c>
      <c r="U7" t="s">
        <v>1022</v>
      </c>
      <c r="V7" t="s">
        <v>1023</v>
      </c>
      <c r="AZ7" s="10">
        <f t="shared" si="0"/>
        <v>0</v>
      </c>
      <c r="CA7" s="10">
        <f t="shared" si="1"/>
        <v>0</v>
      </c>
      <c r="DD7" s="10">
        <f t="shared" si="2"/>
        <v>0</v>
      </c>
      <c r="DR7" s="10">
        <f t="shared" si="3"/>
        <v>0</v>
      </c>
      <c r="EE7" s="10">
        <f t="shared" si="4"/>
        <v>0</v>
      </c>
      <c r="EH7">
        <v>8900</v>
      </c>
      <c r="EK7">
        <v>10600</v>
      </c>
      <c r="FH7" s="10">
        <f t="shared" si="5"/>
        <v>2</v>
      </c>
      <c r="FU7">
        <v>25</v>
      </c>
      <c r="HX7" s="10">
        <f t="shared" si="6"/>
        <v>1</v>
      </c>
      <c r="IJ7">
        <v>64</v>
      </c>
      <c r="KL7" s="10">
        <f t="shared" si="7"/>
        <v>1</v>
      </c>
      <c r="KQ7">
        <v>51</v>
      </c>
      <c r="MY7" s="10">
        <f t="shared" si="8"/>
        <v>1</v>
      </c>
      <c r="OP7" s="10">
        <f t="shared" si="9"/>
        <v>0</v>
      </c>
      <c r="OQ7" t="s">
        <v>1024</v>
      </c>
      <c r="OV7" s="10">
        <f t="shared" si="10"/>
        <v>1</v>
      </c>
      <c r="RC7" s="10">
        <f t="shared" si="11"/>
        <v>0</v>
      </c>
      <c r="RT7" s="10">
        <f t="shared" si="12"/>
        <v>0</v>
      </c>
      <c r="UD7" s="10">
        <f t="shared" si="13"/>
        <v>0</v>
      </c>
      <c r="VI7" s="10">
        <f t="shared" si="14"/>
        <v>0</v>
      </c>
      <c r="WL7" s="10">
        <f t="shared" si="15"/>
        <v>0</v>
      </c>
      <c r="XG7" s="10">
        <f t="shared" si="16"/>
        <v>0</v>
      </c>
      <c r="YC7" s="10">
        <f t="shared" si="17"/>
        <v>0</v>
      </c>
      <c r="YW7" s="10">
        <f t="shared" si="18"/>
        <v>0</v>
      </c>
      <c r="ZQ7" s="10">
        <f t="shared" si="19"/>
        <v>0</v>
      </c>
      <c r="ZW7" s="10">
        <f t="shared" si="20"/>
        <v>0</v>
      </c>
      <c r="AAS7" s="10">
        <f t="shared" si="21"/>
        <v>0</v>
      </c>
      <c r="ABP7" s="10">
        <f t="shared" si="22"/>
        <v>0</v>
      </c>
      <c r="ABU7" s="10">
        <f t="shared" si="23"/>
        <v>0</v>
      </c>
      <c r="ACB7" s="10">
        <f t="shared" si="24"/>
        <v>0</v>
      </c>
      <c r="ACP7" s="10">
        <f t="shared" si="25"/>
        <v>0</v>
      </c>
      <c r="ACZ7" s="10">
        <f t="shared" si="26"/>
        <v>0</v>
      </c>
      <c r="ADL7" s="10">
        <f t="shared" si="27"/>
        <v>0</v>
      </c>
      <c r="AEH7" s="10">
        <f t="shared" si="28"/>
        <v>0</v>
      </c>
    </row>
    <row r="8" spans="1:814" x14ac:dyDescent="0.25">
      <c r="A8" s="11" t="s">
        <v>1025</v>
      </c>
      <c r="B8" t="s">
        <v>1026</v>
      </c>
      <c r="C8">
        <v>28</v>
      </c>
      <c r="D8" t="s">
        <v>960</v>
      </c>
      <c r="E8" t="s">
        <v>961</v>
      </c>
      <c r="F8" t="s">
        <v>961</v>
      </c>
      <c r="G8" t="s">
        <v>1027</v>
      </c>
      <c r="H8" t="s">
        <v>978</v>
      </c>
      <c r="I8" t="s">
        <v>961</v>
      </c>
      <c r="J8" t="s">
        <v>1028</v>
      </c>
      <c r="K8" t="s">
        <v>964</v>
      </c>
      <c r="P8" s="3">
        <v>36958</v>
      </c>
      <c r="S8" t="s">
        <v>1029</v>
      </c>
      <c r="U8" t="s">
        <v>1030</v>
      </c>
      <c r="V8" t="s">
        <v>1031</v>
      </c>
      <c r="AZ8" s="10">
        <f t="shared" si="0"/>
        <v>0</v>
      </c>
      <c r="CA8" s="10">
        <f t="shared" si="1"/>
        <v>0</v>
      </c>
      <c r="DD8" s="10">
        <f t="shared" si="2"/>
        <v>0</v>
      </c>
      <c r="DR8" s="10">
        <f t="shared" si="3"/>
        <v>0</v>
      </c>
      <c r="EE8" s="10">
        <f t="shared" si="4"/>
        <v>0</v>
      </c>
      <c r="FH8" s="10">
        <f t="shared" si="5"/>
        <v>0</v>
      </c>
      <c r="FI8">
        <v>20</v>
      </c>
      <c r="HX8" s="10">
        <f t="shared" si="6"/>
        <v>1</v>
      </c>
      <c r="HY8">
        <v>27</v>
      </c>
      <c r="KL8" s="10">
        <f t="shared" si="7"/>
        <v>1</v>
      </c>
      <c r="MY8" s="10">
        <f t="shared" si="8"/>
        <v>0</v>
      </c>
      <c r="MZ8">
        <v>248</v>
      </c>
      <c r="OP8" s="10">
        <f t="shared" si="9"/>
        <v>1</v>
      </c>
      <c r="OV8" s="10">
        <f t="shared" si="10"/>
        <v>0</v>
      </c>
      <c r="RC8" s="10">
        <f t="shared" si="11"/>
        <v>0</v>
      </c>
      <c r="RT8" s="10">
        <f t="shared" si="12"/>
        <v>0</v>
      </c>
      <c r="UD8" s="10">
        <f t="shared" si="13"/>
        <v>0</v>
      </c>
      <c r="UE8">
        <v>2.9</v>
      </c>
      <c r="VI8" s="10">
        <f t="shared" si="14"/>
        <v>1</v>
      </c>
      <c r="WL8" s="10">
        <f t="shared" si="15"/>
        <v>0</v>
      </c>
      <c r="XG8" s="10">
        <f t="shared" si="16"/>
        <v>0</v>
      </c>
      <c r="XH8">
        <v>196</v>
      </c>
      <c r="YC8" s="10">
        <f t="shared" si="17"/>
        <v>1</v>
      </c>
      <c r="YW8" s="10">
        <f t="shared" si="18"/>
        <v>0</v>
      </c>
      <c r="YX8">
        <v>22.5</v>
      </c>
      <c r="ZQ8" s="10">
        <f t="shared" si="19"/>
        <v>1</v>
      </c>
      <c r="ZW8" s="10">
        <f t="shared" si="20"/>
        <v>0</v>
      </c>
      <c r="AAS8" s="10">
        <f t="shared" si="21"/>
        <v>0</v>
      </c>
      <c r="ABP8" s="10">
        <f t="shared" si="22"/>
        <v>0</v>
      </c>
      <c r="ABU8" s="10">
        <f t="shared" si="23"/>
        <v>0</v>
      </c>
      <c r="ACB8" s="10">
        <f t="shared" si="24"/>
        <v>0</v>
      </c>
      <c r="ACC8" t="s">
        <v>1032</v>
      </c>
      <c r="ACD8">
        <v>61</v>
      </c>
      <c r="ACE8">
        <v>22.4</v>
      </c>
      <c r="ACF8">
        <v>8.1999999999999993</v>
      </c>
      <c r="ACP8" s="10">
        <f t="shared" si="25"/>
        <v>0</v>
      </c>
      <c r="ACZ8" s="10">
        <f t="shared" si="26"/>
        <v>0</v>
      </c>
      <c r="ADL8" s="10">
        <f t="shared" si="27"/>
        <v>0</v>
      </c>
      <c r="AEH8" s="10">
        <f t="shared" si="28"/>
        <v>0</v>
      </c>
    </row>
    <row r="9" spans="1:814" x14ac:dyDescent="0.25">
      <c r="A9" s="8" t="s">
        <v>1033</v>
      </c>
      <c r="B9" t="s">
        <v>1034</v>
      </c>
      <c r="C9">
        <v>62</v>
      </c>
      <c r="D9" t="s">
        <v>960</v>
      </c>
      <c r="E9" t="s">
        <v>961</v>
      </c>
      <c r="F9" t="s">
        <v>961</v>
      </c>
      <c r="G9" t="s">
        <v>1035</v>
      </c>
      <c r="H9" t="s">
        <v>962</v>
      </c>
      <c r="I9" t="s">
        <v>125</v>
      </c>
      <c r="K9" t="s">
        <v>1036</v>
      </c>
      <c r="L9">
        <v>94</v>
      </c>
      <c r="S9" t="s">
        <v>1037</v>
      </c>
      <c r="U9" t="s">
        <v>1038</v>
      </c>
      <c r="V9" t="s">
        <v>1039</v>
      </c>
      <c r="AZ9" s="10">
        <f t="shared" si="0"/>
        <v>0</v>
      </c>
      <c r="CA9" s="10">
        <f t="shared" si="1"/>
        <v>0</v>
      </c>
      <c r="DD9" s="10">
        <f t="shared" si="2"/>
        <v>0</v>
      </c>
      <c r="DR9" s="10">
        <f t="shared" si="3"/>
        <v>0</v>
      </c>
      <c r="EE9" s="10">
        <f t="shared" si="4"/>
        <v>0</v>
      </c>
      <c r="FH9" s="10">
        <f t="shared" si="5"/>
        <v>0</v>
      </c>
      <c r="FI9">
        <v>39</v>
      </c>
      <c r="FU9">
        <v>25</v>
      </c>
      <c r="HX9" s="10">
        <f t="shared" si="6"/>
        <v>2</v>
      </c>
      <c r="HY9">
        <v>53</v>
      </c>
      <c r="IJ9">
        <v>38</v>
      </c>
      <c r="KL9" s="10">
        <f t="shared" si="7"/>
        <v>2</v>
      </c>
      <c r="MY9" s="10">
        <f t="shared" si="8"/>
        <v>0</v>
      </c>
      <c r="OP9" s="10">
        <f t="shared" si="9"/>
        <v>0</v>
      </c>
      <c r="OV9" s="10">
        <f t="shared" si="10"/>
        <v>0</v>
      </c>
      <c r="RC9" s="10">
        <f t="shared" si="11"/>
        <v>0</v>
      </c>
      <c r="RT9" s="10">
        <f t="shared" si="12"/>
        <v>0</v>
      </c>
      <c r="UD9" s="10">
        <f t="shared" si="13"/>
        <v>0</v>
      </c>
      <c r="VI9" s="10">
        <f t="shared" si="14"/>
        <v>0</v>
      </c>
      <c r="VJ9" t="s">
        <v>1040</v>
      </c>
      <c r="VT9" t="s">
        <v>1041</v>
      </c>
      <c r="WL9" s="10">
        <f t="shared" si="15"/>
        <v>2</v>
      </c>
      <c r="XG9" s="10">
        <f t="shared" si="16"/>
        <v>0</v>
      </c>
      <c r="YC9" s="10">
        <f t="shared" si="17"/>
        <v>0</v>
      </c>
      <c r="YW9" s="10">
        <f t="shared" si="18"/>
        <v>0</v>
      </c>
      <c r="YX9">
        <v>71.2</v>
      </c>
      <c r="ZF9">
        <v>10.3</v>
      </c>
      <c r="ZQ9" s="10">
        <f t="shared" si="19"/>
        <v>2</v>
      </c>
      <c r="ZW9" s="10">
        <f t="shared" si="20"/>
        <v>0</v>
      </c>
      <c r="AAS9" s="10">
        <f t="shared" si="21"/>
        <v>0</v>
      </c>
      <c r="ABP9" s="10">
        <f t="shared" si="22"/>
        <v>0</v>
      </c>
      <c r="ABU9" s="10">
        <f t="shared" si="23"/>
        <v>0</v>
      </c>
      <c r="ACB9" s="10">
        <f t="shared" si="24"/>
        <v>0</v>
      </c>
      <c r="ACP9" s="10">
        <f t="shared" si="25"/>
        <v>0</v>
      </c>
      <c r="ACZ9" s="10">
        <f t="shared" si="26"/>
        <v>0</v>
      </c>
      <c r="ADL9" s="10">
        <f t="shared" si="27"/>
        <v>0</v>
      </c>
      <c r="AEH9" s="10">
        <f t="shared" si="28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 Literaturfälle</vt:lpstr>
      <vt:lpstr>Arbeitsmaterial Literaturfälle</vt:lpstr>
      <vt:lpstr>Paracetamol Fälle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2022-07-09T20:16:35Z</dcterms:modified>
</cp:coreProperties>
</file>