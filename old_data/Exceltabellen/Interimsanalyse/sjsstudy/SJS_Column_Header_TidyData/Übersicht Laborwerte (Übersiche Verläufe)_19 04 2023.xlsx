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queryTables/queryTable2.xml" ContentType="application/vnd.openxmlformats-officedocument.spreadsheetml.query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queryTables/queryTable3.xml" ContentType="application/vnd.openxmlformats-officedocument.spreadsheetml.query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queryTables/queryTable4.xml" ContentType="application/vnd.openxmlformats-officedocument.spreadsheetml.query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queryTables/queryTable5.xml" ContentType="application/vnd.openxmlformats-officedocument.spreadsheetml.query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queryTables/queryTable6.xml" ContentType="application/vnd.openxmlformats-officedocument.spreadsheetml.query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queryTables/queryTable7.xml" ContentType="application/vnd.openxmlformats-officedocument.spreadsheetml.query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queryTables/queryTable8.xml" ContentType="application/vnd.openxmlformats-officedocument.spreadsheetml.query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queryTables/queryTable9.xml" ContentType="application/vnd.openxmlformats-officedocument.spreadsheetml.query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queryTables/queryTable10.xml" ContentType="application/vnd.openxmlformats-officedocument.spreadsheetml.query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queryTables/queryTable11.xml" ContentType="application/vnd.openxmlformats-officedocument.spreadsheetml.query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queryTables/queryTable12.xml" ContentType="application/vnd.openxmlformats-officedocument.spreadsheetml.query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queryTables/queryTable13.xml" ContentType="application/vnd.openxmlformats-officedocument.spreadsheetml.query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queryTables/queryTable14.xml" ContentType="application/vnd.openxmlformats-officedocument.spreadsheetml.query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queryTables/queryTable15.xml" ContentType="application/vnd.openxmlformats-officedocument.spreadsheetml.queryTable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xl/queryTables/queryTable16.xml" ContentType="application/vnd.openxmlformats-officedocument.spreadsheetml.queryTable+xml"/>
  <Override PartName="/xl/tables/table33.xml" ContentType="application/vnd.openxmlformats-officedocument.spreadsheetml.table+xml"/>
  <Override PartName="/xl/tables/table34.xml" ContentType="application/vnd.openxmlformats-officedocument.spreadsheetml.table+xml"/>
  <Override PartName="/xl/queryTables/queryTable17.xml" ContentType="application/vnd.openxmlformats-officedocument.spreadsheetml.queryTable+xml"/>
  <Override PartName="/xl/tables/table35.xml" ContentType="application/vnd.openxmlformats-officedocument.spreadsheetml.table+xml"/>
  <Override PartName="/xl/tables/table36.xml" ContentType="application/vnd.openxmlformats-officedocument.spreadsheetml.table+xml"/>
  <Override PartName="/xl/queryTables/queryTable18.xml" ContentType="application/vnd.openxmlformats-officedocument.spreadsheetml.queryTable+xml"/>
  <Override PartName="/xl/tables/table37.xml" ContentType="application/vnd.openxmlformats-officedocument.spreadsheetml.table+xml"/>
  <Override PartName="/xl/tables/table38.xml" ContentType="application/vnd.openxmlformats-officedocument.spreadsheetml.table+xml"/>
  <Override PartName="/xl/queryTables/queryTable19.xml" ContentType="application/vnd.openxmlformats-officedocument.spreadsheetml.queryTable+xml"/>
  <Override PartName="/xl/tables/table39.xml" ContentType="application/vnd.openxmlformats-officedocument.spreadsheetml.table+xml"/>
  <Override PartName="/xl/tables/table40.xml" ContentType="application/vnd.openxmlformats-officedocument.spreadsheetml.table+xml"/>
  <Override PartName="/xl/queryTables/queryTable20.xml" ContentType="application/vnd.openxmlformats-officedocument.spreadsheetml.queryTable+xml"/>
  <Override PartName="/xl/tables/table41.xml" ContentType="application/vnd.openxmlformats-officedocument.spreadsheetml.table+xml"/>
  <Override PartName="/xl/tables/table42.xml" ContentType="application/vnd.openxmlformats-officedocument.spreadsheetml.table+xml"/>
  <Override PartName="/xl/queryTables/queryTable21.xml" ContentType="application/vnd.openxmlformats-officedocument.spreadsheetml.queryTable+xml"/>
  <Override PartName="/xl/tables/table43.xml" ContentType="application/vnd.openxmlformats-officedocument.spreadsheetml.table+xml"/>
  <Override PartName="/xl/tables/table44.xml" ContentType="application/vnd.openxmlformats-officedocument.spreadsheetml.table+xml"/>
  <Override PartName="/xl/queryTables/queryTable22.xml" ContentType="application/vnd.openxmlformats-officedocument.spreadsheetml.queryTable+xml"/>
  <Override PartName="/xl/tables/table45.xml" ContentType="application/vnd.openxmlformats-officedocument.spreadsheetml.table+xml"/>
  <Override PartName="/xl/tables/table46.xml" ContentType="application/vnd.openxmlformats-officedocument.spreadsheetml.table+xml"/>
  <Override PartName="/xl/queryTables/queryTable23.xml" ContentType="application/vnd.openxmlformats-officedocument.spreadsheetml.queryTable+xml"/>
  <Override PartName="/xl/tables/table47.xml" ContentType="application/vnd.openxmlformats-officedocument.spreadsheetml.table+xml"/>
  <Override PartName="/xl/tables/table48.xml" ContentType="application/vnd.openxmlformats-officedocument.spreadsheetml.table+xml"/>
  <Override PartName="/xl/queryTables/queryTable24.xml" ContentType="application/vnd.openxmlformats-officedocument.spreadsheetml.queryTable+xml"/>
  <Override PartName="/xl/tables/table49.xml" ContentType="application/vnd.openxmlformats-officedocument.spreadsheetml.table+xml"/>
  <Override PartName="/xl/tables/table50.xml" ContentType="application/vnd.openxmlformats-officedocument.spreadsheetml.table+xml"/>
  <Override PartName="/xl/queryTables/queryTable25.xml" ContentType="application/vnd.openxmlformats-officedocument.spreadsheetml.queryTable+xml"/>
  <Override PartName="/xl/tables/table51.xml" ContentType="application/vnd.openxmlformats-officedocument.spreadsheetml.table+xml"/>
  <Override PartName="/xl/tables/table52.xml" ContentType="application/vnd.openxmlformats-officedocument.spreadsheetml.table+xml"/>
  <Override PartName="/xl/queryTables/queryTable26.xml" ContentType="application/vnd.openxmlformats-officedocument.spreadsheetml.queryTable+xml"/>
  <Override PartName="/xl/tables/table53.xml" ContentType="application/vnd.openxmlformats-officedocument.spreadsheetml.table+xml"/>
  <Override PartName="/xl/tables/table54.xml" ContentType="application/vnd.openxmlformats-officedocument.spreadsheetml.table+xml"/>
  <Override PartName="/xl/queryTables/queryTable27.xml" ContentType="application/vnd.openxmlformats-officedocument.spreadsheetml.queryTable+xml"/>
  <Override PartName="/xl/tables/table55.xml" ContentType="application/vnd.openxmlformats-officedocument.spreadsheetml.table+xml"/>
  <Override PartName="/xl/tables/table56.xml" ContentType="application/vnd.openxmlformats-officedocument.spreadsheetml.table+xml"/>
  <Override PartName="/xl/queryTables/queryTable28.xml" ContentType="application/vnd.openxmlformats-officedocument.spreadsheetml.queryTable+xml"/>
  <Override PartName="/xl/tables/table57.xml" ContentType="application/vnd.openxmlformats-officedocument.spreadsheetml.table+xml"/>
  <Override PartName="/xl/tables/table58.xml" ContentType="application/vnd.openxmlformats-officedocument.spreadsheetml.table+xml"/>
  <Override PartName="/xl/queryTables/queryTable29.xml" ContentType="application/vnd.openxmlformats-officedocument.spreadsheetml.queryTable+xml"/>
  <Override PartName="/xl/tables/table59.xml" ContentType="application/vnd.openxmlformats-officedocument.spreadsheetml.table+xml"/>
  <Override PartName="/xl/tables/table60.xml" ContentType="application/vnd.openxmlformats-officedocument.spreadsheetml.table+xml"/>
  <Override PartName="/xl/queryTables/queryTable30.xml" ContentType="application/vnd.openxmlformats-officedocument.spreadsheetml.queryTable+xml"/>
  <Override PartName="/xl/tables/table61.xml" ContentType="application/vnd.openxmlformats-officedocument.spreadsheetml.table+xml"/>
  <Override PartName="/xl/tables/table62.xml" ContentType="application/vnd.openxmlformats-officedocument.spreadsheetml.table+xml"/>
  <Override PartName="/xl/queryTables/queryTable31.xml" ContentType="application/vnd.openxmlformats-officedocument.spreadsheetml.queryTable+xml"/>
  <Override PartName="/xl/tables/table63.xml" ContentType="application/vnd.openxmlformats-officedocument.spreadsheetml.table+xml"/>
  <Override PartName="/xl/tables/table64.xml" ContentType="application/vnd.openxmlformats-officedocument.spreadsheetml.table+xml"/>
  <Override PartName="/xl/queryTables/queryTable32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P:\Arun Kumar_2021\Sjs Study\sjsstudy\SJS_Column_Header_TidyData\"/>
    </mc:Choice>
  </mc:AlternateContent>
  <bookViews>
    <workbookView xWindow="-120" yWindow="480" windowWidth="29040" windowHeight="15840" tabRatio="921" firstSheet="15" activeTab="25"/>
  </bookViews>
  <sheets>
    <sheet name="Arbeitsmaterial Literaturfälle" sheetId="4" r:id="rId1"/>
    <sheet name="CK" sheetId="27" r:id="rId2"/>
    <sheet name="CK Table" sheetId="28" r:id="rId3"/>
    <sheet name="CK-MB" sheetId="29" r:id="rId4"/>
    <sheet name="CK-MB Tabelle" sheetId="30" r:id="rId5"/>
    <sheet name="Quick" sheetId="31" r:id="rId6"/>
    <sheet name="Quick Tabelle" sheetId="32" r:id="rId7"/>
    <sheet name="INR" sheetId="33" r:id="rId8"/>
    <sheet name="INR Tabelle" sheetId="34" r:id="rId9"/>
    <sheet name="PTT" sheetId="35" r:id="rId10"/>
    <sheet name="PTT Tabelle" sheetId="37" r:id="rId11"/>
    <sheet name="Leukozyten" sheetId="38" r:id="rId12"/>
    <sheet name="Leukozyten Tabelle" sheetId="39" r:id="rId13"/>
    <sheet name="GOT" sheetId="40" r:id="rId14"/>
    <sheet name="GOT Tabelle" sheetId="41" r:id="rId15"/>
    <sheet name="GPT" sheetId="42" r:id="rId16"/>
    <sheet name="GPT Tabelle" sheetId="43" r:id="rId17"/>
    <sheet name="GGT" sheetId="45" r:id="rId18"/>
    <sheet name="GGT Tabelle" sheetId="47" r:id="rId19"/>
    <sheet name="LDH" sheetId="46" r:id="rId20"/>
    <sheet name="LDH Tabelle" sheetId="48" r:id="rId21"/>
    <sheet name="Lymphozyten" sheetId="49" r:id="rId22"/>
    <sheet name="Lymphozyten Tabelle" sheetId="50" r:id="rId23"/>
    <sheet name="Hb" sheetId="51" r:id="rId24"/>
    <sheet name="Hb Tabelle" sheetId="52" r:id="rId25"/>
    <sheet name="Bilirubin" sheetId="53" r:id="rId26"/>
    <sheet name="Bilirubin Tabelle" sheetId="55" r:id="rId27"/>
    <sheet name="Gesamteiweiß" sheetId="56" r:id="rId28"/>
    <sheet name="Gesamteiweiß Tabelle" sheetId="57" r:id="rId29"/>
    <sheet name="Ap" sheetId="59" r:id="rId30"/>
    <sheet name="Ap Tabelle" sheetId="60" r:id="rId31"/>
    <sheet name="Cholinesterase" sheetId="61" r:id="rId32"/>
    <sheet name="Cholinesterase Tabelle" sheetId="62" r:id="rId33"/>
    <sheet name="Kreatinin" sheetId="63" r:id="rId34"/>
    <sheet name="Kreatinin Tabelle" sheetId="64" r:id="rId35"/>
    <sheet name="Amylase" sheetId="65" r:id="rId36"/>
    <sheet name="Amylase Tabelle" sheetId="66" r:id="rId37"/>
    <sheet name="Lipase" sheetId="67" r:id="rId38"/>
    <sheet name="Lipase Tabelle" sheetId="68" r:id="rId39"/>
    <sheet name="CRP" sheetId="69" r:id="rId40"/>
    <sheet name="CRP Tabelle" sheetId="70" r:id="rId41"/>
    <sheet name="Harnstoff" sheetId="71" r:id="rId42"/>
    <sheet name="Harnstoff Tabelle" sheetId="72" r:id="rId43"/>
    <sheet name="Erythrozyten" sheetId="74" r:id="rId44"/>
    <sheet name="Erythrozyten Tabelle" sheetId="81" r:id="rId45"/>
    <sheet name="Thrombozyten" sheetId="75" r:id="rId46"/>
    <sheet name="Thrombozyten Tabelle" sheetId="76" r:id="rId47"/>
    <sheet name="BSG" sheetId="77" r:id="rId48"/>
    <sheet name="BSG Tabelle" sheetId="78" r:id="rId49"/>
    <sheet name="Monozyten" sheetId="79" r:id="rId50"/>
    <sheet name="Monozyten Tabelle" sheetId="80" r:id="rId51"/>
    <sheet name="Eosinophile" sheetId="82" r:id="rId52"/>
    <sheet name="Eosinophile Tabelle" sheetId="83" r:id="rId53"/>
    <sheet name="Neutrophile" sheetId="84" r:id="rId54"/>
    <sheet name="Neutrophile Tabelle" sheetId="86" r:id="rId55"/>
    <sheet name="Basophile" sheetId="87" r:id="rId56"/>
    <sheet name="Basophile Tabelle" sheetId="88" r:id="rId57"/>
    <sheet name="Albumin" sheetId="89" r:id="rId58"/>
    <sheet name="Tabelle16" sheetId="90" r:id="rId59"/>
    <sheet name="Hämatokrit" sheetId="91" r:id="rId60"/>
    <sheet name="Hämatokrit Tabelle" sheetId="92" r:id="rId61"/>
    <sheet name="MCV" sheetId="93" r:id="rId62"/>
    <sheet name="MCV Tabelle" sheetId="94" r:id="rId63"/>
    <sheet name="MCH" sheetId="95" r:id="rId64"/>
    <sheet name="MCH Tabelle" sheetId="96" r:id="rId65"/>
  </sheets>
  <definedNames>
    <definedName name="ExterneDaten_1" localSheetId="36" hidden="1">'Amylase Tabelle'!$A$1:$D$20</definedName>
    <definedName name="ExterneDaten_1" localSheetId="30" hidden="1">'Ap Tabelle'!$A$1:$D$92</definedName>
    <definedName name="ExterneDaten_1" localSheetId="56" hidden="1">'Basophile Tabelle'!$A$1:$D$11</definedName>
    <definedName name="ExterneDaten_1" localSheetId="26" hidden="1">'Bilirubin Tabelle'!$A$1:$D$39</definedName>
    <definedName name="ExterneDaten_1" localSheetId="48" hidden="1">'BSG Tabelle'!$A$1:$D$7</definedName>
    <definedName name="ExterneDaten_1" localSheetId="32" hidden="1">'Cholinesterase Tabelle'!$A$1:$D$13</definedName>
    <definedName name="ExterneDaten_1" localSheetId="2" hidden="1">'CK Table'!$A$1:$E$27</definedName>
    <definedName name="ExterneDaten_1" localSheetId="4" hidden="1">'CK-MB Tabelle'!$A$1:$E$6</definedName>
    <definedName name="ExterneDaten_1" localSheetId="40" hidden="1">'CRP Tabelle'!$A$1:$D$78</definedName>
    <definedName name="ExterneDaten_1" localSheetId="52" hidden="1">'Eosinophile Tabelle'!$A$1:$D$15</definedName>
    <definedName name="ExterneDaten_1" localSheetId="44" hidden="1">'Erythrozyten Tabelle'!$A$1:$D$34</definedName>
    <definedName name="ExterneDaten_1" localSheetId="28" hidden="1">'Gesamteiweiß Tabelle'!$A$1:$D$13</definedName>
    <definedName name="ExterneDaten_1" localSheetId="18" hidden="1">'GGT Tabelle'!$A$1:$E$134</definedName>
    <definedName name="ExterneDaten_1" localSheetId="14" hidden="1">'GOT Tabelle'!$A$1:$E$162</definedName>
    <definedName name="ExterneDaten_1" localSheetId="16" hidden="1">'GPT Tabelle'!$A$1:$E$167</definedName>
    <definedName name="ExterneDaten_1" localSheetId="60" hidden="1">'Hämatokrit Tabelle'!$A$1:$E$53</definedName>
    <definedName name="ExterneDaten_1" localSheetId="42" hidden="1">'Harnstoff Tabelle'!$A$1:$D$38</definedName>
    <definedName name="ExterneDaten_1" localSheetId="24" hidden="1">'Hb Tabelle'!$A$1:$D$76</definedName>
    <definedName name="ExterneDaten_1" localSheetId="8" hidden="1">'INR Tabelle'!$A$1:$E$44</definedName>
    <definedName name="ExterneDaten_1" localSheetId="34" hidden="1">'Kreatinin Tabelle'!$A$1:$D$83</definedName>
    <definedName name="ExterneDaten_1" localSheetId="20" hidden="1">'LDH Tabelle'!$A$1:$D$70</definedName>
    <definedName name="ExterneDaten_1" localSheetId="12" hidden="1">'Leukozyten Tabelle'!$A$1:$E$107</definedName>
    <definedName name="ExterneDaten_1" localSheetId="38" hidden="1">'Lipase Tabelle'!$A$1:$D$35</definedName>
    <definedName name="ExterneDaten_1" localSheetId="22" hidden="1">'Lymphozyten Tabelle'!$A$1:$D$40</definedName>
    <definedName name="ExterneDaten_1" localSheetId="64" hidden="1">'MCH Tabelle'!$A$1:$E$21</definedName>
    <definedName name="ExterneDaten_1" localSheetId="62" hidden="1">'MCV Tabelle'!$A$1:$E$24</definedName>
    <definedName name="ExterneDaten_1" localSheetId="50" hidden="1">'Monozyten Tabelle'!$A$1:$D$9</definedName>
    <definedName name="ExterneDaten_1" localSheetId="54" hidden="1">'Neutrophile Tabelle'!$A$1:$D$23</definedName>
    <definedName name="ExterneDaten_1" localSheetId="10" hidden="1">'PTT Tabelle'!$A$1:$E$49</definedName>
    <definedName name="ExterneDaten_1" localSheetId="6" hidden="1">'Quick Tabelle'!$A$1:$E$67</definedName>
    <definedName name="ExterneDaten_1" localSheetId="58" hidden="1">Tabelle16!$A$1:$D$19</definedName>
    <definedName name="ExterneDaten_1" localSheetId="46" hidden="1">'Thrombozyten Tabelle'!$A$1:$D$85</definedName>
    <definedName name="Farbe">ZELLE:ZUORDNEN(63,INDIRECT("ZS(-1)",))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E70" i="32" l="1"/>
  <c r="E69" i="32"/>
  <c r="C69" i="32"/>
  <c r="D69" i="32"/>
  <c r="B69" i="32"/>
  <c r="A69" i="32"/>
  <c r="E29" i="28"/>
  <c r="D29" i="28"/>
  <c r="C29" i="28"/>
  <c r="B29" i="28"/>
  <c r="A29" i="28"/>
</calcChain>
</file>

<file path=xl/connections.xml><?xml version="1.0" encoding="utf-8"?>
<connections xmlns="http://schemas.openxmlformats.org/spreadsheetml/2006/main">
  <connection id="1" keepAlive="1" name="Abfrage - Albumin" description="Verbindung mit der Abfrage 'Albumin' in der Arbeitsmappe." type="5" refreshedVersion="8" background="1" saveData="1">
    <dbPr connection="Provider=Microsoft.Mashup.OleDb.1;Data Source=$Workbook$;Location=Albumin;Extended Properties=&quot;&quot;" command="SELECT * FROM [Albumin]"/>
  </connection>
  <connection id="2" keepAlive="1" name="Abfrage - Amylase" description="Verbindung mit der Abfrage 'Amylase' in der Arbeitsmappe." type="5" refreshedVersion="8" background="1" saveData="1">
    <dbPr connection="Provider=Microsoft.Mashup.OleDb.1;Data Source=$Workbook$;Location=Amylase;Extended Properties=&quot;&quot;" command="SELECT * FROM [Amylase]"/>
  </connection>
  <connection id="3" keepAlive="1" name="Abfrage - Ap" description="Verbindung mit der Abfrage 'Ap' in der Arbeitsmappe." type="5" refreshedVersion="8" background="1" saveData="1">
    <dbPr connection="Provider=Microsoft.Mashup.OleDb.1;Data Source=$Workbook$;Location=Ap;Extended Properties=&quot;&quot;" command="SELECT * FROM [Ap]"/>
  </connection>
  <connection id="4" keepAlive="1" name="Abfrage - Basophile Granulozyten" description="Verbindung mit der Abfrage 'Basophile Granulozyten' in der Arbeitsmappe." type="5" refreshedVersion="8" background="1" saveData="1">
    <dbPr connection="Provider=Microsoft.Mashup.OleDb.1;Data Source=$Workbook$;Location=&quot;Basophile Granulozyten&quot;;Extended Properties=&quot;&quot;" command="SELECT * FROM [Basophile Granulozyten]"/>
  </connection>
  <connection id="5" keepAlive="1" name="Abfrage - Bilirubin" description="Verbindung mit der Abfrage 'Bilirubin' in der Arbeitsmappe." type="5" refreshedVersion="6" background="1" saveData="1">
    <dbPr connection="Provider=Microsoft.Mashup.OleDb.1;Data Source=$Workbook$;Location=Bilirubin;Extended Properties=&quot;&quot;" command="SELECT * FROM [Bilirubin]"/>
  </connection>
  <connection id="6" keepAlive="1" name="Abfrage - BSG" description="Verbindung mit der Abfrage 'BSG' in der Arbeitsmappe." type="5" refreshedVersion="8" background="1" saveData="1">
    <dbPr connection="Provider=Microsoft.Mashup.OleDb.1;Data Source=$Workbook$;Location=BSG;Extended Properties=&quot;&quot;" command="SELECT * FROM [BSG]"/>
  </connection>
  <connection id="7" keepAlive="1" name="Abfrage - Cholinesterase" description="Verbindung mit der Abfrage 'Cholinesterase' in der Arbeitsmappe." type="5" refreshedVersion="8" background="1" saveData="1">
    <dbPr connection="Provider=Microsoft.Mashup.OleDb.1;Data Source=$Workbook$;Location=Cholinesterase;Extended Properties=&quot;&quot;" command="SELECT * FROM [Cholinesterase]"/>
  </connection>
  <connection id="8" keepAlive="1" name="Abfrage - CK" description="Verbindung mit der Abfrage 'CK' in der Arbeitsmappe." type="5" refreshedVersion="8" background="1" saveData="1">
    <dbPr connection="Provider=Microsoft.Mashup.OleDb.1;Data Source=$Workbook$;Location=CK;Extended Properties=&quot;&quot;" command="SELECT * FROM [CK]"/>
  </connection>
  <connection id="9" keepAlive="1" name="Abfrage - CK-MB" description="Verbindung mit der Abfrage 'CK-MB' in der Arbeitsmappe." type="5" refreshedVersion="8" background="1" saveData="1">
    <dbPr connection="Provider=Microsoft.Mashup.OleDb.1;Data Source=$Workbook$;Location=CK-MB;Extended Properties=&quot;&quot;" command="SELECT * FROM [CK-MB]"/>
  </connection>
  <connection id="10" keepAlive="1" name="Abfrage - CRP" description="Verbindung mit der Abfrage 'CRP' in der Arbeitsmappe." type="5" refreshedVersion="8" background="1" saveData="1">
    <dbPr connection="Provider=Microsoft.Mashup.OleDb.1;Data Source=$Workbook$;Location=CRP;Extended Properties=&quot;&quot;" command="SELECT * FROM [CRP]"/>
  </connection>
  <connection id="11" keepAlive="1" name="Abfrage - Eosinophile Granulozyten" description="Verbindung mit der Abfrage 'Eosinophile Granulozyten' in der Arbeitsmappe." type="5" refreshedVersion="8" background="1" saveData="1">
    <dbPr connection="Provider=Microsoft.Mashup.OleDb.1;Data Source=$Workbook$;Location=&quot;Eosinophile Granulozyten&quot;;Extended Properties=&quot;&quot;" command="SELECT * FROM [Eosinophile Granulozyten]"/>
  </connection>
  <connection id="12" keepAlive="1" name="Abfrage - Erythrozyten" description="Verbindung mit der Abfrage 'Erythrozyten' in der Arbeitsmappe." type="5" refreshedVersion="8" background="1" saveData="1">
    <dbPr connection="Provider=Microsoft.Mashup.OleDb.1;Data Source=$Workbook$;Location=Erythrozyten;Extended Properties=&quot;&quot;" command="SELECT * FROM [Erythrozyten]"/>
  </connection>
  <connection id="13" keepAlive="1" name="Abfrage - Gesamteiweiß" description="Verbindung mit der Abfrage 'Gesamteiweiß' in der Arbeitsmappe." type="5" refreshedVersion="8" background="1" saveData="1">
    <dbPr connection="Provider=Microsoft.Mashup.OleDb.1;Data Source=$Workbook$;Location=Gesamteiweiß;Extended Properties=&quot;&quot;" command="SELECT * FROM [Gesamteiweiß]"/>
  </connection>
  <connection id="14" keepAlive="1" name="Abfrage - GGT" description="Verbindung mit der Abfrage 'GGT' in der Arbeitsmappe." type="5" refreshedVersion="6" background="1" saveData="1">
    <dbPr connection="Provider=Microsoft.Mashup.OleDb.1;Data Source=$Workbook$;Location=GGT;Extended Properties=&quot;&quot;" command="SELECT * FROM [GGT]"/>
  </connection>
  <connection id="15" keepAlive="1" name="Abfrage - GOT" description="Verbindung mit der Abfrage 'GOT' in der Arbeitsmappe." type="5" refreshedVersion="6" background="1" saveData="1">
    <dbPr connection="Provider=Microsoft.Mashup.OleDb.1;Data Source=$Workbook$;Location=GOT;Extended Properties=&quot;&quot;" command="SELECT * FROM [GOT]"/>
  </connection>
  <connection id="16" keepAlive="1" name="Abfrage - Kreatinin" description="Verbindung mit der Abfrage 'Kreatinin' in der Arbeitsmappe." type="5" refreshedVersion="8" background="1" saveData="1">
    <dbPr connection="Provider=Microsoft.Mashup.OleDb.1;Data Source=$Workbook$;Location=Kreatinin;Extended Properties=&quot;&quot;" command="SELECT * FROM [Kreatinin]"/>
  </connection>
  <connection id="17" keepAlive="1" name="Abfrage - LDH" description="Verbindung mit der Abfrage 'LDH' in der Arbeitsmappe." type="5" refreshedVersion="8" background="1" saveData="1">
    <dbPr connection="Provider=Microsoft.Mashup.OleDb.1;Data Source=$Workbook$;Location=LDH;Extended Properties=&quot;&quot;" command="SELECT * FROM [LDH]"/>
  </connection>
  <connection id="18" keepAlive="1" name="Abfrage - Leukozyten" description="Verbindung mit der Abfrage 'Leukozyten' in der Arbeitsmappe." type="5" refreshedVersion="6" background="1" saveData="1">
    <dbPr connection="Provider=Microsoft.Mashup.OleDb.1;Data Source=$Workbook$;Location=Leukozyten;Extended Properties=&quot;&quot;" command="SELECT * FROM [Leukozyten]"/>
  </connection>
  <connection id="19" keepAlive="1" name="Abfrage - Lymphozyten" description="Verbindung mit der Abfrage 'Lymphozyten' in der Arbeitsmappe." type="5" refreshedVersion="8" background="1" saveData="1">
    <dbPr connection="Provider=Microsoft.Mashup.OleDb.1;Data Source=$Workbook$;Location=Lymphozyten;Extended Properties=&quot;&quot;" command="SELECT * FROM [Lymphozyten]"/>
  </connection>
  <connection id="20" keepAlive="1" name="Abfrage - MCH" description="Verbindung mit der Abfrage 'MCH' in der Arbeitsmappe." type="5" refreshedVersion="8" background="1" saveData="1">
    <dbPr connection="Provider=Microsoft.Mashup.OleDb.1;Data Source=$Workbook$;Location=MCH;Extended Properties=&quot;&quot;" command="SELECT * FROM [MCH]"/>
  </connection>
  <connection id="21" keepAlive="1" name="Abfrage - MCV" description="Verbindung mit der Abfrage 'MCV' in der Arbeitsmappe." type="5" refreshedVersion="8" background="1" saveData="1">
    <dbPr connection="Provider=Microsoft.Mashup.OleDb.1;Data Source=$Workbook$;Location=MCV;Extended Properties=&quot;&quot;" command="SELECT * FROM [MCV]"/>
  </connection>
  <connection id="22" keepAlive="1" name="Abfrage - Monozyten" description="Verbindung mit der Abfrage 'Monozyten' in der Arbeitsmappe." type="5" refreshedVersion="8" background="1" saveData="1">
    <dbPr connection="Provider=Microsoft.Mashup.OleDb.1;Data Source=$Workbook$;Location=Monozyten;Extended Properties=&quot;&quot;" command="SELECT * FROM [Monozyten]"/>
  </connection>
  <connection id="23" keepAlive="1" name="Abfrage - Neutrophile" description="Verbindung mit der Abfrage 'Neutrophile' in der Arbeitsmappe." type="5" refreshedVersion="8" background="1" saveData="1">
    <dbPr connection="Provider=Microsoft.Mashup.OleDb.1;Data Source=$Workbook$;Location=Neutrophile;Extended Properties=&quot;&quot;" command="SELECT * FROM [Neutrophile]"/>
  </connection>
  <connection id="24" keepAlive="1" name="Abfrage - PTT" description="Verbindung mit der Abfrage 'PTT' in der Arbeitsmappe." type="5" refreshedVersion="6" background="1" saveData="1">
    <dbPr connection="Provider=Microsoft.Mashup.OleDb.1;Data Source=$Workbook$;Location=PTT;Extended Properties=&quot;&quot;" command="SELECT * FROM [PTT]"/>
  </connection>
  <connection id="25" keepAlive="1" name="Abfrage - Quick" description="Verbindung mit der Abfrage 'Quick' in der Arbeitsmappe." type="5" refreshedVersion="8" background="1" saveData="1">
    <dbPr connection="Provider=Microsoft.Mashup.OleDb.1;Data Source=$Workbook$;Location=Quick;Extended Properties=&quot;&quot;" command="SELECT * FROM [Quick]"/>
  </connection>
  <connection id="26" keepAlive="1" name="Abfrage - Tabelle15" description="Verbindung mit der Abfrage 'Tabelle15' in der Arbeitsmappe." type="5" refreshedVersion="6" background="1" saveData="1">
    <dbPr connection="Provider=Microsoft.Mashup.OleDb.1;Data Source=$Workbook$;Location=Tabelle15;Extended Properties=&quot;&quot;" command="SELECT * FROM [Tabelle15]"/>
  </connection>
  <connection id="27" keepAlive="1" name="Abfrage - Tabelle24" description="Verbindung mit der Abfrage 'Tabelle24' in der Arbeitsmappe." type="5" refreshedVersion="8" background="1" saveData="1">
    <dbPr connection="Provider=Microsoft.Mashup.OleDb.1;Data Source=$Workbook$;Location=Tabelle24;Extended Properties=&quot;&quot;" command="SELECT * FROM [Tabelle24]"/>
  </connection>
  <connection id="28" keepAlive="1" name="Abfrage - Tabelle38" description="Verbindung mit der Abfrage 'Tabelle38' in der Arbeitsmappe." type="5" refreshedVersion="8" background="1" saveData="1">
    <dbPr connection="Provider=Microsoft.Mashup.OleDb.1;Data Source=$Workbook$;Location=Tabelle38;Extended Properties=&quot;&quot;" command="SELECT * FROM [Tabelle38]"/>
  </connection>
  <connection id="29" keepAlive="1" name="Abfrage - Tabelle42" description="Verbindung mit der Abfrage 'Tabelle42' in der Arbeitsmappe." type="5" refreshedVersion="8" background="1" saveData="1">
    <dbPr connection="Provider=Microsoft.Mashup.OleDb.1;Data Source=$Workbook$;Location=Tabelle42;Extended Properties=&quot;&quot;" command="SELECT * FROM [Tabelle42]"/>
  </connection>
  <connection id="30" keepAlive="1" name="Abfrage - Tabelle61" description="Verbindung mit der Abfrage 'Tabelle61' in der Arbeitsmappe." type="5" refreshedVersion="8" background="1" saveData="1">
    <dbPr connection="Provider=Microsoft.Mashup.OleDb.1;Data Source=$Workbook$;Location=Tabelle61;Extended Properties=&quot;&quot;" command="SELECT * FROM [Tabelle61]"/>
  </connection>
  <connection id="31" keepAlive="1" name="Abfrage - Tabelle7" description="Verbindung mit der Abfrage 'Tabelle7' in der Arbeitsmappe." type="5" refreshedVersion="8" background="1" saveData="1">
    <dbPr connection="Provider=Microsoft.Mashup.OleDb.1;Data Source=$Workbook$;Location=Tabelle7;Extended Properties=&quot;&quot;" command="SELECT * FROM [Tabelle7]"/>
  </connection>
  <connection id="32" keepAlive="1" name="Abfrage - Thrombozyten" description="Verbindung mit der Abfrage 'Thrombozyten' in der Arbeitsmappe." type="5" refreshedVersion="8" background="1" saveData="1">
    <dbPr connection="Provider=Microsoft.Mashup.OleDb.1;Data Source=$Workbook$;Location=Thrombozyten;Extended Properties=&quot;&quot;" command="SELECT * FROM [Thrombozyten]"/>
  </connection>
</connections>
</file>

<file path=xl/sharedStrings.xml><?xml version="1.0" encoding="utf-8"?>
<sst xmlns="http://schemas.openxmlformats.org/spreadsheetml/2006/main" count="13943" uniqueCount="3474">
  <si>
    <t xml:space="preserve"> 1: 1280</t>
  </si>
  <si>
    <t>HIV</t>
  </si>
  <si>
    <t>Alter</t>
  </si>
  <si>
    <t>BMI</t>
  </si>
  <si>
    <t xml:space="preserve">Quick-d2 </t>
  </si>
  <si>
    <t>Quick-d3</t>
  </si>
  <si>
    <t>Quick-d6</t>
  </si>
  <si>
    <t>PTT-d3</t>
  </si>
  <si>
    <t>PTT-d6</t>
  </si>
  <si>
    <t>Leukozyten-d2</t>
  </si>
  <si>
    <t>Leukozyten-d4</t>
  </si>
  <si>
    <t>Leukozyten-d5</t>
  </si>
  <si>
    <t>Leukozyten-d6</t>
  </si>
  <si>
    <t>Leukozyten-d6w2</t>
  </si>
  <si>
    <t>GOT-d1w2</t>
  </si>
  <si>
    <t>GOT-d3</t>
  </si>
  <si>
    <t>GOT-d5</t>
  </si>
  <si>
    <t>GOT-d6</t>
  </si>
  <si>
    <t>GPT-d1w2</t>
  </si>
  <si>
    <t>GPT-d2</t>
  </si>
  <si>
    <t>GPT-d2w2</t>
  </si>
  <si>
    <t>GPT-d3</t>
  </si>
  <si>
    <t>GPT-d6</t>
  </si>
  <si>
    <t>GGT-d1w2</t>
  </si>
  <si>
    <t>GGT-d3</t>
  </si>
  <si>
    <t>GGT-d4</t>
  </si>
  <si>
    <t>GGT-d6</t>
  </si>
  <si>
    <t>LDH-d1w2</t>
  </si>
  <si>
    <t>LDH-d3</t>
  </si>
  <si>
    <t>LDH-d4</t>
  </si>
  <si>
    <t>LDH-d6</t>
  </si>
  <si>
    <t>LDH-d7</t>
  </si>
  <si>
    <t>Lymphozyten-d1 (%)</t>
  </si>
  <si>
    <t>Lymphozyten-d2</t>
  </si>
  <si>
    <t>Bilirubin-d3w2</t>
  </si>
  <si>
    <t>AP-d3</t>
  </si>
  <si>
    <t>Ap-d4</t>
  </si>
  <si>
    <t>Ap-d6</t>
  </si>
  <si>
    <t>Kreatinin-d1w2</t>
  </si>
  <si>
    <t>Kreatinin-d4</t>
  </si>
  <si>
    <t>Kreatinin-d6</t>
  </si>
  <si>
    <t>Amylase-d3</t>
  </si>
  <si>
    <t>Amylase-d4</t>
  </si>
  <si>
    <t>Amylase-d6</t>
  </si>
  <si>
    <t>Lipase-d3</t>
  </si>
  <si>
    <t>Lipase-d6</t>
  </si>
  <si>
    <t>Thrombozyten-d2</t>
  </si>
  <si>
    <t>Thrombozyten-d3</t>
  </si>
  <si>
    <t>Thrombozyten-d4</t>
  </si>
  <si>
    <t>Thrombozyten-d6</t>
  </si>
  <si>
    <t>Albumin-d1 (g/l)</t>
  </si>
  <si>
    <t>Tinnitus</t>
  </si>
  <si>
    <t>Kopfschmerzen</t>
  </si>
  <si>
    <t>Fieber</t>
  </si>
  <si>
    <t>Lymphozyten-d3</t>
  </si>
  <si>
    <t>GOT-d3w2</t>
  </si>
  <si>
    <t>GGT-d3w2</t>
  </si>
  <si>
    <t>GPT-Datum unbekannt</t>
  </si>
  <si>
    <t>Leukozyten-Datum unbekannt</t>
  </si>
  <si>
    <t>BfArM Nummer</t>
  </si>
  <si>
    <t>Gesamteiweiß-Datum unbekannt</t>
  </si>
  <si>
    <t>Eosinophile Granuloyzten-Datum unbekannt (%)</t>
  </si>
  <si>
    <t>Monozyten-Datum unbekannt  (%)</t>
  </si>
  <si>
    <t>Amylase-Datum unbekannt</t>
  </si>
  <si>
    <t>Hb-d6</t>
  </si>
  <si>
    <t>Trhombozyten-d1w4</t>
  </si>
  <si>
    <t>Lymphozyten-d1w2</t>
  </si>
  <si>
    <t>Trhombozyten-d1w2</t>
  </si>
  <si>
    <t>Kreatinin-d4w1</t>
  </si>
  <si>
    <t>GOT-d4w1</t>
  </si>
  <si>
    <t>GPT-d4w1</t>
  </si>
  <si>
    <t>GGT-d4w1</t>
  </si>
  <si>
    <t>LDH-d3w2</t>
  </si>
  <si>
    <t>Harnstoff-d1w2</t>
  </si>
  <si>
    <t>Harnstoff-d3w2</t>
  </si>
  <si>
    <t>CRP-d5w1</t>
  </si>
  <si>
    <t>Kreatinin-d5w1</t>
  </si>
  <si>
    <t>GOT-d5w1</t>
  </si>
  <si>
    <t>GPT-d1w1</t>
  </si>
  <si>
    <t>GPT-d5w1</t>
  </si>
  <si>
    <t>Kreatinin-d3w3</t>
  </si>
  <si>
    <t>LDH-d6w1</t>
  </si>
  <si>
    <t>LDH-d3w3</t>
  </si>
  <si>
    <t>Leukozyten-d3w1</t>
  </si>
  <si>
    <t>Lymphozyten-d6</t>
  </si>
  <si>
    <t>Lymphozyten-d4</t>
  </si>
  <si>
    <t>GOT-d2w1</t>
  </si>
  <si>
    <t>GGT-d2w1</t>
  </si>
  <si>
    <t>Leukozyten-d2w1</t>
  </si>
  <si>
    <t>Leukozyten-w2</t>
  </si>
  <si>
    <t>Monozyten-d6</t>
  </si>
  <si>
    <t>Hb-d3</t>
  </si>
  <si>
    <t>Hb-d4</t>
  </si>
  <si>
    <t>Hb-d5w1</t>
  </si>
  <si>
    <t>Gesamteiweiß-d5w1</t>
  </si>
  <si>
    <t>Albumin-d5</t>
  </si>
  <si>
    <t>gamma-Globulin-d5 (g/dl)</t>
  </si>
  <si>
    <t>gamma-Globulin-d5w1</t>
  </si>
  <si>
    <t>PTT-d1 (sec.)</t>
  </si>
  <si>
    <t>AP-d5w1</t>
  </si>
  <si>
    <t>Amylase-d2w1</t>
  </si>
  <si>
    <t>Amylase-d5w1</t>
  </si>
  <si>
    <t>Bilirubin-d2w1</t>
  </si>
  <si>
    <t>Bilirubin-d5w1</t>
  </si>
  <si>
    <t>Koagulase-d3w2</t>
  </si>
  <si>
    <t>Fieber 
[°C]-d2</t>
  </si>
  <si>
    <t>Fieber 
[°C]-d3</t>
  </si>
  <si>
    <t>Protein
[mg/dl]-d2w1</t>
  </si>
  <si>
    <t>Urobilinogen
[mg/dl]-d2w1</t>
  </si>
  <si>
    <t>IgG-Datum unbekannt</t>
  </si>
  <si>
    <t>Leukozyten-12 Tage vor Krankheitsbeginn</t>
  </si>
  <si>
    <t>GGT-7 Tage vor Krankheitsbeginn</t>
  </si>
  <si>
    <t>LDH-7 Tage vor Krankheitsbeginn</t>
  </si>
  <si>
    <t>Leukozyten-d6w1</t>
  </si>
  <si>
    <t>Lymphozyten-d6w1</t>
  </si>
  <si>
    <t>GGT-d6w1</t>
  </si>
  <si>
    <t>Leukozyten-d7w2</t>
  </si>
  <si>
    <t>Leukozyten-d1w1</t>
  </si>
  <si>
    <t>Leukozyten-d4w1</t>
  </si>
  <si>
    <t>BSG-d5w1 (mm/h)</t>
  </si>
  <si>
    <t>Paracetamol</t>
  </si>
  <si>
    <t>Tod eingetreten</t>
  </si>
  <si>
    <t>Rhabdomyolyse</t>
  </si>
  <si>
    <t>Pupura fulminans</t>
  </si>
  <si>
    <t>Schock</t>
  </si>
  <si>
    <t>DIC</t>
  </si>
  <si>
    <t>Multiorganversagen</t>
  </si>
  <si>
    <t>livide Ekchymose</t>
  </si>
  <si>
    <t>Erythem</t>
  </si>
  <si>
    <t>Nikolski-Phänomen</t>
  </si>
  <si>
    <t>hämorrhagische Kruste</t>
  </si>
  <si>
    <t>Fingern</t>
  </si>
  <si>
    <t>Zehen</t>
  </si>
  <si>
    <t>Erosionen</t>
  </si>
  <si>
    <t>Gesicht</t>
  </si>
  <si>
    <t>oral</t>
  </si>
  <si>
    <t>Gangrän</t>
  </si>
  <si>
    <t>Nase</t>
  </si>
  <si>
    <t>Lippen</t>
  </si>
  <si>
    <t>Betroffene Hautoberfläche (%)</t>
  </si>
  <si>
    <t>allgemein</t>
  </si>
  <si>
    <t>Hände</t>
  </si>
  <si>
    <t>Ohrmuscheln</t>
  </si>
  <si>
    <t>Diclofenac</t>
  </si>
  <si>
    <t>Dauer der Einnahme (Tage)</t>
  </si>
  <si>
    <t>Zeitraum: letzte Einnahme bis Krankheitsbeginn (Tage)</t>
  </si>
  <si>
    <t>Ibuprofen</t>
  </si>
  <si>
    <t>i.v.</t>
  </si>
  <si>
    <t>i.m.</t>
  </si>
  <si>
    <t>p.o.</t>
  </si>
  <si>
    <t>Dosis (Mg/Verabreichung)</t>
  </si>
  <si>
    <t>Häufigkeit der Einnahme pro Tag</t>
  </si>
  <si>
    <t>Amoxicillin</t>
  </si>
  <si>
    <t>Erkältung</t>
  </si>
  <si>
    <t>Augenrötung</t>
  </si>
  <si>
    <t xml:space="preserve">Hämorrhagien </t>
  </si>
  <si>
    <t>Konjunktivitis</t>
  </si>
  <si>
    <t>Pharynx</t>
  </si>
  <si>
    <t>Weiblich</t>
  </si>
  <si>
    <t>Männlich</t>
  </si>
  <si>
    <t>GGT-1 Tag vor Krankheitsbeginn</t>
  </si>
  <si>
    <t>GOT-d1w1</t>
  </si>
  <si>
    <t>GPT-d7w1</t>
  </si>
  <si>
    <t>GGT-d7w1</t>
  </si>
  <si>
    <t>Hb-d7w1</t>
  </si>
  <si>
    <t>Bilirubin-d7w1</t>
  </si>
  <si>
    <t>AP-d7w1</t>
  </si>
  <si>
    <t>Amylase-d7w1</t>
  </si>
  <si>
    <t xml:space="preserve">CRP-d1w1 </t>
  </si>
  <si>
    <t>Hautreaktionen</t>
  </si>
  <si>
    <t>Leberreaktionen</t>
  </si>
  <si>
    <t>Stomatitis</t>
  </si>
  <si>
    <t>DRESS</t>
  </si>
  <si>
    <t>Hepatitis toxic drug-induced</t>
  </si>
  <si>
    <t>Hepatitis</t>
  </si>
  <si>
    <t>CRP-d6</t>
  </si>
  <si>
    <t>Trhombozyten-d5w1</t>
  </si>
  <si>
    <t>Trhombozyten-d3w2</t>
  </si>
  <si>
    <t>TSH (Thyreoidea-stimulierendes Hormon)-d6 (mI.E./l)</t>
  </si>
  <si>
    <t>T3-d6 (pg/ml)</t>
  </si>
  <si>
    <t>T4-d6 (ng/dl)</t>
  </si>
  <si>
    <t>Cholestase</t>
  </si>
  <si>
    <t>Exanthem</t>
  </si>
  <si>
    <t>Leberzirrhose</t>
  </si>
  <si>
    <t>Leberschaden</t>
  </si>
  <si>
    <t>Leberfunktionsstörung</t>
  </si>
  <si>
    <t>Leberversagen</t>
  </si>
  <si>
    <t>Hepatopathie</t>
  </si>
  <si>
    <t>Hämangiom</t>
  </si>
  <si>
    <t>Lebernekrose</t>
  </si>
  <si>
    <t>Ekzem</t>
  </si>
  <si>
    <t>Hautnekrose</t>
  </si>
  <si>
    <t>Wunde</t>
  </si>
  <si>
    <t>anal</t>
  </si>
  <si>
    <t>TEN</t>
  </si>
  <si>
    <t>Überlappungssyndrom</t>
  </si>
  <si>
    <t>Lippe</t>
  </si>
  <si>
    <t>Bullae</t>
  </si>
  <si>
    <t>allgeimein</t>
  </si>
  <si>
    <t>Pigmentfleck</t>
  </si>
  <si>
    <t>Odynophagie</t>
  </si>
  <si>
    <t>Rhinitis</t>
  </si>
  <si>
    <t>Apathie</t>
  </si>
  <si>
    <t>Larynx</t>
  </si>
  <si>
    <t>Fuchs-Syndrom</t>
  </si>
  <si>
    <t>Chelitis</t>
  </si>
  <si>
    <t>Anämie</t>
  </si>
  <si>
    <t>Hautläsion</t>
  </si>
  <si>
    <t>Leukopoenie</t>
  </si>
  <si>
    <t>Lupus erythematodes</t>
  </si>
  <si>
    <t>Polyserositis</t>
  </si>
  <si>
    <t>Lymphatisches Infiltrat</t>
  </si>
  <si>
    <t>Einnahme erfolgt</t>
  </si>
  <si>
    <t>Diazepham</t>
  </si>
  <si>
    <t>Vitamin-B</t>
  </si>
  <si>
    <t>Mitralklappemprolaps</t>
  </si>
  <si>
    <t>Angina pectoris</t>
  </si>
  <si>
    <t>Bandscheibenprolaps</t>
  </si>
  <si>
    <t>Zeitraum: erste Einnahme bis Krankheitsbeginn (Tage)</t>
  </si>
  <si>
    <t>Diabetes mellitus</t>
  </si>
  <si>
    <t>Glaukom</t>
  </si>
  <si>
    <t>Katarakt</t>
  </si>
  <si>
    <t>Allergie</t>
  </si>
  <si>
    <t>Hautschmerzen</t>
  </si>
  <si>
    <t>Raufuncton</t>
  </si>
  <si>
    <t>Meprivacain</t>
  </si>
  <si>
    <t>i.c.</t>
  </si>
  <si>
    <t>Nausea</t>
  </si>
  <si>
    <t>0,57 (umgerechnet aus Einnahme 4x pro Woche)</t>
  </si>
  <si>
    <t>Insulin</t>
  </si>
  <si>
    <t>s.c.</t>
  </si>
  <si>
    <t>Dosis (IE)</t>
  </si>
  <si>
    <t>Häufigkeit der Einnahme pro Woche</t>
  </si>
  <si>
    <t>Dauer der Erkrankung (Tage)</t>
  </si>
  <si>
    <t>Herzversagen</t>
  </si>
  <si>
    <t>periphere Gefäßerkrankung</t>
  </si>
  <si>
    <t>Nervosität</t>
  </si>
  <si>
    <t>Herzinsuffizienz</t>
  </si>
  <si>
    <t>Übelkeit</t>
  </si>
  <si>
    <t>Arzneimittelabusus</t>
  </si>
  <si>
    <t>Gicht</t>
  </si>
  <si>
    <t>Kokarden</t>
  </si>
  <si>
    <t>als Salbe/ Gel</t>
  </si>
  <si>
    <t>Penicillin</t>
  </si>
  <si>
    <t>genital</t>
  </si>
  <si>
    <t>konjunktival</t>
  </si>
  <si>
    <t>Menstruationsbeschwerden</t>
  </si>
  <si>
    <t>Tod nicht eingetreten</t>
  </si>
  <si>
    <t>Aortenstenose</t>
  </si>
  <si>
    <t>Hyperthyreose</t>
  </si>
  <si>
    <t>Gelenkschmerzen</t>
  </si>
  <si>
    <t>Gastroenteritis</t>
  </si>
  <si>
    <t>Multiple Sklerose</t>
  </si>
  <si>
    <t>Maculae</t>
  </si>
  <si>
    <t>Krusten</t>
  </si>
  <si>
    <t>Schwellung</t>
  </si>
  <si>
    <t>Vesikel</t>
  </si>
  <si>
    <t>Histopathologie</t>
  </si>
  <si>
    <t>Lymphozyteninfiltrate</t>
  </si>
  <si>
    <t>Makrophagen (Histozyten)</t>
  </si>
  <si>
    <t>Neutrophile Granulozyten</t>
  </si>
  <si>
    <t>Erythrozyteninfiltrate</t>
  </si>
  <si>
    <t>Seruminfiltrate</t>
  </si>
  <si>
    <t>Erythema multiforme</t>
  </si>
  <si>
    <t>psychische Erkrankung</t>
  </si>
  <si>
    <t>Stamm</t>
  </si>
  <si>
    <t>Epilspsie</t>
  </si>
  <si>
    <t>Hypercholesterinämie</t>
  </si>
  <si>
    <t>Grippemedikament (Aconitium D5, Atropinum sulfuricum D5, Mercurius cyanatus D8)</t>
  </si>
  <si>
    <t>Dosis (Tropfen/Verabreichung)</t>
  </si>
  <si>
    <t>Röntgenkontrastmittel (Gadodiamid)</t>
  </si>
  <si>
    <t>Dosis (mmol/Verabreichung)</t>
  </si>
  <si>
    <t>Allopurinol (gegen Harnsäure)</t>
  </si>
  <si>
    <t>Acetylcystein (bei Atemwegserkrankungen)</t>
  </si>
  <si>
    <t>Tramadol (Opioid)</t>
  </si>
  <si>
    <t>Nahrungsergänzungsmittel (Calziumcitrat, Calciumgluconat, Natriumflurophosphat)</t>
  </si>
  <si>
    <t>Glimepirid (Antidiabetikum)</t>
  </si>
  <si>
    <t>Cefetametpivoxil (Beta-Lactam-Antibiotikum)</t>
  </si>
  <si>
    <t>Fluconazol (Antimykotikium)</t>
  </si>
  <si>
    <t>Oxazepam (Benzodiazepin)</t>
  </si>
  <si>
    <t>Furosemid (Diuretikum)</t>
  </si>
  <si>
    <t>Nifredipin (gegen Hypertonie)</t>
  </si>
  <si>
    <t>Bisoprolol (gegen Hypertonie)</t>
  </si>
  <si>
    <t>Azathioprin (Immumsuppresivum)</t>
  </si>
  <si>
    <t>Prednisolon (Glucocorticoid)</t>
  </si>
  <si>
    <t>Rofecoxib (NSAID)</t>
  </si>
  <si>
    <t>Aminophyllin, Chininsulfat, Theophyllin-Ethylendianin (Asthmamedikament)</t>
  </si>
  <si>
    <t>Chlormezanon (Muskelrelaxant)</t>
  </si>
  <si>
    <t>Bromazepam (Benzodiazepin)</t>
  </si>
  <si>
    <t>Escin Sodium (gegen akute Pankreatitis)</t>
  </si>
  <si>
    <t>Clopamid, Reserpin (Diuretikum)</t>
  </si>
  <si>
    <t>Metoclopramid (Antiemetikum - Peristaltik anregend)</t>
  </si>
  <si>
    <t>Dexpanthenol (Polyen - Hautmedikament)</t>
  </si>
  <si>
    <t>Levothyroxin-Natrium (Schilddrüsenhormon)</t>
  </si>
  <si>
    <t>Metildigoxin (steigert Herzleistung)</t>
  </si>
  <si>
    <t>Cinnarizin, Dimenhydrinat (Kalziumkanalblocker, bei Durchblutungsstörungen)</t>
  </si>
  <si>
    <t>Captopril (ACE-Hemmer, gegen Hypertonie)</t>
  </si>
  <si>
    <t>Süßholzwurzel-Trockensaft (Nahrungsergänzungsmittel)</t>
  </si>
  <si>
    <t>Lactulose (Opstipation)</t>
  </si>
  <si>
    <t>Dosis (EL/Verabreichung)</t>
  </si>
  <si>
    <t>Carbamazepin (gegen Epilepsie)</t>
  </si>
  <si>
    <t>Dexamentason (Glucocorticoid)</t>
  </si>
  <si>
    <t>Pirenzepin (Magenschutz)</t>
  </si>
  <si>
    <t>Dosis (mg/Verabreichung)</t>
  </si>
  <si>
    <t>Dosis (Inhalation)</t>
  </si>
  <si>
    <t>Thymus-Peptide (Atemwegsinfektion)</t>
  </si>
  <si>
    <t>Eukalyptusöl, Kiefernnadelöl (Atemwegsinfektion)</t>
  </si>
  <si>
    <t>Krämpfe</t>
  </si>
  <si>
    <t>Obstipation</t>
  </si>
  <si>
    <t>zerebrales Ödem</t>
  </si>
  <si>
    <t>Glioblastom</t>
  </si>
  <si>
    <t>Gehirntumor</t>
  </si>
  <si>
    <t>Hepatitis B</t>
  </si>
  <si>
    <t>Kolitis</t>
  </si>
  <si>
    <t>Hepatitis C</t>
  </si>
  <si>
    <t>Leukozyten-39 Tage vor Krankheitsbeginn</t>
  </si>
  <si>
    <t>Z.n. Strahlentherapie</t>
  </si>
  <si>
    <t>Famotidin (Magenbeschwerden)</t>
  </si>
  <si>
    <t>Aluminiumhydroxid, Magnesiumhydroxid (Magenbeschwerden)</t>
  </si>
  <si>
    <t>Phenytoin (Epilepsie)</t>
  </si>
  <si>
    <t>Temazepam (Schlafstörung)</t>
  </si>
  <si>
    <t>Natriumselenit (Strahlentherapie)</t>
  </si>
  <si>
    <t>Omeprazol (Magenbeschwerden)</t>
  </si>
  <si>
    <t>Sucralfat (Magenbeschwerden)</t>
  </si>
  <si>
    <t>Bisacodyl (Obstipation)</t>
  </si>
  <si>
    <t>Dosis (Zäpfchen)</t>
  </si>
  <si>
    <t>Dexpanthenol (Halsschmerzen)</t>
  </si>
  <si>
    <t>Cetylpyridiniumchlorid, Benzocain (Halsschmerzen)</t>
  </si>
  <si>
    <t>Dosis (LTbl)</t>
  </si>
  <si>
    <t>Cetirizin (Juckreiz)</t>
  </si>
  <si>
    <t>Phenazon, Procain, Glycerol (Ohrenschmerzen)</t>
  </si>
  <si>
    <t>Arme</t>
  </si>
  <si>
    <t>Ohren</t>
  </si>
  <si>
    <t>Kopfhaut</t>
  </si>
  <si>
    <t>Halsschmerzen</t>
  </si>
  <si>
    <t>Schlafstörungen</t>
  </si>
  <si>
    <t>Ohrenschmerzen</t>
  </si>
  <si>
    <t>Zystitis</t>
  </si>
  <si>
    <t>Füße</t>
  </si>
  <si>
    <t>Cotrimoxazol (Antibiotikum)</t>
  </si>
  <si>
    <t>Bronchialkarzinom</t>
  </si>
  <si>
    <t>Mucositis</t>
  </si>
  <si>
    <t>Heparin (Blutgerinnung)</t>
  </si>
  <si>
    <t>Dosis (IE/Verabreichung)</t>
  </si>
  <si>
    <t>Ranitidin (Magenschutz)</t>
  </si>
  <si>
    <t>Ambroxol (Mucolyse)</t>
  </si>
  <si>
    <t>Dosis (MB/Verabreichung)</t>
  </si>
  <si>
    <t>Hyperorthokeratose</t>
  </si>
  <si>
    <t>Monozyteninfiltrate</t>
  </si>
  <si>
    <t>Epidermisatrophie</t>
  </si>
  <si>
    <t>Beteiligung Schweißdrüsen</t>
  </si>
  <si>
    <t>Beteiligung Haarfollikel</t>
  </si>
  <si>
    <t>Epidermisnekrose/ Keratinozytennekrose</t>
  </si>
  <si>
    <t>fibringefüllte Blutgefäße</t>
  </si>
  <si>
    <t>Vaskulitis</t>
  </si>
  <si>
    <t>Shockleber</t>
  </si>
  <si>
    <t>Einnahme nach Krankheitsbeginn (Tage)</t>
  </si>
  <si>
    <t>Dosis (Kps./Verabreichung)</t>
  </si>
  <si>
    <t>Dosis (Drg./Verabreichung)</t>
  </si>
  <si>
    <t>Exp.</t>
  </si>
  <si>
    <t>Nahrungsergänzungsmittel</t>
  </si>
  <si>
    <t>Homöopathie</t>
  </si>
  <si>
    <t>Grippemedikament (Aconitum, Bryonia, Lachesis, Eupatorium perfol., Phosphor.)</t>
  </si>
  <si>
    <t>Dosis (Tbl/Verabreichung)</t>
  </si>
  <si>
    <t>Tetryzolin (Augentropfen trockene Augen)</t>
  </si>
  <si>
    <t>Dosis (Drg/Verabreichung)</t>
  </si>
  <si>
    <t>Atropin (steigert Herzfrequenz)</t>
  </si>
  <si>
    <t>Dosis (Kps/Verabreichung)</t>
  </si>
  <si>
    <t>Dosis (Trinkampullen/ Verabreichung)</t>
  </si>
  <si>
    <t>Dosis (Trpf/Verabreichung)</t>
  </si>
  <si>
    <t>Dosis (Einheiten/Verabreichung)</t>
  </si>
  <si>
    <t>Lokalanästhetika</t>
  </si>
  <si>
    <t>Narkosemedikamente für OP</t>
  </si>
  <si>
    <t>Flunitrazepam (Sedierung OP)</t>
  </si>
  <si>
    <t>Cephazolin-Natrium (Infektionsprophylaxe)</t>
  </si>
  <si>
    <t>Midazolamhydrogenmaleat (Sedierung bei OP)</t>
  </si>
  <si>
    <t>Spurenelemente</t>
  </si>
  <si>
    <t>Cisatracuriumbesilat (Muskelrelaxation)</t>
  </si>
  <si>
    <t>Atropinsulfat (Parasympatholytikum)</t>
  </si>
  <si>
    <t xml:space="preserve">Erythrozyten </t>
  </si>
  <si>
    <t>Piritramid (Opioid)</t>
  </si>
  <si>
    <t>Wurde ein 2. mal eingenommen als Inj. Lösung 1-3x125mg/Tag</t>
  </si>
  <si>
    <t>2, Wurde ein 2. Mal eingenommen als Inj-Lösung mit 15-30 mg/Tag</t>
  </si>
  <si>
    <t>16, Wurde ein 2. Mal eingenommen mit 4-12 mg/Tag Infusion</t>
  </si>
  <si>
    <t>Etilefrin, Dihydroergotaminmesilat (Sympathomimetikum)</t>
  </si>
  <si>
    <t>Dosis (Tropf/Verabreichung)</t>
  </si>
  <si>
    <t>Chlorphenoxamin (Antihistaminikum)</t>
  </si>
  <si>
    <t>6000, später noch mal mit anderer Dosierung eingenommen</t>
  </si>
  <si>
    <t>Nikotinabusus</t>
  </si>
  <si>
    <t>Alkoholabusus</t>
  </si>
  <si>
    <t>Herzschrittmacher</t>
  </si>
  <si>
    <t>100, zweite Einnahme nach beginn der Therapie in anderer Dosis</t>
  </si>
  <si>
    <t>Husten</t>
  </si>
  <si>
    <t>Supp. (Zäpfchen)</t>
  </si>
  <si>
    <t>Volumensubstitution</t>
  </si>
  <si>
    <t>Tonsillitis</t>
  </si>
  <si>
    <t>Otitis media</t>
  </si>
  <si>
    <t>Pneumonie</t>
  </si>
  <si>
    <t>Aluminium-natium-carbonat-dihydroxid (Gastritis)</t>
  </si>
  <si>
    <t>Ofloxacin (Pneumonie)</t>
  </si>
  <si>
    <t>Nystatin</t>
  </si>
  <si>
    <t>Lichen ruber</t>
  </si>
  <si>
    <t>Digitoxin (Herzinsuffizienz)</t>
  </si>
  <si>
    <t>Betamethason (Hautmedikament)</t>
  </si>
  <si>
    <t>Dosis (Lotion)</t>
  </si>
  <si>
    <t>Miconazol (Antimykotikum)</t>
  </si>
  <si>
    <t>Dosis (Salbe)</t>
  </si>
  <si>
    <t>Pentoxifyllin (Durchblutungsstörung)</t>
  </si>
  <si>
    <t>0,1%, Später noch mal eingenommen in anderer Konzentration</t>
  </si>
  <si>
    <t>Ammoidin (Hautmedikament)</t>
  </si>
  <si>
    <t>Alizaprid (Magenbeschwerden)</t>
  </si>
  <si>
    <t>Flurazepam (Übelkeit)</t>
  </si>
  <si>
    <t>Phenolphthalein (Magenbeschwerden)</t>
  </si>
  <si>
    <t>Pepsin (Magenbeschwerden)</t>
  </si>
  <si>
    <t>Pilzinfektion</t>
  </si>
  <si>
    <t>Durchblutungsstörung</t>
  </si>
  <si>
    <t>Varikosis (Krampfader)</t>
  </si>
  <si>
    <t>Hautkarzinom</t>
  </si>
  <si>
    <t>Z.n. Thyreoidektomie</t>
  </si>
  <si>
    <t xml:space="preserve"> 4-(2-Aminoethyt)-brenzcate-chin-HCI (Kreislaufstabilisierung)</t>
  </si>
  <si>
    <t>Urapidil (postop. Kreislaufstabilisierung)</t>
  </si>
  <si>
    <t>Piritramid-(RR)-hydrogcntar-trat, Piritramid-bis[(RR)hydrogentartrat (Schmerzenmittel)</t>
  </si>
  <si>
    <t>Promethazin (Sedierung bei OP)</t>
  </si>
  <si>
    <t>Tbl + Inj</t>
  </si>
  <si>
    <t>Atenolol, Clortalidon (Hypertonus)</t>
  </si>
  <si>
    <t>Nifedipin (Hypertonus)</t>
  </si>
  <si>
    <t>50, 2 verschiedene Med mit gleichem Wirkstoff eingenommen</t>
  </si>
  <si>
    <t>Supp.</t>
  </si>
  <si>
    <t>Fentanyldihydrogencitrat (Opioid)</t>
  </si>
  <si>
    <t>Thiopental-Natrium (Schlafmittel für OP)</t>
  </si>
  <si>
    <t>Pharyngitis</t>
  </si>
  <si>
    <t>Roxithromycin (Antibiotikum)</t>
  </si>
  <si>
    <t>Noscapin (Hustenstillung)</t>
  </si>
  <si>
    <t>Clobutinol (Hustenstillung)</t>
  </si>
  <si>
    <t>Cefpodoximproxetil (Antibiotikum)</t>
  </si>
  <si>
    <t xml:space="preserve">Erythrodermie </t>
  </si>
  <si>
    <t>respiratorische Infektion</t>
  </si>
  <si>
    <t>Lungeninfiltration</t>
  </si>
  <si>
    <t>Grippemedikament (Caffein, Diphenhydramine hydrochlorid, hexetylamin citrat, propyphenazon, salicylamid)</t>
  </si>
  <si>
    <t>Oseltamivir (antiviral Grippe)</t>
  </si>
  <si>
    <t>Pelargonienwurzelextrakt (Grippemedikament)</t>
  </si>
  <si>
    <t>Haare</t>
  </si>
  <si>
    <t>Nägel</t>
  </si>
  <si>
    <t>Schmerzen</t>
  </si>
  <si>
    <t>Infektionskrankheit</t>
  </si>
  <si>
    <t>Hypotonie</t>
  </si>
  <si>
    <t>Nacken</t>
  </si>
  <si>
    <t>Thorax</t>
  </si>
  <si>
    <t>Augen</t>
  </si>
  <si>
    <t>Trachykardie</t>
  </si>
  <si>
    <t>Kandidiasis</t>
  </si>
  <si>
    <t>Rücken</t>
  </si>
  <si>
    <t>Abdomen</t>
  </si>
  <si>
    <t>Extremitäten</t>
  </si>
  <si>
    <t>Epidermolyse</t>
  </si>
  <si>
    <t>Rumpf</t>
  </si>
  <si>
    <t>Synechien</t>
  </si>
  <si>
    <t>Konjunktiva</t>
  </si>
  <si>
    <t>Störung Kurzzeitgedächtnis</t>
  </si>
  <si>
    <t>Schwäche</t>
  </si>
  <si>
    <t>Zittern</t>
  </si>
  <si>
    <t>Verwirrung</t>
  </si>
  <si>
    <t>Vorhofflimmern</t>
  </si>
  <si>
    <t>Hyperuriämie</t>
  </si>
  <si>
    <t>Hyperalbuminaemie</t>
  </si>
  <si>
    <t>renale Insuffizienz</t>
  </si>
  <si>
    <t>Sick sinus syndrom</t>
  </si>
  <si>
    <t>Thrombophlebitis</t>
  </si>
  <si>
    <t>Exsiccose</t>
  </si>
  <si>
    <t>Sepsis</t>
  </si>
  <si>
    <t>Moxinidine (Herzinsuffizienz)</t>
  </si>
  <si>
    <t>Tolterodine I-tartrate (Inkontinenz)</t>
  </si>
  <si>
    <t>Dosis (Mg pro Kg/Verabreichung)</t>
  </si>
  <si>
    <t>topisch</t>
  </si>
  <si>
    <t>Beta-acetyldigoxin (Herzinsuffizienz)</t>
  </si>
  <si>
    <t>Torasemid (Hypertonie)</t>
  </si>
  <si>
    <t>Lungeninfektion</t>
  </si>
  <si>
    <t>Panzytopenie</t>
  </si>
  <si>
    <t>Kapillarlecksyndrom</t>
  </si>
  <si>
    <t>complex regional pain syndrom</t>
  </si>
  <si>
    <t>Triamteren, Hydrochlorothiazid (Herzinsuffizienz)</t>
  </si>
  <si>
    <t>Aciclovir (Antimykotikum)</t>
  </si>
  <si>
    <t>später noch mal in höherer Dosierung und iv</t>
  </si>
  <si>
    <t>Neomycinsulfat, Bacitracin (Antibiotikum)</t>
  </si>
  <si>
    <t>Tilidin, Naloxon (Opioid)</t>
  </si>
  <si>
    <t>Metamizol (Schmerzmittel)</t>
  </si>
  <si>
    <t>Adamnatanaminsulfat (Grippemedikament)</t>
  </si>
  <si>
    <t>Piretanid, Ramipril (Hypertonie)</t>
  </si>
  <si>
    <t>Morphinsulfat (Opioid)</t>
  </si>
  <si>
    <t>Cefotaxim-Natrium (Antibiotikum)</t>
  </si>
  <si>
    <t>Levofloxacin (Antibiotikum)</t>
  </si>
  <si>
    <t>Herpes zoster</t>
  </si>
  <si>
    <t>Juckreiz (Pruritus)</t>
  </si>
  <si>
    <t>Schüttelfrost</t>
  </si>
  <si>
    <t>Dimetindene maleate (Juckreiz)</t>
  </si>
  <si>
    <t>Dermatitis</t>
  </si>
  <si>
    <t>CK-MB-3 Tage vor Krankheitsbeginn</t>
  </si>
  <si>
    <t>CK-MB-d1 (U/L)</t>
  </si>
  <si>
    <t>LDH-4 Tage vor Krankheitsbeginn</t>
  </si>
  <si>
    <t>LDH-2 Tage vor Krankheitsbeginn</t>
  </si>
  <si>
    <t>LDH-d1 (u\l)</t>
  </si>
  <si>
    <t>LDH-d4w2</t>
  </si>
  <si>
    <t>Kreatinin-3 Tage vor Krankheitsbeginn</t>
  </si>
  <si>
    <t>Kreatinin-2 Tage vor Krankheitsbeginn</t>
  </si>
  <si>
    <t>Kreatinin-d1 (mg/dl)</t>
  </si>
  <si>
    <t>Kreatinin-d7</t>
  </si>
  <si>
    <t>Kreatinin-d4w2</t>
  </si>
  <si>
    <t>GOT-3 Tage vor Krankheitsbeginn</t>
  </si>
  <si>
    <t>GOT-2 Tage vor Krankheitsbeginn</t>
  </si>
  <si>
    <t>Ödem</t>
  </si>
  <si>
    <t>Osteoporose</t>
  </si>
  <si>
    <t>Dosis (Mg/ Verabreichung)</t>
  </si>
  <si>
    <t>Risedronat (Bisphosphonat)</t>
  </si>
  <si>
    <t>Dextromethorphan, Phenylpropanolamin, Carbinoxamin (Pneumonie)</t>
  </si>
  <si>
    <t>Leukämie</t>
  </si>
  <si>
    <t>Hydroxycarbamid (Krebsmedikament)</t>
  </si>
  <si>
    <t>Propranolol (Hypertonie)</t>
  </si>
  <si>
    <t>Estradiol, Norethisteronacetat (Wechseljahrbeschwerden)</t>
  </si>
  <si>
    <t>Codeinphosphat (Hustenstillung)</t>
  </si>
  <si>
    <t>Bauchschmerzen</t>
  </si>
  <si>
    <t>Campher, Extr. Fruct. Crataegutt (Hypotonie)</t>
  </si>
  <si>
    <t>Methylnicotinat, Rad. Symphyi Fluidextr. (Muskelrelaxtant)</t>
  </si>
  <si>
    <t>Doxycyclin (Antibiotikum)</t>
  </si>
  <si>
    <t>Butylscopolaminiumbromid (Schmerzmittel)</t>
  </si>
  <si>
    <t>Pankreatitis</t>
  </si>
  <si>
    <t>mucosal</t>
  </si>
  <si>
    <t>GI-Trakt</t>
  </si>
  <si>
    <t>Blepharitis</t>
  </si>
  <si>
    <t>Hyperbilirubinämie</t>
  </si>
  <si>
    <t>akutes Abdomen</t>
  </si>
  <si>
    <t>Gewicht (Gramm)</t>
  </si>
  <si>
    <t>Steatose (Fettleber)</t>
  </si>
  <si>
    <t>Ikterische Verfärbung</t>
  </si>
  <si>
    <t>Shockniere</t>
  </si>
  <si>
    <t>Pankreasödem</t>
  </si>
  <si>
    <t>Orthopharynx</t>
  </si>
  <si>
    <t>Thrombozytopenie</t>
  </si>
  <si>
    <t>Hepatomegalie</t>
  </si>
  <si>
    <t>Glucose</t>
  </si>
  <si>
    <t>parentale Ernährung</t>
  </si>
  <si>
    <t>Plasmaproteine</t>
  </si>
  <si>
    <t>Cefuroxim (Antibiotikum)</t>
  </si>
  <si>
    <t>Gentamicinsulfat (Antibiotikum)</t>
  </si>
  <si>
    <t>Piracetam (Demenz)</t>
  </si>
  <si>
    <t>Imipenem, Cilastatin-Natrium (Pneumonie)</t>
  </si>
  <si>
    <t>Paromomycinsulfat (hepatische Enzephalopathie)</t>
  </si>
  <si>
    <t>Misoprostol (Ulcusprophylaxe)</t>
  </si>
  <si>
    <t>Spironolacton (Diuretikum)</t>
  </si>
  <si>
    <t>100 (Später noch mal in höherer Konzentration eingenommen)</t>
  </si>
  <si>
    <t>Beine</t>
  </si>
  <si>
    <t>Hypoalbuminaemie</t>
  </si>
  <si>
    <t>Candidose</t>
  </si>
  <si>
    <t>Diarrhoe</t>
  </si>
  <si>
    <t>Lymphadenitis</t>
  </si>
  <si>
    <t>Missempfindung</t>
  </si>
  <si>
    <t>Kopf</t>
  </si>
  <si>
    <t>Nevirapin (Virostatikum, HIV)</t>
  </si>
  <si>
    <t>Didanosin (Virostatikum, HIV)</t>
  </si>
  <si>
    <t>Videx (Virostatikum, HIV)</t>
  </si>
  <si>
    <t>Erythrozyten-Datum unbekannt</t>
  </si>
  <si>
    <t>Basophile Granulozyten-Datum unbekannt (%)</t>
  </si>
  <si>
    <t>SJS-Fälle</t>
  </si>
  <si>
    <t>Fieber 
[°C]-d1</t>
  </si>
  <si>
    <t>Blut-pH-Datum unbekannt</t>
  </si>
  <si>
    <t>Sauerstoffsättigung-Datum unbekannt (%)</t>
  </si>
  <si>
    <t>PTT-d2</t>
  </si>
  <si>
    <t>Sauerstoffsättigung-d2 (%)</t>
  </si>
  <si>
    <t>Sauerstoffsättigung-d3 (%)</t>
  </si>
  <si>
    <t>Sauerstoffsättigung-d7 (%)</t>
  </si>
  <si>
    <t>Sauerstoffpartialdruck pO2-d2 (mmHg)</t>
  </si>
  <si>
    <t>Blut-pH-d2</t>
  </si>
  <si>
    <t>Blut-pH-d3</t>
  </si>
  <si>
    <t>Blut-pH-d7</t>
  </si>
  <si>
    <t>Fieber 
[°C]-Tag unbekannt</t>
  </si>
  <si>
    <t>MCV-Datum unbekannt (fl)</t>
  </si>
  <si>
    <t>MCH-Datum unbekannt (pg)</t>
  </si>
  <si>
    <t>Reticulozyten-Datum unbekannt (% pro 1000 Erys)</t>
  </si>
  <si>
    <t>CRP-d1 (mg/l)</t>
  </si>
  <si>
    <t>Neutrophile-d1 (%)</t>
  </si>
  <si>
    <t>GPT-d2w1</t>
  </si>
  <si>
    <t>CRP-d7</t>
  </si>
  <si>
    <t>CRP-d4w1</t>
  </si>
  <si>
    <t>GGT-d7</t>
  </si>
  <si>
    <t>Fieber 
[°C]-d7</t>
  </si>
  <si>
    <t>Fieber-6 Tage vor Krankheitsbeginn</t>
  </si>
  <si>
    <t>CRP-d3</t>
  </si>
  <si>
    <t>CRP-d4</t>
  </si>
  <si>
    <t>Urinwerte</t>
  </si>
  <si>
    <t>Natrium-Datum unbekannt (mmol/l)</t>
  </si>
  <si>
    <t>Chlorid-Datum unbekannt (mmol/l)</t>
  </si>
  <si>
    <t>Leukozyten-d3 (/mikroliter)</t>
  </si>
  <si>
    <t>Protein-d3 (mg/dl)</t>
  </si>
  <si>
    <t>Glucose-d3 (mg/dl)</t>
  </si>
  <si>
    <t>Erythrozyten-d3 (/mikroliter)</t>
  </si>
  <si>
    <t>Leukozyten im Sediment-d3 (mikroliter)</t>
  </si>
  <si>
    <t>Erythrozyten im Sediment-d3 (/mikroliter</t>
  </si>
  <si>
    <t>Bakterien im Sediment-d3 (0=negativ, 1=positiv)</t>
  </si>
  <si>
    <t>pH-d3</t>
  </si>
  <si>
    <t>pH-d4</t>
  </si>
  <si>
    <t>pH-d5</t>
  </si>
  <si>
    <t>Erythrozyten-d4</t>
  </si>
  <si>
    <t>Erythrozyten-d5</t>
  </si>
  <si>
    <t>HIV (0=negativ, 1=positiv) -&gt; siehe zusätzlich anamnese</t>
  </si>
  <si>
    <t>HLA B51 (0=negativ, 1=positiv)</t>
  </si>
  <si>
    <t>CCP-Autoantikörper (0=negativ, 1=positiv)</t>
  </si>
  <si>
    <t>CRP-d3w1</t>
  </si>
  <si>
    <t>Trhombozyten-d3w1</t>
  </si>
  <si>
    <t>Hb-d3w1</t>
  </si>
  <si>
    <t>Trhombozyten-d7w9</t>
  </si>
  <si>
    <t>Trhombozyten-d1w23</t>
  </si>
  <si>
    <t xml:space="preserve"> </t>
  </si>
  <si>
    <t>Neutrophile-d3</t>
  </si>
  <si>
    <t>Hepatitis C-Antikörper (0=negativ, 1=positiv)</t>
  </si>
  <si>
    <t>Hepatitis A-Antikörper (0=negativ, 1=positiv)</t>
  </si>
  <si>
    <t>Hepatitis B-Antikörper (0=negativ, 1=positiv)</t>
  </si>
  <si>
    <t>Anti-HAV-IgG (0=negativ, 1=positiv)</t>
  </si>
  <si>
    <t>EBV-VCA-IgG (0=negativ, 1=positiv)</t>
  </si>
  <si>
    <t>Epstein-Barr-IgM-d7 (0=negativ, 1=positiv)</t>
  </si>
  <si>
    <t>Anti-Ro (SSA(Ro)-Antikörper)-Datum unbekannt (0=negativ, 1=positiv)</t>
  </si>
  <si>
    <t>Anti-La (SSB(La)-Antikörper)-Datum unbekannt (0=negativ, 1=positiv)</t>
  </si>
  <si>
    <t>Antihistonantikörper-Datum unbekannt (0=negativ, 1=positiv)</t>
  </si>
  <si>
    <t>DsDNA-Antikörper-Datum unbekannt (0=negativ, 1=positiv)</t>
  </si>
  <si>
    <t>Herpes simplex Virus IgM (0=negativ, 1=positiv)</t>
  </si>
  <si>
    <t>Mycoplasmatische Antikörper (0=negativ, 1=positiv)</t>
  </si>
  <si>
    <t>ECHO-Virus (0=negativ, 1=positiv)</t>
  </si>
  <si>
    <t>HBs-Antikörper (0=negativ, 1=positiv)</t>
  </si>
  <si>
    <t>HBc antikörper (0=negativ, 1=positiv)</t>
  </si>
  <si>
    <t>HBsAg (0=negativ, 1=positiv)</t>
  </si>
  <si>
    <t>Coxackie-Virus-Antikörper (0=negativ, 1=positiv)</t>
  </si>
  <si>
    <t>ANA(Antinukleäre Antikörper)-Datum umbekannt (0=negativ, 1=positiv)</t>
  </si>
  <si>
    <t>Cytomegalievirus (0=negativ, 1=positiv)</t>
  </si>
  <si>
    <t>Parovirus B19 (0=negativ, 1=positiv)</t>
  </si>
  <si>
    <t>Interleukin 17 - d1w2 (pg/ml)</t>
  </si>
  <si>
    <t>&lt;2,5</t>
  </si>
  <si>
    <t>Patch-Test - Datum unbekannt (0=negativ, 1=positiv)</t>
  </si>
  <si>
    <t>Prick-Test-Datum unbekannt (0=negativ, 1=positiv)</t>
  </si>
  <si>
    <t>Glucose-Datum unbekannt</t>
  </si>
  <si>
    <t>ASL-Titer (Anti-Antistreptolysin O)-Datum unbekannt (u/l)</t>
  </si>
  <si>
    <t>Protein-Datum unbekannt</t>
  </si>
  <si>
    <t>Hämatokrit (HTK, HK)-Datum unbekannt (%)</t>
  </si>
  <si>
    <t>MCHC-Datum unbekannt (g/dl)</t>
  </si>
  <si>
    <t>Harnsäure-Datum unbekannt (mg/dl)</t>
  </si>
  <si>
    <t>Protein 24h-Sammelurin-Datum unbekannt (mg/dl)</t>
  </si>
  <si>
    <t>Albumin-d4w3</t>
  </si>
  <si>
    <t>Albumin-d7w1</t>
  </si>
  <si>
    <t>Glucose-d7w1</t>
  </si>
  <si>
    <t>Trhombozyten-d4w3</t>
  </si>
  <si>
    <t xml:space="preserve">Harnstoff-d7w1 </t>
  </si>
  <si>
    <t>Protein-d7w1 (mg/dl)</t>
  </si>
  <si>
    <t>Protein-d34w3 (mg/dl)</t>
  </si>
  <si>
    <t>Protein
-d7w1</t>
  </si>
  <si>
    <t>Protein
-d4w3</t>
  </si>
  <si>
    <t>Erythrozyten-d7w1</t>
  </si>
  <si>
    <t>Erythrozyten-d4w3</t>
  </si>
  <si>
    <t>Protein 24h-Sammelurin-d4w3 (mg/dl)</t>
  </si>
  <si>
    <t>Leukozyten-d1w2</t>
  </si>
  <si>
    <t>Leukozyten-d1w3</t>
  </si>
  <si>
    <t>GOT-d4w2</t>
  </si>
  <si>
    <t>Bilirubin-Datum unbekannt (mg/dl)</t>
  </si>
  <si>
    <t>Ferritin-Datum unbekannt</t>
  </si>
  <si>
    <t>Erythrozytensedimentationsgeschwindigkeit ESR-Datum unbekannt (mm/h)</t>
  </si>
  <si>
    <t>INR-Datum unbekannt</t>
  </si>
  <si>
    <t>AP-d2</t>
  </si>
  <si>
    <t>GOT (AST, ASAT, Aspartat aminotransferase)-d1 (u\l)</t>
  </si>
  <si>
    <t>GGT-d1 (u\l)</t>
  </si>
  <si>
    <t>GGT-d2</t>
  </si>
  <si>
    <t>Eosinophile Granulozyten erhöht</t>
  </si>
  <si>
    <t>orale Schmerzen</t>
  </si>
  <si>
    <t>arterielle Embolie</t>
  </si>
  <si>
    <t>Bradykardie</t>
  </si>
  <si>
    <t>Angst</t>
  </si>
  <si>
    <t>Atelektase (kollabierter Lungenabschnitt)</t>
  </si>
  <si>
    <t>Herzrhythmusstörung</t>
  </si>
  <si>
    <t>Respiratorische Insuffizienz</t>
  </si>
  <si>
    <t>Sprachstörung</t>
  </si>
  <si>
    <t>Sternokardie</t>
  </si>
  <si>
    <t>Vomitus (= Erbrechen)</t>
  </si>
  <si>
    <t>Basenexcess</t>
  </si>
  <si>
    <t>Harnwegsinfekt</t>
  </si>
  <si>
    <t>Respiratorischer Erguss</t>
  </si>
  <si>
    <t>pulmonale Embolie</t>
  </si>
  <si>
    <t>Hämatome</t>
  </si>
  <si>
    <t>Celecoxib (Schmerzmittel)</t>
  </si>
  <si>
    <t>Hypermenorrhoe</t>
  </si>
  <si>
    <t>Uterusmyom</t>
  </si>
  <si>
    <t>pustolärer Rush</t>
  </si>
  <si>
    <t>Hautentzündung</t>
  </si>
  <si>
    <t>AGEP (akute generalisierte exanthemische Pustulose)</t>
  </si>
  <si>
    <t>Erythrodermie</t>
  </si>
  <si>
    <t>Lipom</t>
  </si>
  <si>
    <t>Lipomatose</t>
  </si>
  <si>
    <t>Psoriasis</t>
  </si>
  <si>
    <t>Adipositas</t>
  </si>
  <si>
    <t>Adipozyten</t>
  </si>
  <si>
    <t>Augenlider</t>
  </si>
  <si>
    <t>allergische Reaktion</t>
  </si>
  <si>
    <t>Trigeminusneuralgie</t>
  </si>
  <si>
    <t>Sebostase</t>
  </si>
  <si>
    <t>Hautablösung</t>
  </si>
  <si>
    <t>Nausea (= Übelkeit)</t>
  </si>
  <si>
    <t>Wangen</t>
  </si>
  <si>
    <t>Hautulzeration</t>
  </si>
  <si>
    <t>offene Wunde</t>
  </si>
  <si>
    <t>Brennen</t>
  </si>
  <si>
    <t>Hautverfärbung</t>
  </si>
  <si>
    <t>Tamsulosin hydrochlorid (Prostatahyperplasie)</t>
  </si>
  <si>
    <t>Enalapril (Hypertonie)</t>
  </si>
  <si>
    <t>Metformin hydrochlorid (Antidiabetikum)</t>
  </si>
  <si>
    <t>Lovastatin (Statin)</t>
  </si>
  <si>
    <t>Extremitätenschmerzen</t>
  </si>
  <si>
    <t>Hautinfektion</t>
  </si>
  <si>
    <t>Rückenschmerzen</t>
  </si>
  <si>
    <t>Kontaktdermatitis</t>
  </si>
  <si>
    <t>blaue Lippen</t>
  </si>
  <si>
    <t>Hämorrhagie</t>
  </si>
  <si>
    <t>cerebral</t>
  </si>
  <si>
    <t>Blut im Stuhl</t>
  </si>
  <si>
    <t>ideopatische thrombozytopenische Pupura</t>
  </si>
  <si>
    <t>Petechien</t>
  </si>
  <si>
    <t>Hämatemesis (Erbrechen von Blut)</t>
  </si>
  <si>
    <t>Splenomegalie</t>
  </si>
  <si>
    <t>Cefaclor (Antibiotikum)</t>
  </si>
  <si>
    <t>Aphten</t>
  </si>
  <si>
    <t>Ulzeration</t>
  </si>
  <si>
    <t>Trachea</t>
  </si>
  <si>
    <t>Ösophagus</t>
  </si>
  <si>
    <t>orale Aphten</t>
  </si>
  <si>
    <t>Blanditis</t>
  </si>
  <si>
    <t>tracheal</t>
  </si>
  <si>
    <t>ösophageal</t>
  </si>
  <si>
    <t>Rush</t>
  </si>
  <si>
    <t>Canakunumab (Arthritis)</t>
  </si>
  <si>
    <t>Methotrexat sodium (Zytostatikum)</t>
  </si>
  <si>
    <t>Pantoprazol (Magenbeschwerden)</t>
  </si>
  <si>
    <t>gastrointestinale Beschwerden/ Gastritis</t>
  </si>
  <si>
    <t>Aripiprazol (Psychopharmakum)</t>
  </si>
  <si>
    <t>Pipamperon (Psychopharmakum)</t>
  </si>
  <si>
    <t>Lorazepam (Benzodiazepim)</t>
  </si>
  <si>
    <t>Isopromethazin hydrochlorid (Antihistaminikum)</t>
  </si>
  <si>
    <t>Dosis (ug/Verabreichung)</t>
  </si>
  <si>
    <t>Hypothyreose</t>
  </si>
  <si>
    <t>Schizophrenie</t>
  </si>
  <si>
    <t>Urtikaria</t>
  </si>
  <si>
    <t>Acanthosis nigricans</t>
  </si>
  <si>
    <t>Pusteln</t>
  </si>
  <si>
    <t>subcorneale Pusteln</t>
  </si>
  <si>
    <t>perivaskuläres Infiltrat</t>
  </si>
  <si>
    <t>intestinales Infiltrat</t>
  </si>
  <si>
    <t>Kreislaufkollaps</t>
  </si>
  <si>
    <t>anaphylaktischer Shock</t>
  </si>
  <si>
    <t>LWS-Syndrom</t>
  </si>
  <si>
    <t>Nierenversagen</t>
  </si>
  <si>
    <t>Leflunomid (Immunsuppresivum)</t>
  </si>
  <si>
    <t>Celecoxib (Arthritis)</t>
  </si>
  <si>
    <t>Arzneimittelallergie</t>
  </si>
  <si>
    <t>Herzrhyrhmusstörungen (Arrythmie)</t>
  </si>
  <si>
    <t>Pleuraerkrankung</t>
  </si>
  <si>
    <t>Decubitus (Wundliegegeschrür)</t>
  </si>
  <si>
    <t>psoriatische Arthritis</t>
  </si>
  <si>
    <t>Cushing Syndrom</t>
  </si>
  <si>
    <t>Bronchitis</t>
  </si>
  <si>
    <t>Fieber (Pyrexie)</t>
  </si>
  <si>
    <t>Malaise (Unwohlsein)</t>
  </si>
  <si>
    <t>Proteinurie</t>
  </si>
  <si>
    <t>Gewichtszunahme</t>
  </si>
  <si>
    <t>Nephrotisches Syndrom</t>
  </si>
  <si>
    <t>Spinalnervdegeneration</t>
  </si>
  <si>
    <t>Spondylose</t>
  </si>
  <si>
    <t>Norfloxacin (Antibiotikum)</t>
  </si>
  <si>
    <t>Butylscopolaminiumbromid (Parasympathikolytikum)</t>
  </si>
  <si>
    <t>Intoxikation</t>
  </si>
  <si>
    <t>Makrohämaturie</t>
  </si>
  <si>
    <t>Hautausschlag</t>
  </si>
  <si>
    <t>Aszites</t>
  </si>
  <si>
    <t>Glomerulonephritis</t>
  </si>
  <si>
    <t>Hypoproteinämie</t>
  </si>
  <si>
    <t>Gerinnungsstörung (Koagulopathie)</t>
  </si>
  <si>
    <t>Juvenile idiopathische/rheumatoide Arthritis (Still-Syndrom)</t>
  </si>
  <si>
    <t>Lymphadenopathie</t>
  </si>
  <si>
    <t>Darithromycin (Antibiotikum)</t>
  </si>
  <si>
    <t>Ceftriaxon (Antibiotikum)</t>
  </si>
  <si>
    <t>Piperacillin, Tazobactam (Antibiotikum)</t>
  </si>
  <si>
    <t>Cholangitis</t>
  </si>
  <si>
    <t>Papulae</t>
  </si>
  <si>
    <t>Oberschenkel</t>
  </si>
  <si>
    <t>Erythrozyten
-d4</t>
  </si>
  <si>
    <t>Lipase-d1  (U/L)</t>
  </si>
  <si>
    <t xml:space="preserve">Lipase-d2 </t>
  </si>
  <si>
    <t>Albumin-2 Tage vor Krankheitsbeginn</t>
  </si>
  <si>
    <t>Protein
[mg/dl]-d1</t>
  </si>
  <si>
    <t>Serum-Eisen-d1 (ug/dl)</t>
  </si>
  <si>
    <t>Serum-Eisen-Datum unbekannt</t>
  </si>
  <si>
    <t>Ferritin-d6w1</t>
  </si>
  <si>
    <t>GOT-d5w2</t>
  </si>
  <si>
    <t>GGT-d5w2</t>
  </si>
  <si>
    <t>GPT-d4w2</t>
  </si>
  <si>
    <t>GGT-d4w2</t>
  </si>
  <si>
    <t>Hb-43 Tage vor Krankheitsbeginn</t>
  </si>
  <si>
    <t>Hb-d7w2</t>
  </si>
  <si>
    <t>Reticulozyten-d2(% pro 1000 Erys)</t>
  </si>
  <si>
    <t>Reticulozyten-d3</t>
  </si>
  <si>
    <t>Hb-38 Tage vor Krankheitsbeginn</t>
  </si>
  <si>
    <t>Hb-d2w2</t>
  </si>
  <si>
    <t>Erythrozyten-d2</t>
  </si>
  <si>
    <t>Haptoglobin-d1 (mg/dl)</t>
  </si>
  <si>
    <t>Haptoglobin-d4</t>
  </si>
  <si>
    <t>Haptoglobin-d2</t>
  </si>
  <si>
    <t>GPT (ALT, ALAT, Alanin-Aminotransferase)-d1 (u\l)</t>
  </si>
  <si>
    <t>Bilirubin-d3w1</t>
  </si>
  <si>
    <t>Bilirubin-d6w1</t>
  </si>
  <si>
    <t>GPT-d1w3</t>
  </si>
  <si>
    <t>Ap-d6w4</t>
  </si>
  <si>
    <t>GOT-d1w3</t>
  </si>
  <si>
    <t>Kreatinin-d1w3</t>
  </si>
  <si>
    <t>GGT-d1w3</t>
  </si>
  <si>
    <t>Hb-d1w3</t>
  </si>
  <si>
    <t>INR-d1w3</t>
  </si>
  <si>
    <t>gastrointestinale Beschwerden</t>
  </si>
  <si>
    <t>Urinverfärbung</t>
  </si>
  <si>
    <t>Faeces /Stuhl hell/farblos</t>
  </si>
  <si>
    <t>Motivationsverlust/Depression</t>
  </si>
  <si>
    <t>Müdigkeit</t>
  </si>
  <si>
    <t>Allergie Penicillin</t>
  </si>
  <si>
    <t>Hepatitis A</t>
  </si>
  <si>
    <t>Polyartritis</t>
  </si>
  <si>
    <t>Gonarthrose</t>
  </si>
  <si>
    <t>renale Zysten</t>
  </si>
  <si>
    <t>Restless legs</t>
  </si>
  <si>
    <t>Heterozygote Mutation C28Y und H63 D</t>
  </si>
  <si>
    <t>Hüftdysplasie</t>
  </si>
  <si>
    <t>Blässe</t>
  </si>
  <si>
    <t>Chromaturie</t>
  </si>
  <si>
    <t>Anurie</t>
  </si>
  <si>
    <t>M. Behcet</t>
  </si>
  <si>
    <t>Hypoglykämie</t>
  </si>
  <si>
    <t>Hirnblutung intracerebral</t>
  </si>
  <si>
    <t>Muskelatrophie</t>
  </si>
  <si>
    <t>neurologische Störungen</t>
  </si>
  <si>
    <t>Phlegmone</t>
  </si>
  <si>
    <t>septischer Schock</t>
  </si>
  <si>
    <t>Toxischer Schock durch Streptikokken</t>
  </si>
  <si>
    <t>Ulkus der Hornhaut (Auge)</t>
  </si>
  <si>
    <t>Entzündung der Bindehaut (Auge) Conjunctivitis</t>
  </si>
  <si>
    <t>hämolytische Anämie</t>
  </si>
  <si>
    <t>Metabolische Azidose</t>
  </si>
  <si>
    <t>INR-d1</t>
  </si>
  <si>
    <t>Natrium-d6</t>
  </si>
  <si>
    <t>Hb-72Tage vor Krankheitsbeginn</t>
  </si>
  <si>
    <t>Hämatokrit (HTK, HK)-7 Tage vor Krankheitsbeginn</t>
  </si>
  <si>
    <t>Hämatokrit (HTK, HK)-d3</t>
  </si>
  <si>
    <t xml:space="preserve">Lipase-2 Tage vor Krankheitsbeginn </t>
  </si>
  <si>
    <t xml:space="preserve">Bilirubin-7 Tage vor Krankheitsbeginn </t>
  </si>
  <si>
    <t xml:space="preserve">Bilirubin-2 Tage vor Krankheitsbeginn </t>
  </si>
  <si>
    <t>Kreatinin-7 Tage vor Krankheitsbeginn</t>
  </si>
  <si>
    <t>CRP-2 Tage vor Krankheitsbeginn</t>
  </si>
  <si>
    <t>PTT-d7</t>
  </si>
  <si>
    <t>GPT-2 Tage vor Krankheitsbeginn</t>
  </si>
  <si>
    <t>GPT-7 Tage vor Krankheitsbeginn</t>
  </si>
  <si>
    <t xml:space="preserve">Blut-Bilirubin-d2 </t>
  </si>
  <si>
    <t>Harnstoff-2 Tage vor Krankheitsbeginn</t>
  </si>
  <si>
    <t>Harnstoff-d3</t>
  </si>
  <si>
    <t>Thrombozyten-7 Tage vor Krankheitsbeginn</t>
  </si>
  <si>
    <t>Erythrozyten-7 Tage vor Krankheitsbeginn</t>
  </si>
  <si>
    <t>Erythrozyten
-d3</t>
  </si>
  <si>
    <t>Leukozyten-7 Tage vor Krankheitsbeginn</t>
  </si>
  <si>
    <t>Leukozyten-2 Tage vor Krankheitsbeginn</t>
  </si>
  <si>
    <t>Hämatokrit (HTK, HK)-d1 (%)</t>
  </si>
  <si>
    <t>Hämatokrit (HTK, HK)-d2</t>
  </si>
  <si>
    <t>INR-d2</t>
  </si>
  <si>
    <t>INR-d5</t>
  </si>
  <si>
    <t>Erythrozyten-d5w1</t>
  </si>
  <si>
    <t>Hämatokrit (HTK, HK)-d5w1</t>
  </si>
  <si>
    <t>Quick-d1w3</t>
  </si>
  <si>
    <t>PTT-d1w3</t>
  </si>
  <si>
    <t>Natrium (Sodium)-d1 (mmol/l)</t>
  </si>
  <si>
    <t>Natrium-d1w3</t>
  </si>
  <si>
    <t>Kalium (Potassium)-d1 (mmol/l)</t>
  </si>
  <si>
    <t>Kalium-d1w3</t>
  </si>
  <si>
    <t>Chlorid-d1 (mmol/l)</t>
  </si>
  <si>
    <t>Chlorid-d1w3</t>
  </si>
  <si>
    <t>Harnstoff-d1w3</t>
  </si>
  <si>
    <t>Quick-d2w3</t>
  </si>
  <si>
    <t>INR-d2w3</t>
  </si>
  <si>
    <t>PTT-d2w3</t>
  </si>
  <si>
    <t>Natrium-d3</t>
  </si>
  <si>
    <t>INR-d3</t>
  </si>
  <si>
    <t>Quick-d4</t>
  </si>
  <si>
    <t>INR-d4</t>
  </si>
  <si>
    <t>Hämatokrit (HTK, HK)-d4</t>
  </si>
  <si>
    <t>Hämatokrit (HTK, HK)-d6w3</t>
  </si>
  <si>
    <t>MCV-d1 (fl)</t>
  </si>
  <si>
    <t>MCHC-d1 (g/dl)</t>
  </si>
  <si>
    <t>GPT-d6w2</t>
  </si>
  <si>
    <t>AP-d6w2</t>
  </si>
  <si>
    <t>Quick-d6w2</t>
  </si>
  <si>
    <t>CRP-d3w2</t>
  </si>
  <si>
    <t>Hämatokrit (HTK, HK)-1 Tag vor Krankheitsbeginn</t>
  </si>
  <si>
    <t>Hb-8 Tage vor Krankheitsbeginn</t>
  </si>
  <si>
    <t>Thrombozyten-1 Tag vor Krankheitsbeginn</t>
  </si>
  <si>
    <t>Erythrozyten-1 Tag vor Krankheitsbeginn</t>
  </si>
  <si>
    <t>Erythrozyten-8 Tage vor Krankheitsbeginn</t>
  </si>
  <si>
    <t>Leukozyten-8 Tage vor Krankheitsbeginn</t>
  </si>
  <si>
    <t>Leukozyten-1 Tag vor Krankheitsbeginn</t>
  </si>
  <si>
    <t>GGTP (Gamma-Glutamyltrahspeptidase)-d1 (umol/s*l)</t>
  </si>
  <si>
    <t>GGTP (Gamma-Glutamyltrahspeptidase)-Datum unbekannt</t>
  </si>
  <si>
    <t>GGTP-d3</t>
  </si>
  <si>
    <t>AP-d1w2</t>
  </si>
  <si>
    <t>alpha-Globulin-Datum unbekannt</t>
  </si>
  <si>
    <t>alpha-Globulin-d1 (%)</t>
  </si>
  <si>
    <t>alpha-Globulin-d3 (%)</t>
  </si>
  <si>
    <t>CRP-d1w2</t>
  </si>
  <si>
    <t xml:space="preserve">Bilirubin-d2 </t>
  </si>
  <si>
    <t>GPT-d6w1m1</t>
  </si>
  <si>
    <t>GGT-d6w1m1</t>
  </si>
  <si>
    <t>GGT-d4w2m2</t>
  </si>
  <si>
    <t>Kreatinin-d2</t>
  </si>
  <si>
    <t xml:space="preserve">Kreatinin-d3 </t>
  </si>
  <si>
    <t>Kreatinin-d2w1</t>
  </si>
  <si>
    <t>Harnstoff-d2</t>
  </si>
  <si>
    <t xml:space="preserve">Harnstoff-d2w1 </t>
  </si>
  <si>
    <t xml:space="preserve">Harnstoff-d6w1 </t>
  </si>
  <si>
    <t>Trhombozyten-d6w1</t>
  </si>
  <si>
    <t>Hb-d1w2</t>
  </si>
  <si>
    <t>Hämatokrit (HTK, HK)-d6w1</t>
  </si>
  <si>
    <t>Glucose-d1 (mg/dl)</t>
  </si>
  <si>
    <t>Glucose-d3</t>
  </si>
  <si>
    <t>Kalium-d1w2</t>
  </si>
  <si>
    <t>Natrium-d2</t>
  </si>
  <si>
    <t>Natrium-d1w2</t>
  </si>
  <si>
    <t>Erythrozyten-d1w2</t>
  </si>
  <si>
    <t>HbA1C-Datum unbekannt</t>
  </si>
  <si>
    <t>HbA1C-d1 (%)</t>
  </si>
  <si>
    <t>HbA1C-d3</t>
  </si>
  <si>
    <t>Blut-pH-d1</t>
  </si>
  <si>
    <t>Blut-pH-d4</t>
  </si>
  <si>
    <t>Blut-pH-d6</t>
  </si>
  <si>
    <t>Blut-pH-d1w1</t>
  </si>
  <si>
    <t>Blut-pH-d3w1</t>
  </si>
  <si>
    <t>Kohlendioxidpartialdruck pCO2-d3</t>
  </si>
  <si>
    <t>Kohlendioxidpartialdruck pCO2-d7</t>
  </si>
  <si>
    <t>Kohlendioxidpartialdruck pCO2-d2</t>
  </si>
  <si>
    <t>Kohlendioxidpartialdruck pCO2-d1 (mmHg)</t>
  </si>
  <si>
    <t>Kohlendioxidpartialdruck pCO2-Datum unbekannt</t>
  </si>
  <si>
    <t>Kohlendioxidpartialdruck pCO2-d4</t>
  </si>
  <si>
    <t>Kohlendioxidpartialdruck pCO2-d1w1</t>
  </si>
  <si>
    <t>Bicarbonat-d1 (mmol/l)</t>
  </si>
  <si>
    <t xml:space="preserve">Bicarbonat-d2 </t>
  </si>
  <si>
    <t xml:space="preserve">Bicarbonat-d3 </t>
  </si>
  <si>
    <t xml:space="preserve">Sauerstoffpartialdruck pO2-Datum unbekannt </t>
  </si>
  <si>
    <t xml:space="preserve">Sauerstoffpartialdruck pO2-d3 </t>
  </si>
  <si>
    <t>Bicarbonat-d4</t>
  </si>
  <si>
    <t>Bicarbonat-d6</t>
  </si>
  <si>
    <t>Bicarbonat-d1w1</t>
  </si>
  <si>
    <t>Bicarbonat-d3w1</t>
  </si>
  <si>
    <t xml:space="preserve">Base Excess (BE)-d2 </t>
  </si>
  <si>
    <t xml:space="preserve">Base Excess (BE)-d3 </t>
  </si>
  <si>
    <t xml:space="preserve">Base Excess (BE)-d1w1 </t>
  </si>
  <si>
    <t>MCH-d2</t>
  </si>
  <si>
    <t>MCH-d3</t>
  </si>
  <si>
    <t>MCH-d2w1</t>
  </si>
  <si>
    <t>MCH-d3w1</t>
  </si>
  <si>
    <t>MCH-d5w1</t>
  </si>
  <si>
    <t>MCH-d1w2</t>
  </si>
  <si>
    <t>MCHC-d2</t>
  </si>
  <si>
    <t>MCHC-d3</t>
  </si>
  <si>
    <t>MCHC-d2w1</t>
  </si>
  <si>
    <t>MCHC-d3w1</t>
  </si>
  <si>
    <t>MCHC-d5w1</t>
  </si>
  <si>
    <t>MCHC-d1w2</t>
  </si>
  <si>
    <t>INR-d6</t>
  </si>
  <si>
    <t>INR-d4w1</t>
  </si>
  <si>
    <t>Benserazide, Levodopa (Parkinsonmedikament)</t>
  </si>
  <si>
    <t>Piroxicam (NSAID)</t>
  </si>
  <si>
    <t>Loperamid (Durchfall)</t>
  </si>
  <si>
    <t>Tinzaparin (Heparin)</t>
  </si>
  <si>
    <t>Tadalafil (Errketionsstörungen)</t>
  </si>
  <si>
    <t>Metoprolol (Hypertonus)</t>
  </si>
  <si>
    <t>Aceclofenac (Schmerzmittel)</t>
  </si>
  <si>
    <t>Minocyclin (Antibiotikum)</t>
  </si>
  <si>
    <t>Oxycodonhydrochlorid (Opioid)</t>
  </si>
  <si>
    <t>Clindamycin</t>
  </si>
  <si>
    <t>Candesartan (gegen Hypertonie)</t>
  </si>
  <si>
    <t>Benazepril (gegen Hypertonie)</t>
  </si>
  <si>
    <t>Alendronat (Bisphosphonat)</t>
  </si>
  <si>
    <t>Flupirtin maleate (Schmerzmittel)</t>
  </si>
  <si>
    <t>Loratadin (Antihistaminikum)</t>
  </si>
  <si>
    <t>Ciprofloxacin (Antibiotikum)</t>
  </si>
  <si>
    <t>Cyclophosphamid (Zytostatikum)</t>
  </si>
  <si>
    <t>Marcumar, Phenprocoumon (Gerinnungshemmer)</t>
  </si>
  <si>
    <t>Influanca-Vaczin</t>
  </si>
  <si>
    <t>Silybum Marianum (Disteltee gegen Magenbeschwerden)</t>
  </si>
  <si>
    <t>Esomeprazol (Reflux)</t>
  </si>
  <si>
    <t>Valsartan (gegen Hypertonie)</t>
  </si>
  <si>
    <t>Almasilat (gegen Reflux)</t>
  </si>
  <si>
    <t>Fenoterol Hydrobromid, Ipratropium Bromid (gegen obstruktive Lungenerkrankung)</t>
  </si>
  <si>
    <t>inhalation</t>
  </si>
  <si>
    <t>Domperidon (Übelkeit)</t>
  </si>
  <si>
    <t>Fluticason Propionat (Asthmamedikament)</t>
  </si>
  <si>
    <t>Opipramol (Sedativum)</t>
  </si>
  <si>
    <t>Sulfamethoxazol, Trimethoprim (Antibiotikum)</t>
  </si>
  <si>
    <t>Isosorbidmononitrat, Isosorbiddinitrat (Herzinsuffizienz)</t>
  </si>
  <si>
    <t>Simvastatin (Statin)</t>
  </si>
  <si>
    <t>Meloxicam (NSAID)</t>
  </si>
  <si>
    <t>Buflomedil Hydrochlorid (periphera arterielle Verschlusskrankheit)</t>
  </si>
  <si>
    <t>Xipamid (gegen Hypertonie)</t>
  </si>
  <si>
    <t>Amiodaron (Antiarrhythmikum)</t>
  </si>
  <si>
    <t>Verapamil (Antiarrhythmikum)</t>
  </si>
  <si>
    <t>Amitriptylin (Antidepressivum)</t>
  </si>
  <si>
    <t>Amlodipin (gegen Hypertonie)</t>
  </si>
  <si>
    <t>Memantin hydrochlorid (Demenz)</t>
  </si>
  <si>
    <t>transdermal</t>
  </si>
  <si>
    <t>12ug</t>
  </si>
  <si>
    <t>Clopitogrel (Gerinnungshemmer)</t>
  </si>
  <si>
    <t>Sunitinib (Chemotherapeutikum)</t>
  </si>
  <si>
    <t>Enoxaparin (Gerinnungshemmer)</t>
  </si>
  <si>
    <t>Rivaroxaban (Gerinnungshemmer)</t>
  </si>
  <si>
    <t>Pregabalin (Antikonvulsativum)</t>
  </si>
  <si>
    <t>Fondaparinux Sodium (Heparin)</t>
  </si>
  <si>
    <t>Eplerenon (Herzinsuffizienz)</t>
  </si>
  <si>
    <t>Zolpidem (Schlafmittel)</t>
  </si>
  <si>
    <t>Terazosin hydrochlorid (Blasenentleerungsstörung)</t>
  </si>
  <si>
    <t>Buprenorphin (Schmerzmittel)</t>
  </si>
  <si>
    <t>Sultamicillin (Antibiotikum)</t>
  </si>
  <si>
    <t>Donepezil (Demenz)</t>
  </si>
  <si>
    <t>Gabapentin (Antikonvulsativum)</t>
  </si>
  <si>
    <t>Doxazosin (gegen Hypteronie)</t>
  </si>
  <si>
    <t>Venlafaxin (Depression)</t>
  </si>
  <si>
    <t>Latanoprost (Glaukom)</t>
  </si>
  <si>
    <t>Mirtazapin (Antidepressivum)</t>
  </si>
  <si>
    <t>Zopiclon (Schlafmittel)</t>
  </si>
  <si>
    <t>Citalopram (Antidepressivum)</t>
  </si>
  <si>
    <t>GPT-22 Tage vor Krankheitsbeginn</t>
  </si>
  <si>
    <t>GPT-d2w1m1</t>
  </si>
  <si>
    <t>GOT-22 Tage vor Krankheitsbeginn</t>
  </si>
  <si>
    <t>GOT-d7w1</t>
  </si>
  <si>
    <t>AP-22 Tage vor Krankheitsbeginn</t>
  </si>
  <si>
    <t>AP-d7w2</t>
  </si>
  <si>
    <t>GGT-d7w2</t>
  </si>
  <si>
    <t>Hb-22 Tage vor Krankheitsbeginn</t>
  </si>
  <si>
    <t>Lymphozyten-22 Tage vor Krankheitsbeginn</t>
  </si>
  <si>
    <t>Lymphozyten-d7w1</t>
  </si>
  <si>
    <t>Lymphozyten-d2w2m1</t>
  </si>
  <si>
    <t>Neutrophile-22 Tage vor Krankheitsbeginn</t>
  </si>
  <si>
    <t>Neutrophile-d2w4</t>
  </si>
  <si>
    <t>Neutrophile-d2w2m1</t>
  </si>
  <si>
    <t>Erythrozyten-22 Tage vor Krankheitsbeginn</t>
  </si>
  <si>
    <t>Erythrozyten
-d6</t>
  </si>
  <si>
    <t>Neutrophile-d6</t>
  </si>
  <si>
    <t>Basophile Granulozyten-d1 (%)</t>
  </si>
  <si>
    <t>Eosinophile Granuloyzten-d1 (%)</t>
  </si>
  <si>
    <t>Monozyten-d1 (%)</t>
  </si>
  <si>
    <t>Harnsäure-d1 (mg/dl)</t>
  </si>
  <si>
    <t>Amylase-d1 (U/L)</t>
  </si>
  <si>
    <t>GOT-d7w3</t>
  </si>
  <si>
    <t>GPT-d7w3</t>
  </si>
  <si>
    <t>GGT-d7w3</t>
  </si>
  <si>
    <t>Cholinesterase-d7w3</t>
  </si>
  <si>
    <t>AP-d7w3</t>
  </si>
  <si>
    <t>Kreatinin-d7w3</t>
  </si>
  <si>
    <t>Harnstoff-d7w3</t>
  </si>
  <si>
    <t>Natrium-d7w3</t>
  </si>
  <si>
    <t>LDH-d7w3</t>
  </si>
  <si>
    <t>Hämatokrit (HTK, HK)-d6w3m1</t>
  </si>
  <si>
    <t>Natrium-Datum unbekannt</t>
  </si>
  <si>
    <t>GGT-d6w0m2</t>
  </si>
  <si>
    <t>Lipase-d6w0m2</t>
  </si>
  <si>
    <t>GOT-d6w0m2</t>
  </si>
  <si>
    <t>GPT-d6w0m2</t>
  </si>
  <si>
    <t>Hämatokrit (HTK, HK)-d6w0m2</t>
  </si>
  <si>
    <t>CRP-d6w0m2</t>
  </si>
  <si>
    <t>Trhombozyten-d6w0m2</t>
  </si>
  <si>
    <t>Hb-d6w0m2</t>
  </si>
  <si>
    <t>GGT-18 Tage vor Krankheitsbeginn</t>
  </si>
  <si>
    <t>AP-18 Tage vor Krankheitsbeginn</t>
  </si>
  <si>
    <t>INR-11 Tage vor Krankheitsbeginn</t>
  </si>
  <si>
    <t>PTT-11 Tage vor Krankheitsbeginn</t>
  </si>
  <si>
    <t>AP-d4w1</t>
  </si>
  <si>
    <t>AP-d2w2</t>
  </si>
  <si>
    <t>Quick-d2w2</t>
  </si>
  <si>
    <t>INR-d2w2</t>
  </si>
  <si>
    <t>Hb-20 Tage vor Krankheitsbeginn</t>
  </si>
  <si>
    <t>Leukozyten-20 Tage vor Krankheitsbeginn</t>
  </si>
  <si>
    <t>Hämatokrit (HTK, HK)-36 Tage vor Krankheitsbeginn</t>
  </si>
  <si>
    <t>Hämatokrit (HTK, HK)-20 Tage vor Krankheitsbeginn</t>
  </si>
  <si>
    <t>MCV-20 Tage vor Krankheitsbeginn</t>
  </si>
  <si>
    <t>MCV-d2w1</t>
  </si>
  <si>
    <t>MCV-d1w2</t>
  </si>
  <si>
    <t>MCH-20 Tage vor Krankheitsbeginn</t>
  </si>
  <si>
    <t>MCHC-20 Tage vor Krankheitsbeginn</t>
  </si>
  <si>
    <t>Thrombozyten-20 Tage vor Krankheitsbeginn</t>
  </si>
  <si>
    <t>Neutrophile-d2w1</t>
  </si>
  <si>
    <t>Neutrophile-d1w2</t>
  </si>
  <si>
    <t>Lymphozyten-20 Tage vor Krankheitsbeginn</t>
  </si>
  <si>
    <t>Lymphozyten-d2w1</t>
  </si>
  <si>
    <t>Eosinophile Granuloyzten-20 Tage vor Krankheitsbeginn</t>
  </si>
  <si>
    <t>Eosinophile Granuloyzten-d2w1</t>
  </si>
  <si>
    <t>Eosinophile Granuloyzten-d1w2</t>
  </si>
  <si>
    <t>Basophile Granulozyten-20 Tage vor Krankheisbeginn</t>
  </si>
  <si>
    <t>Basophile Granulozyten-d2w1</t>
  </si>
  <si>
    <t>GOT-36 Tage vor Krankheitsbeginn</t>
  </si>
  <si>
    <t>GOT-20 Tage vor Krankheitsbeginn</t>
  </si>
  <si>
    <t>GPT-36 Tage vor Krankheitsbeginn</t>
  </si>
  <si>
    <t>GPT-20 Tage vor Krankheitsbeginn</t>
  </si>
  <si>
    <t>GGT-36 Tage vor Krankheitsbeginn</t>
  </si>
  <si>
    <t>GGT-20 Tage vor Krankheitsbeginn</t>
  </si>
  <si>
    <t>AP-36 Tage vor Krankheitsbeginn</t>
  </si>
  <si>
    <t>Kreatinin-20 Tage vor Krankheitsbeginn</t>
  </si>
  <si>
    <t>GOT-d5w3</t>
  </si>
  <si>
    <t>CRP-d2</t>
  </si>
  <si>
    <t>Glucose-d2</t>
  </si>
  <si>
    <t>Leukozyten-d2w2</t>
  </si>
  <si>
    <t>Erythrozyten-d3w1</t>
  </si>
  <si>
    <t>Erythrozyten-d2w2</t>
  </si>
  <si>
    <t>Hämatokrit (HTK, HK)-d6</t>
  </si>
  <si>
    <t>Hämatokrit (HTK, HK)-d3w1</t>
  </si>
  <si>
    <t>Hämatokrit (HTK, HK)-d2w2</t>
  </si>
  <si>
    <t>MCV-d4</t>
  </si>
  <si>
    <t>MCV-d5w1</t>
  </si>
  <si>
    <t>MCH (HBE)-d1 (pg)</t>
  </si>
  <si>
    <t>MCH-d4</t>
  </si>
  <si>
    <t>MCH-d2w2</t>
  </si>
  <si>
    <t>MCHC-d4</t>
  </si>
  <si>
    <t>MCHC-d2w2</t>
  </si>
  <si>
    <t>Trhombozyten-d2w2</t>
  </si>
  <si>
    <t>GGT-d3w1</t>
  </si>
  <si>
    <t>AP-d3w1</t>
  </si>
  <si>
    <t>Natrium-d4</t>
  </si>
  <si>
    <t>Kalium-d4</t>
  </si>
  <si>
    <t>Glucose-d4</t>
  </si>
  <si>
    <t>Gesamteiweiß-d2w2</t>
  </si>
  <si>
    <t>LDH-d3w1</t>
  </si>
  <si>
    <t>CRP-d2w2</t>
  </si>
  <si>
    <t>Cholinesterase-d4</t>
  </si>
  <si>
    <t>Cholinesterase-d6</t>
  </si>
  <si>
    <t>Erythrozyten-d1w1</t>
  </si>
  <si>
    <t>Erythrozyten-d4w1</t>
  </si>
  <si>
    <t>Hämatokrit (HTK, HK)-d1w1</t>
  </si>
  <si>
    <t>Hämatokrit (HTK, HK)-d4w1</t>
  </si>
  <si>
    <t>MCV-d2</t>
  </si>
  <si>
    <t>MCV-d4w1</t>
  </si>
  <si>
    <t>Trhombozyten-d4w1</t>
  </si>
  <si>
    <t>Quick-d2w1</t>
  </si>
  <si>
    <t>Quick-d4w1</t>
  </si>
  <si>
    <t>INR-d2w1</t>
  </si>
  <si>
    <t>INR-d3w1</t>
  </si>
  <si>
    <t>PTT-d3w1</t>
  </si>
  <si>
    <t>PTT-d4w1</t>
  </si>
  <si>
    <t xml:space="preserve">LDH-d2w1 </t>
  </si>
  <si>
    <t>Natrium-d2w1</t>
  </si>
  <si>
    <t>Natrium-d3w1</t>
  </si>
  <si>
    <t>Natrium-d4w1</t>
  </si>
  <si>
    <t>Kalium-d1w1</t>
  </si>
  <si>
    <t>Kalium-d2w1</t>
  </si>
  <si>
    <t>Kalium-d4w1</t>
  </si>
  <si>
    <t>Harnstoff (HST)-d1 (mg/dl)</t>
  </si>
  <si>
    <t xml:space="preserve">Harnstoff-d3w1 </t>
  </si>
  <si>
    <t>Kreatinin-d3w1</t>
  </si>
  <si>
    <t>Gesamteiweiß-d1 [g/dl]</t>
  </si>
  <si>
    <t>Gesamteiweiß-d2w1</t>
  </si>
  <si>
    <t>Quick-2 Tage vor Krankheitsbeginn</t>
  </si>
  <si>
    <t>Hb-26 Tage vor Krankheitsbeginn</t>
  </si>
  <si>
    <t>Hämatokrit (HTK, HK)-26 Tage vor Krankheitsbeginn</t>
  </si>
  <si>
    <t>GGT-d7w1m1</t>
  </si>
  <si>
    <t>GOT-d7w1m1</t>
  </si>
  <si>
    <t>Ap-d7w1m1</t>
  </si>
  <si>
    <t>Hämatokrit (HTK, HK)-d4w3m2</t>
  </si>
  <si>
    <t>Eosinophile Granuloyzten-d4w3m2</t>
  </si>
  <si>
    <t>Lymphozyten-d4w3m2</t>
  </si>
  <si>
    <t>Monozyten-d4w3m2</t>
  </si>
  <si>
    <t>Quick-d2w0m3</t>
  </si>
  <si>
    <t>INR-d2w0m3</t>
  </si>
  <si>
    <t>GOT-d7w3m2</t>
  </si>
  <si>
    <t>GOT-d2w0m3</t>
  </si>
  <si>
    <t>GPT-d7w3m2</t>
  </si>
  <si>
    <t>GPT-d2w0m3</t>
  </si>
  <si>
    <t>GGT-d7w3m2</t>
  </si>
  <si>
    <t>GGT-d2w0m3</t>
  </si>
  <si>
    <t>Ap-d7w3m2</t>
  </si>
  <si>
    <t>Bilirubin-d3</t>
  </si>
  <si>
    <t>Bilirubin-d4</t>
  </si>
  <si>
    <t>Bilirubin-d5</t>
  </si>
  <si>
    <t>Bilirubin-d6</t>
  </si>
  <si>
    <t>Bilirubin-d7</t>
  </si>
  <si>
    <t>Bilirubin-d4w1</t>
  </si>
  <si>
    <t>Bilirubin-d1w2</t>
  </si>
  <si>
    <t>Bilirubin-d6w2</t>
  </si>
  <si>
    <t>Bilirubin-d7w2</t>
  </si>
  <si>
    <t>Bilirubin-d5w3</t>
  </si>
  <si>
    <t>Bilirubin-d6w0m2</t>
  </si>
  <si>
    <t>Bilirubin-d2w0m3</t>
  </si>
  <si>
    <t>Thrombozyten-9 Tage vor Krankheitsbeginn</t>
  </si>
  <si>
    <t>GOT-9 Tage vor Krankheitsbeginn</t>
  </si>
  <si>
    <t>GPT-9 Tage vor Krankheitsbeginn</t>
  </si>
  <si>
    <t>MCV-d6</t>
  </si>
  <si>
    <t>Trhombozyten-d1w1</t>
  </si>
  <si>
    <t>GGT-d2w0m1</t>
  </si>
  <si>
    <t>Hb-d7</t>
  </si>
  <si>
    <t>Hämatokrit (HTK, HK)-d1w0m1</t>
  </si>
  <si>
    <t>Hämatokrit (HTK, HK)-d7w0m2</t>
  </si>
  <si>
    <t>Amylase-d1w0m1</t>
  </si>
  <si>
    <t>Amylase-d7w0m2</t>
  </si>
  <si>
    <t>Ap-d7w0m2</t>
  </si>
  <si>
    <t>Bilirubin-d1w0m1</t>
  </si>
  <si>
    <t>Bilirubin-d7w0m2</t>
  </si>
  <si>
    <t>Bilirubin-d7w0m1</t>
  </si>
  <si>
    <t>Basophile Granulozyten-d1w0m1</t>
  </si>
  <si>
    <t>Basophile Granulozyten-d7w0m2</t>
  </si>
  <si>
    <t>Erythrozyten-d1w0m1</t>
  </si>
  <si>
    <t>Erythrozyten-d7w0m2</t>
  </si>
  <si>
    <t>Eosinophile Granuloyzten-d2 (%)</t>
  </si>
  <si>
    <t>Eosinophile Granuloyzten-d1w0m1</t>
  </si>
  <si>
    <t>Eosinophile Granuloyzten-d7w0m2</t>
  </si>
  <si>
    <t>GGT-d1w0m1</t>
  </si>
  <si>
    <t>GGT-d7w0m2</t>
  </si>
  <si>
    <t>GOT-d1w0m1</t>
  </si>
  <si>
    <t>GPT-d1w0m1</t>
  </si>
  <si>
    <t>GPT-d7w0m2</t>
  </si>
  <si>
    <t>Hb-d1w0m1</t>
  </si>
  <si>
    <t>Hb-d7w0m2</t>
  </si>
  <si>
    <t>Leukozyten-d7w0m2</t>
  </si>
  <si>
    <t>Lymphozyten-d1w0m1</t>
  </si>
  <si>
    <t>Lymphozyten-d7w0m2</t>
  </si>
  <si>
    <t>Lipase-d1w0m1</t>
  </si>
  <si>
    <t>Lipase-d7w0m2</t>
  </si>
  <si>
    <t>MCH-d7w0m2</t>
  </si>
  <si>
    <t>MCH-d3w3m2</t>
  </si>
  <si>
    <t>MCHC-d1w0m1</t>
  </si>
  <si>
    <t>MCHC-d7w0m2</t>
  </si>
  <si>
    <t>MCHC-d3w3m2</t>
  </si>
  <si>
    <t>MCV-d7w0m2</t>
  </si>
  <si>
    <t>MCV-d3w3m2</t>
  </si>
  <si>
    <t>Neutrophile-d3w3m2</t>
  </si>
  <si>
    <t>Trhombozyten-d1w0m1</t>
  </si>
  <si>
    <t>Trhombozyten-d3w3m2</t>
  </si>
  <si>
    <t>Quick-d1w1</t>
  </si>
  <si>
    <t>PTT-d1w1</t>
  </si>
  <si>
    <t>INR-d1w1</t>
  </si>
  <si>
    <t>Hb-d1w1</t>
  </si>
  <si>
    <t>Ferritin-d3</t>
  </si>
  <si>
    <t>Magnesium-d1 (mmol/l)</t>
  </si>
  <si>
    <t>Ap-d4w4</t>
  </si>
  <si>
    <t>GOT-d7w2</t>
  </si>
  <si>
    <t>Erythrozyten (Erys, Rbc)
[Erys/ul]-d1</t>
  </si>
  <si>
    <t>Hb-d4w1</t>
  </si>
  <si>
    <t>Hämatokrit (HTK, HK)-d7</t>
  </si>
  <si>
    <t>MCH-d6</t>
  </si>
  <si>
    <t>MCHC-d6</t>
  </si>
  <si>
    <t>Leukozyten (WBC)-d1 (\mikrol)</t>
  </si>
  <si>
    <t>Thrombozyten (MPV,PLT)-d1 (/mikroliter)</t>
  </si>
  <si>
    <t>Thrombozyten-d7</t>
  </si>
  <si>
    <t>Glucose-d6</t>
  </si>
  <si>
    <t>Glucose-d7</t>
  </si>
  <si>
    <t>Glucose-d2w1</t>
  </si>
  <si>
    <t>Glucose-d4w1</t>
  </si>
  <si>
    <t>Glucose-d5w1</t>
  </si>
  <si>
    <t>Glucose-d6w1</t>
  </si>
  <si>
    <t>Glucose-d2w2</t>
  </si>
  <si>
    <t>Glucose-d3w2</t>
  </si>
  <si>
    <t>Ap-d7</t>
  </si>
  <si>
    <t>Lipase-d2w1</t>
  </si>
  <si>
    <t>Lipase-d3w2</t>
  </si>
  <si>
    <t>Natrium-d7</t>
  </si>
  <si>
    <t xml:space="preserve">Kalium-d7 </t>
  </si>
  <si>
    <t>Albumin-d4</t>
  </si>
  <si>
    <t>Albumin-d6</t>
  </si>
  <si>
    <t>Ferritin-d2</t>
  </si>
  <si>
    <t>Quick-d7</t>
  </si>
  <si>
    <t>Blut-pH-d2w1</t>
  </si>
  <si>
    <t>Quick (TPZ, PTZ, PZ)-d1 (%)</t>
  </si>
  <si>
    <t>Harnstoff-d4</t>
  </si>
  <si>
    <t>AP-3 Tage vor Krankheitsbeginn</t>
  </si>
  <si>
    <t>GGT-3 Tage vor Krankheitsbeginn</t>
  </si>
  <si>
    <t>Hb-3 Tage vor Krankheitsbeginn</t>
  </si>
  <si>
    <t>Kalium-3 Tage vor Krankheitsbeginn</t>
  </si>
  <si>
    <t>Natrium-3 Tage vor Krankheitsbeginn</t>
  </si>
  <si>
    <t>Kalzium-Datum unbekannt</t>
  </si>
  <si>
    <t>Kalzium-d1 (mmol/l)</t>
  </si>
  <si>
    <t>Kalzium-d2</t>
  </si>
  <si>
    <t>Kalzium-d3</t>
  </si>
  <si>
    <t>Kalzium-d4</t>
  </si>
  <si>
    <t>Kalzium-d6</t>
  </si>
  <si>
    <t>Kalzium-d7</t>
  </si>
  <si>
    <t>Kalzium-d2w1</t>
  </si>
  <si>
    <t>Kalzium-d1w2</t>
  </si>
  <si>
    <t>Kalzium-d1w3</t>
  </si>
  <si>
    <t>Kalzium-3 Tage vor Krankheitsbeginn</t>
  </si>
  <si>
    <t>Ap-d1w1</t>
  </si>
  <si>
    <t>Bilirubin-d1w1</t>
  </si>
  <si>
    <t>Lymphozyten-d1w1</t>
  </si>
  <si>
    <t>GGT-67 Tage vor Krankheitsbeginn</t>
  </si>
  <si>
    <t>GOT-d2w3</t>
  </si>
  <si>
    <t>GPT-d5w2</t>
  </si>
  <si>
    <t>GPT-d2w3</t>
  </si>
  <si>
    <t>AP-d5w2</t>
  </si>
  <si>
    <t>AP-d2w3</t>
  </si>
  <si>
    <t>GGT-d2w3</t>
  </si>
  <si>
    <t>Quick-d1w2</t>
  </si>
  <si>
    <t>PTT-d1w2</t>
  </si>
  <si>
    <t>Hb-d2w3</t>
  </si>
  <si>
    <t>Hämatokrit (HTK, HK)-d7w2</t>
  </si>
  <si>
    <t>Hämatokrit (HTK, HK)-d2w3</t>
  </si>
  <si>
    <t>MCV-d7w2</t>
  </si>
  <si>
    <t>MCV-d2w3</t>
  </si>
  <si>
    <t>Leukozyten-d2w3</t>
  </si>
  <si>
    <t>Trhombozyten-d7w2</t>
  </si>
  <si>
    <t>Trhombozyten-d2w3</t>
  </si>
  <si>
    <t>Bilirubin-d5w2</t>
  </si>
  <si>
    <t>Bilirubin-d2w3</t>
  </si>
  <si>
    <t>GOT-d3w0m1</t>
  </si>
  <si>
    <t>LDH-d3w0m1</t>
  </si>
  <si>
    <t>Leukozyten-d3w0m1</t>
  </si>
  <si>
    <t>Neutrophile-d3w0m1</t>
  </si>
  <si>
    <t>Lymphozyten-d3w0m1</t>
  </si>
  <si>
    <t>GPT-d3w3</t>
  </si>
  <si>
    <t>Bilirubin-d3w3</t>
  </si>
  <si>
    <t>AP-d3w3</t>
  </si>
  <si>
    <t>Trhombozyten-d3w3</t>
  </si>
  <si>
    <t>CRP-d3w3</t>
  </si>
  <si>
    <t>Serum-Eisen-d3w1</t>
  </si>
  <si>
    <t>Serum-Eisen-d2w2</t>
  </si>
  <si>
    <t>Bilirubin-d2w2</t>
  </si>
  <si>
    <t>Amylase-d1w2</t>
  </si>
  <si>
    <t>Lipase-d1w2</t>
  </si>
  <si>
    <t>Lipase-d2w2</t>
  </si>
  <si>
    <t>Gesamteiweiß-d1w2</t>
  </si>
  <si>
    <t>Albumin-d2w2</t>
  </si>
  <si>
    <t>AP (alkalische Phosphatase)-d1 (u/l)</t>
  </si>
  <si>
    <t>Eosinophile Granuloyzten-d7</t>
  </si>
  <si>
    <t>CK-MB-d2</t>
  </si>
  <si>
    <t>CK-MB-d3</t>
  </si>
  <si>
    <t>CK-MB-d5</t>
  </si>
  <si>
    <t>CK-MB-d7</t>
  </si>
  <si>
    <t xml:space="preserve">CK-MB-d2w1 </t>
  </si>
  <si>
    <t xml:space="preserve">CK-MB-d3w1 </t>
  </si>
  <si>
    <t xml:space="preserve">CK-MB-d4w1 </t>
  </si>
  <si>
    <t xml:space="preserve">CK-MB-d4w2 </t>
  </si>
  <si>
    <t>CK-MB- (U\l) d4</t>
  </si>
  <si>
    <t>CK-MB- (U\l) d1w1</t>
  </si>
  <si>
    <t xml:space="preserve">CK-MB- (U\l) d6w1 </t>
  </si>
  <si>
    <t xml:space="preserve">CK-MB- (U\l) d3w3 </t>
  </si>
  <si>
    <t>Quick- (%) d5</t>
  </si>
  <si>
    <t>Quick- (%) d3w1</t>
  </si>
  <si>
    <t>Quick- (%) d3w2</t>
  </si>
  <si>
    <t>Quick- (%) d3w3</t>
  </si>
  <si>
    <t>CK-MB-4 Tage vor Krankheitsbeginn (U\l)</t>
  </si>
  <si>
    <t>CK-MB-2 Tage vor Krankheitsbeginn (U\l)</t>
  </si>
  <si>
    <t>Quick-11 Tage vor Krankheitsbeginn (%)</t>
  </si>
  <si>
    <t>Quick-Datum unbekannt (%)</t>
  </si>
  <si>
    <t>PTT-3 Jahre vor Krankheitsbeginn (sec.)</t>
  </si>
  <si>
    <t>PTT-Datum unbekannt (sec.)</t>
  </si>
  <si>
    <t>PTT- (sec.) d4</t>
  </si>
  <si>
    <t>PTT- (sec.) d2w1</t>
  </si>
  <si>
    <t>PTT- (sec.) d2w2</t>
  </si>
  <si>
    <t>Leukozyten-4 Tage vor Krankheitsbeginn (\mikrol)</t>
  </si>
  <si>
    <t>Leukozyten-9 Tage vor Krankheitsbeginn (\mikrol)</t>
  </si>
  <si>
    <t>Leukozyten-36 Tage vor Krankheitsbeginn (\mikrol)</t>
  </si>
  <si>
    <t>Leukozyten-Datum unbekannt (\mikrol)</t>
  </si>
  <si>
    <t>Leukozyten- (\mikrol) d3</t>
  </si>
  <si>
    <t>Leukozyten- (\mikrol) d7</t>
  </si>
  <si>
    <t>Leukozyten- (\mikrol) d5w1</t>
  </si>
  <si>
    <t>Leukozyten- (\mikrol) d3w2</t>
  </si>
  <si>
    <t>Leukozyten- (\mikrol) d6w3</t>
  </si>
  <si>
    <t>Leukozyten- (\mikrol) d1w0m1</t>
  </si>
  <si>
    <t>GOT-105 Tage vor Krankheitsbeginn (u\l)</t>
  </si>
  <si>
    <t>GOT-18 Tage vor Krankheitsbeginn (u\l)</t>
  </si>
  <si>
    <t>GOT-7 Tage vor Krankheitsbeginn (u\l)</t>
  </si>
  <si>
    <t>GOT-Datum unbekannt (u\l)</t>
  </si>
  <si>
    <t xml:space="preserve">GOT-d2 </t>
  </si>
  <si>
    <t>GOT- (u\l) d4</t>
  </si>
  <si>
    <t>GOT- (u\l) d7</t>
  </si>
  <si>
    <t>GOT- (u\l) d3w1</t>
  </si>
  <si>
    <t>GOT- (u\l) d6w1</t>
  </si>
  <si>
    <t>GOT- (u\l) d2w2</t>
  </si>
  <si>
    <t>GOT- (u\l) d6w2</t>
  </si>
  <si>
    <t>GOT- (u\l) d3w3</t>
  </si>
  <si>
    <t>GOT- (u\l) d2w0m1</t>
  </si>
  <si>
    <t>GOT- (u\l) d7w0m2</t>
  </si>
  <si>
    <t>GOT- (u\l) d3w3m2</t>
  </si>
  <si>
    <t>GOT- (u\l) d2w1m3</t>
  </si>
  <si>
    <t>GPT-105 Tage vor Krankheitsbeginn (u\l)</t>
  </si>
  <si>
    <t>GPT-18 Tage vor Krankheitsbeginn (u\l)</t>
  </si>
  <si>
    <t>GPT-3 Tage vor Krankheitsbeginn (u\l)</t>
  </si>
  <si>
    <t>GPT- d5</t>
  </si>
  <si>
    <t>GPT- (u\l) d4</t>
  </si>
  <si>
    <t>GPT- (u\l) d7</t>
  </si>
  <si>
    <t>GPT- (u\l) d3w1</t>
  </si>
  <si>
    <t>GPT- (u\l) d6w1</t>
  </si>
  <si>
    <t>GPT- (u\l) d3w2</t>
  </si>
  <si>
    <t>GPT- (u\l) d7w2</t>
  </si>
  <si>
    <t>GPT- (u\l) d5w3</t>
  </si>
  <si>
    <t>GPT- (u\l) d3w0m1</t>
  </si>
  <si>
    <t>GPT- (u\l) d7w1m1</t>
  </si>
  <si>
    <t>GPT- (u\l) d3w3m2</t>
  </si>
  <si>
    <t>GPT- (u\l) d2w1m3</t>
  </si>
  <si>
    <t>Leukozyten-d7w1m2</t>
  </si>
  <si>
    <t>Leukozyten-d1w3m5</t>
  </si>
  <si>
    <t>GOT-d4w0m1</t>
  </si>
  <si>
    <t>GOT-d6w0m1</t>
  </si>
  <si>
    <t>GOT-d7w1m2</t>
  </si>
  <si>
    <t>GPT-d7w1m2</t>
  </si>
  <si>
    <t>GPT- (u\l) d4w0m1</t>
  </si>
  <si>
    <t>GPT-d6w0m1</t>
  </si>
  <si>
    <t>GGT-105 Tage vor Krankheitsbeginn (u\l)</t>
  </si>
  <si>
    <t>GGT-22 Tage vor Krankheitsbeginn (u\l)</t>
  </si>
  <si>
    <t>GGT-8 Tage vor Krankheitsbeginn (u\l)</t>
  </si>
  <si>
    <t>GGT-2 Tage vor Krankheitsbeginn (u\l)</t>
  </si>
  <si>
    <t>GGT-Datum unbekannt (u\l)</t>
  </si>
  <si>
    <t>GGT- (u\l) d5</t>
  </si>
  <si>
    <t>GGT- (u\l) d1w1</t>
  </si>
  <si>
    <t>GGT- (u\l) d5w1</t>
  </si>
  <si>
    <t>GGT- (u\l) d2w2</t>
  </si>
  <si>
    <t>GGT- (u\l) d6w2</t>
  </si>
  <si>
    <t>GGT- (u\l) d5w3</t>
  </si>
  <si>
    <t>GGT- (u\l) d3w0m1</t>
  </si>
  <si>
    <t>GGT- (u\l) d7w2m1</t>
  </si>
  <si>
    <t>GGT- (u\l) d3w3m2</t>
  </si>
  <si>
    <t>GGT- (u\l) d2w1m3</t>
  </si>
  <si>
    <t>GGT- (u\l) d4w0m1</t>
  </si>
  <si>
    <t>GGT-d6w0m1</t>
  </si>
  <si>
    <t>LDH-d2</t>
  </si>
  <si>
    <t>LDH-11 Tage vor Krankheitsbeginn (u\l)</t>
  </si>
  <si>
    <t>LDH-3 Tage vor Krankheitsbeginn (u\l)</t>
  </si>
  <si>
    <t>LDH-Datum unbekannt (u\l)</t>
  </si>
  <si>
    <t>LDH- (u\l) d5</t>
  </si>
  <si>
    <t xml:space="preserve">LDH- (u\l) d1w1 </t>
  </si>
  <si>
    <t>LDH- (u\l) d4w1</t>
  </si>
  <si>
    <t>LDH- (u\l) d2w2</t>
  </si>
  <si>
    <t>LDH- (u\l) d1w3</t>
  </si>
  <si>
    <t>LDH- (u\l) d1w0m1</t>
  </si>
  <si>
    <t>LDH- (u\l) d6w0m1</t>
  </si>
  <si>
    <t>Lymphozyten-36 Tage vor Krankheitsbeginn (%)</t>
  </si>
  <si>
    <t>Lymphozyten-4 Tage vor Krankheitsbeginn (%)</t>
  </si>
  <si>
    <t>Lymphozyten-Datum unbekannt (%)</t>
  </si>
  <si>
    <t>Lymphozyten- (%) d5</t>
  </si>
  <si>
    <t>Lymphozyten- (%) d4w1</t>
  </si>
  <si>
    <t>Lymphozyten- (%) d2w4</t>
  </si>
  <si>
    <t>Lymphozyten- (%) d6w0m2</t>
  </si>
  <si>
    <t>Lymphozyten- (%) d3w3m2</t>
  </si>
  <si>
    <t>Hb-56 Tage vor Krankheitsbeginn [g/dl]</t>
  </si>
  <si>
    <t>Hb-36 Tage vor Krankheitsbeginn [g/dl]</t>
  </si>
  <si>
    <t>Hb-21 Tage vor Krankheitsbeginn [g/dl]</t>
  </si>
  <si>
    <t>Hb-7 Tage vor Krankheitsbeginn [g/dl]</t>
  </si>
  <si>
    <t>Hb-1 Tag vor Krankheitsbeginn [g/dl]</t>
  </si>
  <si>
    <t xml:space="preserve">Hb-d2 </t>
  </si>
  <si>
    <t>Hb- [g/dl] d5</t>
  </si>
  <si>
    <t>Hb- [g/dl] d2w1</t>
  </si>
  <si>
    <t>Hb- [g/dl] d6w1</t>
  </si>
  <si>
    <t>Hb- [g/dl] d3w2</t>
  </si>
  <si>
    <t>Hb- [g/dl] d6w3</t>
  </si>
  <si>
    <t>Hb- [g/dl] d6w3m1</t>
  </si>
  <si>
    <t>Hb- [g/dl] d4w0m4</t>
  </si>
  <si>
    <t>Hb-d7w1m2</t>
  </si>
  <si>
    <t>Hb-d1w3m5</t>
  </si>
  <si>
    <t>Bilirubin-d4w2</t>
  </si>
  <si>
    <t>Bilirubin-d1w3</t>
  </si>
  <si>
    <r>
      <rPr>
        <b/>
        <sz val="11"/>
        <color rgb="FFFF0000"/>
        <rFont val="Calibri"/>
        <family val="2"/>
        <scheme val="minor"/>
      </rPr>
      <t>Blut-</t>
    </r>
    <r>
      <rPr>
        <b/>
        <sz val="11"/>
        <color theme="1"/>
        <rFont val="Calibri"/>
        <family val="2"/>
        <scheme val="minor"/>
      </rPr>
      <t>Bilirubin (Gessamtbilirubin)-d1 (mg/dl)</t>
    </r>
  </si>
  <si>
    <r>
      <rPr>
        <b/>
        <sz val="11"/>
        <color rgb="FFFF0000"/>
        <rFont val="Calibri"/>
        <family val="2"/>
        <scheme val="minor"/>
      </rPr>
      <t>Totales-</t>
    </r>
    <r>
      <rPr>
        <b/>
        <sz val="11"/>
        <color theme="1"/>
        <rFont val="Calibri"/>
        <family val="2"/>
        <scheme val="minor"/>
      </rPr>
      <t>Bilirubin-d1 (mg/dl)</t>
    </r>
  </si>
  <si>
    <t>Hb-Datum unbekannt [g/dl]</t>
  </si>
  <si>
    <t>Hb (Hämoglobin)-d1 [g/dl]</t>
  </si>
  <si>
    <t>Bilirubin- (mg/dl) d5</t>
  </si>
  <si>
    <t>Bilirubin- (mg/dl) d2w1</t>
  </si>
  <si>
    <t>Bilirubin- (mg/dl) d7w1</t>
  </si>
  <si>
    <t>Bilirubin- (mg/dl) d6w0m1</t>
  </si>
  <si>
    <t>Bilirubin-22 Tage vor Krankheitsbeginn (mg/dl)</t>
  </si>
  <si>
    <t>Bilirubin-3 Tage vor Krankheitsbeginn (mg/dl)</t>
  </si>
  <si>
    <t>Bilirubin- (mg/dl) d4</t>
  </si>
  <si>
    <t>Bilirubin- (mg/dl) d1w1</t>
  </si>
  <si>
    <t>Bilirubin- (mg/dl) d5w1</t>
  </si>
  <si>
    <t>Bilirubin- (mg/dl) d2w2</t>
  </si>
  <si>
    <t>Bilirubin- (mg/dl) d7w2</t>
  </si>
  <si>
    <t>Bilirubin- (mg/dl) d7w3</t>
  </si>
  <si>
    <t>Bilirubin- (mg/dl) d3w0m1</t>
  </si>
  <si>
    <t>Bilirubin- (mg/dl) d3w3m2</t>
  </si>
  <si>
    <r>
      <rPr>
        <b/>
        <sz val="11"/>
        <color rgb="FFFF0000"/>
        <rFont val="Calibri"/>
        <family val="2"/>
        <scheme val="minor"/>
      </rPr>
      <t>Direktes-</t>
    </r>
    <r>
      <rPr>
        <b/>
        <sz val="11"/>
        <color theme="1"/>
        <rFont val="Calibri"/>
        <family val="2"/>
        <scheme val="minor"/>
      </rPr>
      <t>Bilirubin-d1 (mg/dl)</t>
    </r>
  </si>
  <si>
    <t xml:space="preserve">Direktes Bilirubin-Datum unbekannt (mg/dl) </t>
  </si>
  <si>
    <t>Bilirubin- (mg/dl) d3w2</t>
  </si>
  <si>
    <t>Bilirubin- (mg/dl) d3w3</t>
  </si>
  <si>
    <t>Bilirubin- (mg/dl) d2w0m3</t>
  </si>
  <si>
    <t xml:space="preserve">Gesamteiweiß-d2 </t>
  </si>
  <si>
    <t xml:space="preserve">Gesamteiweiß-d4 </t>
  </si>
  <si>
    <t xml:space="preserve">Gesamteiweiß-d6 </t>
  </si>
  <si>
    <t xml:space="preserve">Gesamteiweiß- [g/dl] d5 </t>
  </si>
  <si>
    <t>Gesamteiweiß- [g/dl] d3w1</t>
  </si>
  <si>
    <t>Gesamteiweiß- [g/dl] d6w0m2</t>
  </si>
  <si>
    <t>AP-3 Jahre vor Krankheitsbeginn (u/l)</t>
  </si>
  <si>
    <t>AP-20 Tage vor Krankheitsbeginn (u/l)</t>
  </si>
  <si>
    <t>AP-7 Tage vor Krankheitsbeginn (u/l)</t>
  </si>
  <si>
    <t>AP-Datum unbekannt (u/l)</t>
  </si>
  <si>
    <t>Ap- (u/l) d5</t>
  </si>
  <si>
    <t>Ap- (u/l) d2w1</t>
  </si>
  <si>
    <t>AP- (u/l) d6w1</t>
  </si>
  <si>
    <t>AP- (u/l) d3w2</t>
  </si>
  <si>
    <t>AP- (u/l) d1w3</t>
  </si>
  <si>
    <t>Ap- (u/l) d1w4</t>
  </si>
  <si>
    <t>Ap- (u/l) d1w0m1</t>
  </si>
  <si>
    <t>Ap- (u/l) d3w3m2</t>
  </si>
  <si>
    <t>Ap- (u/l) d2w0m3</t>
  </si>
  <si>
    <t xml:space="preserve">Cholinesterase-Datum unbekannt (u/l) </t>
  </si>
  <si>
    <t>Cholinesterase-d3</t>
  </si>
  <si>
    <t>Cholinesterase- (u/l) d5</t>
  </si>
  <si>
    <t>Cholinesterase- (u/l) d2w2</t>
  </si>
  <si>
    <t>Cholinesterase- (u/l) d6w0m2</t>
  </si>
  <si>
    <t>Kreatinin-36 Tage vor Krankheitsbeginn (mg/dl)</t>
  </si>
  <si>
    <t>Kreatinin-8 Tage vor Krankheitsbeginn (mg/dl)</t>
  </si>
  <si>
    <t>Kreatinin-4 Tage vor Krankheitsbeginn (mg/dl)</t>
  </si>
  <si>
    <t>Kreatinin-Datum unbekannt (mg/dl)</t>
  </si>
  <si>
    <t>Kreatinin- (mg/dl) d5</t>
  </si>
  <si>
    <t>Kreatinin- (mg/dl) d1w1</t>
  </si>
  <si>
    <t>Kreatinin- (mg/dl) d6w1</t>
  </si>
  <si>
    <t>Kreatinin- (mg/dl) d3w2</t>
  </si>
  <si>
    <t>Kreatinin- (mg/dl) d4w3</t>
  </si>
  <si>
    <t>Kreatinin- (mg/dl) d4w3m2</t>
  </si>
  <si>
    <t xml:space="preserve">Amylase-d2 </t>
  </si>
  <si>
    <t>Amylase- (U/L) d5</t>
  </si>
  <si>
    <t>Amylase- (U/L) d4w1</t>
  </si>
  <si>
    <t>Amylase- (U/L) d2w2</t>
  </si>
  <si>
    <t>Amylase- (U/L) d3w3m2</t>
  </si>
  <si>
    <t xml:space="preserve">Lipase-d7 Tage vor Krankheitsbeginn (U/L) </t>
  </si>
  <si>
    <t>Lipase-Datum unbekannt (U/L)</t>
  </si>
  <si>
    <t>Lipase- (U/L) d5</t>
  </si>
  <si>
    <t>Lipase- (U/L) d7w1</t>
  </si>
  <si>
    <t>Lipase- (U/L) d1w4</t>
  </si>
  <si>
    <t>Lipase- (U/L) d3w3m2</t>
  </si>
  <si>
    <t>CRP-Datum unbekannt (mg/l)</t>
  </si>
  <si>
    <t>CRP-7 Tage vor Krankheitsbeginn (mg/l)</t>
  </si>
  <si>
    <t>CRP- (mg/l) d5</t>
  </si>
  <si>
    <t xml:space="preserve">CRP- (mg/l) d2w1 </t>
  </si>
  <si>
    <t>CRP- (mg/l) d7w1</t>
  </si>
  <si>
    <t>CRP- (mg/l) d6w2</t>
  </si>
  <si>
    <t>CRP- (mg/l) d2w6</t>
  </si>
  <si>
    <t>CRP- (mg/l) d6w4</t>
  </si>
  <si>
    <t>CRP-d1w3m5</t>
  </si>
  <si>
    <t>CRP- (mg/l) d7w1w2</t>
  </si>
  <si>
    <t>Harnstoff-7 Tage vor Krankheitsbeginn (mg/dl)</t>
  </si>
  <si>
    <t>Harnstoff-Datum unbekannt (mg/dl)</t>
  </si>
  <si>
    <t>Harnstoff- (mg/dl) d6</t>
  </si>
  <si>
    <t xml:space="preserve">Harnstoff- (mg/dl) d4w1 </t>
  </si>
  <si>
    <t>Harnstoff- (mg/dl) d2w2</t>
  </si>
  <si>
    <t>Harnstoff- (mg/dl) d4w3</t>
  </si>
  <si>
    <t>Harnstoff- (mg/dl) d6w0m2</t>
  </si>
  <si>
    <t>Harnsäure-d2</t>
  </si>
  <si>
    <t>Harnsäure-d3</t>
  </si>
  <si>
    <t>Harnsäure-d4</t>
  </si>
  <si>
    <t xml:space="preserve">Harnsäure-d7w1 </t>
  </si>
  <si>
    <t xml:space="preserve">Harnsäure-d1w2 </t>
  </si>
  <si>
    <t xml:space="preserve">Harnsäure- (mg/dl) d3w1 </t>
  </si>
  <si>
    <t>Harnsäure- (mg/dl) d7w3</t>
  </si>
  <si>
    <t>Erythrozyten-36 Tage vor Krankheitsbeginn [Erys/ul]</t>
  </si>
  <si>
    <t>Erythrozyten-20 Tage vor Krankheitsbeginn [Erys/ul]</t>
  </si>
  <si>
    <t>Erythrozyten-2 Tage vor Krankheitsbeginn [Erys/ul]</t>
  </si>
  <si>
    <t>Erythrozyten-Datum unbekannt [Erys/ul]</t>
  </si>
  <si>
    <t>Erythrozyten
- [Erys/ul] d5</t>
  </si>
  <si>
    <t>Erythrozyten- [Erys/ul] d2w1</t>
  </si>
  <si>
    <t>Erythrozyten- [Erys/ul] d6w1</t>
  </si>
  <si>
    <t>Erythrozyten- [Erys/ul] d1w3</t>
  </si>
  <si>
    <t>Erythrozyten- [Erys/ul] d6w0m2</t>
  </si>
  <si>
    <t>Thrombozyten-36 Tage vor Krankheitsbeginn (/mikroliter)</t>
  </si>
  <si>
    <t>Thrombozyten-8 Tage vor Krankheitsbeginn (/mikroliter)</t>
  </si>
  <si>
    <t>Thrombozyten-2 Tage vor Krankheitsbeginn (/mikroliter)</t>
  </si>
  <si>
    <t>Thrombozyten-Datum unbekannt (/mikroliter)</t>
  </si>
  <si>
    <t>Thrombozyten- (/mikroliter)d5</t>
  </si>
  <si>
    <t>Trhombozyten- (/mikroliter)d2w1</t>
  </si>
  <si>
    <t>Trhombozyten- (/mikroliter)d7w1</t>
  </si>
  <si>
    <t>Trhombozyten- (/mikroliter) d7w0m2</t>
  </si>
  <si>
    <t>Trhombozyten- (/mikroliter) d6w3</t>
  </si>
  <si>
    <t>Trhombozyten- (/mikroliter) d1w3</t>
  </si>
  <si>
    <t>Trhombozyten- (/mikroliter) d4w3m2</t>
  </si>
  <si>
    <t>Haptoglobin- (mg/dl) d5</t>
  </si>
  <si>
    <t>Haptoglobin-Datum unbekannt (mg/dl)</t>
  </si>
  <si>
    <t>BSG-Datum unbekannt (mm/h)</t>
  </si>
  <si>
    <t>BSG-d1 (mm/h)</t>
  </si>
  <si>
    <t xml:space="preserve">BSG-d2 </t>
  </si>
  <si>
    <t>Monozyten- (%) d3w0m1</t>
  </si>
  <si>
    <t>Eosinophile Granuloyzten-36 Tage vor Krankheitsbeginn (%)</t>
  </si>
  <si>
    <t>Eosinophile Granuloyzten- (%) d1w0m1</t>
  </si>
  <si>
    <t>Eosinophile Granuloyzten- (%) d3w3m2</t>
  </si>
  <si>
    <t>Neutrophile-36 Tage vor Krankheitsbeginn (%)</t>
  </si>
  <si>
    <t>Neutrophile-20 Tage vor Krankheitsbeginn (%)</t>
  </si>
  <si>
    <t>Neutrophile-d2</t>
  </si>
  <si>
    <t>Neutrophile- (%) d5</t>
  </si>
  <si>
    <t>Neutrophile- (%) d7w1</t>
  </si>
  <si>
    <t>Neutrophile- (%) d1w0m1</t>
  </si>
  <si>
    <t>Neutrophile- (%) d7w0m2</t>
  </si>
  <si>
    <t>Neutrophile- (%) d4w3m2</t>
  </si>
  <si>
    <t>Basophile Granulozyten-36 Tage vor Krankheisbeginn (%)</t>
  </si>
  <si>
    <t>Basophile Granulozyten-d2</t>
  </si>
  <si>
    <t>Basophile Granulozyten- (%) d1w2</t>
  </si>
  <si>
    <t>Basophile Granulozyten- (%) d3w3m2</t>
  </si>
  <si>
    <t>Basophile Granulozyten- (%) d4w3m2</t>
  </si>
  <si>
    <t>Albumin-Datum unbekannt (g/l)</t>
  </si>
  <si>
    <t>Albumin- (g/l) d5w1</t>
  </si>
  <si>
    <t>Albumin- (g/l) d3w2</t>
  </si>
  <si>
    <t>Albumin- (g/l) d2w0m3</t>
  </si>
  <si>
    <t>Base Excess (Basensexzess) (BE)-d1 (mmol/l)</t>
  </si>
  <si>
    <t xml:space="preserve">Base Excess (BE)-Datum unbekannt (mmol/l) </t>
  </si>
  <si>
    <t xml:space="preserve">Base Excess (BE)- (mmol/l) d7 </t>
  </si>
  <si>
    <t>Bicarbonat-Datum unbekannt  (mmol/l)</t>
  </si>
  <si>
    <t xml:space="preserve">Bicarbonat- (mmol/l) d7 </t>
  </si>
  <si>
    <t xml:space="preserve">Sauerstoffpartialdruck pO2- (mmHg) d7 </t>
  </si>
  <si>
    <t>Kohlendioxidpartialdruck pCO2- (mmHg) d6</t>
  </si>
  <si>
    <t>Kohlendioxidpartialdruck pCO2- (mmHg) d3w1</t>
  </si>
  <si>
    <t>Hämatokrit (HTK, HK)-56 Tage vor Krankheitsbeginn (%)</t>
  </si>
  <si>
    <t>Hämatokrit (HTK, HK)-22 Tage vor Krankheitsbeginn (%)</t>
  </si>
  <si>
    <t>Hämatokrit (HTK, HK)-8 Tage vor Krankheitsbeginn (%)</t>
  </si>
  <si>
    <t>Hämatokrit (HTK, HK)-2 Tage vor Krankheitsbeginn (%)</t>
  </si>
  <si>
    <t>Hämatokrit (HTK, HK)- (%) d5</t>
  </si>
  <si>
    <t>Hämatokrit (HTK, HK)- (%) d2w1</t>
  </si>
  <si>
    <t>Hämatokrit (HTK, HK)- (%) d1w2</t>
  </si>
  <si>
    <t>Hämatokrit (HTK, HK)- (%) d1w3</t>
  </si>
  <si>
    <t>Hämatokrit (HTK, HK)- (%) d6w0m1</t>
  </si>
  <si>
    <t>Hämatokrit (HTK, HK)- (%) d3w3m2</t>
  </si>
  <si>
    <t>Hämatokrit (HTK, HK)- (%) d4w0m4</t>
  </si>
  <si>
    <t>MCV-36 Tage vor Krankheitsbeginn (fl)</t>
  </si>
  <si>
    <t>MCV- (fl) d5</t>
  </si>
  <si>
    <t>MCV- (fl) d3w1</t>
  </si>
  <si>
    <t>MCV- (fl) d2w2</t>
  </si>
  <si>
    <t>MCV- (fl) d1w0m1</t>
  </si>
  <si>
    <t>MCV- (fl) d4w3m2</t>
  </si>
  <si>
    <t>MCH-36 Tage vor Krankheitsbeginn (pg)</t>
  </si>
  <si>
    <t>MCH- (pg) d5</t>
  </si>
  <si>
    <t>MCH- (pg) d4w1</t>
  </si>
  <si>
    <t>MCH- (pg) d1w0m1</t>
  </si>
  <si>
    <t>MCH- (pg) d4w3m2</t>
  </si>
  <si>
    <t>MCHC-36 Tage vor Krankheitsbeginn (g/dl)</t>
  </si>
  <si>
    <t xml:space="preserve">MCHC- (g/dl) d5 </t>
  </si>
  <si>
    <t>MCHC- (g/dl) d4w1</t>
  </si>
  <si>
    <t>MCHC- (g/dl) d1w3</t>
  </si>
  <si>
    <t>MCHC- (g/dl) d4w3m2</t>
  </si>
  <si>
    <t>Natrium-9 Tage vor Krankheitsbeginn (mmol/l)</t>
  </si>
  <si>
    <t>Natrium- (mmol/l) d5</t>
  </si>
  <si>
    <t>Natrium- (mmol/l) d1w1</t>
  </si>
  <si>
    <t>Natrium- (mmol/l) d3w2</t>
  </si>
  <si>
    <t>Natrium- (mmol/l) d6w0m2</t>
  </si>
  <si>
    <t>Kalium-9 Tage vor Krankheitsbeginn (mmol/l)</t>
  </si>
  <si>
    <t>Kalium-d2</t>
  </si>
  <si>
    <t xml:space="preserve">Kalium-d3 </t>
  </si>
  <si>
    <t xml:space="preserve">Kalium- (mmol/l) d6 </t>
  </si>
  <si>
    <t>Kalium- (mmol/l) d3w1</t>
  </si>
  <si>
    <t>Kalium- (mmol/l) d6w0m2</t>
  </si>
  <si>
    <t>Kalium-Datum unbekannt (mmol/l)</t>
  </si>
  <si>
    <t>Kalium- (mmol/l) d5</t>
  </si>
  <si>
    <t>Kalzium- (mmol/l) d5</t>
  </si>
  <si>
    <t>Kalzium- (mmol/l) d3w1</t>
  </si>
  <si>
    <t xml:space="preserve">Magnesium-Datum unbekannt (mmol/l) </t>
  </si>
  <si>
    <t xml:space="preserve">Magnesium-d3 </t>
  </si>
  <si>
    <t xml:space="preserve">Serum-Eisen-d2 </t>
  </si>
  <si>
    <t>Serum-Eisen- (ug/dl) d6w1</t>
  </si>
  <si>
    <t>Ferritin- (mg/l) d3w3</t>
  </si>
  <si>
    <t>HbA1C- (%) d7</t>
  </si>
  <si>
    <t>Glucose- (mg/dl) d5</t>
  </si>
  <si>
    <t>Glucose- (mg/dl) d3w1</t>
  </si>
  <si>
    <t>Glucose- (mg/dl) d1w2</t>
  </si>
  <si>
    <t>Glucose- (mg/dl) d6w0m2</t>
  </si>
  <si>
    <t>Protein
-d2</t>
  </si>
  <si>
    <t>Protein
-d6</t>
  </si>
  <si>
    <t>Protein
-d4</t>
  </si>
  <si>
    <t>Clomipramin hydrochlorid (Antidepressivum)</t>
  </si>
  <si>
    <t>Moclobemid (Antidepressivum)</t>
  </si>
  <si>
    <t>Diphenhydramin (Antihistaminikum)</t>
  </si>
  <si>
    <t>Acetylsalizylsäure (ASS)</t>
  </si>
  <si>
    <t>Thiamazol (Schilddrüsenmedikament)</t>
  </si>
  <si>
    <t>Zanamivir (Grippemedikament)</t>
  </si>
  <si>
    <t>inhalativ</t>
  </si>
  <si>
    <t>Narbe (Cicatrix)</t>
  </si>
  <si>
    <t>ventrikuläre Extrasystole</t>
  </si>
  <si>
    <t>Herzstillstand</t>
  </si>
  <si>
    <t>Erinnerungsstörung</t>
  </si>
  <si>
    <t>Koma</t>
  </si>
  <si>
    <t>Spastik</t>
  </si>
  <si>
    <t>hypoxischer Gehirnschaden</t>
  </si>
  <si>
    <t>Shock</t>
  </si>
  <si>
    <t>Heliobacter pylori</t>
  </si>
  <si>
    <t>Schilddrüsentumor</t>
  </si>
  <si>
    <t>rheumatoide Arthritis</t>
  </si>
  <si>
    <t>Iritis</t>
  </si>
  <si>
    <t>Thyreoiditis</t>
  </si>
  <si>
    <t>Acitretin (Schuppenflechte)</t>
  </si>
  <si>
    <t>Tetrazepam (Muskelrelaxtanz)</t>
  </si>
  <si>
    <t>Telithromycin (Antibiotikum)</t>
  </si>
  <si>
    <t>Urea-Salbe (gegen trockene Haut)</t>
  </si>
  <si>
    <t>Calciumcarbonat, Coleccalciferol (Schutz vor Krämpfen)</t>
  </si>
  <si>
    <t>Magaldrat (Magenschutz)</t>
  </si>
  <si>
    <t>Mephensin (Muskelrelaxtant)</t>
  </si>
  <si>
    <t>"Blutdrucktablette"</t>
  </si>
  <si>
    <t>Dosis (Tbl./Verabreichung)</t>
  </si>
  <si>
    <t>Hyperlipidämie</t>
  </si>
  <si>
    <t>Arthralgie</t>
  </si>
  <si>
    <t>Diarrhoe, Durchfall</t>
  </si>
  <si>
    <t>Zervikalsyndrom </t>
  </si>
  <si>
    <t>Arthrose</t>
  </si>
  <si>
    <t>Appetitlosigkeit</t>
  </si>
  <si>
    <t>degenerative Wirbelsäulenerkrankung</t>
  </si>
  <si>
    <t>Asthenie, Kraftlosigkeit</t>
  </si>
  <si>
    <t>oberes Adbomen</t>
  </si>
  <si>
    <t>virale Infektion</t>
  </si>
  <si>
    <t>Völlegefühl</t>
  </si>
  <si>
    <t>Skoliose</t>
  </si>
  <si>
    <t>Perikarderguss</t>
  </si>
  <si>
    <t>Pleuritis</t>
  </si>
  <si>
    <t>Ergocalciferol, Calciumphosphat, Calciumsodiumlactat (Osteoporose)</t>
  </si>
  <si>
    <t>Etidronat Disodium (Bisphosphonat)</t>
  </si>
  <si>
    <t>Fumarate (Clemastinhydrogenfumarat) (Juckreiz)</t>
  </si>
  <si>
    <t>Lansoprazol (Magenschutz)</t>
  </si>
  <si>
    <t>Trimetobenzymid (Übelkeit)</t>
  </si>
  <si>
    <t>Hydrotalcit (Magenschutz)</t>
  </si>
  <si>
    <t>Hydrochlorothiazid (Diuretikum)</t>
  </si>
  <si>
    <t>Mesalazin (Gastritis)</t>
  </si>
  <si>
    <t>Molsidomin (Angina pectoris)</t>
  </si>
  <si>
    <t>Moxonidin (Hypertonie)</t>
  </si>
  <si>
    <t>Nitrendipin (Hypertonie)</t>
  </si>
  <si>
    <t>Alkohol</t>
  </si>
  <si>
    <t>Rosuvastatin (Statin)</t>
  </si>
  <si>
    <t>Fluvastatin (Statin)</t>
  </si>
  <si>
    <t>Fosinopril (Hypertonie)</t>
  </si>
  <si>
    <t>Pravastatin (Statin)</t>
  </si>
  <si>
    <t>Fluoxetin (Antidepressivum)</t>
  </si>
  <si>
    <t>Flucloxacillin (Antibiotikum)</t>
  </si>
  <si>
    <t>Hydromorphon hydrochlorid (Opioid)</t>
  </si>
  <si>
    <t>Sulfasalazin (Cholitis ulcerosa)</t>
  </si>
  <si>
    <t>Risperidon (Psychopharmakum)</t>
  </si>
  <si>
    <t>Lithiumcarbonat (Antidepressivum)</t>
  </si>
  <si>
    <t>Fluspirilene (Psychopharmakum)</t>
  </si>
  <si>
    <t>Diät</t>
  </si>
  <si>
    <t>Sarkoidose</t>
  </si>
  <si>
    <t>Polyarthritis</t>
  </si>
  <si>
    <t>thefe Beinvenenthrombose</t>
  </si>
  <si>
    <t>spastische Parese</t>
  </si>
  <si>
    <t>reduzierter Allgemeinzustand</t>
  </si>
  <si>
    <t>Kammerflimmern</t>
  </si>
  <si>
    <t>QT-Verlänerung</t>
  </si>
  <si>
    <t>Atemnot, Luftnot, Dyspnoe</t>
  </si>
  <si>
    <t>rectale Blutung</t>
  </si>
  <si>
    <t>gastrointestinale Blutung</t>
  </si>
  <si>
    <t>Cholitis ulcerosa</t>
  </si>
  <si>
    <t>ischämische Herzerkrankung</t>
  </si>
  <si>
    <t>Krampfanfall</t>
  </si>
  <si>
    <t>Blutdruckabfall</t>
  </si>
  <si>
    <t>Herzklopfen</t>
  </si>
  <si>
    <t>Herzrasen</t>
  </si>
  <si>
    <t>Karpaltunnelsyndrom</t>
  </si>
  <si>
    <t>Nebennierenversagen</t>
  </si>
  <si>
    <t>Systemisches inflammatorisches Response-Syndrom (SIRS)</t>
  </si>
  <si>
    <t>Drogenabusus</t>
  </si>
  <si>
    <t>Bauchschmerzen, epigastische Schmerzen,unteres Abdomen</t>
  </si>
  <si>
    <t>Depression</t>
  </si>
  <si>
    <t>Refluxoesophagitis</t>
  </si>
  <si>
    <t>Fettleber (=Steatosis hepatis)</t>
  </si>
  <si>
    <t>Dyslipidämie</t>
  </si>
  <si>
    <t>Essstörung</t>
  </si>
  <si>
    <t>Ulcus ventriculi</t>
  </si>
  <si>
    <t>Coxarthritis</t>
  </si>
  <si>
    <t>Diverticulitis</t>
  </si>
  <si>
    <t>Myogelose (=Muskelverhärtung)</t>
  </si>
  <si>
    <t>Hallux valgus (=Ballenzeh)</t>
  </si>
  <si>
    <t>Hyperhidrose/Schwitzen/ Schweißausbruch/ Nachtschweiß</t>
  </si>
  <si>
    <t>(chronische) Rückenschmerzen</t>
  </si>
  <si>
    <t>klimakterische Symptome</t>
  </si>
  <si>
    <t>Stuhl teerartig</t>
  </si>
  <si>
    <t>stumpfes Bauch-Trauma</t>
  </si>
  <si>
    <t>Darm-Krankheiten</t>
  </si>
  <si>
    <t>Gonarthritis</t>
  </si>
  <si>
    <t>Pyelonephritis</t>
  </si>
  <si>
    <t>Aortenvitium</t>
  </si>
  <si>
    <t>Osteochondrose</t>
  </si>
  <si>
    <t>AP-4 Tage vor Krankheitsbeginn</t>
  </si>
  <si>
    <t>AP-d5w3</t>
  </si>
  <si>
    <t>AP-d4w3</t>
  </si>
  <si>
    <t>AP-5 Tage vor Krankheitsbeginn</t>
  </si>
  <si>
    <t>AP-d4w2</t>
  </si>
  <si>
    <t>AP-13 Tage vor Krankheitsbeginn</t>
  </si>
  <si>
    <t>AP-14 Tage vor Krankheitsbeginn</t>
  </si>
  <si>
    <t xml:space="preserve">Bilirubin-12 Tage vor Krankheitsbeginn </t>
  </si>
  <si>
    <t>Cholinesterase-d7</t>
  </si>
  <si>
    <t>Cholinesterase-d3w1</t>
  </si>
  <si>
    <t>Cholinesterase-d5w1</t>
  </si>
  <si>
    <t>Cholinesterase-d2</t>
  </si>
  <si>
    <t>GGT-5 Tage vor Krankheitsbeginn</t>
  </si>
  <si>
    <t>GGT-6 Tage vor Krankheitsbeginn</t>
  </si>
  <si>
    <t>GGT-12 Tage vor Krankheitsbeginn</t>
  </si>
  <si>
    <t>LDH-d5w1</t>
  </si>
  <si>
    <t>LDH-13 Tage vor Krankheitsbeginn (u\l)</t>
  </si>
  <si>
    <t>PTT-d5w1</t>
  </si>
  <si>
    <t>PTT-d3w2</t>
  </si>
  <si>
    <t>PTT-5 Tage vor Krankheitsbeginn</t>
  </si>
  <si>
    <t>PTT-4 Tage vor Krankheitsbeginn</t>
  </si>
  <si>
    <t>PTT-d5</t>
  </si>
  <si>
    <t>PTT-6 Tage vor Krankheitsbeginn</t>
  </si>
  <si>
    <t>PTT-7 Tage vor Krankheitsbeginn</t>
  </si>
  <si>
    <t>GOT-d4w3</t>
  </si>
  <si>
    <t>GOT-13 Tage vor Krankheitsbeginn</t>
  </si>
  <si>
    <t>GOT-12 Tage vor Krankheitsbeginn</t>
  </si>
  <si>
    <t>GOT-4 Tage vor Krankheitsbeginn</t>
  </si>
  <si>
    <t>GPT-13 Tage vor Krankheitsbeginn</t>
  </si>
  <si>
    <t>GPT-5 Tage vor Krankheitsbeginn</t>
  </si>
  <si>
    <t>GPT-4 Tage vor Krankheitsbeginn</t>
  </si>
  <si>
    <t>Quick-d5w1</t>
  </si>
  <si>
    <t>Kreatinin-d4w0m1</t>
  </si>
  <si>
    <t>Kreatinin-d3w0m1</t>
  </si>
  <si>
    <t>Kreatinin- (mg/dl) d1w0m1</t>
  </si>
  <si>
    <t>GOT-d5w0m1</t>
  </si>
  <si>
    <t>GOT-d4w2m2</t>
  </si>
  <si>
    <t>GPT-d5w0m1</t>
  </si>
  <si>
    <t>GPT-d4w2m2</t>
  </si>
  <si>
    <t>Ap-d5w0m1</t>
  </si>
  <si>
    <t>Ap-d4w0m1</t>
  </si>
  <si>
    <t>GGT-d5w0m1</t>
  </si>
  <si>
    <t>PTT-d4w0m1</t>
  </si>
  <si>
    <t>Kalium-d5w1</t>
  </si>
  <si>
    <t>Kalium-d6w1</t>
  </si>
  <si>
    <t>Kalium-d4w0m1</t>
  </si>
  <si>
    <t>Natrium-d5w1</t>
  </si>
  <si>
    <t>Natrium-d6w1</t>
  </si>
  <si>
    <t>Natrium-d4w0m1</t>
  </si>
  <si>
    <t>Amylase-d5w0m1</t>
  </si>
  <si>
    <t>Lipase-d5w0m1</t>
  </si>
  <si>
    <t>Bilirubin-d4w0m1</t>
  </si>
  <si>
    <t>Bilirubin-d5w0m1</t>
  </si>
  <si>
    <t>Bilirubin-d4w2m2</t>
  </si>
  <si>
    <t>Quick-d6w1</t>
  </si>
  <si>
    <t>Quick-d4w0m1</t>
  </si>
  <si>
    <t>Harnstoff-d1w0m1</t>
  </si>
  <si>
    <t>Harnstoff-d4w0m1</t>
  </si>
  <si>
    <t>Trhombozyten-d4w0m1</t>
  </si>
  <si>
    <t>GGT-9 Tage vor Krankheitsbeginn</t>
  </si>
  <si>
    <t>MCV-9 Tage vor Krankheitsbeginn</t>
  </si>
  <si>
    <t>GOT-6 Tage vor Krankheitsbeginn</t>
  </si>
  <si>
    <t>GPT-6 Tage vor Krankheitsbeginn</t>
  </si>
  <si>
    <t>Hb-d4w2</t>
  </si>
  <si>
    <t>Lipase-d4w2</t>
  </si>
  <si>
    <t>Ammoniak-d1 (umol/l)</t>
  </si>
  <si>
    <t>Ammoniak-Datum unbekannt</t>
  </si>
  <si>
    <t>Lactat-d1 (mmol/l)</t>
  </si>
  <si>
    <t>Lactat-Datum unbekannt</t>
  </si>
  <si>
    <t>Ammoniak-d2</t>
  </si>
  <si>
    <t>Lactat-d2</t>
  </si>
  <si>
    <t>Leukozyten-11 Tage vor Krankheitsbeginn</t>
  </si>
  <si>
    <t>CRP-11 Tage vor Krankheitsbeginn</t>
  </si>
  <si>
    <t>Lymphozyten-11 Tage vor Krankheitsbeginn</t>
  </si>
  <si>
    <t>Monozyten-11 Tage vor Krankheitsbeginn</t>
  </si>
  <si>
    <t>Eosinophile Granuloyzten-11 Tage vor Krankheitsbeginn</t>
  </si>
  <si>
    <t>Basophile Granulozyten-11 Tage vor Krankheisbeginn</t>
  </si>
  <si>
    <t>Erythrozyten-11 Tage vor Krankheitsbeginn</t>
  </si>
  <si>
    <t>Hb-11 Tage vor Krankheitsbeginn</t>
  </si>
  <si>
    <t>Hämatokrit (HTK, HK)-11 Tage vor Krankheitsbeginn</t>
  </si>
  <si>
    <t>MCV-11 Tage vor Krankheitsbeginn</t>
  </si>
  <si>
    <t>MCH-11 Tage vor Krankheitsbeginn</t>
  </si>
  <si>
    <t>MCHC-11 Tage vor Krankheitsbeginn</t>
  </si>
  <si>
    <t>Thrombozyten-11 Tage vor Krankheitsbeginn</t>
  </si>
  <si>
    <t>Reticulozyten-11 Tage vor Krankheisbeginn</t>
  </si>
  <si>
    <t>Natrium-11 Tage vor Krankheitsbeginn (mmol/l)</t>
  </si>
  <si>
    <t>Kalium-11 Tage vor Krankheitsbeginn</t>
  </si>
  <si>
    <t>Kalzium-11 Tage vor Krankheitsbeginn</t>
  </si>
  <si>
    <t>Magnesium-11 Tage vor Krankheitsbeginn</t>
  </si>
  <si>
    <t>Kreatinin-11 Tage vor Krankheitsbeginn</t>
  </si>
  <si>
    <t>Glucose-11 Tage vor Krankheitsbeginn (mg/dl)</t>
  </si>
  <si>
    <t>Gesamteiweiß-11 Tage vor Kranknheitsbeginn</t>
  </si>
  <si>
    <t>Harnsäure-11 Tage vor Krankheitsbeginn</t>
  </si>
  <si>
    <t xml:space="preserve">Bilirubin-11 Tage vor Krankheitsbeginn </t>
  </si>
  <si>
    <t>GOT-11 Tage vor Krankheitsbeginn</t>
  </si>
  <si>
    <t>GPT-11 Tage vor Krankheitsbeginn</t>
  </si>
  <si>
    <t>GGT-11 Tage vor Krankheitsbeginn</t>
  </si>
  <si>
    <t>Cholinesterase-11 Tage vor Krankheitsbeginn</t>
  </si>
  <si>
    <t>Serum-Eisen-11 Tage vor Krankheitsbeginn</t>
  </si>
  <si>
    <t>Magnesium-d4</t>
  </si>
  <si>
    <t>MCV-d3</t>
  </si>
  <si>
    <t>Basophile Granulozyten-d3</t>
  </si>
  <si>
    <t>Eosinophile Granuloyzten-d3</t>
  </si>
  <si>
    <t>Neutrophile (Segment-/Stabkernige)-Datum unbekannt (%)</t>
  </si>
  <si>
    <t>Chlorid-Datum unbekannt</t>
  </si>
  <si>
    <t>Cholinesterase (Che)-d1 (u/l)</t>
  </si>
  <si>
    <t>Interleukin 6 - d1 (pg/ml)</t>
  </si>
  <si>
    <t>TNF-alpha-d1 (Pg/ml)</t>
  </si>
  <si>
    <t>Glucose-8 Tage vor Krankheitsbeginn (mg/dl)</t>
  </si>
  <si>
    <t>Lactat-8 Tage vor Krankheitsbeginn (mmol/l)</t>
  </si>
  <si>
    <t>Natrium-8 Tage vor Krankheitsbeginn</t>
  </si>
  <si>
    <t>Natrium-7 Tage vor Krankheitsbeginn</t>
  </si>
  <si>
    <t>Natrium-5 Tage vor Krankheitsbeginn</t>
  </si>
  <si>
    <t>Kalium-8 Tage vor Krankheitsbeginn</t>
  </si>
  <si>
    <t>Kalium-7 Tage vor Krankheitsbeginn</t>
  </si>
  <si>
    <t>Kalium-5 Tage vor Krankheitsbeginn</t>
  </si>
  <si>
    <t>Kalzium-8 Tage vor Krankheitsbeginn</t>
  </si>
  <si>
    <t>Kalzium-7 Tage vor Krankheitsbeginn</t>
  </si>
  <si>
    <t>Kalzium-5 Tage vor Krankheitsbeginn</t>
  </si>
  <si>
    <t>Magnesium-8 Tage vor Krankheitsbeginn</t>
  </si>
  <si>
    <t>Albumin-11 Tage vor Krankheitsbeginn</t>
  </si>
  <si>
    <t>Albumin-8 Tage vor Krankheitsbeginn</t>
  </si>
  <si>
    <t>Harnstoff-11 Tage vor Krankheitsbeginn (mg/dl)</t>
  </si>
  <si>
    <t>Harnstoff-8 Tage vor Krankheitsbeginn (mg/dl)</t>
  </si>
  <si>
    <t>Harnstoff-5 Tage vor Krankheitsbeginn</t>
  </si>
  <si>
    <t>Harnstoff-d7</t>
  </si>
  <si>
    <t>Kreatinin-5 Tage vor Krankheitsbeginn</t>
  </si>
  <si>
    <t>Kreatinin-1 Tage vor Krankheitsbeginn</t>
  </si>
  <si>
    <t>Harnsäure-7 Tage vor Krankheitsbeginn</t>
  </si>
  <si>
    <t>Harnsäure-5 Tage vor Krankheitsbeginn</t>
  </si>
  <si>
    <t>Harnsäure-d7</t>
  </si>
  <si>
    <t>Harnsäure-d2w1</t>
  </si>
  <si>
    <t xml:space="preserve">Bilirubin-8 Tage vor Krankheitsbeginn </t>
  </si>
  <si>
    <t>Phosphat-d1 (mmol/l)</t>
  </si>
  <si>
    <t>Phosphat-Datum unbekannt</t>
  </si>
  <si>
    <t>Phosphat-8 Tage vor Krankheitsbeginn</t>
  </si>
  <si>
    <t>AP-11 Tage vor Krankheitsbeginn</t>
  </si>
  <si>
    <t>Cholinesterase-d2w1</t>
  </si>
  <si>
    <t>Quick-8 Tage vor Krankheitsbeginn</t>
  </si>
  <si>
    <t>INR-8 Tage vor Krankheitsbeginn</t>
  </si>
  <si>
    <t>PTT-8 Tage vor Krankheitsbeginn</t>
  </si>
  <si>
    <t>Leukozyten-5 Tage vor Krankheitsbeginn</t>
  </si>
  <si>
    <t>Erythrozyten-5 Tage vor Krankheitsbeginn</t>
  </si>
  <si>
    <t>Erythrozyten
-d7</t>
  </si>
  <si>
    <t>Hämatokrit (HTK, HK)-5 Tage vor Krankheitsbeginn</t>
  </si>
  <si>
    <t>MCV-8 Tage vor Krankheitsbeginn</t>
  </si>
  <si>
    <t>MCH-8 Tage vor Krankheitsbeginn</t>
  </si>
  <si>
    <t>MCHC-8 Tage vor Krankheitsbeginn</t>
  </si>
  <si>
    <t>Thrombozyten-5 Tag vor Krankheitsbeginn</t>
  </si>
  <si>
    <t>CRP-5 Tage vor Krankheitsbeginn</t>
  </si>
  <si>
    <t>Lipase-d4</t>
  </si>
  <si>
    <t>Lipase-d1w1</t>
  </si>
  <si>
    <t>0.1111</t>
  </si>
  <si>
    <t>Cholinesterase-d1w1</t>
  </si>
  <si>
    <t xml:space="preserve">Bilirubin-5 Tage vor Krankheitsbeginn </t>
  </si>
  <si>
    <t>GOT-5 Tage vor Krankheitsbeginn</t>
  </si>
  <si>
    <t>LDH-5 Tage vor Krankheitsbeginn</t>
  </si>
  <si>
    <t>Hämatokrit (HTK, HK)-d4w2</t>
  </si>
  <si>
    <t>Lipase-d4w1</t>
  </si>
  <si>
    <t>0.3756</t>
  </si>
  <si>
    <t>Lactat-d5</t>
  </si>
  <si>
    <t>Protein
-d5</t>
  </si>
  <si>
    <t>44.5</t>
  </si>
  <si>
    <t>Kreatinkinase (CPK)-d1 (U/L)</t>
  </si>
  <si>
    <t>Kreatinkinase (CPK)-Datum unbeaknnt (U/L)</t>
  </si>
  <si>
    <t>Kreatinkinase (CPK)-d4 (U/L)</t>
  </si>
  <si>
    <t>Erythrozyten-6 Tage vor Krankheitsbeginn</t>
  </si>
  <si>
    <t>Hb-6 Tage vor Krankheitsbeginn</t>
  </si>
  <si>
    <t>Hb-5 Tage vor Krankheitsbeginn</t>
  </si>
  <si>
    <t>Hämatokrit (HTK, HK)-6 Tage vor Krankheitsbeginn</t>
  </si>
  <si>
    <t>MCV-7 Tage vor Krankheitsbeginn</t>
  </si>
  <si>
    <t>MCV-6 Tage vor Krankheitsbeginn</t>
  </si>
  <si>
    <t>MCH-7 Tage vor Krankheitsbeginn</t>
  </si>
  <si>
    <t>MCH-6 Tage vor Krankheitsbeginn</t>
  </si>
  <si>
    <t>MCHC-7 Tage vor Krankheitsbeginn</t>
  </si>
  <si>
    <t>MCHC-6 Tage vor Krankheitsbeginn</t>
  </si>
  <si>
    <t>Thrombozyten-6 Tage vor Krankheitsbeginn</t>
  </si>
  <si>
    <t>Neutrophile-7 Tage vor Krankheitsbeginn</t>
  </si>
  <si>
    <t>Neutrophile-6 Tage vor Krankheitsbeginn</t>
  </si>
  <si>
    <t>Lymphozyten-7 Tage vor Krankheitsbeginn (%)</t>
  </si>
  <si>
    <t>Lymphozyten-6 Tage vor Krankheitsbeginn (%)</t>
  </si>
  <si>
    <t>Eosinophile Granuloyzten-7 Tage vor Krankheitsbeginn</t>
  </si>
  <si>
    <t>Eosinophile Granuloyzten-6 Tage vor Krankheitsbeginn</t>
  </si>
  <si>
    <t>Basophile Granulozyten-7 Tage vor Krankheisbeginn</t>
  </si>
  <si>
    <t>Basophile Granulozyten-6 Tage vor Krankheisbeginn</t>
  </si>
  <si>
    <t>BSG-7 Tage vor Krankheitsbeginn</t>
  </si>
  <si>
    <t>BSG-d2w1 (mm/h)</t>
  </si>
  <si>
    <t>CRP-6 Tage vor Krankheitsbeginn</t>
  </si>
  <si>
    <t>CRP-3 Tage vor Krankheitsbeginn</t>
  </si>
  <si>
    <t>Quick-7 Tage vor Krankheitsbeginn</t>
  </si>
  <si>
    <t>INR-7 Tage vor Krankheitsbeginn</t>
  </si>
  <si>
    <t>INR-d7</t>
  </si>
  <si>
    <t>Glucose-6 Tage vor Krankheitsbeginn (mg/dl)</t>
  </si>
  <si>
    <t>Kreatinin-6 Tage vor Krankheitsbeginn</t>
  </si>
  <si>
    <t>Harnstoff-6 Tage vor Krankheitsbeginn</t>
  </si>
  <si>
    <t>AP-6 Tage vor Krankheitsbeginn</t>
  </si>
  <si>
    <t>LDH-6 Tage vor Krankheitsbeginn</t>
  </si>
  <si>
    <t xml:space="preserve">Lipase-6 Tage vor Krankheitsbeginn </t>
  </si>
  <si>
    <t xml:space="preserve">Bilirubin-6 Tage vor Krankheitsbeginn </t>
  </si>
  <si>
    <t>Ferritin-7 Tage vor Krankheitsbeginn</t>
  </si>
  <si>
    <t>Erythrozyten-12 Tage vor Krankheitsbeginn</t>
  </si>
  <si>
    <t>Hb-12 Tage vor Krankheitsbeginn</t>
  </si>
  <si>
    <t>Hämatokrit (HTK, HK)-12 Tage vor Krankheitsbeginn</t>
  </si>
  <si>
    <t>MCV-12 Tage vor Krankheitsbeginn</t>
  </si>
  <si>
    <t>MCH-12 Tage vor Krankheitsbeginn</t>
  </si>
  <si>
    <t>MCHC-12 Tage vor Krankheitsbeginn</t>
  </si>
  <si>
    <t>PTT-12 Tage vor Krankheitsbeginn</t>
  </si>
  <si>
    <t>Neutrophile-12 Tage vor Krankheitsbeginn</t>
  </si>
  <si>
    <t>Lymphozyten-12 Tage vor Krankheitsbeginn</t>
  </si>
  <si>
    <t>Eosinophile Granuloyzten-12 Tage vor Krankheitsbeginn</t>
  </si>
  <si>
    <t>Basophile Granulozyten-12 Tage vor Krankheisbeginn</t>
  </si>
  <si>
    <t>BSG-12 Tage vor Krankheitsbeginn</t>
  </si>
  <si>
    <t>CRP-12 Tage vor Krankheitsbeginn</t>
  </si>
  <si>
    <t>CRP-8 Tage vor Krankheitsbeginn</t>
  </si>
  <si>
    <t>Quick-12 Tage vor Krankheitsbeginn</t>
  </si>
  <si>
    <t>INR-12 Tage vor Krankheitsbeginn</t>
  </si>
  <si>
    <t>Thrombozyten-12 Tage vor Krankheitsbeginn</t>
  </si>
  <si>
    <t>Kalium-12 Tage vor Krankheitsbeginn</t>
  </si>
  <si>
    <t>Kalzium-12 Tage vor Krankheitsbeginn</t>
  </si>
  <si>
    <t>Kreatinin-12 Tage vor Krankheitsbeginn</t>
  </si>
  <si>
    <t>AP-12 Tage vor Krankheitsbeginn</t>
  </si>
  <si>
    <t>GOT-8 Tage vor Krankheitsbeginn</t>
  </si>
  <si>
    <t>GPT-12 Tage vor Krankheitsbeginn</t>
  </si>
  <si>
    <t>GPT-8 Tage vor Krankheitsbeginn</t>
  </si>
  <si>
    <t>GGT-4 Tage vor Krankheitsbeginn</t>
  </si>
  <si>
    <t>LDH-12 Tage vor Krankheitsbeginn (u\l)</t>
  </si>
  <si>
    <t xml:space="preserve">Bilirubin-4 Tage vor Krankheitsbeginn </t>
  </si>
  <si>
    <t>Ferritin-12 Tage vor Krankheitsbeginn</t>
  </si>
  <si>
    <t>Ferritin-d1 (ug/l)</t>
  </si>
  <si>
    <t>Gesamteiweiß-2 Tage vor Kranknheitsbeginn</t>
  </si>
  <si>
    <t>AP-2 Tage vor Krankheitsbeginn</t>
  </si>
  <si>
    <t xml:space="preserve">Amylase-2 Tage vor Krankheitsbeginn </t>
  </si>
  <si>
    <t>Kalium-2 Tage vor Krankheitsbeginn</t>
  </si>
  <si>
    <t>Natrium-2 Tage vor Krankheitsbeginn</t>
  </si>
  <si>
    <t>Hb-2 Tage vor Krankheitsbeginn</t>
  </si>
  <si>
    <t>MCV-2 Tage vor Krankheitsbeginn</t>
  </si>
  <si>
    <t>MCH-2 Tage vor Krankheitsbeginn</t>
  </si>
  <si>
    <t>Glucose-2 Tage vor Krankheitsbeginn (mg/dl)</t>
  </si>
  <si>
    <t>PTT-2 Tage vor Krankheitsbeginn</t>
  </si>
  <si>
    <t>Chlorid-d2</t>
  </si>
  <si>
    <t>Eukalyptusöl, Süßorangenöl, Myrtenöl und Zitronenöl (Atemwegsinfektionen)</t>
  </si>
  <si>
    <t>Salbutamol sulfat (obstruktive Lungenerkrankung)</t>
  </si>
  <si>
    <t>Trimipramin Maleate (Antidepressivum)</t>
  </si>
  <si>
    <t>Olanzapin (Psychose)</t>
  </si>
  <si>
    <t>Paroxetin (Antidepressivum)</t>
  </si>
  <si>
    <t>Promazin (Neuroleptikum)</t>
  </si>
  <si>
    <t>Allobarbital, Aminophenazon, Drofenin (Sedativum)</t>
  </si>
  <si>
    <t>Filgrastim (Wachstumsfaktor für weiße Blutkörperchen)</t>
  </si>
  <si>
    <t>Dosis (ug/ Verabreichung)</t>
  </si>
  <si>
    <t>Cefotiam (Antibiotikum)</t>
  </si>
  <si>
    <t>Metronidazol (Antibiotikum)</t>
  </si>
  <si>
    <t>Dienogest, ethinylestradiol (Antikonvulsativum)</t>
  </si>
  <si>
    <t>Desfluran (Inhalationsanästhetikum)</t>
  </si>
  <si>
    <t>Reserpin, Clopamid (Diuretikum)</t>
  </si>
  <si>
    <t>Sorbitol (Abführmittel)</t>
  </si>
  <si>
    <t>Pancuronium (Muskellähmung)</t>
  </si>
  <si>
    <t>Carvedilol (Hypertonie)</t>
  </si>
  <si>
    <t>Bromhexin (Schleimlösend, Hustenstillend)</t>
  </si>
  <si>
    <t>Escitalopram oxalat (Psychopharmakum)</t>
  </si>
  <si>
    <t>Lamotrigin (Antiepileptikum)</t>
  </si>
  <si>
    <t>Oxcarbazepin (Antiepileptikum)</t>
  </si>
  <si>
    <t>Etomidat (Schlafmittel)</t>
  </si>
  <si>
    <t>Sevofluran (Inhalationsanästhetikum)</t>
  </si>
  <si>
    <t>inhalativ.</t>
  </si>
  <si>
    <t>Miller-Fisher-Syndrom</t>
  </si>
  <si>
    <t>Hashimoto-Thyreoiditis</t>
  </si>
  <si>
    <t>Cholecystitis</t>
  </si>
  <si>
    <t>Stoffwechselentgleisung</t>
  </si>
  <si>
    <t>Benommenheit, Solomnenz</t>
  </si>
  <si>
    <t>Lumbago</t>
  </si>
  <si>
    <t>emotional instabile Persönlichkeitsstörung</t>
  </si>
  <si>
    <t>Annorexie</t>
  </si>
  <si>
    <t>Fibromyalgiesyndrom</t>
  </si>
  <si>
    <t>Kachexie</t>
  </si>
  <si>
    <t>grippeähnliche Symptome</t>
  </si>
  <si>
    <t>untere Thoraxregion</t>
  </si>
  <si>
    <t>peripher</t>
  </si>
  <si>
    <t>Schnupfen</t>
  </si>
  <si>
    <t>Myopathie</t>
  </si>
  <si>
    <t>Rectumkarzinom</t>
  </si>
  <si>
    <t>Blasenekstrophie</t>
  </si>
  <si>
    <t>Bluttransfusion</t>
  </si>
  <si>
    <t>Gelbsucht, Ikterus, Jaundice</t>
  </si>
  <si>
    <t>Acute Respiratory Distress Syndrome</t>
  </si>
  <si>
    <t>Haemothorax</t>
  </si>
  <si>
    <t>Tenesmus, Stuhlzwang</t>
  </si>
  <si>
    <t>akuter Myokardinfarkt</t>
  </si>
  <si>
    <t>koronarer Stent</t>
  </si>
  <si>
    <t>Hodenkarzinom</t>
  </si>
  <si>
    <t>Hyperproteinämie</t>
  </si>
  <si>
    <t>chronische Pankreatitis</t>
  </si>
  <si>
    <t>infantiler Gehirnschaden</t>
  </si>
  <si>
    <t>Pertussis (Keuchhusten)</t>
  </si>
  <si>
    <t>epileptischer Anfall</t>
  </si>
  <si>
    <t>(art.) Hypertonie</t>
  </si>
  <si>
    <t>Lungenfibrose</t>
  </si>
  <si>
    <t>Basilaristhrombose</t>
  </si>
  <si>
    <t>Schlaganfall, Apoplex</t>
  </si>
  <si>
    <t>Z.n. Herzinfarkt</t>
  </si>
  <si>
    <t>Larynxkarzinom</t>
  </si>
  <si>
    <t>COPD</t>
  </si>
  <si>
    <t>Oberschenkelfraktur</t>
  </si>
  <si>
    <t>Laryngektomie</t>
  </si>
  <si>
    <t>GPT- (u\l) d2w3m1</t>
  </si>
  <si>
    <t>GPT- (u\l) d3w2m3</t>
  </si>
  <si>
    <t>GPT- (u\l) d7w1m5</t>
  </si>
  <si>
    <t>GOT-d2w3m1</t>
  </si>
  <si>
    <t>GOT- (u\l) d3w2m3</t>
  </si>
  <si>
    <t>GOT- (u\l) d7w1m5</t>
  </si>
  <si>
    <t>Ap-d2w3m1</t>
  </si>
  <si>
    <t>Ap- (u/l) d7w1m5</t>
  </si>
  <si>
    <t>Bilirubin-d2w3m1</t>
  </si>
  <si>
    <t>Bilirubin-d7w1m5</t>
  </si>
  <si>
    <t>Albumin-d6w1</t>
  </si>
  <si>
    <t>INR-d6w1</t>
  </si>
  <si>
    <t>Kreatinin-d5w0m1</t>
  </si>
  <si>
    <t>CRP- (mg/l) d5w0m1</t>
  </si>
  <si>
    <t>Bilirubin-d5w2m1</t>
  </si>
  <si>
    <t>Bilirubin- (mg/dl) d6w1m3</t>
  </si>
  <si>
    <t>Bilirubin-d5w2m2</t>
  </si>
  <si>
    <t>Bilirubin-d6w1m3</t>
  </si>
  <si>
    <t>Kreatinin-d5w2m2</t>
  </si>
  <si>
    <t>CRP- (mg/l) d5w2w2</t>
  </si>
  <si>
    <t>GOT-d5w2m1</t>
  </si>
  <si>
    <t>GOT-d5w2m2</t>
  </si>
  <si>
    <t>GOT- (u\l) d6w1m3</t>
  </si>
  <si>
    <t>GPT- (u\l) d5w2m1</t>
  </si>
  <si>
    <t>GPT-d5w2m2</t>
  </si>
  <si>
    <t>GPT- (u\l) d6w1m3</t>
  </si>
  <si>
    <t>GGT- (u\l) d5w2m1</t>
  </si>
  <si>
    <t>GGT-d5w2m2</t>
  </si>
  <si>
    <t>GGT- (u\l) d6w1m3</t>
  </si>
  <si>
    <t>Ap-d5w2m1</t>
  </si>
  <si>
    <t>Ap-d5w2m2</t>
  </si>
  <si>
    <t>Ap- (u/l) d6w1m3</t>
  </si>
  <si>
    <t>Cholinesterase-d5w0m1</t>
  </si>
  <si>
    <t>Cholinesterase-d5w2m1</t>
  </si>
  <si>
    <t>Cholinesterase- (u/l) d5w2m2</t>
  </si>
  <si>
    <t>Cholinesterase- (u/l) d6w1m3</t>
  </si>
  <si>
    <t>Serum-Eisen-d5w0m1</t>
  </si>
  <si>
    <t>Serum-Eisen-d5w2m2</t>
  </si>
  <si>
    <t>Quick-d5w0m1</t>
  </si>
  <si>
    <t>Quick-d5w2m1</t>
  </si>
  <si>
    <t>Quick-d5w2m2</t>
  </si>
  <si>
    <t>Quick-d6w1m3</t>
  </si>
  <si>
    <t>INR-d6w0m1</t>
  </si>
  <si>
    <t>INR-d5w0m1</t>
  </si>
  <si>
    <t>INR-d5w2m1</t>
  </si>
  <si>
    <t>INR-d5w2m2</t>
  </si>
  <si>
    <t>INR-d6w1m3</t>
  </si>
  <si>
    <t>PTT-d5w0m1</t>
  </si>
  <si>
    <t>PTT-d5w2m1</t>
  </si>
  <si>
    <t>PTT-d5w2m2</t>
  </si>
  <si>
    <t>PTT-d6w1m3</t>
  </si>
  <si>
    <t>Glucose-d5w0m1</t>
  </si>
  <si>
    <t>Glucose-d5w2m1</t>
  </si>
  <si>
    <t>Glucose-d5w2m2</t>
  </si>
  <si>
    <t>Bilirubin- (mg/dl) d7</t>
  </si>
  <si>
    <t>Cholinesterase- (u/l) d1w2</t>
  </si>
  <si>
    <t>GGT- (u\l) d4w2m1</t>
  </si>
  <si>
    <t>GGT-d4w1m2</t>
  </si>
  <si>
    <t>Hämatokrit (HTK, HK)-d4w3</t>
  </si>
  <si>
    <t>Serum-Eisen-d1w2</t>
  </si>
  <si>
    <t>MCH-d4w3</t>
  </si>
  <si>
    <t>MCHC- (g/dl) d4w3</t>
  </si>
  <si>
    <t>MCV-d4w3</t>
  </si>
  <si>
    <t>GOT-d4w1m2</t>
  </si>
  <si>
    <t>GPT-d4w3</t>
  </si>
  <si>
    <t>GPT-d4w1m2</t>
  </si>
  <si>
    <t>Leukozyten-d4w3</t>
  </si>
  <si>
    <t>138.6</t>
  </si>
  <si>
    <t>GGT-d3w3</t>
  </si>
  <si>
    <t>Kalzium- (mmol/l) d4w1</t>
  </si>
  <si>
    <t>Kalzium-d3w3</t>
  </si>
  <si>
    <t>Chlorid-d3w3</t>
  </si>
  <si>
    <t>Hämatokrit (HTK, HK)-d3w3</t>
  </si>
  <si>
    <t>BSG-d4w1 (mm/h)</t>
  </si>
  <si>
    <t>Gesamteiweiß-d4w1</t>
  </si>
  <si>
    <t>Gesamteiweiß-d3w3</t>
  </si>
  <si>
    <t>Albumin-d3w3</t>
  </si>
  <si>
    <t>GPT-1 Tag vor Krankheitsbeginn</t>
  </si>
  <si>
    <t>GOT-1 Tag vor Krankheitsbeginn</t>
  </si>
  <si>
    <t>619.8</t>
  </si>
  <si>
    <t>GPT-d6w3</t>
  </si>
  <si>
    <t>GOT-d6w3</t>
  </si>
  <si>
    <t>Ap-d3w2m1</t>
  </si>
  <si>
    <t>Ap-d7w3m1</t>
  </si>
  <si>
    <t>Bilirubin-d7w1m1</t>
  </si>
  <si>
    <t>Bilirubin-d3w2m1</t>
  </si>
  <si>
    <t>Bilirubin-d7w2m1</t>
  </si>
  <si>
    <t>Bilirubin-d3w3m1</t>
  </si>
  <si>
    <t>Bilirubin-d7w3m1</t>
  </si>
  <si>
    <t>GGT- (u\l) d3w2m1</t>
  </si>
  <si>
    <t>GGT- (u\l) d7w3m1</t>
  </si>
  <si>
    <t>GOT-d3w2m1</t>
  </si>
  <si>
    <t>GOT-d7w2m1</t>
  </si>
  <si>
    <t>GOT-d3w3m1</t>
  </si>
  <si>
    <t>GOT-d7w3m1</t>
  </si>
  <si>
    <t>GPT- (u\l) d3w2m1</t>
  </si>
  <si>
    <t>GPT- (u\l) d7w2m1</t>
  </si>
  <si>
    <t>GPT- (u\l) d3w3m1</t>
  </si>
  <si>
    <t>GPT- (u\l) d7w3m1</t>
  </si>
  <si>
    <t>Lipase-d5w2m1</t>
  </si>
  <si>
    <t>Lipase-d7w3m1</t>
  </si>
  <si>
    <t>GPT- (u\l) d4w2m1</t>
  </si>
  <si>
    <t>175.2</t>
  </si>
  <si>
    <t>CRP-d4w2</t>
  </si>
  <si>
    <t>Hb-14 Tage vor Krankheitsbeginn</t>
  </si>
  <si>
    <t>Leukozyten-6 Tage vor Krankheitsbeginn</t>
  </si>
  <si>
    <t>INR-2 Tage vor Krankheitsbeginn</t>
  </si>
  <si>
    <t>Kalzium-2 Tage vor Krankheitsbeginn</t>
  </si>
  <si>
    <t>GOT-d1w2m1</t>
  </si>
  <si>
    <t>Glomäruläre Filtrationsrate (GFR)-d1 (ml/min)</t>
  </si>
  <si>
    <t>GFR-Datum unbekannt</t>
  </si>
  <si>
    <t>GPT-d1w1m1</t>
  </si>
  <si>
    <t>GPT-d5w1m1</t>
  </si>
  <si>
    <t>GOT-d5w1m1</t>
  </si>
  <si>
    <t>Ap-d5w1m1</t>
  </si>
  <si>
    <t>GPT-d3w1m1</t>
  </si>
  <si>
    <t>GPT-d2w0m2</t>
  </si>
  <si>
    <t>GOT-d3w1m1</t>
  </si>
  <si>
    <t>GOT-d2w0m2</t>
  </si>
  <si>
    <t>Ap-d3w1m1</t>
  </si>
  <si>
    <t>Ap-d2w0m2</t>
  </si>
  <si>
    <t>GGT-d2w0m2</t>
  </si>
  <si>
    <t>GGT-d3w1m1</t>
  </si>
  <si>
    <t>CRP-d7w2</t>
  </si>
  <si>
    <t>CRP-d2w3</t>
  </si>
  <si>
    <t>CRP-d7w3</t>
  </si>
  <si>
    <t>Ap-d3w0m1</t>
  </si>
  <si>
    <t>GPT- (u\l) d2w2m1</t>
  </si>
  <si>
    <t>GOT-d4w2m1</t>
  </si>
  <si>
    <t>Bilirubin-d2w0m1</t>
  </si>
  <si>
    <t>GGT- (u\l) d2w2m1</t>
  </si>
  <si>
    <t>GPT-54 Tage vor Krankheitsbeginn</t>
  </si>
  <si>
    <t>GOT-56 Tage vor Krankheitsbeginn</t>
  </si>
  <si>
    <t>Kreatinin-d7w2</t>
  </si>
  <si>
    <t>95.4</t>
  </si>
  <si>
    <t>CRP-d6w1</t>
  </si>
  <si>
    <t>Amylase-d7w2</t>
  </si>
  <si>
    <t>Lipase-d6w1</t>
  </si>
  <si>
    <t>Lipase-d7w2</t>
  </si>
  <si>
    <t>Kalium-d7w2</t>
  </si>
  <si>
    <t>Natrium- (mmol/l) d7w2</t>
  </si>
  <si>
    <t>Kalzium-d3w2</t>
  </si>
  <si>
    <t>Sauerstoffpartialdruck pO2-d1 (mmHg)</t>
  </si>
  <si>
    <t>GPT-d6w0m3</t>
  </si>
  <si>
    <t>GOT-d6w0m3</t>
  </si>
  <si>
    <t>Bilirubin-d6w0m3</t>
  </si>
  <si>
    <t>GPT-28 Tage vor Krankheitsbeginn</t>
  </si>
  <si>
    <t>GOT-26 Tage vor Krankheitsbeginn</t>
  </si>
  <si>
    <t>GGT- (u\l) d6w2m3</t>
  </si>
  <si>
    <t>GOT-d2w1m1</t>
  </si>
  <si>
    <t>GOT- (u\l) d6w2m3</t>
  </si>
  <si>
    <t>GPT-d1w1m2</t>
  </si>
  <si>
    <t>GPT- (u\l) d6w2m3</t>
  </si>
  <si>
    <t>GPT- (u\l) d4w2m5</t>
  </si>
  <si>
    <t>Sildenafil (Viagra)</t>
  </si>
  <si>
    <t>Bosentan (Hypertonie)</t>
  </si>
  <si>
    <t>Encephalopathy</t>
  </si>
  <si>
    <t>Cimicifuga (Wechseljahrbeschwerden)</t>
  </si>
  <si>
    <t>Erythromycin (Antibiotikum)</t>
  </si>
  <si>
    <t>Valaciclovir hydrochlrid (Herpes)</t>
  </si>
  <si>
    <t>Pseudoephedrin (Erklältung)</t>
  </si>
  <si>
    <t>Hyoscin Butylbromid (Parasympathikulytikum)</t>
  </si>
  <si>
    <t>Albumin-d3</t>
  </si>
  <si>
    <t>Lipase-d3w1</t>
  </si>
  <si>
    <t>MCV-d7</t>
  </si>
  <si>
    <t>MCH-d7</t>
  </si>
  <si>
    <t>MCHC-d7</t>
  </si>
  <si>
    <t>Hypokaliämie</t>
  </si>
  <si>
    <t>Toresamid (Diuretikum)</t>
  </si>
  <si>
    <t>Augentropfen</t>
  </si>
  <si>
    <t>Etanercept (Rheumamedikament)</t>
  </si>
  <si>
    <t>Clotrimazol (Antimykotikum)</t>
  </si>
  <si>
    <t>Clonidin (Hypertonie)</t>
  </si>
  <si>
    <t>Telmisartan (Hypertonie)</t>
  </si>
  <si>
    <t>Lormetazepam (Benzodiazepin)</t>
  </si>
  <si>
    <t>Certoparin (Heparin)</t>
  </si>
  <si>
    <t>Valproat (Antikonvulsivum)</t>
  </si>
  <si>
    <t>Indometacin (NSAID)</t>
  </si>
  <si>
    <t>Felodipin (Hypertonie)</t>
  </si>
  <si>
    <t>Pilocarpin (Parasympathikomimetikum)</t>
  </si>
  <si>
    <t>intraocular</t>
  </si>
  <si>
    <t>10mg 3</t>
  </si>
  <si>
    <t>Budesonid, Formoterol (Asthmamedikament)</t>
  </si>
  <si>
    <t>Sitagliptin (Antidiabetikum)</t>
  </si>
  <si>
    <t>Montelukast (Asthmamedikament)</t>
  </si>
  <si>
    <t>Clomethiazol edisilat (Sedativum)</t>
  </si>
  <si>
    <t>Betablocker (gegen Hypertonie)</t>
  </si>
  <si>
    <t>Agemelatin (Antidepressivum)</t>
  </si>
  <si>
    <t>Moxifloxacin (Antibiotikum)</t>
  </si>
  <si>
    <t>Calciumcarbasalat (Schmerzmittel)</t>
  </si>
  <si>
    <t>Agitation, Aufregung</t>
  </si>
  <si>
    <t>Muskelschmerzen (Myalgie)</t>
  </si>
  <si>
    <t>Ophthalmitis</t>
  </si>
  <si>
    <t>Schlaflosigkeit</t>
  </si>
  <si>
    <t>Halluzinationen</t>
  </si>
  <si>
    <t>Hörminderung, Schwerhörigkeit, Hörstörung</t>
  </si>
  <si>
    <t>erhöhter Augeninnendruck</t>
  </si>
  <si>
    <t>Aggressives Verhalten</t>
  </si>
  <si>
    <t>Bewusstlosigkeit</t>
  </si>
  <si>
    <t>Abort</t>
  </si>
  <si>
    <t>Gallensteine</t>
  </si>
  <si>
    <t>Z.n. Strumaktomie</t>
  </si>
  <si>
    <t>Asthma bronchiale</t>
  </si>
  <si>
    <t>Hyperglycämie</t>
  </si>
  <si>
    <t>Handfraktur</t>
  </si>
  <si>
    <t>Fingerabszess</t>
  </si>
  <si>
    <t>postoperative Blutung</t>
  </si>
  <si>
    <t>Wundsekretion</t>
  </si>
  <si>
    <t>erosive Gastritis</t>
  </si>
  <si>
    <t>Aortensklerose</t>
  </si>
  <si>
    <t>Nierenerkrankung</t>
  </si>
  <si>
    <t>Leistenschmerzen</t>
  </si>
  <si>
    <t>Coxarthrose</t>
  </si>
  <si>
    <t>Hypertensive Herzerkrankung</t>
  </si>
  <si>
    <t>Struma</t>
  </si>
  <si>
    <t>chronische Nierenerkrankung</t>
  </si>
  <si>
    <t>Nackenschmerzen</t>
  </si>
  <si>
    <t>Leberzellnekrose</t>
  </si>
  <si>
    <t>allergisches Asthma</t>
  </si>
  <si>
    <t>Gliederschmerzen</t>
  </si>
  <si>
    <t>Leberbiopsie, Sonographie</t>
  </si>
  <si>
    <t>Metabolische Störung</t>
  </si>
  <si>
    <t>Gallenblasenvergrößerung</t>
  </si>
  <si>
    <t>Duodenale Ulcera</t>
  </si>
  <si>
    <t>Hiatushernie</t>
  </si>
  <si>
    <t>Hypertensive Herzkrankheit</t>
  </si>
  <si>
    <t>epitheloidzellige Granulome</t>
  </si>
  <si>
    <t>Gewichtsverlust</t>
  </si>
  <si>
    <t>Koronare Herzkrankheit (KHK)</t>
  </si>
  <si>
    <t>Leber höckerartig</t>
  </si>
  <si>
    <t>Z.n. Cholezystektomie</t>
  </si>
  <si>
    <t>Malleusfraktur</t>
  </si>
  <si>
    <t>Schmerzen allgemein</t>
  </si>
  <si>
    <t>Orientierungslosigkeit</t>
  </si>
  <si>
    <t>Marmorierte Haut</t>
  </si>
  <si>
    <t>Lumbar-Syndrom</t>
  </si>
  <si>
    <t>Dysästhesie</t>
  </si>
  <si>
    <t>Koordinationsstörung</t>
  </si>
  <si>
    <t>Schwindel (Vertigo)</t>
  </si>
  <si>
    <t>venöse Insuffizienz</t>
  </si>
  <si>
    <t>Fußulzeration</t>
  </si>
  <si>
    <t xml:space="preserve">Bilirubin-1 Tage vor Krankheitsbeginn </t>
  </si>
  <si>
    <t xml:space="preserve">Lipase-1 Tag vor Krankheitsbeginn </t>
  </si>
  <si>
    <t>Quick-1 Tag vor Krankheitsbeginn</t>
  </si>
  <si>
    <t>CRP-1 Tage vor Krankheitsbeginn</t>
  </si>
  <si>
    <t>Kreatinin-d4w3m1</t>
  </si>
  <si>
    <t>Harnstoff-d4w3m1</t>
  </si>
  <si>
    <t>GOT-d4w3m1</t>
  </si>
  <si>
    <t>GOT-d5w3m1</t>
  </si>
  <si>
    <t>GOT-d1w0m2</t>
  </si>
  <si>
    <t>GPT- (u\l) d4w3m1</t>
  </si>
  <si>
    <t>GPT- (u\l) d5w3m1</t>
  </si>
  <si>
    <t>GPT-d1w0m2</t>
  </si>
  <si>
    <t>Ap-d4w3m1</t>
  </si>
  <si>
    <t>Ap-d5w3m1</t>
  </si>
  <si>
    <t>Ap-d1w0m2</t>
  </si>
  <si>
    <t>GGT- (u\l) d4w3m1</t>
  </si>
  <si>
    <t>GGT- (u\l) d5w3m1</t>
  </si>
  <si>
    <t>GGT-d1w0m2</t>
  </si>
  <si>
    <t>Quick-d4w3m1</t>
  </si>
  <si>
    <t>INR-d4w3m1</t>
  </si>
  <si>
    <t>PTT-d4w3m1</t>
  </si>
  <si>
    <t>Natrium-d4w3m1</t>
  </si>
  <si>
    <t>Kalium-d4w3m1</t>
  </si>
  <si>
    <t>Kalzium-d4w0m1</t>
  </si>
  <si>
    <t>Leukozyten-d4w3m1</t>
  </si>
  <si>
    <t>MCV- (fl) d4w3m1</t>
  </si>
  <si>
    <t>Trhombozyten-d4w3m1</t>
  </si>
  <si>
    <t>Hb- [g/dl] d4w3m1</t>
  </si>
  <si>
    <t>Hämatokrit (HTK, HK)-d4w3m1</t>
  </si>
  <si>
    <t xml:space="preserve">CK-MB- (U\l) d5w3m1 </t>
  </si>
  <si>
    <t>LDH- (u\l) d5w3m1</t>
  </si>
  <si>
    <t>Albumin-d4w3m1</t>
  </si>
  <si>
    <t>Albumin-d3w1m2</t>
  </si>
  <si>
    <t>Bilirubin-d4w3m1</t>
  </si>
  <si>
    <t>GOT-d3w1m2</t>
  </si>
  <si>
    <t>GPT-d3w1m2</t>
  </si>
  <si>
    <t>GGT-d3w1m2</t>
  </si>
  <si>
    <t>Ap-d3w1m2</t>
  </si>
  <si>
    <t>LDH- (u\l) d3w1m2</t>
  </si>
  <si>
    <t>Quick-d3w1m2</t>
  </si>
  <si>
    <t>LDH- (u\l) d4w3m1</t>
  </si>
  <si>
    <t>Erythrozyten-d3w1m2</t>
  </si>
  <si>
    <t>Hb-d3w1m2</t>
  </si>
  <si>
    <t>Hämatokrit (HTK, HK)- (%) d3w1m2</t>
  </si>
  <si>
    <t>Kreatinin- (mg/dl) d7w1</t>
  </si>
  <si>
    <t>AP-1 Tag vor Krankheitsbeginn</t>
  </si>
  <si>
    <t>Protein-d1 (mg/dl)</t>
  </si>
  <si>
    <t>Bilirubin-64 Tage vor Krankheitsbeginn (mg/dl)</t>
  </si>
  <si>
    <t>Bilirubin-64 Tage vor Krankheitsbeginn</t>
  </si>
  <si>
    <t>Leukozyten 64 Tage vor Krankheitsbeginn</t>
  </si>
  <si>
    <t>Hämatokrit (HTK, HK)-64 Tage vor Krankheitsbeginn (%)</t>
  </si>
  <si>
    <t>LDH-64 Tage vor Krankheitsbeginn (u\l)</t>
  </si>
  <si>
    <t>Kreatinin-64 Tage vor Krankheitsbeginn (mg/dl)</t>
  </si>
  <si>
    <t>Harnsäure-64 Tage vor Krankheitsbeginn</t>
  </si>
  <si>
    <t>Glucose-64 Tage vor Krankheitsbeginn (mg/dl)</t>
  </si>
  <si>
    <t>0.49</t>
  </si>
  <si>
    <t xml:space="preserve">Serum-Eisen-d5 </t>
  </si>
  <si>
    <t>Hb-64 Tage vor Krankheitsbeginn [g/dl]</t>
  </si>
  <si>
    <t>Natrium-1 Tage vor Krankheitsbeginn</t>
  </si>
  <si>
    <t>Kalium-1 Tag vor Krankheitsbeginn</t>
  </si>
  <si>
    <t>Kalzium-1 Tag vor Krankheitsbeginn</t>
  </si>
  <si>
    <t>Magnesium-2 Tage vor Krankheitsbeginn</t>
  </si>
  <si>
    <t>Magnesium-1 Tag vor Krankheitsbeginn</t>
  </si>
  <si>
    <t>Magnesium-d2</t>
  </si>
  <si>
    <t>Phosphat-2 Tage vor Krankheitsbeginn</t>
  </si>
  <si>
    <t>Phosphat-1 Tage vor Krankheitsbeginn</t>
  </si>
  <si>
    <t>Phosphat-d2 (mmol/l)</t>
  </si>
  <si>
    <t>Chlorid-2 Tage vor Krankheitsbeginn</t>
  </si>
  <si>
    <t>Chlorid-1 Tag vor Krankheitsbeginn</t>
  </si>
  <si>
    <t>LDH-1 Tag vor Krankheitsbeginn</t>
  </si>
  <si>
    <t xml:space="preserve">Amylase-3 Tage vor Krankheitsbeginn </t>
  </si>
  <si>
    <t xml:space="preserve">Amylase-1 Tag vor Krankheitsbeginn </t>
  </si>
  <si>
    <t xml:space="preserve">Lipase-3 Tage vor Krankheitsbeginn </t>
  </si>
  <si>
    <t>Glucose-3 Tage vor Krankheitsbeginn (mg/dl)</t>
  </si>
  <si>
    <t>Glucose-1 Tag vor Krankheitsbeginn (mg/dl)</t>
  </si>
  <si>
    <t>Protein-3 Tage vor Krankheitsbeginn (mg/dl)</t>
  </si>
  <si>
    <t>Protein-2 Tage vor Krankheitsbeginn (mg/dl)</t>
  </si>
  <si>
    <t>Protein-1 Tage vor Krankheitsbeginn (mg/dl)</t>
  </si>
  <si>
    <t>Harnsäure-3 Tage vor Krankheitsbeginn</t>
  </si>
  <si>
    <t>Leukozyten-3 Tage vor Krankheitsbeginn</t>
  </si>
  <si>
    <t>Erythrozyten-3 Tage vor Krankheitsbeginn [Erys/ul]</t>
  </si>
  <si>
    <t>Hämatokrit (HTK, HK)-3 Tage vor Krankheitsbeginn (%)</t>
  </si>
  <si>
    <t>MCV-3 Tage vor Krankheitsbeginn</t>
  </si>
  <si>
    <t>MCV-1 Tag vor Krankheitsbeginn</t>
  </si>
  <si>
    <t>MCH-3 Tage vor Krankheitsbeginn</t>
  </si>
  <si>
    <t>MCH-1 Tag vor Krankheitsbeginn</t>
  </si>
  <si>
    <t>MCHC-3 Tage vor Krankheitsbeginn</t>
  </si>
  <si>
    <t>MCHC-2 Tage vor Krankheitsbeginn</t>
  </si>
  <si>
    <t>MCHC-1 Tag vor Krankheitsbeginn</t>
  </si>
  <si>
    <t>Thrombozyten-3 Tage vor Krankheitsbeginn (/mikroliter)</t>
  </si>
  <si>
    <t>Quick-3 Tage vor Krankheitsbeginn</t>
  </si>
  <si>
    <t>INR-3 Tage vor Krankheitsbeginn</t>
  </si>
  <si>
    <t>INR-1 Tag vor Krankheitsbeginn</t>
  </si>
  <si>
    <t>Albumin-1 Tag vor Krankheitsbeginn</t>
  </si>
  <si>
    <t>Albumin-d2</t>
  </si>
  <si>
    <t>Harnstoff-3 Tage vor Krankheitsbeginn</t>
  </si>
  <si>
    <t>Harnstoff-1 Tag vor Krankheitsbeginn</t>
  </si>
  <si>
    <t>Natrium-d7w1</t>
  </si>
  <si>
    <t>Kalium-d7w1</t>
  </si>
  <si>
    <t>Glucose-d1w1</t>
  </si>
  <si>
    <t>GPT-d7w0m1</t>
  </si>
  <si>
    <t>GOT-d7w0m1</t>
  </si>
  <si>
    <t>GGT-d7w0m1</t>
  </si>
  <si>
    <t>Protein-d2 (mg/dl)</t>
  </si>
  <si>
    <t>Protein-d4 (mg/dl)</t>
  </si>
  <si>
    <t>GPT-114 Tage vor Krankheitsbeginn (u\l)</t>
  </si>
  <si>
    <t>GPT-107 Tage vor Krankheitsbeginn (u\l)</t>
  </si>
  <si>
    <t>AP-107 Tage vor Krankheitsbeginn</t>
  </si>
  <si>
    <t>GOT-114 Tage vor Krankheitsbeginn (u\l)</t>
  </si>
  <si>
    <t>GOT-107 Tage vor Krankheitsbeginn (u\l)</t>
  </si>
  <si>
    <t>Bilirubin-107 Tage vor Krankheitsbeginn (mg/dl)</t>
  </si>
  <si>
    <t>GGT-114 Tage vor Krankheitsbeginn (u\l)</t>
  </si>
  <si>
    <t>Ammoniak-d3</t>
  </si>
  <si>
    <t>Ammoniak-d4</t>
  </si>
  <si>
    <t>Ammoniak-d7</t>
  </si>
  <si>
    <t>Leukozyten-48 Tage vor Krankheitsbeginn</t>
  </si>
  <si>
    <t>Leukozyten-27 Tage vor Krankheitsbeginn</t>
  </si>
  <si>
    <t>Neutrophile-48 Tage vor Krankheitsbeginn (%)</t>
  </si>
  <si>
    <t>Neutrophile-9 Tage vor Krankheitsbeginn</t>
  </si>
  <si>
    <t>Erythrozytensedimentationsgeschwindigkeit ESR-d4 (mm/h)</t>
  </si>
  <si>
    <t>Bilirubin-d4w2m1</t>
  </si>
  <si>
    <t>Lipase-d4w0m1</t>
  </si>
  <si>
    <t>Lipase-d4w2m1</t>
  </si>
  <si>
    <t>Ap-d4w2m1</t>
  </si>
  <si>
    <t>Bilirubin-d6w0m1</t>
  </si>
  <si>
    <t>Bilirubin-d2w2m1</t>
  </si>
  <si>
    <t>Bilirubin-d5w3m1</t>
  </si>
  <si>
    <t>GOT-275 Tage vor Krankheitsbeginn (u\l)</t>
  </si>
  <si>
    <t>GPT-275 Tage vor Krankheitsbeginn (u\l)</t>
  </si>
  <si>
    <t>GPT-37 Tage vor Krankheitsbeginn</t>
  </si>
  <si>
    <t>AP-37 Tage vor Krankheitsbeginn</t>
  </si>
  <si>
    <t>GGT-275 Tage vor Krankheitsbeginn (u\l)</t>
  </si>
  <si>
    <t>GGT-37 Tage vor Krankheitsbeginn</t>
  </si>
  <si>
    <t>Quick-37 Tage vor Krankheitsbeginn</t>
  </si>
  <si>
    <t>GPT-30 Tage vor Krankheitsbeginn</t>
  </si>
  <si>
    <t>AP-30 Tage vor Krankheitsbeginn</t>
  </si>
  <si>
    <t>GPT-55 Tage vor Krankheitsbeginn</t>
  </si>
  <si>
    <t>GGT-55 Tage vor Krankheitsbeginn</t>
  </si>
  <si>
    <t>Desogestrel (Antikonvulsativum)</t>
  </si>
  <si>
    <t>Hypericum Extrakt, Johanniskraut-Extrakt (Antidepressivum)</t>
  </si>
  <si>
    <t>Atazanavir (Virostatikum, HIV)</t>
  </si>
  <si>
    <t>Emtricitabin, Tenofovirdisoproxil (Virostaticum, HIV)</t>
  </si>
  <si>
    <t>Ritonavir (Virostatikum, HIV)</t>
  </si>
  <si>
    <t>Pyridostigmin bromid (Myasthenia gravis)</t>
  </si>
  <si>
    <t>400ug</t>
  </si>
  <si>
    <t>Ropinirol (Parkinsonmedikament)</t>
  </si>
  <si>
    <t>Ezetimib (Cholesterinsekner)</t>
  </si>
  <si>
    <t>Brivudin (Herpes)</t>
  </si>
  <si>
    <t>Calciumacetat (Phosphatsenker)</t>
  </si>
  <si>
    <t>Lanthancarbonat (Phosphorsenker)</t>
  </si>
  <si>
    <t>Vancomycin (Antibiotikum)</t>
  </si>
  <si>
    <t>Kaliumhydrogencarbonat (Magenschutz)</t>
  </si>
  <si>
    <t>Etoricoxib (Arthritis)</t>
  </si>
  <si>
    <t>Glyceryl trinitrat (Herzinsuffizienz)</t>
  </si>
  <si>
    <t>Olmesartan medoxomil (Hypertonie)</t>
  </si>
  <si>
    <t>Dosis (Mg/Tag)</t>
  </si>
  <si>
    <t>Sumatriptan (Schmerzmittel)</t>
  </si>
  <si>
    <t>Zinksulfat (Virostatikum)</t>
  </si>
  <si>
    <t>Tiotropiumbromid (obstruktive Lungenerkrankung)</t>
  </si>
  <si>
    <t>Clarithromycin (Antibiotikum)</t>
  </si>
  <si>
    <t>Cromoglicat, Reproterol (allergische Reaktion)</t>
  </si>
  <si>
    <t>Nitrofurantoin (Antibiotikum)</t>
  </si>
  <si>
    <t>Dalteparin (Heparin)</t>
  </si>
  <si>
    <t>Macrogol (gegen Durchfall)</t>
  </si>
  <si>
    <t>Prothipendyl (Neuroleptikum)</t>
  </si>
  <si>
    <t>Einnahme erflogt</t>
  </si>
  <si>
    <t>Alendronsäure (Osteoporose)</t>
  </si>
  <si>
    <t>Interferon beta (Multiple Sklerose)</t>
  </si>
  <si>
    <t>gastrointestinale Hypomotilität</t>
  </si>
  <si>
    <t>Pankreaslipomatose</t>
  </si>
  <si>
    <t>Schenkelblock links</t>
  </si>
  <si>
    <t>pleurale Effusion</t>
  </si>
  <si>
    <t>Lungenfunktionsstörung</t>
  </si>
  <si>
    <t>roter Rachen</t>
  </si>
  <si>
    <t>weiße Zunge</t>
  </si>
  <si>
    <t>Pneumokoniose</t>
  </si>
  <si>
    <t>assistierte Spontanventilation</t>
  </si>
  <si>
    <t>Z.n. Lebertransplantation</t>
  </si>
  <si>
    <t>Andrenales Adenom</t>
  </si>
  <si>
    <t>Halsenge</t>
  </si>
  <si>
    <t>genitale Infektion</t>
  </si>
  <si>
    <t>"Die Pille", Kontrazeptiva, Antikonvulsiva</t>
  </si>
  <si>
    <t>Triesomie 21</t>
  </si>
  <si>
    <t>Abszess</t>
  </si>
  <si>
    <t>Uterusinfektion</t>
  </si>
  <si>
    <t>Kerzkreislaufversagen</t>
  </si>
  <si>
    <t>Hämolyse</t>
  </si>
  <si>
    <t>Z.n. Leberbiopsie</t>
  </si>
  <si>
    <t>transiente Psychose</t>
  </si>
  <si>
    <t>Bypass</t>
  </si>
  <si>
    <t>Meteorismus, Blähsucht</t>
  </si>
  <si>
    <t>Peritonitis</t>
  </si>
  <si>
    <t>Ileus (Darmverschluss)</t>
  </si>
  <si>
    <t>Ileumkarzinom</t>
  </si>
  <si>
    <t>Z.n. Ileocaecale Resektion</t>
  </si>
  <si>
    <t>Adenokarzinom</t>
  </si>
  <si>
    <t>Z.n. Hüftoperation</t>
  </si>
  <si>
    <t>Z.n. Rektumresektion</t>
  </si>
  <si>
    <t xml:space="preserve">Anastomoseninsuffizienz </t>
  </si>
  <si>
    <t>Implantate</t>
  </si>
  <si>
    <t>Myasthenia gravis</t>
  </si>
  <si>
    <t>Faktor VIII-Mangel</t>
  </si>
  <si>
    <t>Ferritin- (ug/l) d4</t>
  </si>
  <si>
    <t>Ferritin-d3w1 (ug/l)</t>
  </si>
  <si>
    <t>Östrogen</t>
  </si>
  <si>
    <t>Kalzium-d1w1</t>
  </si>
  <si>
    <t>Amylase-d1w1</t>
  </si>
  <si>
    <t>11,23333333333333‬</t>
  </si>
  <si>
    <t>4,56 KU/L</t>
  </si>
  <si>
    <t>5,75 KU/L</t>
  </si>
  <si>
    <t>kann man das wirklich zu Symptomen hinzuzählen?</t>
  </si>
  <si>
    <t xml:space="preserve">Diclofenac </t>
  </si>
  <si>
    <t xml:space="preserve">Ibuprofen </t>
  </si>
  <si>
    <t xml:space="preserve">Paracetamol </t>
  </si>
  <si>
    <t>Day of Observation</t>
  </si>
  <si>
    <t>Total Number of Observations</t>
  </si>
  <si>
    <t>ck-12 tage vor krankheitsbeginn</t>
  </si>
  <si>
    <t>ck-11 tage vor krankheitsbeginn</t>
  </si>
  <si>
    <t>ck-7 tage vor krankheitsbeginn</t>
  </si>
  <si>
    <t>ck-6 tage vor krankheitsbeginn</t>
  </si>
  <si>
    <t xml:space="preserve">ck-4 tage vor krankheitsbeginn </t>
  </si>
  <si>
    <t>ck-3 tage vor krankheitsbeginn</t>
  </si>
  <si>
    <t xml:space="preserve">ck-2 tage vor krankheitsbeginn  </t>
  </si>
  <si>
    <t xml:space="preserve">ck-1 tag vor krankheitsbeginn  </t>
  </si>
  <si>
    <t>ck-datum unbekannt</t>
  </si>
  <si>
    <t xml:space="preserve">ck-d1 </t>
  </si>
  <si>
    <t>ck-d2</t>
  </si>
  <si>
    <t>ck-d3</t>
  </si>
  <si>
    <t>ck-d4</t>
  </si>
  <si>
    <t>ck-  d5</t>
  </si>
  <si>
    <t>ck-d6</t>
  </si>
  <si>
    <t>ck-d7</t>
  </si>
  <si>
    <t>ck-d1w1</t>
  </si>
  <si>
    <t>ck-d2w1</t>
  </si>
  <si>
    <t xml:space="preserve">ck-d3w1 </t>
  </si>
  <si>
    <t>ck-d4w1</t>
  </si>
  <si>
    <t>ck-  d6w1</t>
  </si>
  <si>
    <t>ck-d1w2</t>
  </si>
  <si>
    <t>ck-d2w2</t>
  </si>
  <si>
    <t xml:space="preserve">ck-d4w2 </t>
  </si>
  <si>
    <t>ck-  d3w3</t>
  </si>
  <si>
    <t>ck-  d5w3m1</t>
  </si>
  <si>
    <t>ck</t>
  </si>
  <si>
    <t xml:space="preserve">ck-4 tage vor krankheitsbeginn  , ck-3 tage vor krankheitsbeginn , ck-2 tage vor krankheitsbeginn   , ck-datum unbekannt , ck-d1  , ck-d7 , ck-d4w2 </t>
  </si>
  <si>
    <t>ck-d1  , ck-d3</t>
  </si>
  <si>
    <t>ck-d1  , ck-d2 , ck-d1w1 , ck-d2w1 , ck-d3w1  , ck-d4w1</t>
  </si>
  <si>
    <t>ck-d1  , ck-d2 , ck-d3 , ck-d4 , ck-  d5 , ck-d1w1</t>
  </si>
  <si>
    <t>ck-d2 , ck-d3</t>
  </si>
  <si>
    <t>ck-d1w2 , ck-d2w2</t>
  </si>
  <si>
    <t xml:space="preserve">ck-d1  , ck-d2 , ck-d6 , ck-d7 , ck-d1w1 , ck-d3w1 </t>
  </si>
  <si>
    <t>ck-11 tage vor krankheitsbeginn , ck-d2 , ck-d3 , ck-d2w1</t>
  </si>
  <si>
    <t>ck-7 tage vor krankheitsbeginn , ck-6 tage vor krankheitsbeginn</t>
  </si>
  <si>
    <t>ck-12 tage vor krankheitsbeginn , ck-7 tage vor krankheitsbeginn</t>
  </si>
  <si>
    <t>ck-  d5 , ck-d1w1</t>
  </si>
  <si>
    <t>ck-2 tage vor krankheitsbeginn   , ck-1 tag vor krankheitsbeginn   , ck-d1  , ck-d2</t>
  </si>
  <si>
    <t>CK-MB</t>
  </si>
  <si>
    <t>Day of Observations</t>
  </si>
  <si>
    <t xml:space="preserve">CK-MB-4 Tage vor Krankheitsbeginn (U\l) , CK-MB-3 Tage vor Krankheitsbeginn , CK-MB-2 Tage vor Krankheitsbeginn (U\l) , CK-MB-d1 (U/L) , CK-MB-d7 , CK-MB-d4w2 </t>
  </si>
  <si>
    <t xml:space="preserve">CK-MB-d1 (U/L) , CK-MB-d2 , CK-MB- (U\l) d1w1 , CK-MB-d2w1  , CK-MB-d3w1  , CK-MB-d4w1 </t>
  </si>
  <si>
    <t>Quick</t>
  </si>
  <si>
    <t>Total number of Observations</t>
  </si>
  <si>
    <t>Quick-d2  , Quick-d3</t>
  </si>
  <si>
    <t>Quick (TPZ, PTZ, PZ)-d1 (%) , Quick-d3 , Quick-d6 , Quick-d1w1</t>
  </si>
  <si>
    <t>Quick (TPZ, PTZ, PZ)-d1 (%) , Quick-d2  , Quick-d3</t>
  </si>
  <si>
    <t>Quick-d1w3 , Quick-d2w3</t>
  </si>
  <si>
    <t>Quick-d4 , Quick- (%) d3w2 , Quick-d6w2</t>
  </si>
  <si>
    <t>Quick (TPZ, PTZ, PZ)-d1 (%) , Quick-d3</t>
  </si>
  <si>
    <t>Quick-11 Tage vor Krankheitsbeginn (%) , Quick-d2w2</t>
  </si>
  <si>
    <t>Quick (TPZ, PTZ, PZ)-d1 (%) , Quick-d2  , Quick-d2w1 , Quick- (%) d3w1 , Quick-d4w1</t>
  </si>
  <si>
    <t>Quick-2 Tage vor Krankheitsbeginn , Quick (TPZ, PTZ, PZ)-d1 (%)</t>
  </si>
  <si>
    <t>Quick (TPZ, PTZ, PZ)-d1 (%) , Quick-d2  , Quick-d3 , Quick-d4</t>
  </si>
  <si>
    <t>Quick-d2  , Quick-d3 , Quick-d1w1 , Quick-d2w1</t>
  </si>
  <si>
    <t>Quick-d4 , Quick- (%) d5 , Quick-d6 , Quick-d2w1</t>
  </si>
  <si>
    <t>Quick (TPZ, PTZ, PZ)-d1 (%) , Quick-d4 , Quick- (%) d3w1</t>
  </si>
  <si>
    <t>Quick- (%) d3w1 , Quick- (%) d3w3</t>
  </si>
  <si>
    <t>Quick-Datum unbekannt (%) , Quick (TPZ, PTZ, PZ)-d1 (%)</t>
  </si>
  <si>
    <t>Quick (TPZ, PTZ, PZ)-d1 (%) , Quick-d5w0m1 , Quick-d5w2m1 , Quick-d5w2m2 , Quick-d6w1m3</t>
  </si>
  <si>
    <t xml:space="preserve">Quick (TPZ, PTZ, PZ)-d1 (%) , Quick-d2 </t>
  </si>
  <si>
    <t>Quick- (%) d5 , Quick-d7 , Quick- (%) d3w1 , Quick-d5w1 , Quick-d2w2 , Quick- (%) d3w2</t>
  </si>
  <si>
    <t>Quick- (%) d3w1 , Quick-d6w1 , Quick-d4w0m1</t>
  </si>
  <si>
    <t>Quick-11 Tage vor Krankheitsbeginn (%) , Quick-d4</t>
  </si>
  <si>
    <t>Quick-11 Tage vor Krankheitsbeginn (%) , Quick-8 Tage vor Krankheitsbeginn , Quick (TPZ, PTZ, PZ)-d1 (%) , Quick-d2  , Quick-d3 , Quick-d2w1</t>
  </si>
  <si>
    <t>Quick-d2  , Quick-d4</t>
  </si>
  <si>
    <t>Quick-d2  , Quick-d6</t>
  </si>
  <si>
    <t>Quick-7 Tage vor Krankheitsbeginn , Quick-d7</t>
  </si>
  <si>
    <t xml:space="preserve">Quick-2 Tage vor Krankheitsbeginn , Quick-d2 </t>
  </si>
  <si>
    <t>Quick-1 Tag vor Krankheitsbeginn , Quick (TPZ, PTZ, PZ)-d1 (%) , Quick-d2  , Quick- (%) d5</t>
  </si>
  <si>
    <t xml:space="preserve">Quick-3 Tage vor Krankheitsbeginn , Quick-2 Tage vor Krankheitsbeginn , Quick-1 Tag vor Krankheitsbeginn , Quick (TPZ, PTZ, PZ)-d1 (%) , Quick-d2 </t>
  </si>
  <si>
    <t>Quick-d3 , Quick-d4 , Quick- (%) d5 , Quick-d6</t>
  </si>
  <si>
    <t>Quick-37 Tage vor Krankheitsbeginn , Quick-2 Tage vor Krankheitsbeginn , Quick-d2w1</t>
  </si>
  <si>
    <t>Quick-d1w1 , Quick-d4w1</t>
  </si>
  <si>
    <t>Quick (TPZ, PTZ, PZ)-d1 (%) , Quick-d2  , Quick-d4</t>
  </si>
  <si>
    <t>INR</t>
  </si>
  <si>
    <t>INR-d1w3 , INR-d6w0m1</t>
  </si>
  <si>
    <t>INR-d1 , INR-d2 , INR-d5</t>
  </si>
  <si>
    <t>INR-d1w3 , INR-d2w3</t>
  </si>
  <si>
    <t>INR-d1 , INR-d2 , INR-d3</t>
  </si>
  <si>
    <t>INR-d1 , INR-d3</t>
  </si>
  <si>
    <t>INR-d3 , INR-d6 , INR-d4w1</t>
  </si>
  <si>
    <t>INR-11 Tage vor Krankheitsbeginn , INR-d2w2</t>
  </si>
  <si>
    <t>INR-d1 , INR-d2 , INR-d2w1 , INR-d3w1 , INR-d4w1</t>
  </si>
  <si>
    <t>INR-d2 , INR-d3 , INR-d1w1 , INR-d2w1</t>
  </si>
  <si>
    <t>INR-d4 , INR-d5 , INR-d6 , INR-d2w1</t>
  </si>
  <si>
    <t>INR-d1 , INR-d2 , INR-d3 , INR-d4</t>
  </si>
  <si>
    <t>INR-d1 , INR-d6w1</t>
  </si>
  <si>
    <t>INR-d5w0m1 , INR-d5w2m1 , INR-d5w2m2 , INR-d6w1m3</t>
  </si>
  <si>
    <t>INR-d6 , INR-d1w1</t>
  </si>
  <si>
    <t>INR-11 Tage vor Krankheitsbeginn , INR-8 Tage vor Krankheitsbeginn , INR-d1 , INR-d2 , INR-d3 , INR-d2w1</t>
  </si>
  <si>
    <t>INR-d2 , INR-d4</t>
  </si>
  <si>
    <t>INR-d2 , INR-d6</t>
  </si>
  <si>
    <t>INR-7 Tage vor Krankheitsbeginn , INR-d7</t>
  </si>
  <si>
    <t>INR-3 Tage vor Krankheitsbeginn , INR-2 Tage vor Krankheitsbeginn , INR-1 Tag vor Krankheitsbeginn , INR-d1 , INR-d2</t>
  </si>
  <si>
    <t>INR-d3 , INR-d4</t>
  </si>
  <si>
    <t>INR-d1 , INR-d2</t>
  </si>
  <si>
    <t>PTT-d1 (sec.) , PTT-d3 , PTT-d6</t>
  </si>
  <si>
    <t>PTT-d1 (sec.) , PTT-d2 , PTT-d3</t>
  </si>
  <si>
    <t>PTT-d1w3 , PTT-d2w3</t>
  </si>
  <si>
    <t>PTT-d1 (sec.) , PTT-d3</t>
  </si>
  <si>
    <t>PTT-11 Tage vor Krankheitsbeginn , PTT- (sec.) d2w2</t>
  </si>
  <si>
    <t>PTT-d1 (sec.) , PTT-d2 , PTT- (sec.) d2w1 , PTT-d3w1 , PTT-d4w1</t>
  </si>
  <si>
    <t>PTT-d1 (sec.) , PTT-d2 , PTT-d3 , PTT- (sec.) d4</t>
  </si>
  <si>
    <t>PTT-d2 , PTT-d3 , PTT-d1w1 , PTT- (sec.) d2w1</t>
  </si>
  <si>
    <t>PTT-d1 (sec.) , PTT-d5w0m1 , PTT-d5w2m1 , PTT-d5w2m2 , PTT-d6w1m3</t>
  </si>
  <si>
    <t>PTT-6 Tage vor Krankheitsbeginn , PTT-d1 (sec.) , PTT-d2</t>
  </si>
  <si>
    <t>PTT-7 Tage vor Krankheitsbeginn , PTT-6 Tage vor Krankheitsbeginn , PTT-5 Tage vor Krankheitsbeginn , PTT-4 Tage vor Krankheitsbeginn , PTT-d5 , PTT-d7 , PTT-d3w1 , PTT-d5w1 , PTT- (sec.) d2w2 , PTT-d3w2</t>
  </si>
  <si>
    <t>PTT-d6 , PTT-d1w1 , PTT-d5w1 , PTT-d4w0m1</t>
  </si>
  <si>
    <t>PTT-11 Tage vor Krankheitsbeginn , PTT- (sec.) d4</t>
  </si>
  <si>
    <t>PTT-11 Tage vor Krankheitsbeginn , PTT-8 Tage vor Krankheitsbeginn , PTT-d1 (sec.) , PTT-d2 , PTT-d3 , PTT- (sec.) d2w1</t>
  </si>
  <si>
    <t>PTT-d2 , PTT- (sec.) d4</t>
  </si>
  <si>
    <t>PTT-d2 , PTT-d6</t>
  </si>
  <si>
    <t>PTT-7 Tage vor Krankheitsbeginn , PTT-d7</t>
  </si>
  <si>
    <t>PTT-2 Tage vor Krankheitsbeginn , PTT-d2</t>
  </si>
  <si>
    <t>PTT-d1 (sec.) , PTT-d2</t>
  </si>
  <si>
    <t>PTT-d1 (sec.) , PTT-d2 , PTT- (sec.) d4</t>
  </si>
  <si>
    <t>Leukozyten</t>
  </si>
  <si>
    <t>Leukozyten- (\mikrol) d3 , Leukozyten-d5</t>
  </si>
  <si>
    <t>Leukozyten-d5 , Leukozyten-d6 , Leukozyten- (\mikrol) d1w0m1</t>
  </si>
  <si>
    <t>Leukozyten-39 Tage vor Krankheitsbeginn , Leukozyten-d4</t>
  </si>
  <si>
    <t>Leukozyten-4 Tage vor Krankheitsbeginn (\mikrol) , Leukozyten- (\mikrol) d3</t>
  </si>
  <si>
    <t>Leukozyten-d6 , Leukozyten-d4w1</t>
  </si>
  <si>
    <t>Leukozyten-d6 , Leukozyten- (\mikrol) d7</t>
  </si>
  <si>
    <t>Leukozyten (WBC)-d1 (\mikrol) , Leukozyten-d2 , Leukozyten- (\mikrol) d3 , Leukozyten-d4 , Leukozyten-d6 , Leukozyten-d2w1 , Leukozyten- (\mikrol) d5w1 , Leukozyten-w2 , Leukozyten- (\mikrol) d3w2</t>
  </si>
  <si>
    <t>Leukozyten-12 Tage vor Krankheitsbeginn , Leukozyten (WBC)-d1 (\mikrol)</t>
  </si>
  <si>
    <t>Leukozyten-d6w1 , Leukozyten-d6w2</t>
  </si>
  <si>
    <t>Leukozyten- (\mikrol) d7 , Leukozyten-d2w1 , Leukozyten-d4w1</t>
  </si>
  <si>
    <t>Leukozyten-d4 , Leukozyten-d3w1 , Leukozyten-d7w1m2 , Leukozyten-d1w3m5</t>
  </si>
  <si>
    <t>Leukozyten-Datum unbekannt (\mikrol) , Leukozyten-w2 , Leukozyten-d1w3</t>
  </si>
  <si>
    <t>Leukozyten-7 Tage vor Krankheitsbeginn , Leukozyten-2 Tage vor Krankheitsbeginn</t>
  </si>
  <si>
    <t>Leukozyten-d4 , Leukozyten-d5 , Leukozyten- (\mikrol) d5w1 , Leukozyten- (\mikrol) d6w3</t>
  </si>
  <si>
    <t>Leukozyten-8 Tage vor Krankheitsbeginn , Leukozyten-1 Tag vor Krankheitsbeginn , Leukozyten (WBC)-d1 (\mikrol) , Leukozyten- (\mikrol) d3 , Leukozyten-d2w1</t>
  </si>
  <si>
    <t>Leukozyten (WBC)-d1 (\mikrol) , Leukozyten- (\mikrol) d3 , Leukozyten-d6w1</t>
  </si>
  <si>
    <t>Leukozyten-36 Tage vor Krankheitsbeginn (\mikrol) , Leukozyten-20 Tage vor Krankheitsbeginn , Leukozyten (WBC)-d1 (\mikrol) , Leukozyten-d2w1 , Leukozyten-d1w2</t>
  </si>
  <si>
    <t>Leukozyten-d4 , Leukozyten-d3w1 , Leukozyten- (\mikrol) d5w1 , Leukozyten-d2w2</t>
  </si>
  <si>
    <t>Leukozyten (WBC)-d1 (\mikrol) , Leukozyten-d2 , Leukozyten-d2w1 , Leukozyten-d3w1 , Leukozyten-d4w1</t>
  </si>
  <si>
    <t>Leukozyten (WBC)-d1 (\mikrol) , Leukozyten-d2 , Leukozyten- (\mikrol) d3 , Leukozyten-d4</t>
  </si>
  <si>
    <t>Leukozyten (WBC)-d1 (\mikrol) , Leukozyten- (\mikrol) d3</t>
  </si>
  <si>
    <t>Leukozyten (WBC)-d1 (\mikrol) , Leukozyten-d1w1</t>
  </si>
  <si>
    <t>Leukozyten-d2 , Leukozyten- (\mikrol) d1w0m1 , Leukozyten-d7w0m2</t>
  </si>
  <si>
    <t>Leukozyten-d2 , Leukozyten-d4 , Leukozyten-d5 , Leukozyten-d6 , Leukozyten- (\mikrol) d7 , Leukozyten-d2w1 , Leukozyten-d4w1 , Leukozyten-d1w2</t>
  </si>
  <si>
    <t>Leukozyten (WBC)-d1 (\mikrol) , Leukozyten-d2 , Leukozyten- (\mikrol) d3</t>
  </si>
  <si>
    <t>Leukozyten (WBC)-d1 (\mikrol) , Leukozyten-d2 , Leukozyten-d4 , Leukozyten-d3w1</t>
  </si>
  <si>
    <t>Leukozyten-d5 , Leukozyten-d1w1</t>
  </si>
  <si>
    <t>Leukozyten (WBC)-d1 (\mikrol) , Leukozyten- (\mikrol) d3 , Leukozyten-d6</t>
  </si>
  <si>
    <t>Leukozyten-d1w2 , Leukozyten-d7w2 , Leukozyten-d2w3</t>
  </si>
  <si>
    <t>Leukozyten (WBC)-d1 (\mikrol) , Leukozyten-d2 , Leukozyten-d4 , Leukozyten- (\mikrol) d7 , Leukozyten-d3w1 , Leukozyten-d1w2 , Leukozyten-d4w3</t>
  </si>
  <si>
    <t>Leukozyten-d4 , Leukozyten- (\mikrol) d3w2</t>
  </si>
  <si>
    <t>Leukozyten-11 Tage vor Krankheitsbeginn , Leukozyten- (\mikrol) d3 , Leukozyten-d4</t>
  </si>
  <si>
    <t>Leukozyten-11 Tage vor Krankheitsbeginn , Leukozyten-8 Tage vor Krankheitsbeginn , Leukozyten-7 Tage vor Krankheitsbeginn , Leukozyten-5 Tage vor Krankheitsbeginn , Leukozyten-d2 , Leukozyten- (\mikrol) d3 , Leukozyten- (\mikrol) d7 , Leukozyten-d2w1</t>
  </si>
  <si>
    <t>Leukozyten-d2 , Leukozyten- (\mikrol) d3 , Leukozyten-d4w1</t>
  </si>
  <si>
    <t>Leukozyten-d4w1 , Leukozyten- (\mikrol) d5w1</t>
  </si>
  <si>
    <t>Leukozyten (WBC)-d1 (\mikrol) , Leukozyten-d2 , Leukozyten-d6 , Leukozyten-d2w1</t>
  </si>
  <si>
    <t>Leukozyten-7 Tage vor Krankheitsbeginn , Leukozyten-5 Tage vor Krankheitsbeginn , Leukozyten (WBC)-d1 (\mikrol) , Leukozyten-d2w1</t>
  </si>
  <si>
    <t>Leukozyten-12 Tage vor Krankheitsbeginn , Leukozyten-8 Tage vor Krankheitsbeginn , Leukozyten-7 Tage vor Krankheitsbeginn</t>
  </si>
  <si>
    <t>Leukozyten-2 Tage vor Krankheitsbeginn , Leukozyten-d2</t>
  </si>
  <si>
    <t>Leukozyten-1 Tag vor Krankheitsbeginn , Leukozyten (WBC)-d1 (\mikrol) , Leukozyten-d2 , Leukozyten- (\mikrol) d3 , Leukozyten-d4 , Leukozyten-d5</t>
  </si>
  <si>
    <t>Leukozyten (WBC)-d1 (\mikrol) , Leukozyten- (\mikrol) d3 , Leukozyten- (\mikrol) d7</t>
  </si>
  <si>
    <t>Leukozyten 64 Tage vor Krankheitsbeginn , Leukozyten-d5</t>
  </si>
  <si>
    <t>Leukozyten-3 Tage vor Krankheitsbeginn , Leukozyten-2 Tage vor Krankheitsbeginn , Leukozyten-1 Tag vor Krankheitsbeginn , Leukozyten (WBC)-d1 (\mikrol) , Leukozyten-d2</t>
  </si>
  <si>
    <t>Leukozyten-d2 , Leukozyten-d6 , Leukozyten-d1w1 , Leukozyten-d3w1 , Leukozyten- (\mikrol) d5w1</t>
  </si>
  <si>
    <t>Leukozyten-48 Tage vor Krankheitsbeginn , Leukozyten-27 Tage vor Krankheitsbeginn , Leukozyten-9 Tage vor Krankheitsbeginn (\mikrol) , Leukozyten-d2 , Leukozyten- (\mikrol) d3 , Leukozyten-d4 , Leukozyten-d5</t>
  </si>
  <si>
    <t>Leukozyten-d4 , Leukozyten-d4w1</t>
  </si>
  <si>
    <t>GOT</t>
  </si>
  <si>
    <t>GOT-d1w1 , GOT-d5w1</t>
  </si>
  <si>
    <t>GOT-4 Tage vor Krankheitsbeginn , GOT-3 Tage vor Krankheitsbeginn , GOT- (u\l) d7</t>
  </si>
  <si>
    <t>GOT-d5 , GOT-d6 , GOT-d1w0m1</t>
  </si>
  <si>
    <t>GOT-d4w1 , GOT-d1w2 , GOT-d3w2 , GOT-d1w0m1 , GOT-d3w0m1</t>
  </si>
  <si>
    <t>GOT-d2  , GOT-d3 , GOT- (u\l) d4 , GOT-d6 , GOT-d1w1 , GOT-d2w1 , GOT-d5w1 , GOT-d3w2</t>
  </si>
  <si>
    <t>GOT- (u\l) d4 , GOT- (u\l) d3w1 , GOT-d7w1m2</t>
  </si>
  <si>
    <t>GOT-d1w2 , GOT-d4w2</t>
  </si>
  <si>
    <t>GOT (AST, ASAT, Aspartat aminotransferase)-d1 (u\l) , GOT-d2  , GOT- (u\l) d4 , GOT- (u\l) d7</t>
  </si>
  <si>
    <t>GOT (AST, ASAT, Aspartat aminotransferase)-d1 (u\l) , GOT- (u\l) d4</t>
  </si>
  <si>
    <t>GOT- (u\l) d6w1 , GOT-d5w2</t>
  </si>
  <si>
    <t>GOT-Datum unbekannt (u\l) , GOT (AST, ASAT, Aspartat aminotransferase)-d1 (u\l)</t>
  </si>
  <si>
    <t>GOT-d1w1 , GOT- (u\l) d3w1 , GOT- (u\l) d6w1</t>
  </si>
  <si>
    <t>GOT (AST, ASAT, Aspartat aminotransferase)-d1 (u\l) , GOT-d2  , GOT- (u\l) d4</t>
  </si>
  <si>
    <t>GOT-d1w3 , GOT-d6w0m1</t>
  </si>
  <si>
    <t>GOT-7 Tage vor Krankheitsbeginn (u\l) , GOT-2 Tage vor Krankheitsbeginn , GOT-d3 , GOT- (u\l) d7</t>
  </si>
  <si>
    <t>GOT-d3w2 , GOT- (u\l) d6w2</t>
  </si>
  <si>
    <t>GOT-d3 , GOT-d6 , GOT-d2w1</t>
  </si>
  <si>
    <t>GOT (AST, ASAT, Aspartat aminotransferase)-d1 (u\l) , GOT-d3</t>
  </si>
  <si>
    <t>GOT (AST, ASAT, Aspartat aminotransferase)-d1 (u\l) , GOT-d2  , GOT-d3 , GOT- (u\l) d4 , GOT-d1w1 , GOT-d5w1</t>
  </si>
  <si>
    <t>GOT-22 Tage vor Krankheitsbeginn , GOT (AST, ASAT, Aspartat aminotransferase)-d1 (u\l) , GOT-d6 , GOT-d7w1</t>
  </si>
  <si>
    <t>GOT (AST, ASAT, Aspartat aminotransferase)-d1 (u\l) , GOT-d7w3</t>
  </si>
  <si>
    <t>GOT-d5 , GOT-d6w0m2</t>
  </si>
  <si>
    <t>GOT-36 Tage vor Krankheitsbeginn , GOT-20 Tage vor Krankheitsbeginn , GOT (AST, ASAT, Aspartat aminotransferase)-d1 (u\l) , GOT-d2w1 , GOT-d1w2</t>
  </si>
  <si>
    <t>GOT-d2  , GOT-d5w1 , GOT-d5w3</t>
  </si>
  <si>
    <t>GOT- (u\l) d4 , GOT-d6 , GOT- (u\l) d3w1 , GOT-d5w1 , GOT- (u\l) d2w2</t>
  </si>
  <si>
    <t>GOT (AST, ASAT, Aspartat aminotransferase)-d1 (u\l) , GOT-d2  , GOT-d1w1 , GOT-d2w1 , GOT- (u\l) d3w1 , GOT-d4w1</t>
  </si>
  <si>
    <t>GOT (AST, ASAT, Aspartat aminotransferase)-d1 (u\l) , GOT-d4w2 , GOT-d7w1m1</t>
  </si>
  <si>
    <t>GOT (AST, ASAT, Aspartat aminotransferase)-d1 (u\l) , GOT-d7w3m2 , GOT-d2w0m3</t>
  </si>
  <si>
    <t>GOT-9 Tage vor Krankheitsbeginn , GOT-7 Tage vor Krankheitsbeginn (u\l) , GOT (AST, ASAT, Aspartat aminotransferase)-d1 (u\l) , GOT- (u\l) d2w2</t>
  </si>
  <si>
    <t>GOT-d2  , GOT-d3 , GOT-d4w1</t>
  </si>
  <si>
    <t>GOT (AST, ASAT, Aspartat aminotransferase)-d1 (u\l) , GOT-d2  , GOT-d3 , GOT- (u\l) d4 , GOT-d5 , GOT-d1w1</t>
  </si>
  <si>
    <t>GOT-d4w1 , GOT- (u\l) d6w2 , GOT- (u\l) d2w0m1</t>
  </si>
  <si>
    <t>GOT-d2  , GOT-d1w0m1 , GOT- (u\l) d7w0m2 , GOT- (u\l) d3w3m2</t>
  </si>
  <si>
    <t>GOT-d2  , GOT-d3</t>
  </si>
  <si>
    <t>GOT-d2  , GOT-d5w1 , GOT-d1w3</t>
  </si>
  <si>
    <t>GOT (AST, ASAT, Aspartat aminotransferase)-d1 (u\l) , GOT-d2  , GOT- (u\l) d4 , GOT-d2w1 , GOT-d7w1 , GOT-d7w2 , GOT-d4w0m1</t>
  </si>
  <si>
    <t>GOT-d2  , GOT-d3 , GOT- (u\l) d4 , GOT-d5 , GOT-d6 , GOT- (u\l) d7 , GOT-d2w1 , GOT-d4w1 , GOT-d1w2 , GOT-d3w2</t>
  </si>
  <si>
    <t>GOT (AST, ASAT, Aspartat aminotransferase)-d1 (u\l) , GOT-d2  , GOT-d3 , GOT- (u\l) d4 , GOT-d6 , GOT- (u\l) d3w1</t>
  </si>
  <si>
    <t>GOT-d1w1 , GOT- (u\l) d6w1 , GOT-d3w2</t>
  </si>
  <si>
    <t>GOT-105 Tage vor Krankheitsbeginn (u\l) , GOT-7 Tage vor Krankheitsbeginn (u\l) , GOT (AST, ASAT, Aspartat aminotransferase)-d1 (u\l) , GOT-d1w1 , GOT- (u\l) d6w1 , GOT-d4w2 , GOT- (u\l) d7w0m2</t>
  </si>
  <si>
    <t>GOT (AST, ASAT, Aspartat aminotransferase)-d1 (u\l) , GOT-d3 , GOT-d6</t>
  </si>
  <si>
    <t>GOT-d1w2 , GOT-d5w2 , GOT-d7w2 , GOT-d2w3</t>
  </si>
  <si>
    <t>GOT-Datum unbekannt (u\l) , GOT (AST, ASAT, Aspartat aminotransferase)-d1 (u\l) , GOT-d3w0m1</t>
  </si>
  <si>
    <t>GOT- (u\l) d3w1 , GOT-d5w2 , GOT- (u\l) d3w3</t>
  </si>
  <si>
    <t>GOT (AST, ASAT, Aspartat aminotransferase)-d1 (u\l) , GOT-d1w2 , GOT- (u\l) d2w2</t>
  </si>
  <si>
    <t>GOT (AST, ASAT, Aspartat aminotransferase)-d1 (u\l) , GOT-d2w3m1 , GOT- (u\l) d3w2m3 , GOT- (u\l) d7w1m5</t>
  </si>
  <si>
    <t>GOT (AST, ASAT, Aspartat aminotransferase)-d1 (u\l) , GOT- (u\l) d6w1</t>
  </si>
  <si>
    <t>GOT (AST, ASAT, Aspartat aminotransferase)-d1 (u\l) , GOT-d5w0m1 , GOT-d5w2m1 , GOT-d5w2m2 , GOT- (u\l) d6w1m3</t>
  </si>
  <si>
    <t>GOT (AST, ASAT, Aspartat aminotransferase)-d1 (u\l) , GOT-d2  , GOT-d3 , GOT- (u\l) d4 , GOT-d5 , GOT- (u\l) d7 , GOT-d1w1 , GOT- (u\l) d3w1 , GOT-d1w2 , GOT-d4w3 , GOT-d4w1m2 , GOT-d4w2m2</t>
  </si>
  <si>
    <t>GOT-d4w1 , GOT- (u\l) d2w2 , GOT- (u\l) d3w3 , GOT-d1w0m1</t>
  </si>
  <si>
    <t>GOT (AST, ASAT, Aspartat aminotransferase)-d1 (u\l) , GOT-d4w1</t>
  </si>
  <si>
    <t>GOT (AST, ASAT, Aspartat aminotransferase)-d1 (u\l) , GOT-d5w1 , GOT-d1w2 , GOT-d5w2 , GOT-d1w3 , GOT-d6w3 , GOT-d7w1m1 , GOT-d3w2m1 , GOT-d5w2m1 , GOT-d7w2m1 , GOT-d3w3m1 , GOT-d7w3m1</t>
  </si>
  <si>
    <t>GOT- (u\l) d3w1 , GOT-d5w1 , GOT- (u\l) d2w2 , GOT- (u\l) d3w3</t>
  </si>
  <si>
    <t>GOT- (u\l) d4 , GOT-d5 , GOT-d6 , GOT-d2w1</t>
  </si>
  <si>
    <t>GOT- (u\l) d4 , GOT- (u\l) d3w1 , GOT- (u\l) d2w2 , GOT-d4w2</t>
  </si>
  <si>
    <t>GOT (AST, ASAT, Aspartat aminotransferase)-d1 (u\l) , GOT-d1w2m1</t>
  </si>
  <si>
    <t>GOT (AST, ASAT, Aspartat aminotransferase)-d1 (u\l) , GOT-d3 , GOT- (u\l) d4 , GOT-d7w1 , GOT-d6w0m2</t>
  </si>
  <si>
    <t>GOT-6 Tage vor Krankheitsbeginn , GOT-d5 , GOT- (u\l) d7 , GOT-d1w1 , GOT-d5w1 , GOT-d7w1 , GOT- (u\l) d6w2 , GOT-d1w3</t>
  </si>
  <si>
    <t>GOT- (u\l) d4 , GOT-d5w1m1</t>
  </si>
  <si>
    <t>GOT (AST, ASAT, Aspartat aminotransferase)-d1 (u\l) , GOT-d2  , GOT- (u\l) d3w1 , GOT-d3w1m1 , GOT-d2w0m2</t>
  </si>
  <si>
    <t>GOT-d2  , GOT-d3 , GOT- (u\l) d4 , GOT-d5 , GOT-d6 , GOT- (u\l) d7 , GOT-d1w2 , GOT-d2w3 , GOT-d7w3</t>
  </si>
  <si>
    <t>GOT-Datum unbekannt (u\l) , GOT-d3w0m1</t>
  </si>
  <si>
    <t>GOT-d3w2 , GOT-d5w2 , GOT- (u\l) d6w2 , GOT-d3w0m1 , GOT-d4w2m1</t>
  </si>
  <si>
    <t>GOT-56 Tage vor Krankheitsbeginn , GOT (AST, ASAT, Aspartat aminotransferase)-d1 (u\l) , GOT-d1w1 , GOT-d5w3</t>
  </si>
  <si>
    <t>GOT- (u\l) d6w1 , GOT-d1w2 , GOT-d3w2 , GOT-d7w2</t>
  </si>
  <si>
    <t xml:space="preserve">GOT (AST, ASAT, Aspartat aminotransferase)-d1 (u\l) , GOT-d2 </t>
  </si>
  <si>
    <t>GOT-d2  , GOT- (u\l) d4</t>
  </si>
  <si>
    <t>GOT (AST, ASAT, Aspartat aminotransferase)-d1 (u\l) , GOT-d2  , GOT- (u\l) d4 , GOT-d5w1 , GOT-d6w0m3</t>
  </si>
  <si>
    <t>GOT-26 Tage vor Krankheitsbeginn , GOT (AST, ASAT, Aspartat aminotransferase)-d1 (u\l) , GOT-d2  , GOT- (u\l) d4</t>
  </si>
  <si>
    <t>GOT-d2  , GOT-d4w0m1 , GOT-d2w1m1 , GOT-d4w2m2 , GOT- (u\l) d6w2m3</t>
  </si>
  <si>
    <t>GOT-Datum unbekannt (u\l) , GOT-d1w1</t>
  </si>
  <si>
    <t>GOT-13 Tage vor Krankheitsbeginn , GOT-12 Tage vor Krankheitsbeginn , GOT-4 Tage vor Krankheitsbeginn , GOT-Datum unbekannt (u\l) , GOT (AST, ASAT, Aspartat aminotransferase)-d1 (u\l) , GOT-d2  , GOT-d3 , GOT- (u\l) d4 , GOT-d5 , GOT-d6 , GOT- (u\l) d7 , GOT-d1w1 , GOT- (u\l) d3w1 , GOT-d5w1 , GOT- (u\l) d2w2 , GOT-d5w2 , GOT-d2w3 , GOT-d4w3</t>
  </si>
  <si>
    <t>GOT-d6 , GOT-d1w1 , GOT- (u\l) d3w1 , GOT-d5w1 , GOT- (u\l) d6w1 , GOT- (u\l) d6w2 , GOT-d4w0m1 , GOT-d5w0m1 , GOT-d5w2m2</t>
  </si>
  <si>
    <t>GOT-20 Tage vor Krankheitsbeginn , GOT-6 Tage vor Krankheitsbeginn , GOT (AST, ASAT, Aspartat aminotransferase)-d1 (u\l) , GOT-d6 , GOT- (u\l) d6w2 , GOT-d6w0m1</t>
  </si>
  <si>
    <t>GOT (AST, ASAT, Aspartat aminotransferase)-d1 (u\l) , GOT-d3 , GOT-d4w2</t>
  </si>
  <si>
    <t>GOT-11 Tage vor Krankheitsbeginn , GOT-d2  , GOT-d3 , GOT-d2w1</t>
  </si>
  <si>
    <t>GOT-d3 , GOT- (u\l) d4 , GOT-d1w1 , GOT-d1w2</t>
  </si>
  <si>
    <t>GOT-5 Tage vor Krankheitsbeginn , GOT-2 Tage vor Krankheitsbeginn , GOT (AST, ASAT, Aspartat aminotransferase)-d1 (u\l) , GOT-d2  , GOT-d3 , GOT- (u\l) d4</t>
  </si>
  <si>
    <t>GOT-d4w1 , GOT-d5w1 , GOT-d1w2 , GOT-d4w2</t>
  </si>
  <si>
    <t>GOT (AST, ASAT, Aspartat aminotransferase)-d1 (u\l) , GOT-d5</t>
  </si>
  <si>
    <t>GOT (AST, ASAT, Aspartat aminotransferase)-d1 (u\l) , GOT-d2  , GOT-d6 , GOT-d2w1</t>
  </si>
  <si>
    <t>GOT-Datum unbekannt (u\l) , GOT- (u\l) d4</t>
  </si>
  <si>
    <t>GOT-7 Tage vor Krankheitsbeginn (u\l) , GOT-6 Tage vor Krankheitsbeginn , GOT (AST, ASAT, Aspartat aminotransferase)-d1 (u\l) , GOT-d5 , GOT-d2w1</t>
  </si>
  <si>
    <t>GOT-12 Tage vor Krankheitsbeginn , GOT-8 Tage vor Krankheitsbeginn , GOT-7 Tage vor Krankheitsbeginn (u\l) , GOT-4 Tage vor Krankheitsbeginn , GOT (AST, ASAT, Aspartat aminotransferase)-d1 (u\l)</t>
  </si>
  <si>
    <t xml:space="preserve">GOT-2 Tage vor Krankheitsbeginn , GOT-d2 </t>
  </si>
  <si>
    <t>GOT-d3 , GOT- (u\l) d4</t>
  </si>
  <si>
    <t>GOT-1 Tag vor Krankheitsbeginn , GOT (AST, ASAT, Aspartat aminotransferase)-d1 (u\l) , GOT-d2  , GOT-d5</t>
  </si>
  <si>
    <t>GOT-2 Tage vor Krankheitsbeginn , GOT-1 Tag vor Krankheitsbeginn , GOT (AST, ASAT, Aspartat aminotransferase)-d1 (u\l) , GOT-d2  , GOT-d3 , GOT- (u\l) d4 , GOT-d5 , GOT-d6 , GOT-d1w1 , GOT-d2w1 , GOT-d7w1 , GOT-d1w2 , GOT- (u\l) d2w2</t>
  </si>
  <si>
    <t>GOT-2 Tage vor Krankheitsbeginn , GOT (AST, ASAT, Aspartat aminotransferase)-d1 (u\l) , GOT-d3 , GOT- (u\l) d7</t>
  </si>
  <si>
    <t>GOT (AST, ASAT, Aspartat aminotransferase)-d1 (u\l) , GOT-d5 , GOT-d5w1</t>
  </si>
  <si>
    <t>GOT (AST, ASAT, Aspartat aminotransferase)-d1 (u\l) , GOT-d3 , GOT- (u\l) d4 , GOT-d1w1 , GOT-d4w1 , GOT- (u\l) d6w1</t>
  </si>
  <si>
    <t xml:space="preserve">GOT-3 Tage vor Krankheitsbeginn , GOT-2 Tage vor Krankheitsbeginn , GOT-1 Tag vor Krankheitsbeginn , GOT (AST, ASAT, Aspartat aminotransferase)-d1 (u\l) , GOT-d2 </t>
  </si>
  <si>
    <t>GOT (AST, ASAT, Aspartat aminotransferase)-d1 (u\l) , GOT- (u\l) d4 , GOT-d1w1 , GOT-d7w1 , GOT-d5w2</t>
  </si>
  <si>
    <t>GOT-d2  , GOT- (u\l) d4 , GOT- (u\l) d7 , GOT-d4w1 , GOT-d5w1 , GOT-d7w0m1</t>
  </si>
  <si>
    <t>GOT-114 Tage vor Krankheitsbeginn (u\l) , GOT-107 Tage vor Krankheitsbeginn (u\l) , GOT-36 Tage vor Krankheitsbeginn , GOT (AST, ASAT, Aspartat aminotransferase)-d1 (u\l) , GOT-d2  , GOT-d3 , GOT- (u\l) d7</t>
  </si>
  <si>
    <t>GOT-d3 , GOT- (u\l) d4 , GOT-d5 , GOT-d6 , GOT- (u\l) d7</t>
  </si>
  <si>
    <t>GOT- (u\l) d4 , GOT- (u\l) d7 , GOT-d4w1 , GOT-d1w2 , GOT-d4w0m1 , GOT-d4w2m1</t>
  </si>
  <si>
    <t>GOT-d4w1 , GOT-d1w2 , GOT- (u\l) d2w2 , GOT-d7w3 , GOT-d5w2m1</t>
  </si>
  <si>
    <t>GOT-275 Tage vor Krankheitsbeginn (u\l) , GOT (AST, ASAT, Aspartat aminotransferase)-d1 (u\l) , GOT-d2  , GOT-d2w1</t>
  </si>
  <si>
    <t>GOT (AST, ASAT, Aspartat aminotransferase)-d1 (u\l) , GOT-d2  , GOT- (u\l) d7 , GOT-d1w1 , GOT-d4w1 , GOT-d7w1</t>
  </si>
  <si>
    <t>GOT-d2  , GOT-d6 , GOT-d7w1 , GOT-d1w0m1</t>
  </si>
  <si>
    <t>GOT-d2  , GOT-d3 , GOT- (u\l) d4</t>
  </si>
  <si>
    <t>GOT-d2  , GOT-d3 , GOT-d5 , GOT-d5w1</t>
  </si>
  <si>
    <t>GOT (AST, ASAT, Aspartat aminotransferase)-d1 (u\l) , GOT-d2  , GOT-d6 , GOT-d7w1</t>
  </si>
  <si>
    <t>GOT- (u\l) d4 , GOT-d6 , GOT-d4w1</t>
  </si>
  <si>
    <t>GPT</t>
  </si>
  <si>
    <t>GPT-d1w1 , GPT-d5w1</t>
  </si>
  <si>
    <t>GPT- d5 , GPT-d6 , GPT-d1w0m1</t>
  </si>
  <si>
    <t>GPT-d4w1 , GPT-d1w2 , GPT- (u\l) d3w2 , GPT-d1w0m1 , GPT- (u\l) d3w0m1</t>
  </si>
  <si>
    <t>GPT (ALT, ALAT, Alanin-Aminotransferase)-d1 (u\l) , GPT-d6</t>
  </si>
  <si>
    <t>GPT-d2 , GPT-d3 , GPT- (u\l) d4 , GPT-d6 , GPT-d5w1 , GPT-d7w1</t>
  </si>
  <si>
    <t>GPT- (u\l) d7 , GPT-d2w1</t>
  </si>
  <si>
    <t>GPT- (u\l) d4 , GPT- (u\l) d3w1 , GPT-d7w1m2</t>
  </si>
  <si>
    <t>GPT (ALT, ALAT, Alanin-Aminotransferase)-d1 (u\l) , GPT-d2 , GPT- (u\l) d4 , GPT- (u\l) d7</t>
  </si>
  <si>
    <t>GPT (ALT, ALAT, Alanin-Aminotransferase)-d1 (u\l) , GPT- (u\l) d4</t>
  </si>
  <si>
    <t>GPT-d1w1 , GPT- (u\l) d3w1 , GPT- (u\l) d6w1</t>
  </si>
  <si>
    <t>GPT (ALT, ALAT, Alanin-Aminotransferase)-d1 (u\l) , GPT-d2 , GPT- (u\l) d4</t>
  </si>
  <si>
    <t>GPT-d1w3 , GPT-d6w0m1</t>
  </si>
  <si>
    <t>GPT-7 Tage vor Krankheitsbeginn , GPT-2 Tage vor Krankheitsbeginn , GPT-d3 , GPT- (u\l) d7</t>
  </si>
  <si>
    <t>GPT- (u\l) d3w2 , GPT-d6w2</t>
  </si>
  <si>
    <t>GPT (ALT, ALAT, Alanin-Aminotransferase)-d1 (u\l) , GPT-d3 , GPT-d6 , GPT-d2w1</t>
  </si>
  <si>
    <t>GPT (ALT, ALAT, Alanin-Aminotransferase)-d1 (u\l) , GPT-d3</t>
  </si>
  <si>
    <t>GPT-d3 , GPT-d1w2</t>
  </si>
  <si>
    <t>GPT (ALT, ALAT, Alanin-Aminotransferase)-d1 (u\l) , GPT-d2 , GPT-d3 , GPT- (u\l) d4 , GPT-d1w1 , GPT-d5w1</t>
  </si>
  <si>
    <t>GPT-d6w1m1 , GPT- (u\l) d3w2m3</t>
  </si>
  <si>
    <t>GPT-22 Tage vor Krankheitsbeginn , GPT (ALT, ALAT, Alanin-Aminotransferase)-d1 (u\l) , GPT-d6 , GPT-d7w1 , GPT- (u\l) d3w0m1 , GPT-d2w1m1</t>
  </si>
  <si>
    <t>GPT (ALT, ALAT, Alanin-Aminotransferase)-d1 (u\l) , GPT-d7w3</t>
  </si>
  <si>
    <t>GPT- d5 , GPT-d6w0m2</t>
  </si>
  <si>
    <t>GPT-36 Tage vor Krankheitsbeginn , GPT-20 Tage vor Krankheitsbeginn , GPT (ALT, ALAT, Alanin-Aminotransferase)-d1 (u\l) , GPT-d1w2</t>
  </si>
  <si>
    <t>GPT-d2 , GPT-d2w1 , GPT-d5w1 , GPT- (u\l) d5w3</t>
  </si>
  <si>
    <t>GPT- (u\l) d4 , GPT-d6 , GPT- (u\l) d3w1 , GPT-d5w1 , GPT-d2w2</t>
  </si>
  <si>
    <t>GPT (ALT, ALAT, Alanin-Aminotransferase)-d1 (u\l) , GPT-d2 , GPT-d2w1 , GPT- (u\l) d3w1 , GPT-d4w1</t>
  </si>
  <si>
    <t>GPT-Datum unbekannt , GPT (ALT, ALAT, Alanin-Aminotransferase)-d1 (u\l)</t>
  </si>
  <si>
    <t>GPT (ALT, ALAT, Alanin-Aminotransferase)-d1 (u\l) , GPT-d4w2 , GPT- (u\l) d7w1m1</t>
  </si>
  <si>
    <t>GPT (ALT, ALAT, Alanin-Aminotransferase)-d1 (u\l) , GPT-d7w3m2 , GPT-d2w0m3</t>
  </si>
  <si>
    <t>GPT-9 Tage vor Krankheitsbeginn , GPT-7 Tage vor Krankheitsbeginn , GPT (ALT, ALAT, Alanin-Aminotransferase)-d1 (u\l) , GPT-d2w2</t>
  </si>
  <si>
    <t>GPT-d2 , GPT-d3 , GPT-d4w1</t>
  </si>
  <si>
    <t>GPT-d2 , GPT-d1w0m1 , GPT-d7w0m2 , GPT- (u\l) d3w3m2</t>
  </si>
  <si>
    <t>GPT-d2 , GPT-d3</t>
  </si>
  <si>
    <t>GPT (ALT, ALAT, Alanin-Aminotransferase)-d1 (u\l) , GPT-d5w1 , GPT-d1w3</t>
  </si>
  <si>
    <t>GPT (ALT, ALAT, Alanin-Aminotransferase)-d1 (u\l) , GPT-d2 , GPT- (u\l) d4 , GPT-d2w1 , GPT-d7w1 , GPT- (u\l) d7w2 , GPT- (u\l) d4w0m1</t>
  </si>
  <si>
    <t>GPT-d2 , GPT-d3 , GPT- (u\l) d4 , GPT- d5 , GPT-d6 , GPT- (u\l) d7 , GPT-d2w1 , GPT-d4w1 , GPT-d1w2 , GPT- (u\l) d3w2</t>
  </si>
  <si>
    <t>GPT (ALT, ALAT, Alanin-Aminotransferase)-d1 (u\l) , GPT-d2 , GPT-d3 , GPT- (u\l) d4 , GPT-d6 , GPT- (u\l) d3w1</t>
  </si>
  <si>
    <t>GPT-d1w1 , GPT- (u\l) d6w1 , GPT- (u\l) d3w2</t>
  </si>
  <si>
    <t>GPT-105 Tage vor Krankheitsbeginn (u\l) , GPT-7 Tage vor Krankheitsbeginn , GPT (ALT, ALAT, Alanin-Aminotransferase)-d1 (u\l) , GPT-d1w1 , GPT- (u\l) d6w1 , GPT-d4w2 , GPT-d7w0m2</t>
  </si>
  <si>
    <t>GPT (ALT, ALAT, Alanin-Aminotransferase)-d1 (u\l) , GPT-d3 , GPT-d6</t>
  </si>
  <si>
    <t>GPT-d1w2 , GPT-d5w2 , GPT- (u\l) d7w2 , GPT-d2w3</t>
  </si>
  <si>
    <t>GPT-Datum unbekannt , GPT (ALT, ALAT, Alanin-Aminotransferase)-d1 (u\l) , GPT- (u\l) d3w0m1</t>
  </si>
  <si>
    <t>GPT- (u\l) d3w1 , GPT-d5w2 , GPT-d3w3</t>
  </si>
  <si>
    <t>GPT (ALT, ALAT, Alanin-Aminotransferase)-d1 (u\l) , GPT-d1w2 , GPT-d2w2</t>
  </si>
  <si>
    <t>GPT (ALT, ALAT, Alanin-Aminotransferase)-d1 (u\l) , GPT- (u\l) d2w3m1 , GPT- (u\l) d3w2m3 , GPT- (u\l) d7w1m5</t>
  </si>
  <si>
    <t>GPT (ALT, ALAT, Alanin-Aminotransferase)-d1 (u\l) , GPT- (u\l) d6w1</t>
  </si>
  <si>
    <t>GPT (ALT, ALAT, Alanin-Aminotransferase)-d1 (u\l) , GPT-d5w0m1 , GPT- (u\l) d5w2m1 , GPT-d5w2m2 , GPT- (u\l) d6w1m3</t>
  </si>
  <si>
    <t>GPT (ALT, ALAT, Alanin-Aminotransferase)-d1 (u\l) , GPT-d2 , GPT-d3 , GPT- (u\l) d4 , GPT- d5 , GPT- (u\l) d7 , GPT-d1w1 , GPT- (u\l) d3w1 , GPT-d1w2 , GPT-d4w3 , GPT-d4w1m2 , GPT-d4w2m2</t>
  </si>
  <si>
    <t>GPT-2 Tage vor Krankheitsbeginn , GPT- (u\l) d4 , GPT-d4w2</t>
  </si>
  <si>
    <t>GPT-d4w1 , GPT-d2w2 , GPT-d3w3 , GPT-d1w0m1</t>
  </si>
  <si>
    <t>GPT (ALT, ALAT, Alanin-Aminotransferase)-d1 (u\l) , GPT-d4w1</t>
  </si>
  <si>
    <t>GPT (ALT, ALAT, Alanin-Aminotransferase)-d1 (u\l) , GPT-d5w1 , GPT-d1w2 , GPT-d5w2 , GPT-d1w3 , GPT-d6w3 , GPT- (u\l) d7w1m1 , GPT- (u\l) d3w2m1 , GPT- (u\l) d4w2m1 , GPT- (u\l) d5w2m1 , GPT- (u\l) d7w2m1 , GPT- (u\l) d3w3m1 , GPT- (u\l) d7w3m1</t>
  </si>
  <si>
    <t>GPT- (u\l) d3w1 , GPT-d5w1 , GPT-d2w2 , GPT-d3w3</t>
  </si>
  <si>
    <t>GPT- (u\l) d4 , GPT- d5 , GPT-d6 , GPT-d2w1</t>
  </si>
  <si>
    <t>GPT- (u\l) d4 , GPT- (u\l) d3w1 , GPT-d2w2 , GPT-d4w2</t>
  </si>
  <si>
    <t>GPT (ALT, ALAT, Alanin-Aminotransferase)-d1 (u\l) , GPT-d2 , GPT-d5w1</t>
  </si>
  <si>
    <t>GPT (ALT, ALAT, Alanin-Aminotransferase)-d1 (u\l) , GPT- (u\l) d4 , GPT-d7w1 , GPT-d6w0m2</t>
  </si>
  <si>
    <t>GPT-6 Tage vor Krankheitsbeginn , GPT- d5 , GPT- (u\l) d7 , GPT-d1w1 , GPT-d5w1 , GPT-d7w1 , GPT-d6w2 , GPT-d1w3 , GPT-d4w3</t>
  </si>
  <si>
    <t>GPT-d6 , GPT- (u\l) d7 , GPT-d4w1 , GPT-d5w1m1</t>
  </si>
  <si>
    <t>GPT (ALT, ALAT, Alanin-Aminotransferase)-d1 (u\l) , GPT-d2 , GPT- (u\l) d3w1 , GPT-d3w1m1 , GPT-d2w0m2</t>
  </si>
  <si>
    <t>GPT-d2 , GPT-d3 , GPT- (u\l) d4 , GPT- d5 , GPT-d6 , GPT- (u\l) d7 , GPT-d2w2 , GPT-d2w3 , GPT-d7w3</t>
  </si>
  <si>
    <t>GPT (ALT, ALAT, Alanin-Aminotransferase)-d1 (u\l) , GPT- (u\l) d3w0m1</t>
  </si>
  <si>
    <t>GPT- (u\l) d3w2 , GPT-d4w2 , GPT-d6w2 , GPT- (u\l) d3w0m1 , GPT- (u\l) d2w2m1</t>
  </si>
  <si>
    <t>GPT-54 Tage vor Krankheitsbeginn , GPT (ALT, ALAT, Alanin-Aminotransferase)-d1 (u\l) , GPT-d1w1 , GPT- (u\l) d5w3</t>
  </si>
  <si>
    <t>GPT- (u\l) d6w1 , GPT-d1w2 , GPT- (u\l) d3w2 , GPT- (u\l) d7w2</t>
  </si>
  <si>
    <t>GPT (ALT, ALAT, Alanin-Aminotransferase)-d1 (u\l) , GPT-d2</t>
  </si>
  <si>
    <t>GPT (ALT, ALAT, Alanin-Aminotransferase)-d1 (u\l) , GPT-d2 , GPT- (u\l) d4 , GPT-d5w1 , GPT-d6w0m3</t>
  </si>
  <si>
    <t>GPT-28 Tage vor Krankheitsbeginn , GPT (ALT, ALAT, Alanin-Aminotransferase)-d1 (u\l) , GPT-d2 , GPT- (u\l) d4</t>
  </si>
  <si>
    <t>GPT (ALT, ALAT, Alanin-Aminotransferase)-d1 (u\l) , GPT-d1w1m1 , GPT-d1w1m2 , GPT- (u\l) d6w2m3 , GPT- (u\l) d4w2m5</t>
  </si>
  <si>
    <t>GPT-Datum unbekannt , GPT-d1w1</t>
  </si>
  <si>
    <t>GPT-13 Tage vor Krankheitsbeginn , GPT-5 Tage vor Krankheitsbeginn , GPT-4 Tage vor Krankheitsbeginn , GPT-Datum unbekannt , GPT (ALT, ALAT, Alanin-Aminotransferase)-d1 (u\l) , GPT-d2 , GPT-d3 , GPT- (u\l) d4 , GPT- d5 , GPT-d6 , GPT- (u\l) d7 , GPT-d1w1 , GPT- (u\l) d3w1 , GPT-d5w1 , GPT-d2w2 , GPT-d4w2 , GPT-d5w2 , GPT-d2w3 , GPT- (u\l) d5w3</t>
  </si>
  <si>
    <t>GPT-d6 , GPT-d1w1 , GPT- (u\l) d3w1 , GPT-d5w1 , GPT- (u\l) d6w1 , GPT-d6w2 , GPT-d1w0m1 , GPT-d5w0m1 , GPT-d4w2m2</t>
  </si>
  <si>
    <t>GPT-20 Tage vor Krankheitsbeginn , GPT-6 Tage vor Krankheitsbeginn , GPT (ALT, ALAT, Alanin-Aminotransferase)-d1 (u\l) , GPT-d6 , GPT-d6w2 , GPT-d6w0m1</t>
  </si>
  <si>
    <t>GPT (ALT, ALAT, Alanin-Aminotransferase)-d1 (u\l) , GPT-d3 , GPT-d4w2</t>
  </si>
  <si>
    <t>GPT (ALT, ALAT, Alanin-Aminotransferase)-d1 (u\l) , GPT-d1w1</t>
  </si>
  <si>
    <t>GPT-11 Tage vor Krankheitsbeginn , GPT-d2 , GPT-d3 , GPT-d2w1</t>
  </si>
  <si>
    <t>GPT-d2 , GPT-d3 , GPT- (u\l) d4 , GPT-d1w1 , GPT-d1w2</t>
  </si>
  <si>
    <t>GPT-5 Tage vor Krankheitsbeginn , GPT-2 Tage vor Krankheitsbeginn , GPT (ALT, ALAT, Alanin-Aminotransferase)-d1 (u\l) , GPT-d2 , GPT-d3 , GPT- (u\l) d4</t>
  </si>
  <si>
    <t>GPT-d4w1 , GPT-d5w1 , GPT-d1w2 , GPT-d4w2</t>
  </si>
  <si>
    <t>GPT (ALT, ALAT, Alanin-Aminotransferase)-d1 (u\l) , GPT- d5</t>
  </si>
  <si>
    <t>GPT (ALT, ALAT, Alanin-Aminotransferase)-d1 (u\l) , GPT-d2 , GPT-d6 , GPT-d2w1</t>
  </si>
  <si>
    <t>GPT-7 Tage vor Krankheitsbeginn , GPT-6 Tage vor Krankheitsbeginn , GPT (ALT, ALAT, Alanin-Aminotransferase)-d1 (u\l) , GPT- d5 , GPT-d2w1</t>
  </si>
  <si>
    <t>GPT-12 Tage vor Krankheitsbeginn , GPT-8 Tage vor Krankheitsbeginn , GPT-7 Tage vor Krankheitsbeginn , GPT-4 Tage vor Krankheitsbeginn , GPT (ALT, ALAT, Alanin-Aminotransferase)-d1 (u\l)</t>
  </si>
  <si>
    <t>GPT-2 Tage vor Krankheitsbeginn , GPT-d2</t>
  </si>
  <si>
    <t>GPT-d3 , GPT- (u\l) d4 , GPT-d4w2</t>
  </si>
  <si>
    <t>GPT (ALT, ALAT, Alanin-Aminotransferase)-d1 (u\l) , GPT-d2 , GPT- d5</t>
  </si>
  <si>
    <t>GPT-2 Tage vor Krankheitsbeginn , GPT-1 Tag vor Krankheitsbeginn , GPT (ALT, ALAT, Alanin-Aminotransferase)-d1 (u\l) , GPT-d2 , GPT-d3 , GPT- (u\l) d4 , GPT- d5 , GPT-d6 , GPT-d1w1 , GPT-d2w1 , GPT-d7w1 , GPT-d1w2 , GPT-d2w2</t>
  </si>
  <si>
    <t>GPT-2 Tage vor Krankheitsbeginn , GPT (ALT, ALAT, Alanin-Aminotransferase)-d1 (u\l) , GPT-d3 , GPT- (u\l) d7</t>
  </si>
  <si>
    <t>GPT- d5 , GPT-d5w1</t>
  </si>
  <si>
    <t>GPT (ALT, ALAT, Alanin-Aminotransferase)-d1 (u\l) , GPT-d3 , GPT- (u\l) d4 , GPT-d1w1 , GPT-d4w1 , GPT- (u\l) d6w1</t>
  </si>
  <si>
    <t>GPT-3 Tage vor Krankheitsbeginn (u\l) , GPT-2 Tage vor Krankheitsbeginn , GPT-1 Tag vor Krankheitsbeginn , GPT (ALT, ALAT, Alanin-Aminotransferase)-d1 (u\l) , GPT-d2</t>
  </si>
  <si>
    <t>GPT (ALT, ALAT, Alanin-Aminotransferase)-d1 (u\l) , GPT- (u\l) d4 , GPT- (u\l) d7 , GPT-d7w1 , GPT-d5w2</t>
  </si>
  <si>
    <t>GPT-d2 , GPT- (u\l) d4 , GPT-d7w0m1</t>
  </si>
  <si>
    <t>GPT-114 Tage vor Krankheitsbeginn (u\l) , GPT-107 Tage vor Krankheitsbeginn (u\l) , GPT-36 Tage vor Krankheitsbeginn , GPT (ALT, ALAT, Alanin-Aminotransferase)-d1 (u\l) , GPT-d2 , GPT-d3 , GPT- (u\l) d7</t>
  </si>
  <si>
    <t>GPT-d3 , GPT- (u\l) d4 , GPT- d5 , GPT-d6 , GPT- (u\l) d7</t>
  </si>
  <si>
    <t>GPT- (u\l) d4 , GPT- (u\l) d7 , GPT-d4w1 , GPT-d1w2 , GPT- (u\l) d4w0m1 , GPT- (u\l) d4w2m1</t>
  </si>
  <si>
    <t>GPT-d4w1 , GPT-d2w2 , GPT-d7w3 , GPT- (u\l) d5w2m1 , GPT- (u\l) d5w3m1</t>
  </si>
  <si>
    <t>GPT-275 Tage vor Krankheitsbeginn (u\l) , GPT-37 Tage vor Krankheitsbeginn , GPT (ALT, ALAT, Alanin-Aminotransferase)-d1 (u\l) , GPT-d2 , GPT- (u\l) d4 , GPT-d2w1</t>
  </si>
  <si>
    <t>GPT (ALT, ALAT, Alanin-Aminotransferase)-d1 (u\l) , GPT-d2 , GPT- (u\l) d7 , GPT-d1w1 , GPT-d4w1 , GPT-d7w1</t>
  </si>
  <si>
    <t>GPT-30 Tage vor Krankheitsbeginn , GPT (ALT, ALAT, Alanin-Aminotransferase)-d1 (u\l) , GPT-d2 , GPT-d3 , GPT-d1w0m1</t>
  </si>
  <si>
    <t>GPT-d2 , GPT-d3 , GPT- d5 , GPT-d5w1</t>
  </si>
  <si>
    <t>GPT (ALT, ALAT, Alanin-Aminotransferase)-d1 (u\l) , GPT-d2 , GPT-d6 , GPT-d7w1</t>
  </si>
  <si>
    <t>GPT-55 Tage vor Krankheitsbeginn , GPT (ALT, ALAT, Alanin-Aminotransferase)-d1 (u\l)</t>
  </si>
  <si>
    <t>GPT- (u\l) d4 , GPT-d6 , GPT-d4w1</t>
  </si>
  <si>
    <t>GGT</t>
  </si>
  <si>
    <t>GGT- (u\l) d5 , GGT-d6 , GGT-d1w0m1</t>
  </si>
  <si>
    <t>GGT-d4w1 , GGT-d1w2 , GGT-d3w2 , GGT-d1w0m1</t>
  </si>
  <si>
    <t>GGT-1 Tag vor Krankheitsbeginn , GGT-d2 , GGT-d3 , GGT-d4 , GGT-d6 , GGT- (u\l) d5w1 , GGT-d7w1</t>
  </si>
  <si>
    <t>GGT-d7 , GGT-d2w1</t>
  </si>
  <si>
    <t>GGT-Datum unbekannt (u\l) , GGT-d1w2</t>
  </si>
  <si>
    <t>GGT-d1 (u\l) , GGT-d2 , GGT-d4 , GGT-d7</t>
  </si>
  <si>
    <t>GGT-d1 (u\l) , GGT-d6</t>
  </si>
  <si>
    <t>GGT-d1 (u\l) , GGT-d2 , GGT-d4</t>
  </si>
  <si>
    <t>GGT-7 Tage vor Krankheitsbeginn , GGT-2 Tage vor Krankheitsbeginn (u\l) , GGT-d3 , GGT-d7</t>
  </si>
  <si>
    <t>GGT-d3w2 , GGT- (u\l) d6w2</t>
  </si>
  <si>
    <t>GGT-8 Tage vor Krankheitsbeginn (u\l) , GGT-1 Tag vor Krankheitsbeginn , GGT-d1 (u\l) , GGT-d3 , GGT-d6 , GGT-d2w1</t>
  </si>
  <si>
    <t>GGT-d1 (u\l) , GGT-d3</t>
  </si>
  <si>
    <t>GGT-d3 , GGT-d1w2</t>
  </si>
  <si>
    <t>GGT-d1 (u\l) , GGT-d6w1m1 , GGT-d4w2m2 , GGT- (u\l) d2w1m3</t>
  </si>
  <si>
    <t>GGT-22 Tage vor Krankheitsbeginn (u\l) , GGT-d1 (u\l) , GGT-d6 , GGT-d7w1 , GGT-d7w2 , GGT-d6w0m1</t>
  </si>
  <si>
    <t>GGT-36 Tage vor Krankheitsbeginn , GGT-20 Tage vor Krankheitsbeginn , GGT-d1 (u\l) , GGT-d2w1 , GGT-d1w2</t>
  </si>
  <si>
    <t>GGT-d2 , GGT- (u\l) d5w3</t>
  </si>
  <si>
    <t>GGT-d4 , GGT-d6 , GGT-d3w1 , GGT- (u\l) d5w1 , GGT- (u\l) d2w2</t>
  </si>
  <si>
    <t>GGT-d1 (u\l) , GGT-d3w2 , GGT-d7w1m1</t>
  </si>
  <si>
    <t>GGT-d1 (u\l) , GGT-d7w3m2 , GGT-d2w0m3</t>
  </si>
  <si>
    <t>GGT-7 Tage vor Krankheitsbeginn , GGT-d1 (u\l) , GGT- (u\l) d2w2</t>
  </si>
  <si>
    <t>GGT-d4w1 , GGT- (u\l) d6w2 , GGT-d2w0m1</t>
  </si>
  <si>
    <t>GGT-d2 , GGT-d1w0m1 , GGT-d7w0m2 , GGT- (u\l) d3w3m2</t>
  </si>
  <si>
    <t>GGT-d1 (u\l) , GGT- (u\l) d5w1 , GGT-d1w3</t>
  </si>
  <si>
    <t>GGT-d1 (u\l) , GGT-d2 , GGT-d4 , GGT-d2w1 , GGT-d7w1 , GGT-d7w2 , GGT- (u\l) d4w0m1</t>
  </si>
  <si>
    <t>GGT-d2 , GGT-d3 , GGT-d4 , GGT- (u\l) d5 , GGT-d6 , GGT-d7 , GGT-d2w1 , GGT-d4w1 , GGT-d1w2 , GGT-d3w2</t>
  </si>
  <si>
    <t>GGT-d1 (u\l) , GGT-d2 , GGT-d3 , GGT-d4 , GGT-d6 , GGT-d3w1</t>
  </si>
  <si>
    <t>GGT- (u\l) d1w1 , GGT-d6w1 , GGT-d3w2</t>
  </si>
  <si>
    <t>GGT-105 Tage vor Krankheitsbeginn (u\l) , GGT-67 Tage vor Krankheitsbeginn , GGT-7 Tage vor Krankheitsbeginn , GGT-d1 (u\l) , GGT- (u\l) d1w1 , GGT-d6w1 , GGT- (u\l) d7w2m1 , GGT-d7w0m2</t>
  </si>
  <si>
    <t>GGT-d1 (u\l) , GGT-d3 , GGT-d6</t>
  </si>
  <si>
    <t>GGT-d1w2 , GGT-d5w2 , GGT-d7w2 , GGT-d2w3</t>
  </si>
  <si>
    <t>GGT-Datum unbekannt (u\l) , GGT-d1 (u\l) , GGT- (u\l) d3w0m1</t>
  </si>
  <si>
    <t>GGT-d1w2 , GGT- (u\l) d2w2</t>
  </si>
  <si>
    <t>GGT-d1 (u\l) , GGT-d5w0m1 , GGT- (u\l) d5w2m1 , GGT-d5w2m2 , GGT- (u\l) d6w1m3</t>
  </si>
  <si>
    <t>GGT-d1 (u\l) , GGT-d2 , GGT-d3 , GGT-d4 , GGT- (u\l) d5 , GGT-d7 , GGT-d3w1 , GGT-d1w2 , GGT-d3w2 , GGT- (u\l) d3w0m1 , GGT- (u\l) d4w2m1</t>
  </si>
  <si>
    <t>GGT-2 Tage vor Krankheitsbeginn (u\l) , GGT-d4 , GGT-d4w2</t>
  </si>
  <si>
    <t>GGT-d4w1 , GGT- (u\l) d2w2 , GGT-d3w3 , GGT-d1w0m1</t>
  </si>
  <si>
    <t>GGT-d1 (u\l) , GGT-d4w1</t>
  </si>
  <si>
    <t>GGT- (u\l) d3w2m1 , GGT- (u\l) d5w2m1 , GGT- (u\l) d7w3m1</t>
  </si>
  <si>
    <t>GGT-d4 , GGT- (u\l) d5 , GGT-d6 , GGT-d2w1</t>
  </si>
  <si>
    <t>GGT-d4 , GGT-d3w1 , GGT- (u\l) d2w2 , GGT-d4w2</t>
  </si>
  <si>
    <t>GGT-d1 (u\l) , GGT-d4 , GGT- (u\l) d5w1</t>
  </si>
  <si>
    <t>GGT-d1 (u\l) , GGT-d3w1m1 , GGT-d2w0m2</t>
  </si>
  <si>
    <t>GGT-d2 , GGT-d3 , GGT-d6 , GGT-d7 , GGT-d1w2 , GGT-d2w3 , GGT-d7w3</t>
  </si>
  <si>
    <t>GGT-Datum unbekannt (u\l) , GGT- (u\l) d3w0m1</t>
  </si>
  <si>
    <t>GGT-d3w2 , GGT- (u\l) d2w2m1</t>
  </si>
  <si>
    <t>GGT-d6w1 , GGT-d1w2 , GGT-d3w2 , GGT-d7w2</t>
  </si>
  <si>
    <t>GGT-d1 (u\l) , GGT-d2</t>
  </si>
  <si>
    <t>GGT-Datum unbekannt (u\l) , GGT- (u\l) d1w1 , GGT- (u\l) d6w2m3</t>
  </si>
  <si>
    <t>GGT-12 Tage vor Krankheitsbeginn , GGT-6 Tage vor Krankheitsbeginn , GGT-5 Tage vor Krankheitsbeginn , GGT-Datum unbekannt (u\l) , GGT-d1 (u\l) , GGT-d2 , GGT-d3 , GGT-d4 , GGT- (u\l) d5 , GGT-d6 , GGT-d7 , GGT- (u\l) d1w1 , GGT-d3w1 , GGT- (u\l) d5w1 , GGT- (u\l) d2w2 , GGT-d4w2 , GGT-d2w3 , GGT- (u\l) d5w3</t>
  </si>
  <si>
    <t>GGT-d6 , GGT- (u\l) d1w1 , GGT-d3w1 , GGT- (u\l) d5w1 , GGT-d6w1 , GGT- (u\l) d6w2 , GGT- (u\l) d4w0m1 , GGT-d5w0m1</t>
  </si>
  <si>
    <t>GGT-20 Tage vor Krankheitsbeginn , GGT-9 Tage vor Krankheitsbeginn , GGT-d1 (u\l) , GGT-d6 , GGT- (u\l) d6w2 , GGT-d6w0m1</t>
  </si>
  <si>
    <t>GGT-11 Tage vor Krankheitsbeginn , GGT-d2 , GGT-d3 , GGT-d2w1</t>
  </si>
  <si>
    <t>GGT-d2 , GGT-d3 , GGT-d4 , GGT- (u\l) d1w1 , GGT-d1w2</t>
  </si>
  <si>
    <t>GGT-5 Tage vor Krankheitsbeginn , GGT-2 Tage vor Krankheitsbeginn (u\l) , GGT-d1 (u\l) , GGT-d2 , GGT-d3 , GGT-d4</t>
  </si>
  <si>
    <t>GGT-d1 (u\l) , GGT-d2 , GGT-d6 , GGT-d2w1</t>
  </si>
  <si>
    <t>GGT-7 Tage vor Krankheitsbeginn , GGT-6 Tage vor Krankheitsbeginn , GGT-3 Tage vor Krankheitsbeginn , GGT-d1 (u\l) , GGT-d7 , GGT-d2w1</t>
  </si>
  <si>
    <t>GGT-12 Tage vor Krankheitsbeginn , GGT-8 Tage vor Krankheitsbeginn (u\l) , GGT-7 Tage vor Krankheitsbeginn , GGT-4 Tage vor Krankheitsbeginn , GGT-d1 (u\l)</t>
  </si>
  <si>
    <t>GGT-d3 , GGT-d4 , GGT-d4w2</t>
  </si>
  <si>
    <t>GGT-d1 (u\l) , GGT-d2 , GGT- (u\l) d5</t>
  </si>
  <si>
    <t>GGT-d1 (u\l) , GGT-d3 , GGT-d7</t>
  </si>
  <si>
    <t>GGT-d1 (u\l) , GGT-d3 , GGT-d4 , GGT- (u\l) d1w1 , GGT-d4w1 , GGT-d6w1</t>
  </si>
  <si>
    <t>GGT-3 Tage vor Krankheitsbeginn , GGT-2 Tage vor Krankheitsbeginn (u\l) , GGT-1 Tag vor Krankheitsbeginn , GGT-d1 (u\l) , GGT-d2</t>
  </si>
  <si>
    <t>GGT-d1 (u\l) , GGT-d4 , GGT- (u\l) d1w1 , GGT-d7w1</t>
  </si>
  <si>
    <t>GGT-d2 , GGT-d7 , GGT-d4w1 , GGT- (u\l) d5w1 , GGT-d7w0m1</t>
  </si>
  <si>
    <t>GGT-114 Tage vor Krankheitsbeginn (u\l) , GGT-d1 (u\l) , GGT-d2</t>
  </si>
  <si>
    <t>GGT-275 Tage vor Krankheitsbeginn (u\l) , GGT-37 Tage vor Krankheitsbeginn , GGT-d1 (u\l) , GGT-d2 , GGT-d4 , GGT-d2w1</t>
  </si>
  <si>
    <t>GGT-d1 (u\l) , GGT-d2 , GGT-d7 , GGT- (u\l) d1w1 , GGT-d4w1 , GGT-d7w1 , GGT- (u\l) d6w2</t>
  </si>
  <si>
    <t>GGT-d1 (u\l) , GGT-d2 , GGT-d3 , GGT-d4</t>
  </si>
  <si>
    <t>GGT-d2 , GGT- (u\l) d5 , GGT- (u\l) d5w1</t>
  </si>
  <si>
    <t>GGT-55 Tage vor Krankheitsbeginn , GGT-d1 (u\l)</t>
  </si>
  <si>
    <t>GGT-d4 , GGT-d6 , GGT-d4w1</t>
  </si>
  <si>
    <t>LDH</t>
  </si>
  <si>
    <t>LDH-4 Tage vor Krankheitsbeginn , LDH-3 Tage vor Krankheitsbeginn (u\l) , LDH-2 Tage vor Krankheitsbeginn , LDH-d1 (u\l) , LDH- (u\l) d1w1  , LDH-d4w2</t>
  </si>
  <si>
    <t>LDH- (u\l) d5 , LDH-d6</t>
  </si>
  <si>
    <t>LDH-d1w2 , LDH-d3w2 , LDH- (u\l) d1w0m1</t>
  </si>
  <si>
    <t>LDH-d2 , LDH-d3</t>
  </si>
  <si>
    <t>LDH-Datum unbekannt (u\l) , LDH-d6</t>
  </si>
  <si>
    <t>LDH-d1 (u\l) , LDH-d4</t>
  </si>
  <si>
    <t>LDH-Datum unbekannt (u\l) , LDH-d1 (u\l)</t>
  </si>
  <si>
    <t>LDH-d1 (u\l) , LDH- (u\l) d5</t>
  </si>
  <si>
    <t>LDH-d4 , LDH-d6 , LDH-d3w1</t>
  </si>
  <si>
    <t>LDH-d1 (u\l) , LDH-d2 , LDH- (u\l) d1w1  , LDH-d2w1  , LDH-d3w1 , LDH- (u\l) d4w1</t>
  </si>
  <si>
    <t>LDH-d1 (u\l) , LDH-d2 , LDH-d4 , LDH-d6</t>
  </si>
  <si>
    <t>LDH-Datum unbekannt (u\l) , LDH-d1 (u\l) , LDH-d3w0m1</t>
  </si>
  <si>
    <t>LDH-d2w1  , LDH-d3w3</t>
  </si>
  <si>
    <t>LDH-d1w2 , LDH- (u\l) d2w2</t>
  </si>
  <si>
    <t>LDH-d1 (u\l) , LDH-d2 , LDH-d3 , LDH- (u\l) d5 , LDH-d3w1</t>
  </si>
  <si>
    <t>LDH-d4 , LDH-d4w2</t>
  </si>
  <si>
    <t>LDH-13 Tage vor Krankheitsbeginn (u\l) , LDH-d1 (u\l) , LDH-d2 , LDH-d3 , LDH-d4 , LDH- (u\l) d5 , LDH-d6 , LDH-d7 , LDH- (u\l) d1w1  , LDH-d3w1 , LDH-d5w1 , LDH- (u\l) d2w2</t>
  </si>
  <si>
    <t xml:space="preserve">LDH-11 Tage vor Krankheitsbeginn (u\l) , LDH-d2 , LDH-d3 , LDH-d2w1 </t>
  </si>
  <si>
    <t xml:space="preserve">LDH-d2 , LDH-d3 , LDH-d4 , LDH- (u\l) d1w1 </t>
  </si>
  <si>
    <t>LDH-5 Tage vor Krankheitsbeginn , LDH-d2 , LDH-d3 , LDH-d4</t>
  </si>
  <si>
    <t>LDH-d5w1 , LDH-d1w2 , LDH-d4w2</t>
  </si>
  <si>
    <t>LDH-7 Tage vor Krankheitsbeginn , LDH-6 Tage vor Krankheitsbeginn</t>
  </si>
  <si>
    <t>LDH-12 Tage vor Krankheitsbeginn (u\l) , LDH-7 Tage vor Krankheitsbeginn , LDH-d1 (u\l)</t>
  </si>
  <si>
    <t>LDH- (u\l) d5 , LDH-d7</t>
  </si>
  <si>
    <t>LDH-64 Tage vor Krankheitsbeginn (u\l) , LDH-d1 (u\l)</t>
  </si>
  <si>
    <t>LDH-3 Tage vor Krankheitsbeginn (u\l) , LDH-2 Tage vor Krankheitsbeginn , LDH-1 Tag vor Krankheitsbeginn , LDH-d1 (u\l) , LDH-d2</t>
  </si>
  <si>
    <t>LDH-d2 , LDH- (u\l) d4w1</t>
  </si>
  <si>
    <t>LDH-d1 (u\l) , LDH-d2 , LDH-d3 , LDH-d7</t>
  </si>
  <si>
    <t>Lymphozyten</t>
  </si>
  <si>
    <t>Lymphozyten- (%) d4w1 , Lymphozyten-d1w2</t>
  </si>
  <si>
    <t>Lymphozyten-4 Tage vor Krankheitsbeginn (%) , Lymphozyten-d3</t>
  </si>
  <si>
    <t>Lymphozyten-22 Tage vor Krankheitsbeginn , Lymphozyten-d1 (%) , Lymphozyten-d6 , Lymphozyten-d7w1 , Lymphozyten- (%) d2w4 , Lymphozyten-d2w2m1</t>
  </si>
  <si>
    <t>Lymphozyten-36 Tage vor Krankheitsbeginn (%) , Lymphozyten-20 Tage vor Krankheitsbeginn , Lymphozyten-d1 (%) , Lymphozyten-d2w1 , Lymphozyten-d1w2</t>
  </si>
  <si>
    <t>Lymphozyten-d1 (%) , Lymphozyten-d4w3m2</t>
  </si>
  <si>
    <t>Lymphozyten-d2 , Lymphozyten-d1w0m1 , Lymphozyten-d7w0m2 , Lymphozyten- (%) d3w3m2</t>
  </si>
  <si>
    <t>Lymphozyten-11 Tage vor Krankheitsbeginn , Lymphozyten-d3</t>
  </si>
  <si>
    <t>Lymphozyten-7 Tage vor Krankheitsbeginn (%) , Lymphozyten-6 Tage vor Krankheitsbeginn (%) , Lymphozyten-d2w1</t>
  </si>
  <si>
    <t>Lymphozyten-12 Tage vor Krankheitsbeginn , Lymphozyten-7 Tage vor Krankheitsbeginn (%)</t>
  </si>
  <si>
    <t>Hb</t>
  </si>
  <si>
    <t>Hb- [g/dl] d5 , Hb-d6 , Hb-d1w0m1</t>
  </si>
  <si>
    <t>Hb-d2  , Hb-d3 , Hb-d4 , Hb-d6 , Hb- [g/dl] d2w1 , Hb-d5w1 , Hb-d7w1 , Hb- [g/dl] d3w2</t>
  </si>
  <si>
    <t>Hb-d4 , Hb-d3w1 , Hb-d7w1m2 , Hb-d1w3m5</t>
  </si>
  <si>
    <t>Hb-1 Tag vor Krankheitsbeginn [g/dl] , Hb (Hämoglobin)-d1 [g/dl] , Hb-d2  , Hb-d3 , Hb-d7w1</t>
  </si>
  <si>
    <t>Hb-43 Tage vor Krankheitsbeginn , Hb (Hämoglobin)-d1 [g/dl] , Hb-d2  , Hb-d7w2</t>
  </si>
  <si>
    <t>Hb-38 Tage vor Krankheitsbeginn , Hb-21 Tage vor Krankheitsbeginn [g/dl] , Hb (Hämoglobin)-d1 [g/dl] , Hb- [g/dl] d2w1 , Hb-d2w2</t>
  </si>
  <si>
    <t>Hb-72Tage vor Krankheitsbeginn , Hb-7 Tage vor Krankheitsbeginn [g/dl] , Hb-d3</t>
  </si>
  <si>
    <t>Hb (Hämoglobin)-d1 [g/dl] , Hb-d2  , Hb-d5w1</t>
  </si>
  <si>
    <t>Hb (Hämoglobin)-d1 [g/dl] , Hb-d3</t>
  </si>
  <si>
    <t>Hb-d4 , Hb- [g/dl] d5 , Hb-d5w1 , Hb- [g/dl] d6w3</t>
  </si>
  <si>
    <t>Hb-8 Tage vor Krankheitsbeginn , Hb-1 Tag vor Krankheitsbeginn [g/dl] , Hb (Hämoglobin)-d1 [g/dl] , Hb-d3 , Hb- [g/dl] d2w1</t>
  </si>
  <si>
    <t>Hb (Hämoglobin)-d1 [g/dl] , Hb-d2  , Hb-d3 , Hb- [g/dl] d2w1 , Hb- [g/dl] d6w1 , Hb-d1w2</t>
  </si>
  <si>
    <t>Hb-22 Tage vor Krankheitsbeginn , Hb (Hämoglobin)-d1 [g/dl] , Hb-d6 , Hb-d7w1</t>
  </si>
  <si>
    <t>Hb- [g/dl] d5 , Hb-d6w0m2</t>
  </si>
  <si>
    <t>Hb-36 Tage vor Krankheitsbeginn [g/dl] , Hb-20 Tage vor Krankheitsbeginn , Hb (Hämoglobin)-d1 [g/dl] , Hb- [g/dl] d2w1 , Hb-d1w2</t>
  </si>
  <si>
    <t>Hb-d4 , Hb-d3w1 , Hb-d5w1 , Hb-d2w2</t>
  </si>
  <si>
    <t>Hb (Hämoglobin)-d1 [g/dl] , Hb-d6</t>
  </si>
  <si>
    <t>Hb (Hämoglobin)-d1 [g/dl] , Hb-d7</t>
  </si>
  <si>
    <t>Hb-d2  , Hb-d1w0m1 , Hb-d7w0m2</t>
  </si>
  <si>
    <t>Hb-d2  , Hb-d3 , Hb-d4 , Hb-d1w1 , Hb-d1w2</t>
  </si>
  <si>
    <t>Hb-d2  , Hb-d4 , Hb- [g/dl] d5 , Hb-d6 , Hb-d7 , Hb- [g/dl] d2w1 , Hb-d4w1 , Hb-d1w2</t>
  </si>
  <si>
    <t>Hb (Hämoglobin)-d1 [g/dl] , Hb-d4 , Hb-d3w1</t>
  </si>
  <si>
    <t>Hb (Hämoglobin)-d1 [g/dl] , Hb-d3 , Hb-d6</t>
  </si>
  <si>
    <t>Hb-d1w2 , Hb-d7w2 , Hb-d2w3</t>
  </si>
  <si>
    <t>Hb (Hämoglobin)-d1 [g/dl] , Hb-d3 , Hb-d4 , Hb-d7 , Hb-d3w1 , Hb-d1w2 , Hb-d4w2</t>
  </si>
  <si>
    <t>Hb-d4 , Hb-d3w1</t>
  </si>
  <si>
    <t>Hb-14 Tage vor Krankheitsbeginn , Hb-6 Tage vor Krankheitsbeginn , Hb (Hämoglobin)-d1 [g/dl] , Hb-d3 , Hb- [g/dl] d5 , Hb-d6 , Hb-d7</t>
  </si>
  <si>
    <t>Hb-11 Tage vor Krankheitsbeginn , Hb-d4</t>
  </si>
  <si>
    <t>Hb-11 Tage vor Krankheitsbeginn , Hb-8 Tage vor Krankheitsbeginn , Hb-7 Tage vor Krankheitsbeginn [g/dl] , Hb-5 Tage vor Krankheitsbeginn , Hb-d2  , Hb-d3 , Hb-d7 , Hb- [g/dl] d2w1</t>
  </si>
  <si>
    <t>Hb-d4w1 , Hb-d4w2</t>
  </si>
  <si>
    <t>Hb (Hämoglobin)-d1 [g/dl] , Hb-d2  , Hb-d6 , Hb- [g/dl] d2w1</t>
  </si>
  <si>
    <t>Hb-7 Tage vor Krankheitsbeginn [g/dl] , Hb-6 Tage vor Krankheitsbeginn , Hb (Hämoglobin)-d1 [g/dl] , Hb- [g/dl] d2w1</t>
  </si>
  <si>
    <t>Hb-12 Tage vor Krankheitsbeginn , Hb-8 Tage vor Krankheitsbeginn , Hb-7 Tage vor Krankheitsbeginn [g/dl]</t>
  </si>
  <si>
    <t>Hb (Hämoglobin)-d1 [g/dl] , Hb-d3 , Hb-d7</t>
  </si>
  <si>
    <t xml:space="preserve">Hb-3 Tage vor Krankheitsbeginn , Hb-2 Tage vor Krankheitsbeginn , Hb-1 Tag vor Krankheitsbeginn [g/dl] , Hb (Hämoglobin)-d1 [g/dl] , Hb-d2 </t>
  </si>
  <si>
    <t>Hb (Hämoglobin)-d1 [g/dl] , Hb-d4 , Hb-d1w1 , Hb-d7w1</t>
  </si>
  <si>
    <t>Hb-d3 , Hb-d4 , Hb-d6 , Hb-d7</t>
  </si>
  <si>
    <t>Bilirubin-7 Tage vor Krankheitsbeginn 2</t>
  </si>
  <si>
    <t>Bilirubin-2 Tage vor Krankheitsbeginn 3</t>
  </si>
  <si>
    <t>Bilirubin-Datum unbekannt (mg/dl)4</t>
  </si>
  <si>
    <t>Bilirubin-d35</t>
  </si>
  <si>
    <t>Bilirubin-d66</t>
  </si>
  <si>
    <t>Bilirubin-d77</t>
  </si>
  <si>
    <t>Bilirubin-d3w18</t>
  </si>
  <si>
    <t>Bilirubin-d6w19</t>
  </si>
  <si>
    <t>Bilirubin-d3w210</t>
  </si>
  <si>
    <t>Bilirubin-d4w211</t>
  </si>
  <si>
    <t>Bilirubin-d1w312</t>
  </si>
  <si>
    <t>Bilirubin</t>
  </si>
  <si>
    <t>Gesamteiweiß</t>
  </si>
  <si>
    <t>Gesamteiweiß- [g/dl] d5  , Gesamteiweiß-d5w1</t>
  </si>
  <si>
    <t>Gesamteiweiß-d4  , Gesamteiweiß-d6  , Gesamteiweiß- [g/dl] d3w1 , Gesamteiweiß-d5w1 , Gesamteiweiß-d2w2</t>
  </si>
  <si>
    <t>Gesamteiweiß-d2  , Gesamteiweiß-d2w1</t>
  </si>
  <si>
    <t>Gesamteiweiß-d1w2 , Gesamteiweiß-d2w2</t>
  </si>
  <si>
    <t xml:space="preserve">Gesamteiweiß-d2  , Gesamteiweiß-d4 </t>
  </si>
  <si>
    <t>AP-18 Tage vor Krankheitsbeginn2</t>
  </si>
  <si>
    <t>Ap</t>
  </si>
  <si>
    <t>Ap-d6 , Ap- (u/l) d1w4</t>
  </si>
  <si>
    <t>AP-d2 , AP-d3 , Ap-d4 , Ap-d6 , AP-d5w1 , AP-d7w1</t>
  </si>
  <si>
    <t>AP (alkalische Phosphatase)-d1 (u/l) , AP-d2 , Ap-d4</t>
  </si>
  <si>
    <t>AP- (u/l) d1w3 , Ap-d6w4</t>
  </si>
  <si>
    <t>AP-3 Jahre vor Krankheitsbeginn (u/l) , AP (alkalische Phosphatase)-d1 (u/l) , AP-d3 , Ap-d6 , Ap- (u/l) d2w1</t>
  </si>
  <si>
    <t>AP (alkalische Phosphatase)-d1 (u/l) , AP-d3</t>
  </si>
  <si>
    <t>AP-d3 , AP-d1w2</t>
  </si>
  <si>
    <t>AP (alkalische Phosphatase)-d1 (u/l) , AP-d2 , AP-d3</t>
  </si>
  <si>
    <t>AP-22 Tage vor Krankheitsbeginn , AP (alkalische Phosphatase)-d1 (u/l) , Ap-d6 , AP-d7w1 , AP-d7w2 , Ap-d6w4</t>
  </si>
  <si>
    <t>AP (alkalische Phosphatase)-d1 (u/l) , AP-d7w3</t>
  </si>
  <si>
    <t>AP-36 Tage vor Krankheitsbeginn , AP-20 Tage vor Krankheitsbeginn (u/l) , AP-Datum unbekannt (u/l) , Ap- (u/l) d2w1 , AP-d1w2</t>
  </si>
  <si>
    <t>Ap-d4 , Ap-d6 , AP-d3w1 , AP-d5w1 , AP-d2w2</t>
  </si>
  <si>
    <t>AP (alkalische Phosphatase)-d1 (u/l) , Ap-d7w3m2 , Ap- (u/l) d2w0m3</t>
  </si>
  <si>
    <t>AP-d2 , Ap- (u/l) d1w0m1 , Ap-d7w0m2 , Ap- (u/l) d3w3m2</t>
  </si>
  <si>
    <t>AP (alkalische Phosphatase)-d1 (u/l) , AP-d5w1 , AP- (u/l) d1w3</t>
  </si>
  <si>
    <t>AP-d2 , Ap-d4 , Ap- (u/l) d2w1 , AP-d7w1 , AP-d7w2 , Ap-d4w4</t>
  </si>
  <si>
    <t>AP-d3 , Ap-d4 , Ap- (u/l) d5 , Ap-d6 , Ap-d7 , Ap- (u/l) d2w1 , AP-d4w1 , AP-d1w2 , AP- (u/l) d3w2</t>
  </si>
  <si>
    <t>AP (alkalische Phosphatase)-d1 (u/l) , Ap-d4 , Ap-d6 , AP-d3w1</t>
  </si>
  <si>
    <t>Ap-d1w1 , AP- (u/l) d6w1 , AP- (u/l) d3w2</t>
  </si>
  <si>
    <t>AP-7 Tage vor Krankheitsbeginn (u/l) , AP (alkalische Phosphatase)-d1 (u/l) , Ap-d1w1 , AP- (u/l) d6w1 , Ap-d7w0m2</t>
  </si>
  <si>
    <t>AP-d1w2 , AP-d5w2 , AP-d7w2 , AP-d2w3</t>
  </si>
  <si>
    <t>AP-d3w1 , AP-d3w3</t>
  </si>
  <si>
    <t>AP-d1w2 , AP-d2w2</t>
  </si>
  <si>
    <t>AP (alkalische Phosphatase)-d1 (u/l) , Ap-d2w3m1 , Ap- (u/l) d7w1m5</t>
  </si>
  <si>
    <t>AP (alkalische Phosphatase)-d1 (u/l) , AP- (u/l) d6w1</t>
  </si>
  <si>
    <t>AP (alkalische Phosphatase)-d1 (u/l) , Ap-d5w0m1 , Ap-d5w2m1 , Ap-d5w2m2 , Ap- (u/l) d6w1m3</t>
  </si>
  <si>
    <t>AP (alkalische Phosphatase)-d1 (u/l) , AP-d2 , AP-d3 , Ap-d4 , Ap- (u/l) d5 , Ap-d7 , Ap-d1w1 , AP-d3w1 , AP-d1w2</t>
  </si>
  <si>
    <t>AP-2 Tage vor Krankheitsbeginn , Ap-d4 , AP-d4w2</t>
  </si>
  <si>
    <t>AP-d4w1 , AP-d2w2 , AP-d3w3 , Ap- (u/l) d1w0m1</t>
  </si>
  <si>
    <t>Ap-d3w2m1 , Ap-d5w2m1 , Ap-d7w3m1</t>
  </si>
  <si>
    <t>Ap-d4 , Ap-d6 , Ap- (u/l) d2w1</t>
  </si>
  <si>
    <t>AP (alkalische Phosphatase)-d1 (u/l) , Ap-d4</t>
  </si>
  <si>
    <t>AP-6 Tage vor Krankheitsbeginn , Ap-d7 , Ap-d1w1 , AP-d7w1 , AP- (u/l) d1w3</t>
  </si>
  <si>
    <t>Ap-d6 , Ap-d7 , AP-d4w1 , Ap-d5w1m1</t>
  </si>
  <si>
    <t>AP (alkalische Phosphatase)-d1 (u/l) , AP-d2 , AP-d3w1 , Ap-d2w0m2</t>
  </si>
  <si>
    <t>AP-d2 , AP-d3 , Ap- (u/l) d5 , Ap-d6 , Ap-d7 , AP-d1w2 , AP-d2w3 , AP-d7w3</t>
  </si>
  <si>
    <t>AP-Datum unbekannt (u/l) , Ap-d3w0m1</t>
  </si>
  <si>
    <t>AP- (u/l) d3w2 , AP-d2w3</t>
  </si>
  <si>
    <t>AP (alkalische Phosphatase)-d1 (u/l) , Ap-d1w1</t>
  </si>
  <si>
    <t>AP- (u/l) d6w1 , AP-d1w2</t>
  </si>
  <si>
    <t>AP-d2 , AP-d5w1</t>
  </si>
  <si>
    <t>AP-14 Tage vor Krankheitsbeginn , AP-13 Tage vor Krankheitsbeginn , AP-5 Tage vor Krankheitsbeginn , AP-4 Tage vor Krankheitsbeginn , AP-Datum unbekannt (u/l) , AP (alkalische Phosphatase)-d1 (u/l) , AP-d3 , Ap-d4 , Ap- (u/l) d5 , Ap-d6 , Ap-d7 , Ap-d1w1 , AP-d3w1 , AP-d5w1 , AP-d2w2 , AP-d4w2 , AP-d2w3 , AP-d5w3</t>
  </si>
  <si>
    <t>Ap-d6 , Ap-d1w1 , AP-d3w1 , AP-d5w1 , AP- (u/l) d6w1 , AP-d6w2 , Ap-d4w0m1 , Ap-d5w0m1</t>
  </si>
  <si>
    <t>AP-11 Tage vor Krankheitsbeginn , AP-d2 , AP-d3 , Ap- (u/l) d2w1</t>
  </si>
  <si>
    <t>AP-d2 , AP-d3 , Ap-d4 , Ap-d1w1</t>
  </si>
  <si>
    <t>AP-5 Tage vor Krankheitsbeginn , AP-d2 , AP-d3 , Ap-d4</t>
  </si>
  <si>
    <t>AP-d4w1 , AP-d5w1 , AP-d1w2 , AP-d4w2</t>
  </si>
  <si>
    <t>AP (alkalische Phosphatase)-d1 (u/l) , AP-d2 , Ap-d6 , Ap- (u/l) d2w1</t>
  </si>
  <si>
    <t>AP-7 Tage vor Krankheitsbeginn (u/l) , AP-6 Tage vor Krankheitsbeginn , AP (alkalische Phosphatase)-d1 (u/l) , Ap- (u/l) d5 , Ap- (u/l) d2w1</t>
  </si>
  <si>
    <t>AP-12 Tage vor Krankheitsbeginn , AP-18 Tage vor Krankheitsbeginn2 , AP-7 Tage vor Krankheitsbeginn (u/l) , AP-4 Tage vor Krankheitsbeginn , AP (alkalische Phosphatase)-d1 (u/l)</t>
  </si>
  <si>
    <t>AP-Datum unbekannt (u/l) , AP-d2</t>
  </si>
  <si>
    <t>AP-2 Tage vor Krankheitsbeginn , AP-1 Tag vor Krankheitsbeginn , AP (alkalische Phosphatase)-d1 (u/l) , AP-d2 , AP-d3 , Ap-d4 , Ap- (u/l) d5 , Ap-d6 , Ap-d1w1 , Ap- (u/l) d2w1 , AP-d7w1 , AP-d1w2 , AP-d2w2</t>
  </si>
  <si>
    <t>AP (alkalische Phosphatase)-d1 (u/l) , AP-d3 , Ap-d7</t>
  </si>
  <si>
    <t>AP-3 Tage vor Krankheitsbeginn , AP-2 Tage vor Krankheitsbeginn , AP-1 Tag vor Krankheitsbeginn , AP (alkalische Phosphatase)-d1 (u/l) , AP-d2</t>
  </si>
  <si>
    <t>AP-d2 , Ap-d4 , AP-d4w1 , AP-d5w1</t>
  </si>
  <si>
    <t>AP-107 Tage vor Krankheitsbeginn , AP (alkalische Phosphatase)-d1 (u/l) , AP-d2 , AP-d3 , Ap-d7</t>
  </si>
  <si>
    <t>AP-d3 , Ap-d4</t>
  </si>
  <si>
    <t>Ap-d4 , Ap-d7 , AP-d4w1 , AP-d1w2 , Ap-d4w0m1 , Ap-d4w2m1</t>
  </si>
  <si>
    <t>AP-d4w1 , AP-d7w3</t>
  </si>
  <si>
    <t>AP-37 Tage vor Krankheitsbeginn , AP-d2</t>
  </si>
  <si>
    <t>AP-d2 , AP-d4w1</t>
  </si>
  <si>
    <t>AP-30 Tage vor Krankheitsbeginn , AP-d5w1 , Ap- (u/l) d1w0m1</t>
  </si>
  <si>
    <t>Ap-d4 , Ap-d6 , AP-d4w1</t>
  </si>
  <si>
    <t>Cholinesterase</t>
  </si>
  <si>
    <t>Erste Zeichen</t>
  </si>
  <si>
    <t>Cholinesterase (Che)-d1 (u/l) , Cholinesterase-d7w3</t>
  </si>
  <si>
    <t>Cholinesterase-d5w0m1 , Cholinesterase-d5w2m1 , Cholinesterase- (u/l) d5w2m2 , Cholinesterase- (u/l) d6w1m3</t>
  </si>
  <si>
    <t>Cholinesterase-d2 , Cholinesterase- (u/l) d5 , Cholinesterase-d6 , Cholinesterase-d7 , Cholinesterase-d3w1 , Cholinesterase-d5w1 , Cholinesterase- (u/l) d2w2</t>
  </si>
  <si>
    <t>Cholinesterase-d2 , Cholinesterase-d2w1</t>
  </si>
  <si>
    <t>Cholinesterase-d3 , Cholinesterase-d4 , Cholinesterase-d1w1</t>
  </si>
  <si>
    <t>Kreatinin</t>
  </si>
  <si>
    <t>Kreatinin- (mg/dl) d1w1 , Kreatinin-d5w1</t>
  </si>
  <si>
    <t>Kreatinin-4 Tage vor Krankheitsbeginn (mg/dl) , Kreatinin-3 Tage vor Krankheitsbeginn , Kreatinin-2 Tage vor Krankheitsbeginn , Kreatinin-d1 (mg/dl) , Kreatinin-d7 , Kreatinin-d4w2</t>
  </si>
  <si>
    <t>Kreatinin-d4w1 , Kreatinin-d1w2 , Kreatinin- (mg/dl) d3w2 , Kreatinin- (mg/dl) d1w0m1 , Kreatinin-d3w0m1</t>
  </si>
  <si>
    <t>Kreatinin-d1 (mg/dl) , Kreatinin-d6</t>
  </si>
  <si>
    <t xml:space="preserve">Kreatinin-d1 (mg/dl) , Kreatinin-d3 </t>
  </si>
  <si>
    <t>Kreatinin-d1 (mg/dl) , Kreatinin-d2 , Kreatinin-d3  , Kreatinin-d2w1 , Kreatinin- (mg/dl) d6w1</t>
  </si>
  <si>
    <t>Kreatinin-d1 (mg/dl) , Kreatinin-d7w3</t>
  </si>
  <si>
    <t>Kreatinin-36 Tage vor Krankheitsbeginn (mg/dl) , Kreatinin-20 Tage vor Krankheitsbeginn , Kreatinin-d1 (mg/dl) , Kreatinin-d2w1 , Kreatinin-d1w2</t>
  </si>
  <si>
    <t>Kreatinin-d1 (mg/dl) , Kreatinin-d2 , Kreatinin- (mg/dl) d1w1 , Kreatinin-d2w1 , Kreatinin-d3w1 , Kreatinin-d4w1</t>
  </si>
  <si>
    <t>Kreatinin-2 Tage vor Krankheitsbeginn , Kreatinin-d1 (mg/dl) , Kreatinin-d2</t>
  </si>
  <si>
    <t xml:space="preserve">Kreatinin-d2 , Kreatinin-d3 </t>
  </si>
  <si>
    <t>Kreatinin-d1 (mg/dl) , Kreatinin-d3w1</t>
  </si>
  <si>
    <t>Kreatinin-d5w0m1 , Kreatinin-d5w2m2</t>
  </si>
  <si>
    <t>Kreatinin-d1 (mg/dl) , Kreatinin-d2 , Kreatinin-d4 , Kreatinin-d7 , Kreatinin-d3w1</t>
  </si>
  <si>
    <t>Kreatinin-d4w1 , Kreatinin-d3w3</t>
  </si>
  <si>
    <t>Kreatinin-2 Tage vor Krankheitsbeginn , Kreatinin-d1 (mg/dl)</t>
  </si>
  <si>
    <t>Kreatinin- (mg/dl) d6w1 , Kreatinin- (mg/dl) d3w2 , Kreatinin-d7w2</t>
  </si>
  <si>
    <t>Kreatinin-d6 , Kreatinin-d3w1 , Kreatinin-d5w1 , Kreatinin- (mg/dl) d6w1 , Kreatinin-d4w0m1</t>
  </si>
  <si>
    <t>Kreatinin-11 Tage vor Krankheitsbeginn , Kreatinin-8 Tage vor Krankheitsbeginn (mg/dl) , Kreatinin-7 Tage vor Krankheitsbeginn , Kreatinin-5 Tage vor Krankheitsbeginn , Kreatinin-1 Tage vor Krankheitsbeginn , Kreatinin-d2 , Kreatinin-d3  , Kreatinin-d7 , Kreatinin-d2w1</t>
  </si>
  <si>
    <t>Kreatinin-d2 , Kreatinin-d4</t>
  </si>
  <si>
    <t>Kreatinin-d1 (mg/dl) , Kreatinin-d2 , Kreatinin-d2w1</t>
  </si>
  <si>
    <t>Kreatinin-7 Tage vor Krankheitsbeginn , Kreatinin-6 Tage vor Krankheitsbeginn , Kreatinin-d1 (mg/dl) , Kreatinin-d2w1</t>
  </si>
  <si>
    <t>Kreatinin-12 Tage vor Krankheitsbeginn , Kreatinin-11 Tage vor Krankheitsbeginn , Kreatinin-7 Tage vor Krankheitsbeginn</t>
  </si>
  <si>
    <t>Kreatinin-2 Tage vor Krankheitsbeginn , Kreatinin-d2</t>
  </si>
  <si>
    <t>Kreatinin-2 Tage vor Krankheitsbeginn , Kreatinin-1 Tage vor Krankheitsbeginn , Kreatinin-Datum unbekannt (mg/dl) , Kreatinin-d1 (mg/dl) , Kreatinin-d2 , Kreatinin-d3  , Kreatinin-d4 , Kreatinin- (mg/dl) d5 , Kreatinin-d6 , Kreatinin-d2w1 , Kreatinin-d3w1 , Kreatinin- (mg/dl) d6w1 , Kreatinin- (mg/dl) d7w1 , Kreatinin-d1w2 , Kreatinin- (mg/dl) d3w2</t>
  </si>
  <si>
    <t>Kreatinin-d1 (mg/dl) , Kreatinin-d5w1</t>
  </si>
  <si>
    <t>Kreatinin-3 Tage vor Krankheitsbeginn , Kreatinin-2 Tage vor Krankheitsbeginn , Kreatinin-1 Tage vor Krankheitsbeginn , Kreatinin-d1 (mg/dl) , Kreatinin-d2</t>
  </si>
  <si>
    <t>Kreatinin-d1 (mg/dl) , Kreatinin-d4 , Kreatinin- (mg/dl) d1w1 , Kreatinin- (mg/dl) d7w1</t>
  </si>
  <si>
    <t>Kreatinin-d3  , Kreatinin-d4</t>
  </si>
  <si>
    <t>Kreatinin-d1 (mg/dl) , Kreatinin-d2 , Kreatinin-d3  , Kreatinin-d4</t>
  </si>
  <si>
    <t>Kreatinin-d1 (mg/dl) , Kreatinin-d2 , Kreatinin-d4</t>
  </si>
  <si>
    <t>Kreatinin-d3  , Kreatinin-d5w1</t>
  </si>
  <si>
    <t>Amylase</t>
  </si>
  <si>
    <t>Amylase-d2  , Amylase-d3 , Amylase-d4 , Amylase-d6 , Amylase-d2w1 , Amylase-d5w1 , Amylase-d7w1</t>
  </si>
  <si>
    <t>Amylase-d1 (U/L) , Amylase-d2  , Amylase- (U/L) d4w1</t>
  </si>
  <si>
    <t>Amylase-d2  , Amylase-d7w1 , Amylase-d1w0m1 , Amylase-d7w0m2</t>
  </si>
  <si>
    <t>Amylase-d1w2 , Amylase- (U/L) d2w2</t>
  </si>
  <si>
    <t>Amylase-d6 , Amylase-d5w0m1</t>
  </si>
  <si>
    <t>Amylase-d3 , Amylase-d2w1</t>
  </si>
  <si>
    <t>Amylase-d1 (U/L) , Amylase-d4 , Amylase- (U/L) d4w1</t>
  </si>
  <si>
    <t xml:space="preserve">Amylase-3 Tage vor Krankheitsbeginn  , Amylase-2 Tage vor Krankheitsbeginn  , Amylase-1 Tag vor Krankheitsbeginn  , Amylase-d1 (U/L) , Amylase-d2 </t>
  </si>
  <si>
    <t>Lipase</t>
  </si>
  <si>
    <t>Lipase-d6 , Lipase- (U/L) d1w4</t>
  </si>
  <si>
    <t>Lipase-d2  , Lipase-d3 , Lipase-d6 , Lipase- (U/L) d7w1</t>
  </si>
  <si>
    <t xml:space="preserve">Lipase-d7 Tage vor Krankheitsbeginn (U/L)  , Lipase-2 Tage vor Krankheitsbeginn </t>
  </si>
  <si>
    <t>Lipase-d2  , Lipase-d1w0m1 , Lipase-d7w0m2 , Lipase- (U/L) d3w3m2</t>
  </si>
  <si>
    <t>Lipase-d2  , Lipase-d2w1 , Lipase-d3w2</t>
  </si>
  <si>
    <t>Lipase-d1  (U/L) , Lipase-d2  , Lipase-d3 , Lipase- (U/L) d5 , Lipase-d3w1</t>
  </si>
  <si>
    <t>Lipase-d5w2m1 , Lipase-d7w3m1</t>
  </si>
  <si>
    <t>Lipase-Datum unbekannt (U/L) , Lipase-d1  (U/L)</t>
  </si>
  <si>
    <t>Lipase-d6w1 , Lipase-d1w2 , Lipase-d3w2 , Lipase-d7w2</t>
  </si>
  <si>
    <t>Lipase-d3 , Lipase-d2w1</t>
  </si>
  <si>
    <t>Lipase-d2  , Lipase-d4 , Lipase-d1w1 , Lipase-d1w2</t>
  </si>
  <si>
    <t>Lipase-d7 Tage vor Krankheitsbeginn (U/L)  , Lipase-d1  (U/L)</t>
  </si>
  <si>
    <t>Lipase-1 Tag vor Krankheitsbeginn  , Lipase-d1  (U/L) , Lipase-d2  , Lipase- (U/L) d5</t>
  </si>
  <si>
    <t xml:space="preserve">Lipase-3 Tage vor Krankheitsbeginn  , Lipase-2 Tage vor Krankheitsbeginn  , Lipase-1 Tag vor Krankheitsbeginn  , Lipase-d1  (U/L) , Lipase-d2 </t>
  </si>
  <si>
    <t>Lipase-d4w0m1 , Lipase-d4w2m1</t>
  </si>
  <si>
    <t>Lipase-d1  (U/L) , Lipase-d2  , Lipase-d4</t>
  </si>
  <si>
    <t>CRP</t>
  </si>
  <si>
    <t>Text vor Trennzeichen</t>
  </si>
  <si>
    <t>CRP-d1w1  , CRP-d5w1</t>
  </si>
  <si>
    <t>CRP-d7 , CRP- (mg/l) d2w1  , CRP-d4w1</t>
  </si>
  <si>
    <t>CRP-d3 , CRP-d4 , CRP- (mg/l) d5</t>
  </si>
  <si>
    <t>CRP-d4 , CRP-d3w1 , CRP- (mg/l) d7w1w2 , CRP-d1w3m5</t>
  </si>
  <si>
    <t>CRP-7 Tage vor Krankheitsbeginn (mg/l) , CRP-2 Tage vor Krankheitsbeginn , CRP-d3</t>
  </si>
  <si>
    <t>CRP-d4 , CRP- (mg/l) d5 , CRP-d7</t>
  </si>
  <si>
    <t>CRP-d4 , CRP-d3w2 , CRP- (mg/l) d6w2</t>
  </si>
  <si>
    <t>CRP-d1 (mg/l) , CRP-d3 , CRP-d6 , CRP- (mg/l) d7w1 , CRP- (mg/l) d6w4 , CRP- (mg/l) d2w6</t>
  </si>
  <si>
    <t>CRP-d4 , CRP-d6 , CRP-d3w1 , CRP-d2w2</t>
  </si>
  <si>
    <t>CRP-d1 (mg/l) , CRP-d2 , CRP- (mg/l) d2w1  , CRP-d3w1 , CRP-d4w1</t>
  </si>
  <si>
    <t>CRP-d2 , CRP-d7 , CRP- (mg/l) d2w1  , CRP-d1w2</t>
  </si>
  <si>
    <t>CRP-d3 , CRP-d4 , CRP-d3w1</t>
  </si>
  <si>
    <t>CRP-d1 (mg/l) , CRP-d6</t>
  </si>
  <si>
    <t>CRP-d3w1 , CRP-d3w3</t>
  </si>
  <si>
    <t>CRP-d1w2 , CRP-d2w2</t>
  </si>
  <si>
    <t>CRP- (mg/l) d5w0m1 , CRP- (mg/l) d5w2w2</t>
  </si>
  <si>
    <t>CRP-d1 (mg/l) , CRP-d2 , CRP-d4 , CRP- (mg/l) d5 , CRP-d7 , CRP-d3w1</t>
  </si>
  <si>
    <t>CRP-d4 , CRP-d4w2</t>
  </si>
  <si>
    <t>CRP-d2 , CRP-d3 , CRP- (mg/l) d5 , CRP-d7</t>
  </si>
  <si>
    <t>CRP-d2 , CRP-d3w2 , CRP-d7w2 , CRP-d2w3 , CRP-d7w3</t>
  </si>
  <si>
    <t>CRP-d6w1 , CRP-d1w2 , CRP-d3w2 , CRP-d7w2</t>
  </si>
  <si>
    <t>CRP-d1 (mg/l) , CRP-d4</t>
  </si>
  <si>
    <t xml:space="preserve">CRP-11 Tage vor Krankheitsbeginn , CRP-7 Tage vor Krankheitsbeginn (mg/l) , CRP-5 Tage vor Krankheitsbeginn , CRP-d2 , CRP-d3 , CRP-d7 , CRP- (mg/l) d2w1 </t>
  </si>
  <si>
    <t xml:space="preserve">CRP-d1 (mg/l) , CRP-d2 , CRP-d6 , CRP- (mg/l) d2w1 </t>
  </si>
  <si>
    <t xml:space="preserve">CRP-7 Tage vor Krankheitsbeginn (mg/l) , CRP-3 Tage vor Krankheitsbeginn , CRP-d1 (mg/l) , CRP- (mg/l) d2w1 </t>
  </si>
  <si>
    <t>CRP-12 Tage vor Krankheitsbeginn , CRP-8 Tage vor Krankheitsbeginn , CRP-7 Tage vor Krankheitsbeginn (mg/l)</t>
  </si>
  <si>
    <t>CRP-1 Tage vor Krankheitsbeginn , CRP-d1 (mg/l) , CRP-d2 , CRP- (mg/l) d5</t>
  </si>
  <si>
    <t>CRP-d1 (mg/l) , CRP-d3 , CRP-d7</t>
  </si>
  <si>
    <t>CRP-3 Tage vor Krankheitsbeginn , CRP-2 Tage vor Krankheitsbeginn , CRP-1 Tage vor Krankheitsbeginn , CRP-d1 (mg/l) , CRP-d2</t>
  </si>
  <si>
    <t>CRP-d2 , CRP-d3w1</t>
  </si>
  <si>
    <t>CRP-d2 , CRP-d3</t>
  </si>
  <si>
    <t>CRP-d3 , CRP-d4</t>
  </si>
  <si>
    <t>CRP-d1 (mg/l) , CRP-d2 , CRP-d3 , CRP-d4</t>
  </si>
  <si>
    <t>CRP-d1 (mg/l) , CRP-d2 , CRP-d1w1  , CRP- (mg/l) d6w2</t>
  </si>
  <si>
    <t>CRP-d2 , CRP-d3 , CRP-d5w1</t>
  </si>
  <si>
    <t>CRP-d4 , CRP-d4w1</t>
  </si>
  <si>
    <t>Harnstoff</t>
  </si>
  <si>
    <t>Harnstoff- (mg/dl) d4w1  , Harnstoff-d1w2 , Harnstoff-d3w2 , Harnstoff-d1w0m1</t>
  </si>
  <si>
    <t>Harnstoff-d7w1  , Harnstoff- (mg/dl) d4w3</t>
  </si>
  <si>
    <t>Harnstoff-7 Tage vor Krankheitsbeginn (mg/dl) , Harnstoff-2 Tage vor Krankheitsbeginn , Harnstoff-d3</t>
  </si>
  <si>
    <t>Harnstoff (HST)-d1 (mg/dl) , Harnstoff- (mg/dl) d6</t>
  </si>
  <si>
    <t>Harnstoff (HST)-d1 (mg/dl) , Harnstoff-d3</t>
  </si>
  <si>
    <t xml:space="preserve">Harnstoff-d2 , Harnstoff-d3 , Harnstoff-d2w1  , Harnstoff-d6w1 </t>
  </si>
  <si>
    <t>Harnstoff (HST)-d1 (mg/dl) , Harnstoff-d7w3</t>
  </si>
  <si>
    <t xml:space="preserve">Harnstoff (HST)-d1 (mg/dl) , Harnstoff-d2 , Harnstoff-d2w1  , Harnstoff-d3w1  , Harnstoff- (mg/dl) d4w1 </t>
  </si>
  <si>
    <t xml:space="preserve">Harnstoff-d2 , Harnstoff-d2w1 </t>
  </si>
  <si>
    <t>Harnstoff (HST)-d1 (mg/dl) , Harnstoff-d2 , Harnstoff-d3</t>
  </si>
  <si>
    <t>Harnstoff-d1w2 , Harnstoff- (mg/dl) d2w2</t>
  </si>
  <si>
    <t xml:space="preserve">Harnstoff (HST)-d1 (mg/dl) , Harnstoff-d2 , Harnstoff-d4 , Harnstoff-d7 , Harnstoff-d3w1 </t>
  </si>
  <si>
    <t xml:space="preserve">Harnstoff-11 Tage vor Krankheitsbeginn (mg/dl) , Harnstoff-8 Tage vor Krankheitsbeginn (mg/dl) , Harnstoff-7 Tage vor Krankheitsbeginn (mg/dl) , Harnstoff-5 Tage vor Krankheitsbeginn , Harnstoff-d2 , Harnstoff-d3 , Harnstoff-d7 , Harnstoff-d2w1 </t>
  </si>
  <si>
    <t>Harnstoff-d2 , Harnstoff-d4 , Harnstoff-d1w2</t>
  </si>
  <si>
    <t>Harnstoff-2 Tage vor Krankheitsbeginn , Harnstoff-d2</t>
  </si>
  <si>
    <t>Harnstoff-3 Tage vor Krankheitsbeginn , Harnstoff-2 Tage vor Krankheitsbeginn , Harnstoff-1 Tag vor Krankheitsbeginn , Harnstoff (HST)-d1 (mg/dl) , Harnstoff-d2</t>
  </si>
  <si>
    <t>Thrombozyten</t>
  </si>
  <si>
    <t>Trhombozyten</t>
  </si>
  <si>
    <t>Trhombozyten-d1w2 , Trhombozyten-d1w4</t>
  </si>
  <si>
    <t>Thrombozyten (MPV,PLT)-d1 (/mikroliter) , Thrombozyten-d2 , Thrombozyten-d3 , Thrombozyten-d4 , Thrombozyten-d6</t>
  </si>
  <si>
    <t>Trhombozyten- (/mikroliter)d2w1 , Trhombozyten-d5w1 , Trhombozyten- (/mikroliter)d7w1 , Trhombozyten-d3w2</t>
  </si>
  <si>
    <t>Thrombozyten-d2 , Thrombozyten-d3 , Thrombozyten-d4 , Thrombozyten- (/mikroliter)d5 , Thrombozyten-d6</t>
  </si>
  <si>
    <t>Trhombozyten-d3w1 , Trhombozyten-d7w9 , Trhombozyten-d1w23</t>
  </si>
  <si>
    <t>Thrombozyten-7 Tage vor Krankheitsbeginn , Thrombozyten-2 Tage vor Krankheitsbeginn (/mikroliter)</t>
  </si>
  <si>
    <t>Thrombozyten-d4 , Thrombozyten- (/mikroliter)d5</t>
  </si>
  <si>
    <t>Trhombozyten-d5w1 , Trhombozyten- (/mikroliter) d6w3</t>
  </si>
  <si>
    <t>Thrombozyten-8 Tage vor Krankheitsbeginn (/mikroliter) , Thrombozyten-1 Tag vor Krankheitsbeginn , Thrombozyten (MPV,PLT)-d1 (/mikroliter) , Thrombozyten-d3</t>
  </si>
  <si>
    <t>Thrombozyten (MPV,PLT)-d1 (/mikroliter) , Thrombozyten-d2 , Thrombozyten-d3</t>
  </si>
  <si>
    <t>Trhombozyten- (/mikroliter)d2w1 , Trhombozyten-d6w1 , Trhombozyten-d1w2</t>
  </si>
  <si>
    <t>Thrombozyten-36 Tage vor Krankheitsbeginn (/mikroliter) , Thrombozyten-20 Tage vor Krankheitsbeginn , Thrombozyten (MPV,PLT)-d1 (/mikroliter)</t>
  </si>
  <si>
    <t>Trhombozyten- (/mikroliter)d2w1 , Trhombozyten-d1w2</t>
  </si>
  <si>
    <t>Trhombozyten-d3w1 , Trhombozyten-d5w1 , Trhombozyten-d2w2</t>
  </si>
  <si>
    <t>Thrombozyten (MPV,PLT)-d1 (/mikroliter) , Thrombozyten-d2</t>
  </si>
  <si>
    <t>Trhombozyten- (/mikroliter)d2w1 , Trhombozyten-d3w1 , Trhombozyten-d4w1</t>
  </si>
  <si>
    <t>Trhombozyten-d1w0m1 , Trhombozyten- (/mikroliter) d7w0m2 , Trhombozyten-d3w3m2</t>
  </si>
  <si>
    <t>Thrombozyten-d2 , Thrombozyten-d4 , Thrombozyten- (/mikroliter)d5 , Thrombozyten-d6 , Thrombozyten-d7</t>
  </si>
  <si>
    <t>Trhombozyten- (/mikroliter)d2w1 , Trhombozyten-d4w1 , Trhombozyten-d1w2</t>
  </si>
  <si>
    <t>Thrombozyten (MPV,PLT)-d1 (/mikroliter) , Thrombozyten-d4</t>
  </si>
  <si>
    <t>Thrombozyten (MPV,PLT)-d1 (/mikroliter) , Thrombozyten-d3 , Thrombozyten-d6</t>
  </si>
  <si>
    <t>Trhombozyten-d1w2 , Trhombozyten-d7w2 , Trhombozyten-d2w3</t>
  </si>
  <si>
    <t>Trhombozyten- (/mikroliter) d1w3 , Trhombozyten-d3w3</t>
  </si>
  <si>
    <t>Thrombozyten (MPV,PLT)-d1 (/mikroliter) , Thrombozyten-d3 , Thrombozyten-d4 , Thrombozyten-d7</t>
  </si>
  <si>
    <t>Trhombozyten-d3w1 , Trhombozyten-d1w2 , Trhombozyten-d4w3</t>
  </si>
  <si>
    <t>Thrombozyten-11 Tage vor Krankheitsbeginn , Thrombozyten-d3 , Thrombozyten-d4</t>
  </si>
  <si>
    <t>Thrombozyten-11 Tage vor Krankheitsbeginn , Thrombozyten-8 Tage vor Krankheitsbeginn (/mikroliter) , Thrombozyten-7 Tage vor Krankheitsbeginn , Thrombozyten-5 Tag vor Krankheitsbeginn , Thrombozyten-d2 , Thrombozyten-d3 , Thrombozyten-d7</t>
  </si>
  <si>
    <t>Thrombozyten (MPV,PLT)-d1 (/mikroliter) , Thrombozyten-d2 , Thrombozyten-d6</t>
  </si>
  <si>
    <t>Thrombozyten-7 Tage vor Krankheitsbeginn , Thrombozyten-6 Tage vor Krankheitsbeginn , Thrombozyten (MPV,PLT)-d1 (/mikroliter)</t>
  </si>
  <si>
    <t>Thrombozyten-12 Tage vor Krankheitsbeginn , Thrombozyten-8 Tage vor Krankheitsbeginn (/mikroliter) , Thrombozyten-7 Tage vor Krankheitsbeginn</t>
  </si>
  <si>
    <t>Thrombozyten-2 Tage vor Krankheitsbeginn (/mikroliter) , Thrombozyten-d2</t>
  </si>
  <si>
    <t>Thrombozyten (MPV,PLT)-d1 (/mikroliter) , Thrombozyten-d3 , Thrombozyten-d7</t>
  </si>
  <si>
    <t>Thrombozyten-3 Tage vor Krankheitsbeginn (/mikroliter) , Thrombozyten-2 Tage vor Krankheitsbeginn (/mikroliter) , Thrombozyten-1 Tag vor Krankheitsbeginn , Thrombozyten (MPV,PLT)-d1 (/mikroliter) , Thrombozyten-d2</t>
  </si>
  <si>
    <t>Thrombozyten-d2 , Thrombozyten-d3</t>
  </si>
  <si>
    <t>Thrombozyten-d3 , Thrombozyten-d4 , Thrombozyten-d6 , Thrombozyten-d7</t>
  </si>
  <si>
    <t>Thrombozyten (MPV,PLT)-d1 (/mikroliter) , Thrombozyten-d2 , Thrombozyten-d3 , Thrombozyten-d4</t>
  </si>
  <si>
    <t>BSG</t>
  </si>
  <si>
    <t>BSG-7 Tage vor Krankheitsbeginn , BSG-d1 (mm/h) , BSG-d2w1 (mm/h)</t>
  </si>
  <si>
    <t>BSG-12 Tage vor Krankheitsbeginn , BSG-7 Tage vor Krankheitsbeginn</t>
  </si>
  <si>
    <t>Monozyten</t>
  </si>
  <si>
    <t>Monozyten-d1 (%) , Monozyten-d4w3m2</t>
  </si>
  <si>
    <t>Erythrozyten</t>
  </si>
  <si>
    <t>Erythrozyten-7 Tage vor Krankheitsbeginn , Erythrozyten-2 Tage vor Krankheitsbeginn [Erys/ul] , Erythrozyten
-d3</t>
  </si>
  <si>
    <t>Erythrozyten (Erys, Rbc)
[Erys/ul]-d1 , Erythrozyten-d2 , Erythrozyten-d5w1</t>
  </si>
  <si>
    <t>Erythrozyten-8 Tage vor Krankheitsbeginn , Erythrozyten-1 Tag vor Krankheitsbeginn , Erythrozyten (Erys, Rbc)
[Erys/ul]-d1 , Erythrozyten
-d3 , Erythrozyten- [Erys/ul] d2w1</t>
  </si>
  <si>
    <t>Erythrozyten (Erys, Rbc)
[Erys/ul]-d1 , Erythrozyten-d2 , Erythrozyten
-d3 , Erythrozyten- [Erys/ul] d2w1 , Erythrozyten- [Erys/ul] d6w1 , Erythrozyten-d1w2</t>
  </si>
  <si>
    <t>Erythrozyten-22 Tage vor Krankheitsbeginn , Erythrozyten (Erys, Rbc)
[Erys/ul]-d1 , Erythrozyten
-d6 , Erythrozyten-d7w1</t>
  </si>
  <si>
    <t>Erythrozyten-36 Tage vor Krankheitsbeginn [Erys/ul] , Erythrozyten-20 Tage vor Krankheitsbeginn [Erys/ul] , Erythrozyten (Erys, Rbc)
[Erys/ul]-d1 , Erythrozyten- [Erys/ul] d2w1 , Erythrozyten-d1w2</t>
  </si>
  <si>
    <t>Erythrozyten
-d4 , Erythrozyten-d3w1 , Erythrozyten-d5w1 , Erythrozyten-d2w2</t>
  </si>
  <si>
    <t>Erythrozyten (Erys, Rbc)
[Erys/ul]-d1 , Erythrozyten-d2 , Erythrozyten- [Erys/ul] d2w1 , Erythrozyten-d3w1 , Erythrozyten-d4w1</t>
  </si>
  <si>
    <t>Erythrozyten-d2 , Erythrozyten-d1w0m1 , Erythrozyten-d7w0m2</t>
  </si>
  <si>
    <t>Erythrozyten-d2 , Erythrozyten
-d4 , Erythrozyten
- [Erys/ul] d5 , Erythrozyten
-d6 , Erythrozyten- [Erys/ul] d2w1 , Erythrozyten-d4w1 , Erythrozyten-d1w2</t>
  </si>
  <si>
    <t>Erythrozyten (Erys, Rbc)
[Erys/ul]-d1 , Erythrozyten
-d3 , Erythrozyten
-d4 , Erythrozyten
-d7 , Erythrozyten-d3w1 , Erythrozyten-d1w2 , Erythrozyten-d4w3</t>
  </si>
  <si>
    <t>Erythrozyten-11 Tage vor Krankheitsbeginn , Erythrozyten
-d3 , Erythrozyten
-d4</t>
  </si>
  <si>
    <t>Erythrozyten-11 Tage vor Krankheitsbeginn , Erythrozyten-8 Tage vor Krankheitsbeginn , Erythrozyten-7 Tage vor Krankheitsbeginn , Erythrozyten-5 Tage vor Krankheitsbeginn , Erythrozyten-d2 , Erythrozyten
-d3 , Erythrozyten
-d7 , Erythrozyten- [Erys/ul] d2w1</t>
  </si>
  <si>
    <t>Erythrozyten-7 Tage vor Krankheitsbeginn , Erythrozyten-6 Tage vor Krankheitsbeginn , Erythrozyten (Erys, Rbc)
[Erys/ul]-d1 , Erythrozyten- [Erys/ul] d2w1</t>
  </si>
  <si>
    <t>Erythrozyten-12 Tage vor Krankheitsbeginn , Erythrozyten-8 Tage vor Krankheitsbeginn , Erythrozyten-7 Tage vor Krankheitsbeginn</t>
  </si>
  <si>
    <t>Erythrozyten-2 Tage vor Krankheitsbeginn [Erys/ul] , Erythrozyten-d2</t>
  </si>
  <si>
    <t>Erythrozyten-3 Tage vor Krankheitsbeginn [Erys/ul] , Erythrozyten-2 Tage vor Krankheitsbeginn [Erys/ul] , Erythrozyten-1 Tag vor Krankheitsbeginn , Erythrozyten (Erys, Rbc)
[Erys/ul]-d1 , Erythrozyten-d2</t>
  </si>
  <si>
    <t>Erythrozyten (Erys, Rbc)
[Erys/ul]-d1 , Erythrozyten
-d4 , Erythrozyten-d1w1 , Erythrozyten-d7w1</t>
  </si>
  <si>
    <t>Eosinophile Granulozyten</t>
  </si>
  <si>
    <t>Eosinophile Granuloyzten-36 Tage vor Krankheitsbeginn (%) , Eosinophile Granuloyzten-20 Tage vor Krankheitsbeginn , Eosinophile Granuloyzten-d1 (%) , Eosinophile Granuloyzten-d2w1 , Eosinophile Granuloyzten-d1w2</t>
  </si>
  <si>
    <t>Eosinophile Granuloyzten-d1 (%) , Eosinophile Granuloyzten-d1w2</t>
  </si>
  <si>
    <t>Eosinophile Granuloyzten-d2 (%) , Eosinophile Granuloyzten- (%) d1w0m1 , Eosinophile Granuloyzten-d7w0m2 , Eosinophile Granuloyzten- (%) d3w3m2</t>
  </si>
  <si>
    <t>Eosinophile Granuloyzten-11 Tage vor Krankheitsbeginn , Eosinophile Granuloyzten-d3</t>
  </si>
  <si>
    <t>Eosinophile Granuloyzten-7 Tage vor Krankheitsbeginn , Eosinophile Granuloyzten-6 Tage vor Krankheitsbeginn , Eosinophile Granuloyzten-d2w1</t>
  </si>
  <si>
    <t>Eosinophile Granuloyzten-12 Tage vor Krankheitsbeginn , Eosinophile Granuloyzten-7 Tage vor Krankheitsbeginn</t>
  </si>
  <si>
    <t>Neutrophile</t>
  </si>
  <si>
    <t>Neutrophile-22 Tage vor Krankheitsbeginn , Neutrophile-d1 (%) , Neutrophile-d6 , Neutrophile- (%) d7w1 , Neutrophile-d2w4 , Neutrophile-d2w2m1</t>
  </si>
  <si>
    <t>Neutrophile-36 Tage vor Krankheitsbeginn (%) , Neutrophile-20 Tage vor Krankheitsbeginn (%) , Neutrophile-d1 (%) , Neutrophile-d2w1</t>
  </si>
  <si>
    <t>Neutrophile-d1 (%) , Neutrophile- (%) d4w3m2</t>
  </si>
  <si>
    <t>Neutrophile-d2 , Neutrophile- (%) d1w0m1 , Neutrophile- (%) d7w0m2 , Neutrophile-d3w3m2</t>
  </si>
  <si>
    <t>Neutrophile-7 Tage vor Krankheitsbeginn , Neutrophile-6 Tage vor Krankheitsbeginn , Neutrophile-d2w1</t>
  </si>
  <si>
    <t>Neutrophile-12 Tage vor Krankheitsbeginn , Neutrophile-7 Tage vor Krankheitsbeginn</t>
  </si>
  <si>
    <t>Neutrophile-48 Tage vor Krankheitsbeginn (%) , Neutrophile-9 Tage vor Krankheitsbeginn , Neutrophile-d1 (%) , Neutrophile- (%) d5</t>
  </si>
  <si>
    <t>Basophile Granulozyten</t>
  </si>
  <si>
    <t>Basophile Granulozyten-36 Tage vor Krankheisbeginn (%) , Basophile Granulozyten-20 Tage vor Krankheisbeginn , Basophile Granulozyten-d1 (%) , Basophile Granulozyten-d2w1</t>
  </si>
  <si>
    <t>Basophile Granulozyten-d1 (%) , Basophile Granulozyten- (%) d4w3m2</t>
  </si>
  <si>
    <t>Basophile Granulozyten-d2 , Basophile Granulozyten-d1w0m1 , Basophile Granulozyten-d7w0m2 , Basophile Granulozyten- (%) d3w3m2</t>
  </si>
  <si>
    <t>Basophile Granulozyten-11 Tage vor Krankheisbeginn , Basophile Granulozyten-d3</t>
  </si>
  <si>
    <t>Basophile Granulozyten-7 Tage vor Krankheisbeginn , Basophile Granulozyten-6 Tage vor Krankheisbeginn , Basophile Granulozyten-d2w1</t>
  </si>
  <si>
    <t>Basophile Granulozyten-12 Tage vor Krankheisbeginn , Basophile Granulozyten-7 Tage vor Krankheisbeginn</t>
  </si>
  <si>
    <t>Albumin</t>
  </si>
  <si>
    <t>Albumin-d5 , Albumin- (g/l) d5w1</t>
  </si>
  <si>
    <t>Albumin-d7w1 , Albumin-d4w3</t>
  </si>
  <si>
    <t>Albumin-d4 , Albumin-d6</t>
  </si>
  <si>
    <t>Albumin-d1 (g/l) , Albumin-d6w1</t>
  </si>
  <si>
    <t>Albumin-d1 (g/l) , Albumin-d3</t>
  </si>
  <si>
    <t>Albumin-11 Tage vor Krankheitsbeginn , Albumin-8 Tage vor Krankheitsbeginn</t>
  </si>
  <si>
    <t>Albumin-2 Tage vor Krankheitsbeginn , Albumin-1 Tag vor Krankheitsbeginn , Albumin-d1 (g/l) , Albumin-d2</t>
  </si>
  <si>
    <t>Treatment</t>
  </si>
  <si>
    <t>Haut_Diclo</t>
  </si>
  <si>
    <t>Haut_Ibu</t>
  </si>
  <si>
    <t>Haut_Para</t>
  </si>
  <si>
    <t>Leber_Diclo</t>
  </si>
  <si>
    <t>Leber_Ibu</t>
  </si>
  <si>
    <t>Leber_Para</t>
  </si>
  <si>
    <t>Hämatokrit</t>
  </si>
  <si>
    <t>Hämatokrit (Htk, Hk)-Datum Unbekannt (%)</t>
  </si>
  <si>
    <t>Hämatokrit (Htk, Hk)- (%) D6W0M1</t>
  </si>
  <si>
    <t>Hämatokrit (Htk, Hk)-D1 (%)</t>
  </si>
  <si>
    <t>Hämatokrit (Htk, Hk)-7 Tage Vor Krankheitsbeginn , Hämatokrit (Htk, Hk)-2 Tage Vor Krankheitsbeginn (%) , Hämatokrit (Htk, Hk)-D3</t>
  </si>
  <si>
    <t>Hämatokrit (Htk, Hk)-D1 (%) , Hämatokrit (Htk, Hk)-D2 , Hämatokrit (Htk, Hk)-D5W1</t>
  </si>
  <si>
    <t>Hämatokrit (Htk, Hk)- (%) D1W3</t>
  </si>
  <si>
    <t>Hämatokrit (Htk, Hk)-D1 (%) , Hämatokrit (Htk, Hk)-D3</t>
  </si>
  <si>
    <t>Hämatokrit (Htk, Hk)-D4 , Hämatokrit (Htk, Hk)- (%) D5 , Hämatokrit (Htk, Hk)-D5W1 , Hämatokrit (Htk, Hk)-D6W3</t>
  </si>
  <si>
    <t>Hämatokrit (Htk, Hk)-8 Tage Vor Krankheitsbeginn (%) , Hämatokrit (Htk, Hk)-1 Tag Vor Krankheitsbeginn , Hämatokrit (Htk, Hk)-D1 (%) , Hämatokrit (Htk, Hk)-D3 , Hämatokrit (Htk, Hk)- (%) D2W1</t>
  </si>
  <si>
    <t>Hämatokrit (Htk, Hk)-D1 (%) , Hämatokrit (Htk, Hk)-D2 , Hämatokrit (Htk, Hk)-D3 , Hämatokrit (Htk, Hk)- (%) D2W1 , Hämatokrit (Htk, Hk)-D6W1 , Hämatokrit (Htk, Hk)- (%) D1W2</t>
  </si>
  <si>
    <t>Hämatokrit (Htk, Hk)-D1 (%) , Hämatokrit (Htk, Hk)-D6W3M1</t>
  </si>
  <si>
    <t>Hämatokrit (Htk, Hk)-D6W0M2</t>
  </si>
  <si>
    <t>Hämatokrit (Htk, Hk)-36 Tage Vor Krankheitsbeginn , Hämatokrit (Htk, Hk)-20 Tage Vor Krankheitsbeginn , Hämatokrit (Htk, Hk)-D1 (%) , Hämatokrit (Htk, Hk)- (%) D2W1 , Hämatokrit (Htk, Hk)- (%) D1W2</t>
  </si>
  <si>
    <t>Hämatokrit (Htk, Hk)-D4 , Hämatokrit (Htk, Hk)-D3W1 , Hämatokrit (Htk, Hk)-D5W1 , Hämatokrit (Htk, Hk)-D2W2</t>
  </si>
  <si>
    <t>Hämatokrit (Htk, Hk)-D1 (%) , Hämatokrit (Htk, Hk)-D2 , Hämatokrit (Htk, Hk)- (%) D2W1 , Hämatokrit (Htk, Hk)-D3W1 , Hämatokrit (Htk, Hk)-D4W1</t>
  </si>
  <si>
    <t>Hämatokrit (Htk, Hk)-D1 (%) , Hämatokrit (Htk, Hk)-D4W3M2</t>
  </si>
  <si>
    <t>Hämatokrit (Htk, Hk)-D1 (%) , Hämatokrit (Htk, Hk)-D6</t>
  </si>
  <si>
    <t>Hämatokrit (Htk, Hk)-D2 , Hämatokrit (Htk, Hk)-D1W0M1 , Hämatokrit (Htk, Hk)-D7W0M2 , Hämatokrit (Htk, Hk)- (%) D3W3M2</t>
  </si>
  <si>
    <t>Hämatokrit (Htk, Hk)-D2 , Hämatokrit (Htk, Hk)-D3 , Hämatokrit (Htk, Hk)-D4 , Hämatokrit (Htk, Hk)-D1W1 , Hämatokrit (Htk, Hk)- (%) D1W2</t>
  </si>
  <si>
    <t>Hämatokrit (Htk, Hk)-D2 , Hämatokrit (Htk, Hk)-D4 , Hämatokrit (Htk, Hk)- (%) D5 , Hämatokrit (Htk, Hk)-D6 , Hämatokrit (Htk, Hk)-D7 , Hämatokrit (Htk, Hk)- (%) D2W1 , Hämatokrit (Htk, Hk)-D4W1 , Hämatokrit (Htk, Hk)- (%) D1W2</t>
  </si>
  <si>
    <t>Hämatokrit (Htk, Hk)-D1 (%) , Hämatokrit (Htk, Hk)-D4 , Hämatokrit (Htk, Hk)-D3W1</t>
  </si>
  <si>
    <t>Hämatokrit (Htk, Hk)-D1W1</t>
  </si>
  <si>
    <t>Hämatokrit (Htk, Hk)-D1 (%) , Hämatokrit (Htk, Hk)-D3 , Hämatokrit (Htk, Hk)-D6</t>
  </si>
  <si>
    <t>Hämatokrit (Htk, Hk)- (%) D1W2 , Hämatokrit (Htk, Hk)-D7W2 , Hämatokrit (Htk, Hk)-D2W3</t>
  </si>
  <si>
    <t>Hämatokrit (Htk, Hk)-D3W1</t>
  </si>
  <si>
    <t>Hämatokrit (Htk, Hk)-D1 (%) , Hämatokrit (Htk, Hk)-D3 , Hämatokrit (Htk, Hk)-D4 , Hämatokrit (Htk, Hk)-D7 , Hämatokrit (Htk, Hk)-D3W1 , Hämatokrit (Htk, Hk)- (%) D1W2 , Hämatokrit (Htk, Hk)-D4W3</t>
  </si>
  <si>
    <t>Hämatokrit (Htk, Hk)-D4W1 , Hämatokrit (Htk, Hk)-D3W3</t>
  </si>
  <si>
    <t>Hämatokrit (Htk, Hk)-D4 , Hämatokrit (Htk, Hk)-D3W1</t>
  </si>
  <si>
    <t>Hämatokrit (Htk, Hk)-2 Tage Vor Krankheitsbeginn (%)</t>
  </si>
  <si>
    <t>Hämatokrit (Htk, Hk)-D6W1</t>
  </si>
  <si>
    <t>Hämatokrit (Htk, Hk)-11 Tage Vor Krankheitsbeginn , Hämatokrit (Htk, Hk)-D4</t>
  </si>
  <si>
    <t>Hämatokrit (Htk, Hk)-11 Tage Vor Krankheitsbeginn , Hämatokrit (Htk, Hk)-8 Tage Vor Krankheitsbeginn (%) , Hämatokrit (Htk, Hk)-7 Tage Vor Krankheitsbeginn , Hämatokrit (Htk, Hk)-5 Tage Vor Krankheitsbeginn , Hämatokrit (Htk, Hk)-D2 , Hämatokrit (Htk, Hk)-D3 , Hämatokrit (Htk, Hk)-D7 , Hämatokrit (Htk, Hk)- (%) D2W1</t>
  </si>
  <si>
    <t>Hämatokrit (Htk, Hk)-D2</t>
  </si>
  <si>
    <t>Hämatokrit (Htk, Hk)-D4W1 , Hämatokrit (Htk, Hk)-D4W2</t>
  </si>
  <si>
    <t>Hämatokrit (Htk, Hk)- (%) D5</t>
  </si>
  <si>
    <t>Hämatokrit (Htk, Hk)-D1 (%) , Hämatokrit (Htk, Hk)-D2 , Hämatokrit (Htk, Hk)-D6 , Hämatokrit (Htk, Hk)- (%) D2W1</t>
  </si>
  <si>
    <t>Hämatokrit (Htk, Hk)-7 Tage Vor Krankheitsbeginn , Hämatokrit (Htk, Hk)-6 Tage Vor Krankheitsbeginn , Hämatokrit (Htk, Hk)-D1 (%) , Hämatokrit (Htk, Hk)- (%) D2W1</t>
  </si>
  <si>
    <t>Hämatokrit (Htk, Hk)-12 Tage Vor Krankheitsbeginn , Hämatokrit (Htk, Hk)-8 Tage Vor Krankheitsbeginn (%) , Hämatokrit (Htk, Hk)-7 Tage Vor Krankheitsbeginn</t>
  </si>
  <si>
    <t>Hämatokrit (Htk, Hk)-2 Tage Vor Krankheitsbeginn (%) , Hämatokrit (Htk, Hk)-D2</t>
  </si>
  <si>
    <t>Hämatokrit (Htk, Hk)-D1 (%) , Hämatokrit (Htk, Hk)-D3 , Hämatokrit (Htk, Hk)-D7</t>
  </si>
  <si>
    <t>Hämatokrit (Htk, Hk)-64 Tage Vor Krankheitsbeginn (%) , Hämatokrit (Htk, Hk)- (%) D5</t>
  </si>
  <si>
    <t>Hämatokrit (Htk, Hk)-3 Tage Vor Krankheitsbeginn (%) , Hämatokrit (Htk, Hk)-2 Tage Vor Krankheitsbeginn (%) , Hämatokrit (Htk, Hk)-1 Tag Vor Krankheitsbeginn , Hämatokrit (Htk, Hk)-D1 (%) , Hämatokrit (Htk, Hk)-D2</t>
  </si>
  <si>
    <t>Hämatokrit (Htk, Hk)-D4 , Hämatokrit (Htk, Hk)-D6 , Hämatokrit (Htk, Hk)-D7</t>
  </si>
  <si>
    <t>Hämatokrit (Htk, Hk)-D4</t>
  </si>
  <si>
    <t xml:space="preserve">SJS_Diclo </t>
  </si>
  <si>
    <t xml:space="preserve">SJS_Ibu </t>
  </si>
  <si>
    <t xml:space="preserve">SJS_Para </t>
  </si>
  <si>
    <t>MCV</t>
  </si>
  <si>
    <t>MCV-36 Tage vor Krankheitsbeginn (fl) , MCV-20 Tage vor Krankheitsbeginn , MCV-d1 (fl) , MCV-d2w1 , MCV-d1w2</t>
  </si>
  <si>
    <t>MCV-d4 , MCV- (fl) d3w1 , MCV-d5w1 , MCV- (fl) d2w2</t>
  </si>
  <si>
    <t>MCV-d1 (fl) , MCV-d2 , MCV-d2w1 , MCV- (fl) d3w1 , MCV-d4w1</t>
  </si>
  <si>
    <t>MCV-d1 (fl) , MCV- (fl) d4w3m2</t>
  </si>
  <si>
    <t>MCV-d1 (fl) , MCV-d6</t>
  </si>
  <si>
    <t>MCV-d2 , MCV- (fl) d1w0m1 , MCV-d7w0m2 , MCV-d3w3m2</t>
  </si>
  <si>
    <t>MCV-d2 , MCV-d4 , MCV- (fl) d5 , MCV-d6 , MCV-d2w1 , MCV-d4w1 , MCV-d1w2</t>
  </si>
  <si>
    <t>MCV-d1w2 , MCV-d7w2 , MCV-d2w3</t>
  </si>
  <si>
    <t>MCV-d1 (fl) , MCV-d3 , MCV-d4 , MCV-d7 , MCV- (fl) d3w1 , MCV-d1w2 , MCV-d4w3</t>
  </si>
  <si>
    <t>MCV-d1 (fl) , MCV-d4</t>
  </si>
  <si>
    <t>MCV-20 Tage vor Krankheitsbeginn , MCV-9 Tage vor Krankheitsbeginn , MCV-d1 (fl)</t>
  </si>
  <si>
    <t>MCV-11 Tage vor Krankheitsbeginn , MCV-d3</t>
  </si>
  <si>
    <t>MCV-11 Tage vor Krankheitsbeginn , MCV-8 Tage vor Krankheitsbeginn , MCV-d2 , MCV-d3 , MCV-d2w1</t>
  </si>
  <si>
    <t>MCV-7 Tage vor Krankheitsbeginn , MCV-6 Tage vor Krankheitsbeginn , MCV-d1 (fl) , MCV-d2w1</t>
  </si>
  <si>
    <t>MCV-12 Tage vor Krankheitsbeginn , MCV-8 Tage vor Krankheitsbeginn , MCV-7 Tage vor Krankheitsbeginn</t>
  </si>
  <si>
    <t>MCV-2 Tage vor Krankheitsbeginn , MCV-d2</t>
  </si>
  <si>
    <t>MCV-3 Tage vor Krankheitsbeginn , MCV-2 Tage vor Krankheitsbeginn , MCV-1 Tag vor Krankheitsbeginn , MCV-d1 (fl) , MCV-d2</t>
  </si>
  <si>
    <t>MCH</t>
  </si>
  <si>
    <t>MCH-d2 , MCH-d3 , MCH-d2w1 , MCH-d3w1 , MCH-d5w1 , MCH-d1w2</t>
  </si>
  <si>
    <t>MCH-36 Tage vor Krankheitsbeginn (pg) , MCH-20 Tage vor Krankheitsbeginn , MCH (HBE)-d1 (pg) , MCH-d2w1 , MCH-d1w2</t>
  </si>
  <si>
    <t>MCH-d4 , MCH-d3w1 , MCH-d5w1 , MCH-d2w2</t>
  </si>
  <si>
    <t>MCH (HBE)-d1 (pg) , MCH-d2 , MCH-d2w1 , MCH-d3w1 , MCH- (pg) d4w1</t>
  </si>
  <si>
    <t>MCH (HBE)-d1 (pg) , MCH- (pg) d4w3m2</t>
  </si>
  <si>
    <t>MCH-d2 , MCH- (pg) d1w0m1 , MCH-d7w0m2 , MCH-d3w3m2</t>
  </si>
  <si>
    <t>MCH-d2 , MCH-d4 , MCH- (pg) d5 , MCH-d6 , MCH-d2w1 , MCH- (pg) d4w1 , MCH-d1w2</t>
  </si>
  <si>
    <t>MCH (HBE)-d1 (pg) , MCH-d3 , MCH-d4 , MCH-d7 , MCH-d1w2 , MCH-d4w3</t>
  </si>
  <si>
    <t>MCH (HBE)-d1 (pg) , MCH-d4</t>
  </si>
  <si>
    <t>MCH-11 Tage vor Krankheitsbeginn , MCH-d3</t>
  </si>
  <si>
    <t>MCH-11 Tage vor Krankheitsbeginn , MCH-8 Tage vor Krankheitsbeginn , MCH-d2 , MCH-d3 , MCH-d2w1</t>
  </si>
  <si>
    <t>MCH-7 Tage vor Krankheitsbeginn , MCH-6 Tage vor Krankheitsbeginn , MCH (HBE)-d1 (pg) , MCH-d2w1</t>
  </si>
  <si>
    <t>MCH-12 Tage vor Krankheitsbeginn , MCH-8 Tage vor Krankheitsbeginn , MCH-7 Tage vor Krankheitsbeginn</t>
  </si>
  <si>
    <t>MCH-2 Tage vor Krankheitsbeginn , MCH-d2</t>
  </si>
  <si>
    <t>MCH-3 Tage vor Krankheitsbeginn , MCH-2 Tage vor Krankheitsbeginn , MCH-1 Tag vor Krankheitsbeginn , MCH (HBE)-d1 (pg) , MCH-d2</t>
  </si>
  <si>
    <t>MCH-d2 , MCH-d3</t>
  </si>
  <si>
    <t>Ck</t>
  </si>
  <si>
    <t>Summe</t>
  </si>
  <si>
    <t>Mittlewerte</t>
  </si>
  <si>
    <t>PTT</t>
  </si>
  <si>
    <t>Edited_BfArM Nummer2</t>
  </si>
  <si>
    <t>Diagnose</t>
  </si>
  <si>
    <t>CK Day 12_From Start</t>
  </si>
  <si>
    <t>CK Day 11_From Start</t>
  </si>
  <si>
    <t>CK Day 7_From Start</t>
  </si>
  <si>
    <t>CK Day 6_From Start</t>
  </si>
  <si>
    <t>CK Day 4_From Start</t>
  </si>
  <si>
    <t>CK Day 3_From Start</t>
  </si>
  <si>
    <t>CK Day 2_From Start</t>
  </si>
  <si>
    <t>CK Day 1_From Start</t>
  </si>
  <si>
    <t>CK Day_Unknown</t>
  </si>
  <si>
    <t>Ck Day1</t>
  </si>
  <si>
    <t>Ck Day2</t>
  </si>
  <si>
    <t>Ck Day3</t>
  </si>
  <si>
    <t>Ck Day4</t>
  </si>
  <si>
    <t>Ck Day5</t>
  </si>
  <si>
    <t>Ck Day6</t>
  </si>
  <si>
    <t>Ck Day7</t>
  </si>
  <si>
    <t>Ck Day8</t>
  </si>
  <si>
    <t>Ck Day9</t>
  </si>
  <si>
    <t>Ck Day10</t>
  </si>
  <si>
    <t>Ck Day11</t>
  </si>
  <si>
    <t>Ck Day12</t>
  </si>
  <si>
    <t>Ck Day13</t>
  </si>
  <si>
    <t>Ck Day14</t>
  </si>
  <si>
    <t>Ck Day15</t>
  </si>
  <si>
    <t>Ck Day16</t>
  </si>
  <si>
    <t>Ck Day17</t>
  </si>
  <si>
    <t xml:space="preserve">ck </t>
  </si>
  <si>
    <t>ggt</t>
  </si>
  <si>
    <t>Bilirubin-d2  , Bilirubin- (mg/dl) d2w1</t>
  </si>
  <si>
    <t xml:space="preserve">Bilirubin-d2  , Blut-Bilirubin-d2 </t>
  </si>
  <si>
    <t>Blut-Bilirubin-d2  , Bilirubin-d2w3</t>
  </si>
  <si>
    <t>Blut-Bilirubin-d2  , Bilirubin-d2w1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</si>
</sst>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0000000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E69DF5"/>
        <bgColor indexed="64"/>
      </patternFill>
    </fill>
    <fill>
      <patternFill patternType="solid">
        <fgColor rgb="FFEAABF7"/>
        <bgColor indexed="64"/>
      </patternFill>
    </fill>
    <fill>
      <patternFill patternType="solid">
        <fgColor rgb="FF66FFCC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DDDD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99FF99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CC6600"/>
        <bgColor indexed="64"/>
      </patternFill>
    </fill>
    <fill>
      <patternFill patternType="solid">
        <fgColor theme="9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84">
    <xf numFmtId="0" fontId="0" fillId="0" borderId="0" xfId="0"/>
    <xf numFmtId="0" fontId="0" fillId="2" borderId="0" xfId="0" applyFill="1"/>
    <xf numFmtId="0" fontId="3" fillId="0" borderId="0" xfId="0" applyFont="1"/>
    <xf numFmtId="3" fontId="0" fillId="0" borderId="0" xfId="0" applyNumberFormat="1"/>
    <xf numFmtId="0" fontId="0" fillId="3" borderId="1" xfId="0" applyFill="1" applyBorder="1" applyAlignment="1">
      <alignment wrapText="1"/>
    </xf>
    <xf numFmtId="0" fontId="4" fillId="3" borderId="1" xfId="0" applyFont="1" applyFill="1" applyBorder="1" applyAlignment="1">
      <alignment wrapText="1"/>
    </xf>
    <xf numFmtId="0" fontId="0" fillId="0" borderId="0" xfId="0" applyAlignment="1">
      <alignment wrapText="1"/>
    </xf>
    <xf numFmtId="0" fontId="3" fillId="0" borderId="0" xfId="0" applyFont="1" applyAlignment="1">
      <alignment wrapText="1"/>
    </xf>
    <xf numFmtId="0" fontId="4" fillId="0" borderId="0" xfId="0" applyFont="1" applyAlignment="1">
      <alignment wrapText="1"/>
    </xf>
    <xf numFmtId="0" fontId="2" fillId="3" borderId="1" xfId="0" applyFont="1" applyFill="1" applyBorder="1" applyAlignment="1">
      <alignment vertical="top" wrapText="1"/>
    </xf>
    <xf numFmtId="0" fontId="1" fillId="0" borderId="0" xfId="0" applyFont="1"/>
    <xf numFmtId="0" fontId="0" fillId="5" borderId="1" xfId="0" applyFill="1" applyBorder="1" applyAlignment="1">
      <alignment wrapText="1"/>
    </xf>
    <xf numFmtId="0" fontId="0" fillId="6" borderId="1" xfId="0" applyFill="1" applyBorder="1" applyAlignment="1">
      <alignment wrapText="1"/>
    </xf>
    <xf numFmtId="0" fontId="0" fillId="7" borderId="1" xfId="0" applyFill="1" applyBorder="1" applyAlignment="1">
      <alignment wrapText="1"/>
    </xf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6" borderId="1" xfId="0" applyFill="1" applyBorder="1"/>
    <xf numFmtId="0" fontId="0" fillId="8" borderId="0" xfId="0" applyFill="1"/>
    <xf numFmtId="0" fontId="0" fillId="8" borderId="1" xfId="0" applyFill="1" applyBorder="1" applyAlignment="1">
      <alignment wrapText="1"/>
    </xf>
    <xf numFmtId="0" fontId="0" fillId="10" borderId="1" xfId="0" applyFill="1" applyBorder="1" applyAlignment="1">
      <alignment wrapText="1"/>
    </xf>
    <xf numFmtId="0" fontId="0" fillId="9" borderId="0" xfId="0" applyFill="1"/>
    <xf numFmtId="0" fontId="0" fillId="10" borderId="0" xfId="0" applyFill="1"/>
    <xf numFmtId="0" fontId="4" fillId="0" borderId="0" xfId="0" applyFont="1"/>
    <xf numFmtId="0" fontId="0" fillId="11" borderId="0" xfId="0" applyFill="1"/>
    <xf numFmtId="0" fontId="1" fillId="12" borderId="0" xfId="0" applyFont="1" applyFill="1"/>
    <xf numFmtId="0" fontId="1" fillId="13" borderId="0" xfId="0" applyFont="1" applyFill="1"/>
    <xf numFmtId="0" fontId="0" fillId="14" borderId="0" xfId="0" applyFill="1"/>
    <xf numFmtId="0" fontId="0" fillId="4" borderId="0" xfId="0" applyFill="1"/>
    <xf numFmtId="0" fontId="0" fillId="15" borderId="1" xfId="0" applyFill="1" applyBorder="1" applyAlignment="1">
      <alignment wrapText="1"/>
    </xf>
    <xf numFmtId="0" fontId="0" fillId="15" borderId="0" xfId="0" applyFill="1"/>
    <xf numFmtId="0" fontId="0" fillId="10" borderId="1" xfId="0" applyFill="1" applyBorder="1"/>
    <xf numFmtId="0" fontId="0" fillId="16" borderId="0" xfId="0" applyFill="1"/>
    <xf numFmtId="0" fontId="0" fillId="16" borderId="1" xfId="0" applyFill="1" applyBorder="1" applyAlignment="1">
      <alignment wrapText="1"/>
    </xf>
    <xf numFmtId="0" fontId="0" fillId="11" borderId="1" xfId="0" applyFill="1" applyBorder="1" applyAlignment="1">
      <alignment wrapText="1"/>
    </xf>
    <xf numFmtId="0" fontId="0" fillId="17" borderId="0" xfId="0" applyFill="1"/>
    <xf numFmtId="0" fontId="0" fillId="18" borderId="0" xfId="0" applyFill="1"/>
    <xf numFmtId="0" fontId="0" fillId="19" borderId="1" xfId="0" applyFill="1" applyBorder="1"/>
    <xf numFmtId="0" fontId="0" fillId="19" borderId="0" xfId="0" applyFill="1"/>
    <xf numFmtId="10" fontId="0" fillId="0" borderId="0" xfId="0" applyNumberFormat="1"/>
    <xf numFmtId="164" fontId="1" fillId="3" borderId="0" xfId="0" applyNumberFormat="1" applyFont="1" applyFill="1"/>
    <xf numFmtId="0" fontId="4" fillId="20" borderId="1" xfId="0" applyFont="1" applyFill="1" applyBorder="1" applyAlignment="1">
      <alignment wrapText="1"/>
    </xf>
    <xf numFmtId="0" fontId="0" fillId="20" borderId="1" xfId="0" applyFill="1" applyBorder="1" applyAlignment="1">
      <alignment wrapText="1"/>
    </xf>
    <xf numFmtId="0" fontId="0" fillId="20" borderId="0" xfId="0" applyFill="1"/>
    <xf numFmtId="0" fontId="0" fillId="2" borderId="1" xfId="0" applyFill="1" applyBorder="1" applyAlignment="1">
      <alignment wrapText="1"/>
    </xf>
    <xf numFmtId="0" fontId="1" fillId="3" borderId="1" xfId="0" applyFont="1" applyFill="1" applyBorder="1" applyAlignment="1">
      <alignment wrapText="1"/>
    </xf>
    <xf numFmtId="0" fontId="2" fillId="3" borderId="1" xfId="0" applyFont="1" applyFill="1" applyBorder="1" applyAlignment="1">
      <alignment wrapText="1"/>
    </xf>
    <xf numFmtId="0" fontId="4" fillId="5" borderId="0" xfId="0" applyFont="1" applyFill="1"/>
    <xf numFmtId="3" fontId="0" fillId="5" borderId="0" xfId="0" applyNumberFormat="1" applyFill="1"/>
    <xf numFmtId="0" fontId="0" fillId="21" borderId="0" xfId="0" applyFill="1"/>
    <xf numFmtId="0" fontId="0" fillId="0" borderId="0" xfId="0" applyFill="1"/>
    <xf numFmtId="0" fontId="0" fillId="0" borderId="0" xfId="0" applyFill="1" applyAlignment="1">
      <alignment wrapText="1"/>
    </xf>
    <xf numFmtId="0" fontId="1" fillId="0" borderId="0" xfId="0" applyFont="1" applyFill="1"/>
    <xf numFmtId="0" fontId="4" fillId="0" borderId="0" xfId="0" applyFont="1" applyFill="1"/>
    <xf numFmtId="164" fontId="0" fillId="0" borderId="0" xfId="0" applyNumberFormat="1" applyFill="1"/>
    <xf numFmtId="0" fontId="3" fillId="0" borderId="0" xfId="0" applyFont="1" applyFill="1" applyAlignment="1">
      <alignment wrapText="1"/>
    </xf>
    <xf numFmtId="17" fontId="0" fillId="0" borderId="0" xfId="0" applyNumberFormat="1" applyFill="1"/>
    <xf numFmtId="3" fontId="0" fillId="0" borderId="0" xfId="0" applyNumberFormat="1" applyFill="1"/>
    <xf numFmtId="16" fontId="0" fillId="0" borderId="0" xfId="0" applyNumberFormat="1" applyFill="1"/>
    <xf numFmtId="10" fontId="0" fillId="0" borderId="0" xfId="0" applyNumberFormat="1" applyFill="1"/>
    <xf numFmtId="9" fontId="0" fillId="0" borderId="0" xfId="0" applyNumberFormat="1" applyFill="1"/>
    <xf numFmtId="0" fontId="2" fillId="3" borderId="2" xfId="0" applyFont="1" applyFill="1" applyBorder="1" applyAlignment="1">
      <alignment vertical="top" wrapText="1"/>
    </xf>
    <xf numFmtId="0" fontId="0" fillId="3" borderId="2" xfId="0" applyFill="1" applyBorder="1" applyAlignment="1">
      <alignment wrapText="1"/>
    </xf>
    <xf numFmtId="0" fontId="1" fillId="3" borderId="2" xfId="0" applyFont="1" applyFill="1" applyBorder="1" applyAlignment="1">
      <alignment wrapText="1"/>
    </xf>
    <xf numFmtId="49" fontId="0" fillId="0" borderId="0" xfId="0" applyNumberFormat="1"/>
    <xf numFmtId="164" fontId="0" fillId="0" borderId="0" xfId="0" applyNumberFormat="1"/>
    <xf numFmtId="0" fontId="0" fillId="0" borderId="0" xfId="0" applyNumberFormat="1"/>
    <xf numFmtId="0" fontId="7" fillId="0" borderId="0" xfId="0" applyNumberFormat="1" applyFont="1" applyAlignment="1">
      <alignment horizontal="center"/>
    </xf>
    <xf numFmtId="0" fontId="0" fillId="0" borderId="0" xfId="0" applyNumberFormat="1" applyAlignment="1">
      <alignment wrapText="1"/>
    </xf>
    <xf numFmtId="0" fontId="2" fillId="3" borderId="2" xfId="0" applyFont="1" applyFill="1" applyBorder="1" applyAlignment="1">
      <alignment wrapText="1"/>
    </xf>
    <xf numFmtId="0" fontId="4" fillId="3" borderId="2" xfId="0" applyFont="1" applyFill="1" applyBorder="1" applyAlignment="1">
      <alignment wrapText="1"/>
    </xf>
    <xf numFmtId="2" fontId="0" fillId="0" borderId="0" xfId="0" applyNumberFormat="1"/>
    <xf numFmtId="2" fontId="0" fillId="0" borderId="0" xfId="0" applyNumberFormat="1" applyAlignment="1">
      <alignment wrapText="1"/>
    </xf>
    <xf numFmtId="2" fontId="0" fillId="5" borderId="0" xfId="0" applyNumberFormat="1" applyFill="1"/>
    <xf numFmtId="0" fontId="0" fillId="0" borderId="3" xfId="0" applyBorder="1"/>
    <xf numFmtId="0" fontId="2" fillId="6" borderId="2" xfId="0" applyFont="1" applyFill="1" applyBorder="1" applyAlignment="1">
      <alignment horizontal="center" vertical="top" wrapText="1"/>
    </xf>
    <xf numFmtId="0" fontId="0" fillId="6" borderId="2" xfId="0" applyFill="1" applyBorder="1" applyAlignment="1">
      <alignment horizontal="center" wrapText="1"/>
    </xf>
    <xf numFmtId="0" fontId="0" fillId="6" borderId="2" xfId="0" applyFill="1" applyBorder="1" applyAlignment="1">
      <alignment horizontal="left" wrapText="1"/>
    </xf>
    <xf numFmtId="0" fontId="0" fillId="6" borderId="2" xfId="0" applyFill="1" applyBorder="1" applyAlignment="1">
      <alignment wrapText="1"/>
    </xf>
    <xf numFmtId="0" fontId="0" fillId="22" borderId="0" xfId="0" applyFill="1"/>
    <xf numFmtId="0" fontId="0" fillId="22" borderId="2" xfId="0" applyFill="1" applyBorder="1" applyAlignment="1">
      <alignment horizontal="left" wrapText="1"/>
    </xf>
    <xf numFmtId="0" fontId="0" fillId="22" borderId="3" xfId="0" applyFill="1" applyBorder="1"/>
    <xf numFmtId="0" fontId="0" fillId="22" borderId="0" xfId="0" applyFill="1" applyAlignment="1">
      <alignment wrapText="1"/>
    </xf>
    <xf numFmtId="49" fontId="0" fillId="22" borderId="0" xfId="0" applyNumberFormat="1" applyFill="1"/>
  </cellXfs>
  <cellStyles count="1">
    <cellStyle name="Normal" xfId="0" builtinId="0"/>
  </cellStyles>
  <dxfs count="321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fgColor indexed="64"/>
          <bgColor theme="9"/>
        </patternFill>
      </fill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fill>
        <patternFill patternType="solid">
          <fgColor indexed="64"/>
          <bgColor theme="7" tint="0.79998168889431442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border outline="0">
        <bottom style="thin">
          <color auto="1"/>
        </bottom>
      </border>
    </dxf>
    <dxf>
      <fill>
        <patternFill patternType="solid">
          <fgColor indexed="64"/>
          <bgColor theme="9" tint="0.79998168889431442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border outline="0">
        <bottom style="thin">
          <color auto="1"/>
        </bottom>
      </border>
    </dxf>
    <dxf>
      <fill>
        <patternFill patternType="solid">
          <fgColor indexed="64"/>
          <bgColor theme="9" tint="0.79998168889431442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ill>
        <patternFill patternType="solid">
          <fgColor indexed="64"/>
          <bgColor theme="9" tint="0.79998168889431442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ill>
        <patternFill patternType="solid">
          <fgColor indexed="64"/>
          <bgColor theme="9" tint="0.79998168889431442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ill>
        <patternFill patternType="solid">
          <fgColor indexed="64"/>
          <bgColor theme="9" tint="0.79998168889431442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ill>
        <patternFill patternType="solid">
          <fgColor indexed="64"/>
          <bgColor theme="9" tint="0.79998168889431442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ill>
        <patternFill patternType="solid">
          <fgColor indexed="64"/>
          <bgColor theme="9" tint="0.79998168889431442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ill>
        <patternFill patternType="solid">
          <fgColor indexed="64"/>
          <bgColor theme="9" tint="0.79998168889431442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ill>
        <patternFill patternType="solid">
          <fgColor indexed="64"/>
          <bgColor theme="9" tint="0.79998168889431442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0" formatCode="General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ill>
        <patternFill patternType="solid">
          <fgColor indexed="64"/>
          <bgColor theme="9" tint="0.79998168889431442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0" formatCode="General"/>
    </dxf>
    <dxf>
      <numFmt numFmtId="0" formatCode="General"/>
      <alignment horizontal="general" vertical="bottom" textRotation="0" wrapText="1" indent="0" justifyLastLine="0" shrinkToFit="0" readingOrder="0"/>
    </dxf>
    <dxf>
      <numFmt numFmtId="0" formatCode="General"/>
    </dxf>
    <dxf>
      <numFmt numFmtId="0" formatCode="General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ill>
        <patternFill patternType="solid">
          <fgColor indexed="64"/>
          <bgColor theme="9" tint="0.79998168889431442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ill>
        <patternFill patternType="solid">
          <fgColor indexed="64"/>
          <bgColor theme="9" tint="0.79998168889431442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0" formatCode="General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ill>
        <patternFill patternType="solid">
          <fgColor indexed="64"/>
          <bgColor theme="9" tint="0.79998168889431442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ill>
        <patternFill patternType="solid">
          <fgColor indexed="64"/>
          <bgColor theme="9" tint="0.79998168889431442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ill>
        <patternFill patternType="solid">
          <fgColor indexed="64"/>
          <bgColor theme="9" tint="0.79998168889431442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0" formatCode="General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ill>
        <patternFill patternType="solid">
          <fgColor indexed="64"/>
          <bgColor theme="9" tint="0.79998168889431442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ill>
        <patternFill patternType="solid">
          <fgColor indexed="64"/>
          <bgColor theme="9" tint="0.79998168889431442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0" formatCode="General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ill>
        <patternFill patternType="solid">
          <fgColor indexed="64"/>
          <bgColor theme="9" tint="0.79998168889431442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ill>
        <patternFill patternType="solid">
          <fgColor indexed="64"/>
          <bgColor theme="9" tint="0.79998168889431442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ill>
        <patternFill patternType="none">
          <fgColor indexed="64"/>
          <bgColor indexed="65"/>
        </patternFill>
      </fill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ill>
        <patternFill patternType="solid">
          <fgColor indexed="64"/>
          <bgColor theme="9" tint="0.79998168889431442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0" formatCode="General"/>
    </dxf>
    <dxf>
      <fill>
        <patternFill patternType="none">
          <fgColor indexed="64"/>
          <bgColor indexed="65"/>
        </patternFill>
      </fill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ill>
        <patternFill patternType="solid">
          <fgColor indexed="64"/>
          <bgColor theme="9" tint="0.79998168889431442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ill>
        <patternFill patternType="none">
          <fgColor indexed="64"/>
          <bgColor indexed="65"/>
        </patternFill>
      </fill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ill>
        <patternFill patternType="solid">
          <fgColor indexed="64"/>
          <bgColor theme="9" tint="0.79998168889431442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0" formatCode="General"/>
    </dxf>
    <dxf>
      <fill>
        <patternFill patternType="none">
          <fgColor indexed="64"/>
          <bgColor indexed="65"/>
        </patternFill>
      </fill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ill>
        <patternFill patternType="solid">
          <fgColor indexed="64"/>
          <bgColor theme="9" tint="0.79998168889431442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ill>
        <patternFill patternType="solid">
          <fgColor indexed="64"/>
          <bgColor theme="9" tint="0.79998168889431442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ill>
        <patternFill patternType="solid">
          <fgColor indexed="64"/>
          <bgColor theme="9" tint="0.79998168889431442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0" formatCode="General"/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ill>
        <patternFill patternType="solid">
          <fgColor indexed="64"/>
          <bgColor theme="9" tint="0.79998168889431442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0" formatCode="General"/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ill>
        <patternFill patternType="solid">
          <fgColor indexed="64"/>
          <bgColor theme="9" tint="0.79998168889431442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ill>
        <patternFill patternType="solid">
          <fgColor indexed="64"/>
          <bgColor theme="9" tint="0.79998168889431442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9" tint="0.79998168889431442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0" formatCode="General"/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ill>
        <patternFill patternType="solid">
          <fgColor indexed="64"/>
          <bgColor theme="9" tint="0.79998168889431442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9" tint="0.79998168889431442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b/>
        <strike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colors>
    <mruColors>
      <color rgb="FFCC6600"/>
      <color rgb="FF99FF99"/>
      <color rgb="FF66FFCC"/>
      <color rgb="FF66FF99"/>
      <color rgb="FFEAABF7"/>
      <color rgb="FFE69DF5"/>
      <color rgb="FFCCFF66"/>
      <color rgb="FF99FF66"/>
      <color rgb="FFCCFF33"/>
      <color rgb="FFFF99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63" Type="http://schemas.openxmlformats.org/officeDocument/2006/relationships/worksheet" Target="worksheets/sheet63.xml"/><Relationship Id="rId68" Type="http://schemas.openxmlformats.org/officeDocument/2006/relationships/styles" Target="styles.xml"/><Relationship Id="rId7" Type="http://schemas.openxmlformats.org/officeDocument/2006/relationships/worksheet" Target="worksheets/sheet7.xml"/><Relationship Id="rId71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61" Type="http://schemas.openxmlformats.org/officeDocument/2006/relationships/worksheet" Target="worksheets/sheet6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connections" Target="connections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calcChain" Target="calcChain.xml"/></Relationships>
</file>

<file path=xl/queryTables/queryTable1.xml><?xml version="1.0" encoding="utf-8"?>
<queryTable xmlns="http://schemas.openxmlformats.org/spreadsheetml/2006/main" name="ExterneDaten_1" connectionId="8" autoFormatId="16" applyNumberFormats="0" applyBorderFormats="0" applyFontFormats="0" applyPatternFormats="0" applyAlignmentFormats="0" applyWidthHeightFormats="0">
  <queryTableRefresh nextId="7">
    <queryTableFields count="5">
      <queryTableField id="1" name="BfArM Nummer" tableColumnId="5"/>
      <queryTableField id="5" name="Treatment" tableColumnId="1"/>
      <queryTableField id="2" name="CK" tableColumnId="2"/>
      <queryTableField id="3" name="Day of Observation" tableColumnId="3"/>
      <queryTableField id="4" name="Total Number of Observations" tableColumnId="4"/>
    </queryTableFields>
  </queryTableRefresh>
</queryTable>
</file>

<file path=xl/queryTables/queryTable2.xml><?xml version="1.0" encoding="utf-8"?>
<queryTable xmlns="http://schemas.openxmlformats.org/spreadsheetml/2006/main" name="ExterneDaten_1" connectionId="9" autoFormatId="16" applyNumberFormats="0" applyBorderFormats="0" applyFontFormats="0" applyPatternFormats="0" applyAlignmentFormats="0" applyWidthHeightFormats="0">
  <queryTableRefresh nextId="7">
    <queryTableFields count="5">
      <queryTableField id="1" name="BfArM Nummer" tableColumnId="5"/>
      <queryTableField id="5" name="Treatment" tableColumnId="1"/>
      <queryTableField id="2" name="CK-MB" tableColumnId="2"/>
      <queryTableField id="3" name="Day of Observations" tableColumnId="3"/>
      <queryTableField id="4" name="Total Number of Observations" tableColumnId="4"/>
    </queryTableFields>
  </queryTableRefresh>
</queryTable>
</file>

<file path=xl/queryTables/queryTable3.xml><?xml version="1.0" encoding="utf-8"?>
<queryTable xmlns="http://schemas.openxmlformats.org/spreadsheetml/2006/main" name="ExterneDaten_1" connectionId="25" autoFormatId="16" applyNumberFormats="0" applyBorderFormats="0" applyFontFormats="0" applyPatternFormats="0" applyAlignmentFormats="0" applyWidthHeightFormats="0">
  <queryTableRefresh nextId="7">
    <queryTableFields count="5">
      <queryTableField id="1" name="BfArM Nummer" tableColumnId="5"/>
      <queryTableField id="5" name="Treatment" tableColumnId="1"/>
      <queryTableField id="2" name="Quick" tableColumnId="2"/>
      <queryTableField id="3" name="Day of Observations" tableColumnId="3"/>
      <queryTableField id="4" name="Total number of Observations" tableColumnId="4"/>
    </queryTableFields>
  </queryTableRefresh>
</queryTable>
</file>

<file path=xl/queryTables/queryTable4.xml><?xml version="1.0" encoding="utf-8"?>
<queryTable xmlns="http://schemas.openxmlformats.org/spreadsheetml/2006/main" name="ExterneDaten_1" connectionId="31" autoFormatId="16" applyNumberFormats="0" applyBorderFormats="0" applyFontFormats="0" applyPatternFormats="0" applyAlignmentFormats="0" applyWidthHeightFormats="0">
  <queryTableRefresh nextId="7">
    <queryTableFields count="5">
      <queryTableField id="1" name="BfArM Nummer" tableColumnId="5"/>
      <queryTableField id="2" name="INR" tableColumnId="2"/>
      <queryTableField id="5" name="Treatment" tableColumnId="1"/>
      <queryTableField id="3" name="Day of Observations" tableColumnId="3"/>
      <queryTableField id="4" name="Total Number of Observations" tableColumnId="4"/>
    </queryTableFields>
  </queryTableRefresh>
</queryTable>
</file>

<file path=xl/queryTables/queryTable5.xml><?xml version="1.0" encoding="utf-8"?>
<queryTable xmlns="http://schemas.openxmlformats.org/spreadsheetml/2006/main" name="ExterneDaten_1" connectionId="24" autoFormatId="16" applyNumberFormats="0" applyBorderFormats="0" applyFontFormats="0" applyPatternFormats="0" applyAlignmentFormats="0" applyWidthHeightFormats="0">
  <queryTableRefresh nextId="6">
    <queryTableFields count="5">
      <queryTableField id="1" name="BfArM Nummer" tableColumnId="4"/>
      <queryTableField id="2" name="Day of Observations" tableColumnId="2"/>
      <queryTableField id="3" name="Total Number of Observations" tableColumnId="3"/>
      <queryTableField id="4" name="Treatment" tableColumnId="1"/>
      <queryTableField id="5" name="PTT" tableColumnId="5"/>
    </queryTableFields>
  </queryTableRefresh>
</queryTable>
</file>

<file path=xl/queryTables/queryTable6.xml><?xml version="1.0" encoding="utf-8"?>
<queryTable xmlns="http://schemas.openxmlformats.org/spreadsheetml/2006/main" name="ExterneDaten_1" connectionId="18" autoFormatId="16" applyNumberFormats="0" applyBorderFormats="0" applyFontFormats="0" applyPatternFormats="0" applyAlignmentFormats="0" applyWidthHeightFormats="0">
  <queryTableRefresh nextId="6">
    <queryTableFields count="5">
      <queryTableField id="1" name="BfArM Nummer" tableColumnId="5"/>
      <queryTableField id="2" name="Leukozyten" tableColumnId="2"/>
      <queryTableField id="3" name="Day of Observations" tableColumnId="3"/>
      <queryTableField id="4" name="Total Number of Observations" tableColumnId="4"/>
      <queryTableField id="5" name="Treatment" tableColumnId="1"/>
    </queryTableFields>
  </queryTableRefresh>
</queryTable>
</file>

<file path=xl/queryTables/queryTable7.xml><?xml version="1.0" encoding="utf-8"?>
<queryTable xmlns="http://schemas.openxmlformats.org/spreadsheetml/2006/main" name="ExterneDaten_1" connectionId="15" autoFormatId="16" applyNumberFormats="0" applyBorderFormats="0" applyFontFormats="0" applyPatternFormats="0" applyAlignmentFormats="0" applyWidthHeightFormats="0">
  <queryTableRefresh nextId="6">
    <queryTableFields count="5">
      <queryTableField id="1" name="BfArM Nummer" tableColumnId="5"/>
      <queryTableField id="2" name="GOT" tableColumnId="2"/>
      <queryTableField id="3" name="Day of Observations" tableColumnId="3"/>
      <queryTableField id="4" name="Total Number of Observations" tableColumnId="4"/>
      <queryTableField id="5" name="Treatment" tableColumnId="1"/>
    </queryTableFields>
  </queryTableRefresh>
</queryTable>
</file>

<file path=xl/queryTables/queryTable8.xml><?xml version="1.0" encoding="utf-8"?>
<queryTable xmlns="http://schemas.openxmlformats.org/spreadsheetml/2006/main" name="ExterneDaten_1" connectionId="26" autoFormatId="16" applyNumberFormats="0" applyBorderFormats="0" applyFontFormats="0" applyPatternFormats="0" applyAlignmentFormats="0" applyWidthHeightFormats="0">
  <queryTableRefresh nextId="6">
    <queryTableFields count="5">
      <queryTableField id="1" name="BfArM Nummer" tableColumnId="5"/>
      <queryTableField id="2" name="GPT" tableColumnId="2"/>
      <queryTableField id="3" name="Day of Observations" tableColumnId="3"/>
      <queryTableField id="4" name="Total Number of Observations" tableColumnId="4"/>
      <queryTableField id="5" name="Treatment" tableColumnId="1"/>
    </queryTableFields>
  </queryTableRefresh>
</queryTable>
</file>

<file path=xl/queryTables/queryTable9.xml><?xml version="1.0" encoding="utf-8"?>
<queryTable xmlns="http://schemas.openxmlformats.org/spreadsheetml/2006/main" name="ExterneDaten_1" connectionId="14" autoFormatId="16" applyNumberFormats="0" applyBorderFormats="0" applyFontFormats="0" applyPatternFormats="0" applyAlignmentFormats="0" applyWidthHeightFormats="0">
  <queryTableRefresh nextId="6">
    <queryTableFields count="5">
      <queryTableField id="1" name="BfArM Nummer" tableColumnId="5"/>
      <queryTableField id="2" name="GGT" tableColumnId="2"/>
      <queryTableField id="3" name="Day of Observations" tableColumnId="3"/>
      <queryTableField id="4" name="Total Number of Observations" tableColumnId="4"/>
      <queryTableField id="5" name="Treatment" tableColumnId="1"/>
    </queryTableFields>
  </queryTableRefresh>
</queryTable>
</file>

<file path=xl/queryTables/queryTable10.xml><?xml version="1.0" encoding="utf-8"?>
<queryTable xmlns="http://schemas.openxmlformats.org/spreadsheetml/2006/main" name="ExterneDaten_1" connectionId="17" autoFormatId="16" applyNumberFormats="0" applyBorderFormats="0" applyFontFormats="0" applyPatternFormats="0" applyAlignmentFormats="0" applyWidthHeightFormats="0">
  <queryTableRefresh nextId="5">
    <queryTableFields count="4">
      <queryTableField id="1" name="BfArM Nummer" tableColumnId="5"/>
      <queryTableField id="2" name="LDH" tableColumnId="2"/>
      <queryTableField id="3" name="Day of Observations" tableColumnId="3"/>
      <queryTableField id="4" name="Total Number of Observations" tableColumnId="4"/>
    </queryTableFields>
  </queryTableRefresh>
</queryTable>
</file>

<file path=xl/queryTables/queryTable11.xml><?xml version="1.0" encoding="utf-8"?>
<queryTable xmlns="http://schemas.openxmlformats.org/spreadsheetml/2006/main" name="ExterneDaten_1" connectionId="19" autoFormatId="16" applyNumberFormats="0" applyBorderFormats="0" applyFontFormats="0" applyPatternFormats="0" applyAlignmentFormats="0" applyWidthHeightFormats="0">
  <queryTableRefresh nextId="5">
    <queryTableFields count="4">
      <queryTableField id="1" name="BfArM Nummer" tableColumnId="5"/>
      <queryTableField id="2" name="Lymphozyten" tableColumnId="2"/>
      <queryTableField id="3" name="Day of Observations" tableColumnId="3"/>
      <queryTableField id="4" name="Total Number of Observations" tableColumnId="4"/>
    </queryTableFields>
  </queryTableRefresh>
</queryTable>
</file>

<file path=xl/queryTables/queryTable12.xml><?xml version="1.0" encoding="utf-8"?>
<queryTable xmlns="http://schemas.openxmlformats.org/spreadsheetml/2006/main" name="ExterneDaten_1" connectionId="27" autoFormatId="16" applyNumberFormats="0" applyBorderFormats="0" applyFontFormats="0" applyPatternFormats="0" applyAlignmentFormats="0" applyWidthHeightFormats="0">
  <queryTableRefresh nextId="5">
    <queryTableFields count="4">
      <queryTableField id="1" name="BfArM Nummer" tableColumnId="5"/>
      <queryTableField id="2" name="Hb" tableColumnId="2"/>
      <queryTableField id="3" name="Day of Observations" tableColumnId="3"/>
      <queryTableField id="4" name="Total Number of Observations" tableColumnId="4"/>
    </queryTableFields>
  </queryTableRefresh>
</queryTable>
</file>

<file path=xl/queryTables/queryTable13.xml><?xml version="1.0" encoding="utf-8"?>
<queryTable xmlns="http://schemas.openxmlformats.org/spreadsheetml/2006/main" name="ExterneDaten_1" connectionId="5" autoFormatId="16" applyNumberFormats="0" applyBorderFormats="0" applyFontFormats="0" applyPatternFormats="0" applyAlignmentFormats="0" applyWidthHeightFormats="0">
  <queryTableRefresh nextId="5">
    <queryTableFields count="4">
      <queryTableField id="1" name="BfArM Nummer" tableColumnId="5"/>
      <queryTableField id="2" name="Bilirubin" tableColumnId="2"/>
      <queryTableField id="3" name="Day of Observations" tableColumnId="3"/>
      <queryTableField id="4" name="Total Number of Observations" tableColumnId="4"/>
    </queryTableFields>
  </queryTableRefresh>
</queryTable>
</file>

<file path=xl/queryTables/queryTable14.xml><?xml version="1.0" encoding="utf-8"?>
<queryTable xmlns="http://schemas.openxmlformats.org/spreadsheetml/2006/main" name="ExterneDaten_1" connectionId="13" autoFormatId="16" applyNumberFormats="0" applyBorderFormats="0" applyFontFormats="0" applyPatternFormats="0" applyAlignmentFormats="0" applyWidthHeightFormats="0">
  <queryTableRefresh nextId="5">
    <queryTableFields count="4">
      <queryTableField id="1" name="BfArM Nummer" tableColumnId="5"/>
      <queryTableField id="2" name="Gesamteiweiß" tableColumnId="2"/>
      <queryTableField id="3" name="Day of Observations" tableColumnId="3"/>
      <queryTableField id="4" name="Total Number of Observations" tableColumnId="4"/>
    </queryTableFields>
  </queryTableRefresh>
</queryTable>
</file>

<file path=xl/queryTables/queryTable15.xml><?xml version="1.0" encoding="utf-8"?>
<queryTable xmlns="http://schemas.openxmlformats.org/spreadsheetml/2006/main" name="ExterneDaten_1" connectionId="3" autoFormatId="16" applyNumberFormats="0" applyBorderFormats="0" applyFontFormats="0" applyPatternFormats="0" applyAlignmentFormats="0" applyWidthHeightFormats="0">
  <queryTableRefresh nextId="5">
    <queryTableFields count="4">
      <queryTableField id="1" name="BfArM Nummer" tableColumnId="5"/>
      <queryTableField id="2" name="Ap" tableColumnId="2"/>
      <queryTableField id="3" name="Day of Observations" tableColumnId="3"/>
      <queryTableField id="4" name="Total Number of Observations" tableColumnId="4"/>
    </queryTableFields>
  </queryTableRefresh>
</queryTable>
</file>

<file path=xl/queryTables/queryTable16.xml><?xml version="1.0" encoding="utf-8"?>
<queryTable xmlns="http://schemas.openxmlformats.org/spreadsheetml/2006/main" name="ExterneDaten_1" connectionId="7" autoFormatId="16" applyNumberFormats="0" applyBorderFormats="0" applyFontFormats="0" applyPatternFormats="0" applyAlignmentFormats="0" applyWidthHeightFormats="0">
  <queryTableRefresh nextId="5">
    <queryTableFields count="4">
      <queryTableField id="1" name="BfArM Nummer" tableColumnId="5"/>
      <queryTableField id="2" name="Erste Zeichen" tableColumnId="2"/>
      <queryTableField id="3" name="Day of Observations" tableColumnId="3"/>
      <queryTableField id="4" name="Total Number of Observations" tableColumnId="4"/>
    </queryTableFields>
  </queryTableRefresh>
</queryTable>
</file>

<file path=xl/queryTables/queryTable17.xml><?xml version="1.0" encoding="utf-8"?>
<queryTable xmlns="http://schemas.openxmlformats.org/spreadsheetml/2006/main" name="ExterneDaten_1" connectionId="16" autoFormatId="16" applyNumberFormats="0" applyBorderFormats="0" applyFontFormats="0" applyPatternFormats="0" applyAlignmentFormats="0" applyWidthHeightFormats="0">
  <queryTableRefresh nextId="5">
    <queryTableFields count="4">
      <queryTableField id="1" name="BfArM Nummer" tableColumnId="5"/>
      <queryTableField id="2" name="Kreatinin" tableColumnId="2"/>
      <queryTableField id="3" name="Day of Observations" tableColumnId="3"/>
      <queryTableField id="4" name="Total Number of Observations" tableColumnId="4"/>
    </queryTableFields>
  </queryTableRefresh>
</queryTable>
</file>

<file path=xl/queryTables/queryTable18.xml><?xml version="1.0" encoding="utf-8"?>
<queryTable xmlns="http://schemas.openxmlformats.org/spreadsheetml/2006/main" name="ExterneDaten_1" connectionId="2" autoFormatId="16" applyNumberFormats="0" applyBorderFormats="0" applyFontFormats="0" applyPatternFormats="0" applyAlignmentFormats="0" applyWidthHeightFormats="0">
  <queryTableRefresh nextId="5">
    <queryTableFields count="4">
      <queryTableField id="1" name="BfArM Nummer" tableColumnId="5"/>
      <queryTableField id="2" name="Amylase" tableColumnId="2"/>
      <queryTableField id="3" name="Day of Observations" tableColumnId="3"/>
      <queryTableField id="4" name="Total Number of Observations" tableColumnId="4"/>
    </queryTableFields>
  </queryTableRefresh>
</queryTable>
</file>

<file path=xl/queryTables/queryTable19.xml><?xml version="1.0" encoding="utf-8"?>
<queryTable xmlns="http://schemas.openxmlformats.org/spreadsheetml/2006/main" name="ExterneDaten_1" connectionId="28" autoFormatId="16" applyNumberFormats="0" applyBorderFormats="0" applyFontFormats="0" applyPatternFormats="0" applyAlignmentFormats="0" applyWidthHeightFormats="0">
  <queryTableRefresh nextId="5">
    <queryTableFields count="4">
      <queryTableField id="1" name="BfArM Nummer" tableColumnId="5"/>
      <queryTableField id="2" name="Lipase" tableColumnId="2"/>
      <queryTableField id="3" name="Day of Observations" tableColumnId="3"/>
      <queryTableField id="4" name="Total Number of Observations" tableColumnId="4"/>
    </queryTableFields>
  </queryTableRefresh>
</queryTable>
</file>

<file path=xl/queryTables/queryTable20.xml><?xml version="1.0" encoding="utf-8"?>
<queryTable xmlns="http://schemas.openxmlformats.org/spreadsheetml/2006/main" name="ExterneDaten_1" connectionId="10" autoFormatId="16" applyNumberFormats="0" applyBorderFormats="0" applyFontFormats="0" applyPatternFormats="0" applyAlignmentFormats="0" applyWidthHeightFormats="0">
  <queryTableRefresh nextId="5">
    <queryTableFields count="4">
      <queryTableField id="1" name="BfArM Nummer" tableColumnId="5"/>
      <queryTableField id="2" name="Text vor Trennzeichen" tableColumnId="2"/>
      <queryTableField id="3" name="Day of Observations" tableColumnId="3"/>
      <queryTableField id="4" name="Total Number of Observations" tableColumnId="4"/>
    </queryTableFields>
  </queryTableRefresh>
</queryTable>
</file>

<file path=xl/queryTables/queryTable21.xml><?xml version="1.0" encoding="utf-8"?>
<queryTable xmlns="http://schemas.openxmlformats.org/spreadsheetml/2006/main" name="ExterneDaten_1" connectionId="29" autoFormatId="16" applyNumberFormats="0" applyBorderFormats="0" applyFontFormats="0" applyPatternFormats="0" applyAlignmentFormats="0" applyWidthHeightFormats="0">
  <queryTableRefresh nextId="5">
    <queryTableFields count="4">
      <queryTableField id="1" name="BfArM Nummer" tableColumnId="5"/>
      <queryTableField id="2" name="Harnstoff" tableColumnId="2"/>
      <queryTableField id="3" name="Day of Observations" tableColumnId="3"/>
      <queryTableField id="4" name="Total Number of Observations" tableColumnId="4"/>
    </queryTableFields>
  </queryTableRefresh>
</queryTable>
</file>

<file path=xl/queryTables/queryTable22.xml><?xml version="1.0" encoding="utf-8"?>
<queryTable xmlns="http://schemas.openxmlformats.org/spreadsheetml/2006/main" name="ExterneDaten_1" connectionId="12" autoFormatId="16" applyNumberFormats="0" applyBorderFormats="0" applyFontFormats="0" applyPatternFormats="0" applyAlignmentFormats="0" applyWidthHeightFormats="0">
  <queryTableRefresh nextId="5">
    <queryTableFields count="4">
      <queryTableField id="1" name="BfArM Nummer" tableColumnId="5"/>
      <queryTableField id="2" name="Erythrozyten" tableColumnId="2"/>
      <queryTableField id="3" name="Day of Observations" tableColumnId="3"/>
      <queryTableField id="4" name="Total Number of Observations" tableColumnId="4"/>
    </queryTableFields>
  </queryTableRefresh>
</queryTable>
</file>

<file path=xl/queryTables/queryTable23.xml><?xml version="1.0" encoding="utf-8"?>
<queryTable xmlns="http://schemas.openxmlformats.org/spreadsheetml/2006/main" name="ExterneDaten_1" connectionId="32" autoFormatId="16" applyNumberFormats="0" applyBorderFormats="0" applyFontFormats="0" applyPatternFormats="0" applyAlignmentFormats="0" applyWidthHeightFormats="0">
  <queryTableRefresh nextId="5">
    <queryTableFields count="4">
      <queryTableField id="1" name="BfArM Nummer" tableColumnId="5"/>
      <queryTableField id="2" name="Erste Zeichen" tableColumnId="2"/>
      <queryTableField id="3" name="Day of Observations" tableColumnId="3"/>
      <queryTableField id="4" name="Total Number of Observations" tableColumnId="4"/>
    </queryTableFields>
  </queryTableRefresh>
</queryTable>
</file>

<file path=xl/queryTables/queryTable24.xml><?xml version="1.0" encoding="utf-8"?>
<queryTable xmlns="http://schemas.openxmlformats.org/spreadsheetml/2006/main" name="ExterneDaten_1" connectionId="6" autoFormatId="16" applyNumberFormats="0" applyBorderFormats="0" applyFontFormats="0" applyPatternFormats="0" applyAlignmentFormats="0" applyWidthHeightFormats="0">
  <queryTableRefresh nextId="5">
    <queryTableFields count="4">
      <queryTableField id="1" name="BfArM Nummer" tableColumnId="5"/>
      <queryTableField id="2" name="BSG" tableColumnId="2"/>
      <queryTableField id="3" name="Day of Observations" tableColumnId="3"/>
      <queryTableField id="4" name="Total Number of Observations" tableColumnId="4"/>
    </queryTableFields>
  </queryTableRefresh>
</queryTable>
</file>

<file path=xl/queryTables/queryTable25.xml><?xml version="1.0" encoding="utf-8"?>
<queryTable xmlns="http://schemas.openxmlformats.org/spreadsheetml/2006/main" name="ExterneDaten_1" connectionId="22" autoFormatId="16" applyNumberFormats="0" applyBorderFormats="0" applyFontFormats="0" applyPatternFormats="0" applyAlignmentFormats="0" applyWidthHeightFormats="0">
  <queryTableRefresh nextId="5">
    <queryTableFields count="4">
      <queryTableField id="1" name="BfArM Nummer" tableColumnId="5"/>
      <queryTableField id="2" name="Monozyten" tableColumnId="2"/>
      <queryTableField id="3" name="Day of Observations" tableColumnId="3"/>
      <queryTableField id="4" name="Total Number of Observations" tableColumnId="4"/>
    </queryTableFields>
  </queryTableRefresh>
</queryTable>
</file>

<file path=xl/queryTables/queryTable26.xml><?xml version="1.0" encoding="utf-8"?>
<queryTable xmlns="http://schemas.openxmlformats.org/spreadsheetml/2006/main" name="ExterneDaten_1" connectionId="11" autoFormatId="16" applyNumberFormats="0" applyBorderFormats="0" applyFontFormats="0" applyPatternFormats="0" applyAlignmentFormats="0" applyWidthHeightFormats="0">
  <queryTableRefresh nextId="5">
    <queryTableFields count="4">
      <queryTableField id="1" name="BfArM Nummer" tableColumnId="5"/>
      <queryTableField id="2" name="Eosinophile Granulozyten" tableColumnId="2"/>
      <queryTableField id="3" name="Day of Observations" tableColumnId="3"/>
      <queryTableField id="4" name="Total Number of Observations" tableColumnId="4"/>
    </queryTableFields>
  </queryTableRefresh>
</queryTable>
</file>

<file path=xl/queryTables/queryTable27.xml><?xml version="1.0" encoding="utf-8"?>
<queryTable xmlns="http://schemas.openxmlformats.org/spreadsheetml/2006/main" name="ExterneDaten_1" connectionId="23" autoFormatId="16" applyNumberFormats="0" applyBorderFormats="0" applyFontFormats="0" applyPatternFormats="0" applyAlignmentFormats="0" applyWidthHeightFormats="0">
  <queryTableRefresh nextId="5">
    <queryTableFields count="4">
      <queryTableField id="1" name="BfArM Nummer" tableColumnId="5"/>
      <queryTableField id="2" name="Neutrophile" tableColumnId="2"/>
      <queryTableField id="3" name="Day of Observations" tableColumnId="3"/>
      <queryTableField id="4" name="Total Number of Observations" tableColumnId="4"/>
    </queryTableFields>
  </queryTableRefresh>
</queryTable>
</file>

<file path=xl/queryTables/queryTable28.xml><?xml version="1.0" encoding="utf-8"?>
<queryTable xmlns="http://schemas.openxmlformats.org/spreadsheetml/2006/main" name="ExterneDaten_1" connectionId="4" autoFormatId="16" applyNumberFormats="0" applyBorderFormats="0" applyFontFormats="0" applyPatternFormats="0" applyAlignmentFormats="0" applyWidthHeightFormats="0">
  <queryTableRefresh nextId="5">
    <queryTableFields count="4">
      <queryTableField id="1" name="BfArM Nummer" tableColumnId="5"/>
      <queryTableField id="2" name="Basophile Granulozyten" tableColumnId="2"/>
      <queryTableField id="3" name="Day of Observations" tableColumnId="3"/>
      <queryTableField id="4" name="Total Number of Observations" tableColumnId="4"/>
    </queryTableFields>
  </queryTableRefresh>
</queryTable>
</file>

<file path=xl/queryTables/queryTable29.xml><?xml version="1.0" encoding="utf-8"?>
<queryTable xmlns="http://schemas.openxmlformats.org/spreadsheetml/2006/main" name="ExterneDaten_1" connectionId="1" autoFormatId="16" applyNumberFormats="0" applyBorderFormats="0" applyFontFormats="0" applyPatternFormats="0" applyAlignmentFormats="0" applyWidthHeightFormats="0">
  <queryTableRefresh nextId="5">
    <queryTableFields count="4">
      <queryTableField id="1" name="BfArM Nummer" tableColumnId="5"/>
      <queryTableField id="2" name="Albumin" tableColumnId="2"/>
      <queryTableField id="3" name="Day of Observations" tableColumnId="3"/>
      <queryTableField id="4" name="Total Number of Observations" tableColumnId="4"/>
    </queryTableFields>
  </queryTableRefresh>
</queryTable>
</file>

<file path=xl/queryTables/queryTable30.xml><?xml version="1.0" encoding="utf-8"?>
<queryTable xmlns="http://schemas.openxmlformats.org/spreadsheetml/2006/main" name="ExterneDaten_1" connectionId="30" autoFormatId="16" applyNumberFormats="0" applyBorderFormats="0" applyFontFormats="0" applyPatternFormats="0" applyAlignmentFormats="0" applyWidthHeightFormats="0">
  <queryTableRefresh nextId="6">
    <queryTableFields count="5">
      <queryTableField id="1" name="BfArM Nummer" tableColumnId="6"/>
      <queryTableField id="2" name="Treatment" tableColumnId="2"/>
      <queryTableField id="3" name="Hämatokrit" tableColumnId="3"/>
      <queryTableField id="4" name="Day of Observations" tableColumnId="4"/>
      <queryTableField id="5" name="Total Number of Observations" tableColumnId="5"/>
    </queryTableFields>
  </queryTableRefresh>
</queryTable>
</file>

<file path=xl/queryTables/queryTable31.xml><?xml version="1.0" encoding="utf-8"?>
<queryTable xmlns="http://schemas.openxmlformats.org/spreadsheetml/2006/main" name="ExterneDaten_1" connectionId="21" autoFormatId="16" applyNumberFormats="0" applyBorderFormats="0" applyFontFormats="0" applyPatternFormats="0" applyAlignmentFormats="0" applyWidthHeightFormats="0">
  <queryTableRefresh nextId="6">
    <queryTableFields count="5">
      <queryTableField id="1" name="BfArM Nummer" tableColumnId="6"/>
      <queryTableField id="2" name="Treatment" tableColumnId="2"/>
      <queryTableField id="3" name="MCV" tableColumnId="3"/>
      <queryTableField id="4" name="Day of Observations" tableColumnId="4"/>
      <queryTableField id="5" name="Total Number of Observations" tableColumnId="5"/>
    </queryTableFields>
  </queryTableRefresh>
</queryTable>
</file>

<file path=xl/queryTables/queryTable32.xml><?xml version="1.0" encoding="utf-8"?>
<queryTable xmlns="http://schemas.openxmlformats.org/spreadsheetml/2006/main" name="ExterneDaten_1" connectionId="20" autoFormatId="16" applyNumberFormats="0" applyBorderFormats="0" applyFontFormats="0" applyPatternFormats="0" applyAlignmentFormats="0" applyWidthHeightFormats="0">
  <queryTableRefresh nextId="6">
    <queryTableFields count="5">
      <queryTableField id="1" name="BfArM Nummer" tableColumnId="6"/>
      <queryTableField id="2" name="Treatment" tableColumnId="2"/>
      <queryTableField id="3" name="MCH" tableColumnId="3"/>
      <queryTableField id="4" name="Day of Observations" tableColumnId="4"/>
      <queryTableField id="5" name="Total Number of Observations" tableColumnId="5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1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1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1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1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_rels/table1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9.xml"/></Relationships>
</file>

<file path=xl/tables/_rels/table2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0.xml"/></Relationships>
</file>

<file path=xl/tables/_rels/table2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1.xml"/></Relationships>
</file>

<file path=xl/tables/_rels/table2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2.xml"/></Relationships>
</file>

<file path=xl/tables/_rels/table2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3.xml"/></Relationships>
</file>

<file path=xl/tables/_rels/table2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4.xml"/></Relationships>
</file>

<file path=xl/tables/_rels/table3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5.xml"/></Relationships>
</file>

<file path=xl/tables/_rels/table3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6.xml"/></Relationships>
</file>

<file path=xl/tables/_rels/table3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7.xml"/></Relationships>
</file>

<file path=xl/tables/_rels/table3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8.xml"/></Relationships>
</file>

<file path=xl/tables/_rels/table3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9.xml"/></Relationships>
</file>

<file path=xl/tables/_rels/table4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0.xml"/></Relationships>
</file>

<file path=xl/tables/_rels/table4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1.xml"/></Relationships>
</file>

<file path=xl/tables/_rels/table4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2.xml"/></Relationships>
</file>

<file path=xl/tables/_rels/table4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3.xml"/></Relationships>
</file>

<file path=xl/tables/_rels/table4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4.xml"/></Relationships>
</file>

<file path=xl/tables/_rels/table5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5.xml"/></Relationships>
</file>

<file path=xl/tables/_rels/table5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6.xml"/></Relationships>
</file>

<file path=xl/tables/_rels/table5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7.xml"/></Relationships>
</file>

<file path=xl/tables/_rels/table5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8.xml"/></Relationships>
</file>

<file path=xl/tables/_rels/table5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9.xml"/></Relationships>
</file>

<file path=xl/tables/_rels/table6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0.xml"/></Relationships>
</file>

<file path=xl/tables/_rels/table6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1.xml"/></Relationships>
</file>

<file path=xl/tables/_rels/table6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2.xml"/></Relationships>
</file>

<file path=xl/tables/table1.xml><?xml version="1.0" encoding="utf-8"?>
<table xmlns="http://schemas.openxmlformats.org/spreadsheetml/2006/main" id="1" name="Table1" displayName="Table1" ref="A1:AB240" totalsRowShown="0" headerRowDxfId="71" headerRowBorderDxfId="69" tableBorderDxfId="70">
  <autoFilter ref="A1:AB240"/>
  <tableColumns count="28">
    <tableColumn id="1" name="Edited_BfArM Nummer2"/>
    <tableColumn id="2" name="Diagnose"/>
    <tableColumn id="3" name="CK Day 12_From Start"/>
    <tableColumn id="4" name="CK Day 11_From Start"/>
    <tableColumn id="5" name="CK Day 7_From Start"/>
    <tableColumn id="6" name="CK Day 6_From Start"/>
    <tableColumn id="7" name="CK Day 4_From Start" dataDxfId="68"/>
    <tableColumn id="8" name="CK Day 3_From Start"/>
    <tableColumn id="9" name="CK Day 2_From Start"/>
    <tableColumn id="10" name="CK Day 1_From Start"/>
    <tableColumn id="11" name="CK Day_Unknown"/>
    <tableColumn id="12" name="Ck Day1"/>
    <tableColumn id="13" name="Ck Day2"/>
    <tableColumn id="14" name="Ck Day3"/>
    <tableColumn id="15" name="Ck Day4"/>
    <tableColumn id="16" name="Ck Day5"/>
    <tableColumn id="17" name="Ck Day6"/>
    <tableColumn id="18" name="Ck Day7"/>
    <tableColumn id="19" name="Ck Day8"/>
    <tableColumn id="20" name="Ck Day9"/>
    <tableColumn id="21" name="Ck Day10"/>
    <tableColumn id="22" name="Ck Day11"/>
    <tableColumn id="23" name="Ck Day12"/>
    <tableColumn id="24" name="Ck Day13"/>
    <tableColumn id="25" name="Ck Day14"/>
    <tableColumn id="26" name="Ck Day15"/>
    <tableColumn id="27" name="Ck Day16"/>
    <tableColumn id="28" name="Ck Day17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id="2" name="CK" displayName="CK" ref="A1:E27" tableType="queryTable" totalsRowShown="0" headerRowDxfId="320">
  <autoFilter ref="A1:E27"/>
  <tableColumns count="5">
    <tableColumn id="5" uniqueName="5" name="BfArM Nummer" queryTableFieldId="1" dataDxfId="319"/>
    <tableColumn id="1" uniqueName="1" name="Treatment" queryTableFieldId="5"/>
    <tableColumn id="2" uniqueName="2" name="Ck" queryTableFieldId="2" dataDxfId="318"/>
    <tableColumn id="3" uniqueName="3" name="Day of Observation" queryTableFieldId="3" dataDxfId="317"/>
    <tableColumn id="4" uniqueName="4" name="Total Number of Observations" queryTableFieldId="4" dataDxfId="316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id="3" name="Tabelle3" displayName="Tabelle3" ref="A1:S1048576" totalsRowShown="0" headerRowDxfId="315" headerRowBorderDxfId="314" tableBorderDxfId="313">
  <autoFilter ref="A1:S1048576"/>
  <tableColumns count="19">
    <tableColumn id="1" name="BfArM Nummer" dataDxfId="312"/>
    <tableColumn id="19" name="Treatment" dataDxfId="311"/>
    <tableColumn id="2" name="CK-MB-4 Tage vor Krankheitsbeginn (U\l)"/>
    <tableColumn id="3" name="CK-MB-3 Tage vor Krankheitsbeginn"/>
    <tableColumn id="4" name="CK-MB-2 Tage vor Krankheitsbeginn (U\l)"/>
    <tableColumn id="5" name="CK-MB-d1 (U/L)"/>
    <tableColumn id="6" name="CK-MB-d2"/>
    <tableColumn id="7" name="CK-MB-d3"/>
    <tableColumn id="8" name="CK-MB- (U\l) d4"/>
    <tableColumn id="9" name="CK-MB-d5"/>
    <tableColumn id="10" name="CK-MB-d7"/>
    <tableColumn id="11" name="CK-MB- (U\l) d1w1"/>
    <tableColumn id="12" name="CK-MB-d2w1 "/>
    <tableColumn id="13" name="CK-MB-d3w1 "/>
    <tableColumn id="14" name="CK-MB-d4w1 "/>
    <tableColumn id="15" name="CK-MB- (U\l) d6w1 "/>
    <tableColumn id="16" name="CK-MB-d4w2 "/>
    <tableColumn id="17" name="CK-MB- (U\l) d3w3 "/>
    <tableColumn id="18" name="CK-MB- (U\l) d5w3m1 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id="4" name="CK_MB" displayName="CK_MB" ref="A1:E6" tableType="queryTable" totalsRowShown="0">
  <autoFilter ref="A1:E6"/>
  <tableColumns count="5">
    <tableColumn id="5" uniqueName="5" name="BfArM Nummer" queryTableFieldId="1" dataDxfId="310"/>
    <tableColumn id="1" uniqueName="1" name="Treatment" queryTableFieldId="5"/>
    <tableColumn id="2" uniqueName="2" name="CK-MB" queryTableFieldId="2" dataDxfId="309"/>
    <tableColumn id="3" uniqueName="3" name="Day of Observations" queryTableFieldId="3" dataDxfId="308"/>
    <tableColumn id="4" uniqueName="4" name="Total Number of Observations" queryTableFieldId="4" dataDxfId="307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id="5" name="Tabelle5" displayName="Tabelle5" ref="A1:AM1048576" totalsRowShown="0" headerRowDxfId="306" headerRowBorderDxfId="305" tableBorderDxfId="304">
  <autoFilter ref="A1:AM1048576"/>
  <tableColumns count="39">
    <tableColumn id="1" name="BfArM Nummer" dataDxfId="303"/>
    <tableColumn id="39" name="Treatment" dataDxfId="302"/>
    <tableColumn id="2" name="Quick-37 Tage vor Krankheitsbeginn"/>
    <tableColumn id="3" name="Quick-12 Tage vor Krankheitsbeginn"/>
    <tableColumn id="4" name="Quick-11 Tage vor Krankheitsbeginn (%)"/>
    <tableColumn id="5" name="Quick-8 Tage vor Krankheitsbeginn"/>
    <tableColumn id="6" name="Quick-7 Tage vor Krankheitsbeginn"/>
    <tableColumn id="7" name="Quick-3 Tage vor Krankheitsbeginn"/>
    <tableColumn id="8" name="Quick-2 Tage vor Krankheitsbeginn"/>
    <tableColumn id="9" name="Quick-1 Tag vor Krankheitsbeginn"/>
    <tableColumn id="10" name="Quick-Datum unbekannt (%)"/>
    <tableColumn id="11" name="Quick (TPZ, PTZ, PZ)-d1 (%)"/>
    <tableColumn id="12" name="Quick-d2 "/>
    <tableColumn id="13" name="Quick-d3"/>
    <tableColumn id="14" name="Quick-d4"/>
    <tableColumn id="15" name="Quick- (%) d5"/>
    <tableColumn id="16" name="Quick-d6"/>
    <tableColumn id="17" name="Quick-d7"/>
    <tableColumn id="18" name="Quick-d1w1"/>
    <tableColumn id="19" name="Quick-d2w1"/>
    <tableColumn id="20" name="Quick- (%) d3w1"/>
    <tableColumn id="21" name="Quick-d4w1"/>
    <tableColumn id="22" name="Quick-d5w1"/>
    <tableColumn id="23" name="Quick-d6w1"/>
    <tableColumn id="24" name="Quick-d1w2"/>
    <tableColumn id="25" name="Quick-d2w2"/>
    <tableColumn id="26" name="Quick- (%) d3w2"/>
    <tableColumn id="27" name="Quick-d6w2"/>
    <tableColumn id="28" name="Quick-d1w3"/>
    <tableColumn id="29" name="Quick-d2w3"/>
    <tableColumn id="30" name="Quick- (%) d3w3"/>
    <tableColumn id="31" name="Quick-d4w0m1"/>
    <tableColumn id="32" name="Quick-d5w0m1"/>
    <tableColumn id="33" name="Quick-d5w2m1"/>
    <tableColumn id="34" name="Quick-d4w3m1"/>
    <tableColumn id="35" name="Quick-d3w1m2"/>
    <tableColumn id="36" name="Quick-d5w2m2"/>
    <tableColumn id="37" name="Quick-d2w0m3"/>
    <tableColumn id="38" name="Quick-d6w1m3"/>
  </tableColumns>
  <tableStyleInfo showFirstColumn="0" showLastColumn="0" showRowStripes="1" showColumnStripes="0"/>
</table>
</file>

<file path=xl/tables/table6.xml><?xml version="1.0" encoding="utf-8"?>
<table xmlns="http://schemas.openxmlformats.org/spreadsheetml/2006/main" id="6" name="Quick" displayName="Quick" ref="A1:E67" tableType="queryTable" totalsRowShown="0">
  <autoFilter ref="A1:E67"/>
  <tableColumns count="5">
    <tableColumn id="5" uniqueName="5" name="BfArM Nummer" queryTableFieldId="1"/>
    <tableColumn id="1" uniqueName="1" name="Treatment" queryTableFieldId="5"/>
    <tableColumn id="2" uniqueName="2" name="Quick" queryTableFieldId="2" dataDxfId="301"/>
    <tableColumn id="3" uniqueName="3" name="Day of Observations" queryTableFieldId="3"/>
    <tableColumn id="4" uniqueName="4" name="Total number of Observations" queryTableFieldId="4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id="7" name="Tabelle7" displayName="Tabelle7" ref="A1:AF1048576" totalsRowShown="0" headerRowDxfId="300" headerRowBorderDxfId="299" tableBorderDxfId="298">
  <autoFilter ref="A1:AF1048576"/>
  <tableColumns count="32">
    <tableColumn id="1" name="BfArM Nummer" dataDxfId="297"/>
    <tableColumn id="32" name="Treatment" dataDxfId="296"/>
    <tableColumn id="2" name="INR-12 Tage vor Krankheitsbeginn"/>
    <tableColumn id="3" name="INR-11 Tage vor Krankheitsbeginn"/>
    <tableColumn id="4" name="INR-8 Tage vor Krankheitsbeginn"/>
    <tableColumn id="5" name="INR-7 Tage vor Krankheitsbeginn"/>
    <tableColumn id="6" name="INR-3 Tage vor Krankheitsbeginn"/>
    <tableColumn id="7" name="INR-2 Tage vor Krankheitsbeginn"/>
    <tableColumn id="8" name="INR-1 Tag vor Krankheitsbeginn"/>
    <tableColumn id="9" name="INR-Datum unbekannt"/>
    <tableColumn id="10" name="INR-d1"/>
    <tableColumn id="11" name="INR-d2"/>
    <tableColumn id="12" name="INR-d3"/>
    <tableColumn id="13" name="INR-d4"/>
    <tableColumn id="14" name="INR-d5"/>
    <tableColumn id="15" name="INR-d6"/>
    <tableColumn id="16" name="INR-d7"/>
    <tableColumn id="17" name="INR-d1w1"/>
    <tableColumn id="18" name="INR-d2w1"/>
    <tableColumn id="19" name="INR-d3w1"/>
    <tableColumn id="20" name="INR-d4w1"/>
    <tableColumn id="21" name="INR-d6w1"/>
    <tableColumn id="22" name="INR-d2w2"/>
    <tableColumn id="23" name="INR-d1w3"/>
    <tableColumn id="24" name="INR-d2w3"/>
    <tableColumn id="25" name="INR-d5w0m1"/>
    <tableColumn id="26" name="INR-d6w0m1"/>
    <tableColumn id="27" name="INR-d5w2m1"/>
    <tableColumn id="28" name="INR-d4w3m1"/>
    <tableColumn id="29" name="INR-d5w2m2"/>
    <tableColumn id="30" name="INR-d2w0m3"/>
    <tableColumn id="31" name="INR-d6w1m3"/>
  </tableColumns>
  <tableStyleInfo showFirstColumn="0" showLastColumn="0" showRowStripes="1" showColumnStripes="0"/>
</table>
</file>

<file path=xl/tables/table8.xml><?xml version="1.0" encoding="utf-8"?>
<table xmlns="http://schemas.openxmlformats.org/spreadsheetml/2006/main" id="8" name="Tabelle7_2" displayName="Tabelle7_2" ref="A1:E44" tableType="queryTable" totalsRowShown="0">
  <autoFilter ref="A1:E44"/>
  <tableColumns count="5">
    <tableColumn id="5" uniqueName="5" name="BfArM Nummer" queryTableFieldId="1" dataDxfId="295"/>
    <tableColumn id="2" uniqueName="2" name="INR" queryTableFieldId="2" dataDxfId="294"/>
    <tableColumn id="1" uniqueName="1" name="Treatment" queryTableFieldId="5"/>
    <tableColumn id="3" uniqueName="3" name="Day of Observations" queryTableFieldId="3" dataDxfId="293"/>
    <tableColumn id="4" uniqueName="4" name="Total Number of Observations" queryTableFieldId="4" dataDxfId="292"/>
  </tableColumns>
  <tableStyleInfo name="TableStyleMedium7" showFirstColumn="0" showLastColumn="0" showRowStripes="1" showColumnStripes="0"/>
</table>
</file>

<file path=xl/tables/table9.xml><?xml version="1.0" encoding="utf-8"?>
<table xmlns="http://schemas.openxmlformats.org/spreadsheetml/2006/main" id="9" name="Tabelle9" displayName="Tabelle9" ref="A1:AI1048576" totalsRowShown="0" headerRowDxfId="291" headerRowBorderDxfId="290" tableBorderDxfId="289">
  <autoFilter ref="A1:AI1048576"/>
  <tableColumns count="35">
    <tableColumn id="1" name="BfArM Nummer" dataDxfId="288"/>
    <tableColumn id="36" name="Treatment" dataDxfId="287"/>
    <tableColumn id="2" name="PTT-3 Jahre vor Krankheitsbeginn (sec.)"/>
    <tableColumn id="3" name="PTT-12 Tage vor Krankheitsbeginn"/>
    <tableColumn id="4" name="PTT-11 Tage vor Krankheitsbeginn"/>
    <tableColumn id="5" name="PTT-8 Tage vor Krankheitsbeginn"/>
    <tableColumn id="6" name="PTT-7 Tage vor Krankheitsbeginn"/>
    <tableColumn id="7" name="PTT-6 Tage vor Krankheitsbeginn"/>
    <tableColumn id="8" name="PTT-5 Tage vor Krankheitsbeginn"/>
    <tableColumn id="9" name="PTT-4 Tage vor Krankheitsbeginn"/>
    <tableColumn id="10" name="PTT-2 Tage vor Krankheitsbeginn"/>
    <tableColumn id="11" name="PTT-Datum unbekannt (sec.)"/>
    <tableColumn id="12" name="PTT-d1 (sec.)"/>
    <tableColumn id="13" name="PTT-d2"/>
    <tableColumn id="14" name="PTT-d3"/>
    <tableColumn id="15" name="PTT- (sec.) d4"/>
    <tableColumn id="16" name="PTT-d5"/>
    <tableColumn id="17" name="PTT-d6"/>
    <tableColumn id="18" name="PTT-d7"/>
    <tableColumn id="19" name="PTT-d1w1"/>
    <tableColumn id="20" name="PTT- (sec.) d2w1"/>
    <tableColumn id="21" name="PTT-d3w1"/>
    <tableColumn id="22" name="PTT-d4w1"/>
    <tableColumn id="23" name="PTT-d5w1"/>
    <tableColumn id="24" name="PTT-d1w2"/>
    <tableColumn id="25" name="PTT- (sec.) d2w2"/>
    <tableColumn id="26" name="PTT-d3w2"/>
    <tableColumn id="27" name="PTT-d1w3"/>
    <tableColumn id="28" name="PTT-d2w3"/>
    <tableColumn id="29" name="PTT-d4w0m1"/>
    <tableColumn id="30" name="PTT-d5w0m1"/>
    <tableColumn id="31" name="PTT-d5w2m1"/>
    <tableColumn id="32" name="PTT-d4w3m1"/>
    <tableColumn id="33" name="PTT-d5w2m2"/>
    <tableColumn id="34" name="PTT-d6w1m3"/>
  </tableColumns>
  <tableStyleInfo showFirstColumn="0" showLastColumn="0" showRowStripes="1" showColumnStripes="0"/>
</table>
</file>

<file path=xl/tables/table10.xml><?xml version="1.0" encoding="utf-8"?>
<table xmlns="http://schemas.openxmlformats.org/spreadsheetml/2006/main" id="10" name="PTT" displayName="PTT" ref="A1:E49" tableType="queryTable" totalsRowShown="0">
  <autoFilter ref="A1:E49"/>
  <tableColumns count="5">
    <tableColumn id="4" uniqueName="4" name="BfArM Nummer" queryTableFieldId="1" dataDxfId="286"/>
    <tableColumn id="2" uniqueName="2" name="Day of Observations" queryTableFieldId="2" dataDxfId="285"/>
    <tableColumn id="3" uniqueName="3" name="Total Number of Observations" queryTableFieldId="3" dataDxfId="284"/>
    <tableColumn id="1" uniqueName="1" name="Treatment" queryTableFieldId="4" dataDxfId="283"/>
    <tableColumn id="5" uniqueName="5" name="PTT" queryTableFieldId="5" dataDxfId="282"/>
  </tableColumns>
  <tableStyleInfo name="TableStyleMedium7" showFirstColumn="0" showLastColumn="0" showRowStripes="1" showColumnStripes="0"/>
</table>
</file>

<file path=xl/tables/table11.xml><?xml version="1.0" encoding="utf-8"?>
<table xmlns="http://schemas.openxmlformats.org/spreadsheetml/2006/main" id="11" name="Tabelle11" displayName="Tabelle11" ref="A1:AW1048576" totalsRowShown="0" headerRowDxfId="281" headerRowBorderDxfId="280" tableBorderDxfId="279">
  <autoFilter ref="A1:AW1048576"/>
  <tableColumns count="49">
    <tableColumn id="1" name="BfArM Nummer" dataDxfId="278"/>
    <tableColumn id="49" name="Treatment" dataDxfId="277"/>
    <tableColumn id="2" name="Leukozyten 64 Tage vor Krankheitsbeginn"/>
    <tableColumn id="3" name="Leukozyten-48 Tage vor Krankheitsbeginn"/>
    <tableColumn id="4" name="Leukozyten-39 Tage vor Krankheitsbeginn"/>
    <tableColumn id="5" name="Leukozyten-36 Tage vor Krankheitsbeginn (\mikrol)"/>
    <tableColumn id="6" name="Leukozyten-27 Tage vor Krankheitsbeginn"/>
    <tableColumn id="7" name="Leukozyten-20 Tage vor Krankheitsbeginn"/>
    <tableColumn id="8" name="Leukozyten-12 Tage vor Krankheitsbeginn"/>
    <tableColumn id="9" name="Leukozyten-11 Tage vor Krankheitsbeginn"/>
    <tableColumn id="10" name="Leukozyten-9 Tage vor Krankheitsbeginn (\mikrol)"/>
    <tableColumn id="11" name="Leukozyten-8 Tage vor Krankheitsbeginn"/>
    <tableColumn id="12" name="Leukozyten-7 Tage vor Krankheitsbeginn"/>
    <tableColumn id="13" name="Leukozyten-6 Tage vor Krankheitsbeginn"/>
    <tableColumn id="14" name="Leukozyten-5 Tage vor Krankheitsbeginn"/>
    <tableColumn id="15" name="Leukozyten-4 Tage vor Krankheitsbeginn (\mikrol)"/>
    <tableColumn id="16" name="Leukozyten-3 Tage vor Krankheitsbeginn"/>
    <tableColumn id="17" name="Leukozyten-2 Tage vor Krankheitsbeginn"/>
    <tableColumn id="18" name="Leukozyten-1 Tag vor Krankheitsbeginn"/>
    <tableColumn id="19" name="Leukozyten-Datum unbekannt (\mikrol)"/>
    <tableColumn id="20" name="Leukozyten (WBC)-d1 (\mikrol)"/>
    <tableColumn id="21" name="Leukozyten-d2"/>
    <tableColumn id="22" name="Leukozyten- (\mikrol) d3"/>
    <tableColumn id="23" name="Leukozyten-d4"/>
    <tableColumn id="24" name="Leukozyten-d5"/>
    <tableColumn id="25" name="Leukozyten-d6"/>
    <tableColumn id="26" name="Leukozyten- (\mikrol) d7"/>
    <tableColumn id="27" name="Leukozyten-d1w1"/>
    <tableColumn id="28" name="Leukozyten-d2w1"/>
    <tableColumn id="29" name="Leukozyten-d3w1"/>
    <tableColumn id="30" name="Leukozyten-d4w1"/>
    <tableColumn id="31" name="Leukozyten- (\mikrol) d5w1"/>
    <tableColumn id="32" name="Leukozyten-d6w1"/>
    <tableColumn id="33" name="Leukozyten-w2"/>
    <tableColumn id="34" name="Leukozyten-d1w2"/>
    <tableColumn id="35" name="Leukozyten-d2w2"/>
    <tableColumn id="36" name="Leukozyten- (\mikrol) d3w2"/>
    <tableColumn id="37" name="Leukozyten-d6w2"/>
    <tableColumn id="38" name="Leukozyten-d7w2"/>
    <tableColumn id="39" name="Leukozyten-d1w3"/>
    <tableColumn id="40" name="Leukozyten-d2w3"/>
    <tableColumn id="41" name="Leukozyten-d4w3"/>
    <tableColumn id="42" name="Leukozyten- (\mikrol) d6w3"/>
    <tableColumn id="43" name="Leukozyten- (\mikrol) d1w0m1"/>
    <tableColumn id="44" name="Leukozyten-d3w0m1"/>
    <tableColumn id="45" name="Leukozyten-d4w3m1"/>
    <tableColumn id="46" name="Leukozyten-d7w0m2"/>
    <tableColumn id="47" name="Leukozyten-d7w1m2"/>
    <tableColumn id="48" name="Leukozyten-d1w3m5"/>
  </tableColumns>
  <tableStyleInfo showFirstColumn="0" showLastColumn="0" showRowStripes="1" showColumnStripes="0"/>
</table>
</file>

<file path=xl/tables/table12.xml><?xml version="1.0" encoding="utf-8"?>
<table xmlns="http://schemas.openxmlformats.org/spreadsheetml/2006/main" id="12" name="Leukozyten" displayName="Leukozyten" ref="A1:E107" tableType="queryTable" totalsRowShown="0">
  <autoFilter ref="A1:E107"/>
  <tableColumns count="5">
    <tableColumn id="5" uniqueName="5" name="BfArM Nummer" queryTableFieldId="1"/>
    <tableColumn id="2" uniqueName="2" name="Leukozyten" queryTableFieldId="2" dataDxfId="276"/>
    <tableColumn id="3" uniqueName="3" name="Day of Observations" queryTableFieldId="3"/>
    <tableColumn id="4" uniqueName="4" name="Total Number of Observations" queryTableFieldId="4"/>
    <tableColumn id="1" uniqueName="1" name="Treatment" queryTableFieldId="5"/>
  </tableColumns>
  <tableStyleInfo name="TableStyleMedium7" showFirstColumn="0" showLastColumn="0" showRowStripes="1" showColumnStripes="0"/>
</table>
</file>

<file path=xl/tables/table13.xml><?xml version="1.0" encoding="utf-8"?>
<table xmlns="http://schemas.openxmlformats.org/spreadsheetml/2006/main" id="13" name="Tabelle13" displayName="Tabelle13" ref="A1:CN1048576" totalsRowShown="0" headerRowDxfId="275" headerRowBorderDxfId="274" tableBorderDxfId="273">
  <autoFilter ref="A1:CN1048576"/>
  <tableColumns count="92">
    <tableColumn id="1" name="BfArM Nummer" dataDxfId="272"/>
    <tableColumn id="92" name="Treatment" dataDxfId="271"/>
    <tableColumn id="2" name="GOT-275 Tage vor Krankheitsbeginn (u\l)"/>
    <tableColumn id="3" name="GOT-114 Tage vor Krankheitsbeginn (u\l)"/>
    <tableColumn id="4" name="GOT-107 Tage vor Krankheitsbeginn (u\l)"/>
    <tableColumn id="5" name="GOT-105 Tage vor Krankheitsbeginn (u\l)"/>
    <tableColumn id="6" name="GOT-56 Tage vor Krankheitsbeginn"/>
    <tableColumn id="7" name="GOT-36 Tage vor Krankheitsbeginn"/>
    <tableColumn id="8" name="GOT-26 Tage vor Krankheitsbeginn"/>
    <tableColumn id="9" name="GOT-22 Tage vor Krankheitsbeginn"/>
    <tableColumn id="10" name="GOT-20 Tage vor Krankheitsbeginn"/>
    <tableColumn id="11" name="GOT-18 Tage vor Krankheitsbeginn (u\l)"/>
    <tableColumn id="12" name="GOT-13 Tage vor Krankheitsbeginn"/>
    <tableColumn id="13" name="GOT-12 Tage vor Krankheitsbeginn"/>
    <tableColumn id="14" name="GOT-11 Tage vor Krankheitsbeginn"/>
    <tableColumn id="15" name="GOT-9 Tage vor Krankheitsbeginn"/>
    <tableColumn id="16" name="GOT-8 Tage vor Krankheitsbeginn"/>
    <tableColumn id="17" name="GOT-7 Tage vor Krankheitsbeginn (u\l)"/>
    <tableColumn id="18" name="GOT-6 Tage vor Krankheitsbeginn"/>
    <tableColumn id="19" name="GOT-5 Tage vor Krankheitsbeginn"/>
    <tableColumn id="20" name="GOT-4 Tage vor Krankheitsbeginn"/>
    <tableColumn id="21" name="GOT-3 Tage vor Krankheitsbeginn"/>
    <tableColumn id="22" name="GOT-2 Tage vor Krankheitsbeginn"/>
    <tableColumn id="23" name="GOT-1 Tag vor Krankheitsbeginn"/>
    <tableColumn id="24" name="GOT-Datum unbekannt (u\l)" dataDxfId="270"/>
    <tableColumn id="25" name="GOT (AST, ASAT, Aspartat aminotransferase)-d1 (u\l)" dataDxfId="269"/>
    <tableColumn id="26" name="GOT-d2 " dataDxfId="268"/>
    <tableColumn id="27" name="GOT-d3" dataDxfId="267"/>
    <tableColumn id="28" name="GOT- (u\l) d4"/>
    <tableColumn id="29" name="GOT-d5"/>
    <tableColumn id="30" name="GOT-d6"/>
    <tableColumn id="31" name="GOT- (u\l) d7"/>
    <tableColumn id="32" name="GOT-d1w1"/>
    <tableColumn id="33" name="GOT-d2w1"/>
    <tableColumn id="34" name="GOT- (u\l) d3w1"/>
    <tableColumn id="35" name="GOT-d4w1"/>
    <tableColumn id="36" name="GOT-d5w1"/>
    <tableColumn id="37" name="GOT- (u\l) d6w1"/>
    <tableColumn id="38" name="GOT-d7w1"/>
    <tableColumn id="39" name="GOT-d1w2"/>
    <tableColumn id="40" name="GOT- (u\l) d2w2"/>
    <tableColumn id="41" name="GOT-d3w2"/>
    <tableColumn id="42" name="GOT-d4w2"/>
    <tableColumn id="43" name="GOT-d5w2"/>
    <tableColumn id="44" name="GOT- (u\l) d6w2"/>
    <tableColumn id="45" name="GOT-d7w2"/>
    <tableColumn id="46" name="GOT-d1w3"/>
    <tableColumn id="47" name="GOT-d2w3"/>
    <tableColumn id="48" name="GOT- (u\l) d3w3"/>
    <tableColumn id="49" name="GOT-d4w3"/>
    <tableColumn id="50" name="GOT-d5w3"/>
    <tableColumn id="51" name="GOT-d6w3"/>
    <tableColumn id="52" name="GOT-d7w3"/>
    <tableColumn id="53" name="GOT-d1w0m1"/>
    <tableColumn id="54" name="GOT- (u\l) d2w0m1"/>
    <tableColumn id="55" name="GOT-d3w0m1"/>
    <tableColumn id="56" name="GOT-d4w0m1"/>
    <tableColumn id="57" name="GOT-d5w0m1"/>
    <tableColumn id="58" name="GOT-d6w0m1"/>
    <tableColumn id="59" name="GOT-d7w0m1"/>
    <tableColumn id="60" name="GOT-d2w1m1"/>
    <tableColumn id="61" name="GOT-d3w1m1"/>
    <tableColumn id="62" name="GOT-d5w1m1"/>
    <tableColumn id="63" name="GOT-d7w1m1"/>
    <tableColumn id="64" name="GOT-d1w2m1"/>
    <tableColumn id="65" name="GOT-d3w2m1"/>
    <tableColumn id="66" name="GOT-d4w2m1"/>
    <tableColumn id="67" name="GOT-d5w2m1"/>
    <tableColumn id="68" name="GOT-d7w2m1"/>
    <tableColumn id="69" name="GOT-d2w3m1"/>
    <tableColumn id="70" name="GOT-d3w3m1"/>
    <tableColumn id="71" name="GOT-d4w3m1"/>
    <tableColumn id="72" name="GOT-d5w3m1"/>
    <tableColumn id="73" name="GOT-d7w3m1"/>
    <tableColumn id="74" name="GOT-d1w0m2"/>
    <tableColumn id="75" name="GOT-d2w0m2"/>
    <tableColumn id="76" name="GOT-d6w0m2"/>
    <tableColumn id="77" name="GOT- (u\l) d7w0m2"/>
    <tableColumn id="78" name="GOT-d3w1m2"/>
    <tableColumn id="79" name="GOT-d4w1m2"/>
    <tableColumn id="80" name="GOT-d7w1m2"/>
    <tableColumn id="81" name="GOT-d4w2m2"/>
    <tableColumn id="82" name="GOT-d5w2m2"/>
    <tableColumn id="83" name="GOT- (u\l) d3w3m2"/>
    <tableColumn id="84" name="GOT-d7w3m2"/>
    <tableColumn id="85" name="GOT-d2w0m3"/>
    <tableColumn id="86" name="GOT-d6w0m3"/>
    <tableColumn id="87" name="GOT- (u\l) d2w1m3"/>
    <tableColumn id="88" name="GOT- (u\l) d6w1m3"/>
    <tableColumn id="89" name="GOT- (u\l) d3w2m3"/>
    <tableColumn id="90" name="GOT- (u\l) d6w2m3"/>
    <tableColumn id="91" name="GOT- (u\l) d7w1m5"/>
  </tableColumns>
  <tableStyleInfo showFirstColumn="0" showLastColumn="0" showRowStripes="1" showColumnStripes="0"/>
</table>
</file>

<file path=xl/tables/table14.xml><?xml version="1.0" encoding="utf-8"?>
<table xmlns="http://schemas.openxmlformats.org/spreadsheetml/2006/main" id="14" name="GOT" displayName="GOT" ref="A1:E162" tableType="queryTable" totalsRowShown="0">
  <autoFilter ref="A1:E162"/>
  <tableColumns count="5">
    <tableColumn id="5" uniqueName="5" name="BfArM Nummer" queryTableFieldId="1"/>
    <tableColumn id="2" uniqueName="2" name="GOT" queryTableFieldId="2" dataDxfId="266"/>
    <tableColumn id="3" uniqueName="3" name="Day of Observations" queryTableFieldId="3"/>
    <tableColumn id="4" uniqueName="4" name="Total Number of Observations" queryTableFieldId="4"/>
    <tableColumn id="1" uniqueName="1" name="Treatment" queryTableFieldId="5"/>
  </tableColumns>
  <tableStyleInfo name="TableStyleMedium7" showFirstColumn="0" showLastColumn="0" showRowStripes="1" showColumnStripes="0"/>
</table>
</file>

<file path=xl/tables/table15.xml><?xml version="1.0" encoding="utf-8"?>
<table xmlns="http://schemas.openxmlformats.org/spreadsheetml/2006/main" id="15" name="Tabelle15" displayName="Tabelle15" ref="A1:CT1048576" totalsRowShown="0" headerRowDxfId="265" headerRowBorderDxfId="264" tableBorderDxfId="263">
  <autoFilter ref="A1:CT1048576"/>
  <tableColumns count="98">
    <tableColumn id="1" name="BfArM Nummer" dataDxfId="262"/>
    <tableColumn id="98" name="Treatment" dataDxfId="261"/>
    <tableColumn id="2" name="GPT-275 Tage vor Krankheitsbeginn (u\l)"/>
    <tableColumn id="3" name="GPT-114 Tage vor Krankheitsbeginn (u\l)"/>
    <tableColumn id="4" name="GPT-107 Tage vor Krankheitsbeginn (u\l)"/>
    <tableColumn id="5" name="GPT-105 Tage vor Krankheitsbeginn (u\l)"/>
    <tableColumn id="6" name="GPT-55 Tage vor Krankheitsbeginn"/>
    <tableColumn id="7" name="GPT-54 Tage vor Krankheitsbeginn"/>
    <tableColumn id="8" name="GPT-37 Tage vor Krankheitsbeginn"/>
    <tableColumn id="9" name="GPT-36 Tage vor Krankheitsbeginn"/>
    <tableColumn id="10" name="GPT-30 Tage vor Krankheitsbeginn"/>
    <tableColumn id="11" name="GPT-28 Tage vor Krankheitsbeginn"/>
    <tableColumn id="12" name="GPT-22 Tage vor Krankheitsbeginn"/>
    <tableColumn id="13" name="GPT-20 Tage vor Krankheitsbeginn"/>
    <tableColumn id="14" name="GPT-18 Tage vor Krankheitsbeginn (u\l)"/>
    <tableColumn id="15" name="GPT-13 Tage vor Krankheitsbeginn"/>
    <tableColumn id="16" name="GPT-12 Tage vor Krankheitsbeginn"/>
    <tableColumn id="17" name="GPT-11 Tage vor Krankheitsbeginn"/>
    <tableColumn id="18" name="GPT-9 Tage vor Krankheitsbeginn"/>
    <tableColumn id="19" name="GPT-8 Tage vor Krankheitsbeginn"/>
    <tableColumn id="20" name="GPT-7 Tage vor Krankheitsbeginn"/>
    <tableColumn id="21" name="GPT-6 Tage vor Krankheitsbeginn"/>
    <tableColumn id="22" name="GPT-5 Tage vor Krankheitsbeginn"/>
    <tableColumn id="23" name="GPT-4 Tage vor Krankheitsbeginn"/>
    <tableColumn id="24" name="GPT-3 Tage vor Krankheitsbeginn (u\l)"/>
    <tableColumn id="25" name="GPT-2 Tage vor Krankheitsbeginn"/>
    <tableColumn id="26" name="GPT-1 Tag vor Krankheitsbeginn"/>
    <tableColumn id="27" name="GPT-Datum unbekannt"/>
    <tableColumn id="28" name="GPT (ALT, ALAT, Alanin-Aminotransferase)-d1 (u\l)"/>
    <tableColumn id="29" name="GPT-d2"/>
    <tableColumn id="30" name="GPT-d3"/>
    <tableColumn id="31" name="GPT- (u\l) d4"/>
    <tableColumn id="32" name="GPT- d5"/>
    <tableColumn id="33" name="GPT-d6"/>
    <tableColumn id="34" name="GPT- (u\l) d7"/>
    <tableColumn id="35" name="GPT-d1w1"/>
    <tableColumn id="36" name="GPT-d2w1"/>
    <tableColumn id="37" name="GPT- (u\l) d3w1"/>
    <tableColumn id="38" name="GPT-d4w1"/>
    <tableColumn id="39" name="GPT-d5w1"/>
    <tableColumn id="40" name="GPT- (u\l) d6w1"/>
    <tableColumn id="41" name="GPT-d7w1"/>
    <tableColumn id="42" name="GPT-d1w2"/>
    <tableColumn id="43" name="GPT-d2w2"/>
    <tableColumn id="44" name="GPT- (u\l) d3w2"/>
    <tableColumn id="45" name="GPT-d4w2"/>
    <tableColumn id="46" name="GPT-d5w2"/>
    <tableColumn id="47" name="GPT-d6w2"/>
    <tableColumn id="48" name="GPT- (u\l) d7w2"/>
    <tableColumn id="49" name="GPT-d1w3"/>
    <tableColumn id="50" name="GPT-d2w3"/>
    <tableColumn id="51" name="GPT-d3w3"/>
    <tableColumn id="52" name="GPT-d4w3"/>
    <tableColumn id="53" name="GPT- (u\l) d5w3"/>
    <tableColumn id="54" name="GPT-d6w3"/>
    <tableColumn id="55" name="GPT-d7w3"/>
    <tableColumn id="56" name="GPT-d1w0m1"/>
    <tableColumn id="57" name="GPT- (u\l) d3w0m1"/>
    <tableColumn id="58" name="GPT- (u\l) d4w0m1"/>
    <tableColumn id="59" name="GPT-d5w0m1"/>
    <tableColumn id="60" name="GPT-d6w0m1"/>
    <tableColumn id="61" name="GPT-d7w0m1"/>
    <tableColumn id="62" name="GPT-d1w1m1"/>
    <tableColumn id="63" name="GPT-d2w1m1"/>
    <tableColumn id="64" name="GPT-d3w1m1"/>
    <tableColumn id="65" name="GPT-d5w1m1"/>
    <tableColumn id="66" name="GPT-d6w1m1"/>
    <tableColumn id="67" name="GPT- (u\l) d7w1m1"/>
    <tableColumn id="68" name="GPT- (u\l) d2w2m1"/>
    <tableColumn id="69" name="GPT- (u\l) d3w2m1"/>
    <tableColumn id="70" name="GPT- (u\l) d4w2m1"/>
    <tableColumn id="71" name="GPT- (u\l) d5w2m1"/>
    <tableColumn id="72" name="GPT- (u\l) d7w2m1"/>
    <tableColumn id="73" name="GPT- (u\l) d2w3m1"/>
    <tableColumn id="74" name="GPT- (u\l) d3w3m1"/>
    <tableColumn id="75" name="GPT- (u\l) d4w3m1"/>
    <tableColumn id="76" name="GPT- (u\l) d5w3m1"/>
    <tableColumn id="77" name="GPT- (u\l) d7w3m1"/>
    <tableColumn id="78" name="GPT-d1w0m2"/>
    <tableColumn id="79" name="GPT-d2w0m2"/>
    <tableColumn id="80" name="GPT-d6w0m2"/>
    <tableColumn id="81" name="GPT-d7w0m2"/>
    <tableColumn id="82" name="GPT-d1w1m2"/>
    <tableColumn id="83" name="GPT-d3w1m2"/>
    <tableColumn id="84" name="GPT-d4w1m2"/>
    <tableColumn id="85" name="GPT-d7w1m2"/>
    <tableColumn id="86" name="GPT-d4w2m2"/>
    <tableColumn id="87" name="GPT-d5w2m2"/>
    <tableColumn id="88" name="GPT- (u\l) d3w3m2"/>
    <tableColumn id="89" name="GPT-d7w3m2"/>
    <tableColumn id="90" name="GPT-d2w0m3"/>
    <tableColumn id="91" name="GPT-d6w0m3"/>
    <tableColumn id="92" name="GPT- (u\l) d2w1m3"/>
    <tableColumn id="93" name="GPT- (u\l) d6w1m3"/>
    <tableColumn id="94" name="GPT- (u\l) d3w2m3"/>
    <tableColumn id="95" name="GPT- (u\l) d6w2m3"/>
    <tableColumn id="96" name="GPT- (u\l) d7w1m5"/>
    <tableColumn id="97" name="GPT- (u\l) d4w2m5"/>
  </tableColumns>
  <tableStyleInfo showFirstColumn="0" showLastColumn="0" showRowStripes="1" showColumnStripes="0"/>
</table>
</file>

<file path=xl/tables/table16.xml><?xml version="1.0" encoding="utf-8"?>
<table xmlns="http://schemas.openxmlformats.org/spreadsheetml/2006/main" id="16" name="Tabelle15_2" displayName="Tabelle15_2" ref="A1:E167" tableType="queryTable" totalsRowShown="0">
  <autoFilter ref="A1:E167"/>
  <tableColumns count="5">
    <tableColumn id="5" uniqueName="5" name="BfArM Nummer" queryTableFieldId="1" dataDxfId="260"/>
    <tableColumn id="2" uniqueName="2" name="GPT" queryTableFieldId="2" dataDxfId="259"/>
    <tableColumn id="3" uniqueName="3" name="Day of Observations" queryTableFieldId="3" dataDxfId="258"/>
    <tableColumn id="4" uniqueName="4" name="Total Number of Observations" queryTableFieldId="4" dataDxfId="257"/>
    <tableColumn id="1" uniqueName="1" name="Treatment" queryTableFieldId="5" dataDxfId="256"/>
  </tableColumns>
  <tableStyleInfo name="TableStyleMedium7" showFirstColumn="0" showLastColumn="0" showRowStripes="1" showColumnStripes="0"/>
</table>
</file>

<file path=xl/tables/table17.xml><?xml version="1.0" encoding="utf-8"?>
<table xmlns="http://schemas.openxmlformats.org/spreadsheetml/2006/main" id="18" name="Tabelle18" displayName="Tabelle18" ref="A1:CD1048576" totalsRowShown="0" headerRowDxfId="255" headerRowBorderDxfId="254" tableBorderDxfId="253">
  <autoFilter ref="A1:CD1048576"/>
  <tableColumns count="82">
    <tableColumn id="1" name="BfArM Nummer" dataDxfId="252"/>
    <tableColumn id="82" name="Treatment" dataDxfId="251"/>
    <tableColumn id="2" name="GGT-275 Tage vor Krankheitsbeginn (u\l)"/>
    <tableColumn id="3" name="GGT-114 Tage vor Krankheitsbeginn (u\l)"/>
    <tableColumn id="4" name="GGT-105 Tage vor Krankheitsbeginn (u\l)"/>
    <tableColumn id="5" name="GGT-67 Tage vor Krankheitsbeginn"/>
    <tableColumn id="6" name="GGT-55 Tage vor Krankheitsbeginn"/>
    <tableColumn id="7" name="GGT-37 Tage vor Krankheitsbeginn"/>
    <tableColumn id="8" name="GGT-36 Tage vor Krankheitsbeginn"/>
    <tableColumn id="9" name="GGT-22 Tage vor Krankheitsbeginn (u\l)"/>
    <tableColumn id="10" name="GGT-20 Tage vor Krankheitsbeginn"/>
    <tableColumn id="11" name="GGT-18 Tage vor Krankheitsbeginn"/>
    <tableColumn id="12" name="GGT-12 Tage vor Krankheitsbeginn"/>
    <tableColumn id="13" name="GGT-11 Tage vor Krankheitsbeginn"/>
    <tableColumn id="14" name="GGT-9 Tage vor Krankheitsbeginn"/>
    <tableColumn id="15" name="GGT-8 Tage vor Krankheitsbeginn (u\l)"/>
    <tableColumn id="16" name="GGT-7 Tage vor Krankheitsbeginn"/>
    <tableColumn id="17" name="GGT-6 Tage vor Krankheitsbeginn"/>
    <tableColumn id="18" name="GGT-5 Tage vor Krankheitsbeginn"/>
    <tableColumn id="19" name="GGT-4 Tage vor Krankheitsbeginn"/>
    <tableColumn id="20" name="GGT-3 Tage vor Krankheitsbeginn"/>
    <tableColumn id="21" name="GGT-2 Tage vor Krankheitsbeginn (u\l)"/>
    <tableColumn id="22" name="GGT-1 Tag vor Krankheitsbeginn"/>
    <tableColumn id="23" name="GGT-Datum unbekannt (u\l)"/>
    <tableColumn id="24" name="GGT-d1 (u\l)"/>
    <tableColumn id="25" name="GGT-d2"/>
    <tableColumn id="26" name="GGT-d3"/>
    <tableColumn id="27" name="GGT-d4"/>
    <tableColumn id="28" name="GGT- (u\l) d5"/>
    <tableColumn id="29" name="GGT-d6"/>
    <tableColumn id="30" name="GGT-d7"/>
    <tableColumn id="31" name="GGT- (u\l) d1w1"/>
    <tableColumn id="32" name="GGT-d2w1"/>
    <tableColumn id="33" name="GGT-d3w1"/>
    <tableColumn id="34" name="GGT-d4w1"/>
    <tableColumn id="35" name="GGT- (u\l) d5w1"/>
    <tableColumn id="36" name="GGT-d6w1"/>
    <tableColumn id="37" name="GGT-d7w1"/>
    <tableColumn id="38" name="GGT-d1w2"/>
    <tableColumn id="39" name="GGT- (u\l) d2w2"/>
    <tableColumn id="40" name="GGT-d3w2"/>
    <tableColumn id="41" name="GGT-d4w2"/>
    <tableColumn id="42" name="GGT-d5w2"/>
    <tableColumn id="43" name="GGT- (u\l) d6w2"/>
    <tableColumn id="44" name="GGT-d7w2"/>
    <tableColumn id="45" name="GGT-d1w3"/>
    <tableColumn id="46" name="GGT-d2w3"/>
    <tableColumn id="47" name="GGT-d3w3"/>
    <tableColumn id="48" name="GGT- (u\l) d5w3"/>
    <tableColumn id="49" name="GGT-d7w3"/>
    <tableColumn id="50" name="GGT-d1w0m1"/>
    <tableColumn id="51" name="GGT-d2w0m1"/>
    <tableColumn id="52" name="GGT- (u\l) d3w0m1"/>
    <tableColumn id="53" name="GGT- (u\l) d4w0m1"/>
    <tableColumn id="54" name="GGT-d5w0m1"/>
    <tableColumn id="55" name="GGT-d6w0m1"/>
    <tableColumn id="56" name="GGT-d7w0m1"/>
    <tableColumn id="57" name="GGT-d3w1m1"/>
    <tableColumn id="58" name="GGT-d6w1m1"/>
    <tableColumn id="59" name="GGT-d7w1m1"/>
    <tableColumn id="60" name="GGT- (u\l) d2w2m1"/>
    <tableColumn id="61" name="GGT- (u\l) d3w2m1"/>
    <tableColumn id="62" name="GGT- (u\l) d4w2m1"/>
    <tableColumn id="63" name="GGT- (u\l) d5w2m1"/>
    <tableColumn id="64" name="GGT- (u\l) d7w2m1"/>
    <tableColumn id="65" name="GGT- (u\l) d4w3m1"/>
    <tableColumn id="66" name="GGT- (u\l) d5w3m1"/>
    <tableColumn id="67" name="GGT- (u\l) d7w3m1"/>
    <tableColumn id="68" name="GGT-d1w0m2"/>
    <tableColumn id="69" name="GGT-d2w0m2"/>
    <tableColumn id="70" name="GGT-d6w0m2"/>
    <tableColumn id="71" name="GGT-d7w0m2"/>
    <tableColumn id="72" name="GGT-d3w1m2"/>
    <tableColumn id="73" name="GGT-d4w1m2"/>
    <tableColumn id="74" name="GGT-d4w2m2"/>
    <tableColumn id="75" name="GGT-d5w2m2"/>
    <tableColumn id="76" name="GGT- (u\l) d3w3m2"/>
    <tableColumn id="77" name="GGT-d7w3m2"/>
    <tableColumn id="78" name="GGT-d2w0m3"/>
    <tableColumn id="79" name="GGT- (u\l) d2w1m3"/>
    <tableColumn id="80" name="GGT- (u\l) d6w1m3"/>
    <tableColumn id="81" name="GGT- (u\l) d6w2m3"/>
  </tableColumns>
  <tableStyleInfo showFirstColumn="0" showLastColumn="0" showRowStripes="1" showColumnStripes="0"/>
</table>
</file>

<file path=xl/tables/table18.xml><?xml version="1.0" encoding="utf-8"?>
<table xmlns="http://schemas.openxmlformats.org/spreadsheetml/2006/main" id="19" name="GGT" displayName="GGT" ref="A1:E134" tableType="queryTable" totalsRowShown="0">
  <autoFilter ref="A1:E134"/>
  <tableColumns count="5">
    <tableColumn id="5" uniqueName="5" name="BfArM Nummer" queryTableFieldId="1" dataDxfId="250"/>
    <tableColumn id="2" uniqueName="2" name="GGT" queryTableFieldId="2" dataDxfId="249"/>
    <tableColumn id="3" uniqueName="3" name="Day of Observations" queryTableFieldId="3" dataDxfId="248"/>
    <tableColumn id="4" uniqueName="4" name="Total Number of Observations" queryTableFieldId="4" dataDxfId="247"/>
    <tableColumn id="1" uniqueName="1" name="Treatment" queryTableFieldId="5" dataDxfId="246"/>
  </tableColumns>
  <tableStyleInfo showFirstColumn="0" showLastColumn="0" showRowStripes="1" showColumnStripes="0"/>
</table>
</file>

<file path=xl/tables/table19.xml><?xml version="1.0" encoding="utf-8"?>
<table xmlns="http://schemas.openxmlformats.org/spreadsheetml/2006/main" id="20" name="Tabelle20" displayName="Tabelle20" ref="A1:AM239" totalsRowShown="0" headerRowDxfId="245" headerRowBorderDxfId="244" tableBorderDxfId="243">
  <autoFilter ref="A1:AM239"/>
  <tableColumns count="39">
    <tableColumn id="1" name="BfArM Nummer" dataDxfId="242"/>
    <tableColumn id="2" name="LDH-64 Tage vor Krankheitsbeginn (u\l)"/>
    <tableColumn id="3" name="LDH-13 Tage vor Krankheitsbeginn (u\l)"/>
    <tableColumn id="4" name="LDH-12 Tage vor Krankheitsbeginn (u\l)"/>
    <tableColumn id="5" name="LDH-11 Tage vor Krankheitsbeginn (u\l)"/>
    <tableColumn id="6" name="LDH-7 Tage vor Krankheitsbeginn"/>
    <tableColumn id="7" name="LDH-6 Tage vor Krankheitsbeginn"/>
    <tableColumn id="8" name="LDH-5 Tage vor Krankheitsbeginn"/>
    <tableColumn id="9" name="LDH-4 Tage vor Krankheitsbeginn"/>
    <tableColumn id="10" name="LDH-3 Tage vor Krankheitsbeginn (u\l)"/>
    <tableColumn id="11" name="LDH-2 Tage vor Krankheitsbeginn"/>
    <tableColumn id="12" name="LDH-1 Tag vor Krankheitsbeginn"/>
    <tableColumn id="13" name="LDH-Datum unbekannt (u\l)"/>
    <tableColumn id="14" name="LDH-d1 (u\l)"/>
    <tableColumn id="15" name="LDH-d2"/>
    <tableColumn id="16" name="LDH-d3"/>
    <tableColumn id="17" name="LDH-d4"/>
    <tableColumn id="18" name="LDH- (u\l) d5"/>
    <tableColumn id="19" name="LDH-d6"/>
    <tableColumn id="20" name="LDH-d7"/>
    <tableColumn id="21" name="LDH- (u\l) d1w1 "/>
    <tableColumn id="22" name="LDH-d2w1 "/>
    <tableColumn id="23" name="LDH-d3w1"/>
    <tableColumn id="24" name="LDH- (u\l) d4w1"/>
    <tableColumn id="25" name="LDH-d5w1"/>
    <tableColumn id="26" name="LDH-d6w1"/>
    <tableColumn id="27" name="LDH-d1w2"/>
    <tableColumn id="28" name="LDH- (u\l) d2w2"/>
    <tableColumn id="29" name="LDH-d3w2"/>
    <tableColumn id="30" name="LDH-d4w2"/>
    <tableColumn id="31" name="LDH- (u\l) d1w3"/>
    <tableColumn id="32" name="LDH-d3w3"/>
    <tableColumn id="33" name="LDH-d7w3"/>
    <tableColumn id="34" name="LDH- (u\l) d1w0m1"/>
    <tableColumn id="35" name="LDH-d3w0m1"/>
    <tableColumn id="36" name="LDH- (u\l) d6w0m1"/>
    <tableColumn id="37" name="LDH- (u\l) d4w3m1"/>
    <tableColumn id="38" name="LDH- (u\l) d5w3m1"/>
    <tableColumn id="39" name="LDH- (u\l) d3w1m2"/>
  </tableColumns>
  <tableStyleInfo showFirstColumn="0" showLastColumn="0" showRowStripes="1" showColumnStripes="0"/>
</table>
</file>

<file path=xl/tables/table20.xml><?xml version="1.0" encoding="utf-8"?>
<table xmlns="http://schemas.openxmlformats.org/spreadsheetml/2006/main" id="21" name="LDH" displayName="LDH" ref="A1:D70" tableType="queryTable" totalsRowShown="0">
  <autoFilter ref="A1:D70"/>
  <tableColumns count="4">
    <tableColumn id="5" uniqueName="5" name="BfArM Nummer" queryTableFieldId="1"/>
    <tableColumn id="2" uniqueName="2" name="LDH" queryTableFieldId="2" dataDxfId="241"/>
    <tableColumn id="3" uniqueName="3" name="Day of Observations" queryTableFieldId="3"/>
    <tableColumn id="4" uniqueName="4" name="Total Number of Observations" queryTableFieldId="4"/>
  </tableColumns>
  <tableStyleInfo name="TableStyleMedium7" showFirstColumn="0" showLastColumn="0" showRowStripes="1" showColumnStripes="0"/>
</table>
</file>

<file path=xl/tables/table21.xml><?xml version="1.0" encoding="utf-8"?>
<table xmlns="http://schemas.openxmlformats.org/spreadsheetml/2006/main" id="22" name="Tabelle22" displayName="Tabelle22" ref="A1:AD239" totalsRowShown="0" headerRowDxfId="240" headerRowBorderDxfId="239" tableBorderDxfId="238">
  <autoFilter ref="A1:AD239"/>
  <tableColumns count="30">
    <tableColumn id="1" name="BfArM Nummer" dataDxfId="237"/>
    <tableColumn id="2" name="Lymphozyten-36 Tage vor Krankheitsbeginn (%)"/>
    <tableColumn id="3" name="Lymphozyten-22 Tage vor Krankheitsbeginn"/>
    <tableColumn id="4" name="Lymphozyten-20 Tage vor Krankheitsbeginn"/>
    <tableColumn id="5" name="Lymphozyten-12 Tage vor Krankheitsbeginn"/>
    <tableColumn id="6" name="Lymphozyten-11 Tage vor Krankheitsbeginn"/>
    <tableColumn id="7" name="Lymphozyten-7 Tage vor Krankheitsbeginn (%)"/>
    <tableColumn id="8" name="Lymphozyten-6 Tage vor Krankheitsbeginn (%)"/>
    <tableColumn id="9" name="Lymphozyten-4 Tage vor Krankheitsbeginn (%)"/>
    <tableColumn id="10" name="Lymphozyten-Datum unbekannt (%)"/>
    <tableColumn id="11" name="Lymphozyten-d1 (%)"/>
    <tableColumn id="12" name="Lymphozyten-d2"/>
    <tableColumn id="13" name="Lymphozyten-d3"/>
    <tableColumn id="14" name="Lymphozyten-d4"/>
    <tableColumn id="15" name="Lymphozyten- (%) d5"/>
    <tableColumn id="16" name="Lymphozyten-d6"/>
    <tableColumn id="17" name="Lymphozyten-d1w1"/>
    <tableColumn id="18" name="Lymphozyten-d2w1"/>
    <tableColumn id="19" name="Lymphozyten- (%) d4w1"/>
    <tableColumn id="20" name="Lymphozyten-d6w1"/>
    <tableColumn id="21" name="Lymphozyten-d7w1"/>
    <tableColumn id="22" name="Lymphozyten-d1w2"/>
    <tableColumn id="23" name="Lymphozyten- (%) d2w4"/>
    <tableColumn id="24" name="Lymphozyten-d1w0m1"/>
    <tableColumn id="25" name="Lymphozyten-d3w0m1"/>
    <tableColumn id="26" name="Lymphozyten-d2w2m1"/>
    <tableColumn id="27" name="Lymphozyten- (%) d6w0m2"/>
    <tableColumn id="28" name="Lymphozyten-d7w0m2"/>
    <tableColumn id="29" name="Lymphozyten- (%) d3w3m2"/>
    <tableColumn id="30" name="Lymphozyten-d4w3m2"/>
  </tableColumns>
  <tableStyleInfo showFirstColumn="0" showLastColumn="0" showRowStripes="1" showColumnStripes="0"/>
</table>
</file>

<file path=xl/tables/table22.xml><?xml version="1.0" encoding="utf-8"?>
<table xmlns="http://schemas.openxmlformats.org/spreadsheetml/2006/main" id="23" name="Lymphozyten" displayName="Lymphozyten" ref="A1:D40" tableType="queryTable" totalsRowShown="0">
  <autoFilter ref="A1:D40"/>
  <tableColumns count="4">
    <tableColumn id="5" uniqueName="5" name="BfArM Nummer" queryTableFieldId="1" dataDxfId="236"/>
    <tableColumn id="2" uniqueName="2" name="Lymphozyten" queryTableFieldId="2" dataDxfId="235"/>
    <tableColumn id="3" uniqueName="3" name="Day of Observations" queryTableFieldId="3" dataDxfId="234"/>
    <tableColumn id="4" uniqueName="4" name="Total Number of Observations" queryTableFieldId="4" dataDxfId="233"/>
  </tableColumns>
  <tableStyleInfo name="TableStyleMedium7" showFirstColumn="0" showLastColumn="0" showRowStripes="1" showColumnStripes="0"/>
</table>
</file>

<file path=xl/tables/table23.xml><?xml version="1.0" encoding="utf-8"?>
<table xmlns="http://schemas.openxmlformats.org/spreadsheetml/2006/main" id="24" name="Tabelle24" displayName="Tabelle24" ref="A1:BA239" totalsRowShown="0" headerRowDxfId="232" headerRowBorderDxfId="231" tableBorderDxfId="230">
  <autoFilter ref="A1:BA239"/>
  <tableColumns count="53">
    <tableColumn id="1" name="BfArM Nummer" dataDxfId="229"/>
    <tableColumn id="2" name="Hb-72Tage vor Krankheitsbeginn"/>
    <tableColumn id="3" name="Hb-64 Tage vor Krankheitsbeginn [g/dl]"/>
    <tableColumn id="4" name="Hb-56 Tage vor Krankheitsbeginn [g/dl]"/>
    <tableColumn id="5" name="Hb-43 Tage vor Krankheitsbeginn"/>
    <tableColumn id="6" name="Hb-38 Tage vor Krankheitsbeginn"/>
    <tableColumn id="7" name="Hb-36 Tage vor Krankheitsbeginn [g/dl]"/>
    <tableColumn id="8" name="Hb-26 Tage vor Krankheitsbeginn"/>
    <tableColumn id="9" name="Hb-22 Tage vor Krankheitsbeginn"/>
    <tableColumn id="10" name="Hb-21 Tage vor Krankheitsbeginn [g/dl]"/>
    <tableColumn id="11" name="Hb-20 Tage vor Krankheitsbeginn"/>
    <tableColumn id="12" name="Hb-14 Tage vor Krankheitsbeginn"/>
    <tableColumn id="13" name="Hb-12 Tage vor Krankheitsbeginn"/>
    <tableColumn id="14" name="Hb-11 Tage vor Krankheitsbeginn"/>
    <tableColumn id="15" name="Hb-8 Tage vor Krankheitsbeginn"/>
    <tableColumn id="16" name="Hb-7 Tage vor Krankheitsbeginn [g/dl]"/>
    <tableColumn id="17" name="Hb-6 Tage vor Krankheitsbeginn"/>
    <tableColumn id="18" name="Hb-5 Tage vor Krankheitsbeginn"/>
    <tableColumn id="19" name="Hb-3 Tage vor Krankheitsbeginn"/>
    <tableColumn id="20" name="Hb-2 Tage vor Krankheitsbeginn"/>
    <tableColumn id="21" name="Hb-1 Tag vor Krankheitsbeginn [g/dl]"/>
    <tableColumn id="22" name="Hb-Datum unbekannt [g/dl]"/>
    <tableColumn id="23" name="Hb (Hämoglobin)-d1 [g/dl]"/>
    <tableColumn id="24" name="Hb-d2 "/>
    <tableColumn id="25" name="Hb-d3"/>
    <tableColumn id="26" name="Hb-d4"/>
    <tableColumn id="27" name="Hb- [g/dl] d5"/>
    <tableColumn id="28" name="Hb-d6"/>
    <tableColumn id="29" name="Hb-d7"/>
    <tableColumn id="30" name="Hb-d1w1"/>
    <tableColumn id="31" name="Hb- [g/dl] d2w1"/>
    <tableColumn id="32" name="Hb-d3w1"/>
    <tableColumn id="33" name="Hb-d4w1"/>
    <tableColumn id="34" name="Hb-d5w1"/>
    <tableColumn id="35" name="Hb- [g/dl] d6w1"/>
    <tableColumn id="36" name="Hb-d7w1"/>
    <tableColumn id="37" name="Hb-d1w2"/>
    <tableColumn id="38" name="Hb-d2w2"/>
    <tableColumn id="39" name="Hb- [g/dl] d3w2"/>
    <tableColumn id="40" name="Hb-d4w2"/>
    <tableColumn id="41" name="Hb-d7w2"/>
    <tableColumn id="42" name="Hb-d1w3"/>
    <tableColumn id="43" name="Hb-d2w3"/>
    <tableColumn id="44" name="Hb- [g/dl] d6w3"/>
    <tableColumn id="45" name="Hb-d1w0m1"/>
    <tableColumn id="46" name="Hb- [g/dl] d4w3m1"/>
    <tableColumn id="47" name="Hb- [g/dl] d6w3m1"/>
    <tableColumn id="48" name="Hb-d6w0m2"/>
    <tableColumn id="49" name="Hb-d7w0m2"/>
    <tableColumn id="50" name="Hb-d3w1m2"/>
    <tableColumn id="51" name="Hb-d7w1m2"/>
    <tableColumn id="52" name="Hb- [g/dl] d4w0m4"/>
    <tableColumn id="53" name="Hb-d1w3m5"/>
  </tableColumns>
  <tableStyleInfo showFirstColumn="0" showLastColumn="0" showRowStripes="1" showColumnStripes="0"/>
</table>
</file>

<file path=xl/tables/table24.xml><?xml version="1.0" encoding="utf-8"?>
<table xmlns="http://schemas.openxmlformats.org/spreadsheetml/2006/main" id="25" name="Tabelle24_2" displayName="Tabelle24_2" ref="A1:D76" tableType="queryTable" totalsRowShown="0">
  <autoFilter ref="A1:D76"/>
  <tableColumns count="4">
    <tableColumn id="5" uniqueName="5" name="BfArM Nummer" queryTableFieldId="1"/>
    <tableColumn id="2" uniqueName="2" name="Hb" queryTableFieldId="2" dataDxfId="228"/>
    <tableColumn id="3" uniqueName="3" name="Day of Observations" queryTableFieldId="3"/>
    <tableColumn id="4" uniqueName="4" name="Total Number of Observations" queryTableFieldId="4"/>
  </tableColumns>
  <tableStyleInfo name="TableStyleMedium7" showFirstColumn="0" showLastColumn="0" showRowStripes="1" showColumnStripes="0"/>
</table>
</file>

<file path=xl/tables/table25.xml><?xml version="1.0" encoding="utf-8"?>
<table xmlns="http://schemas.openxmlformats.org/spreadsheetml/2006/main" id="26" name="Tabelle26" displayName="Tabelle26" ref="A1:CL239" totalsRowShown="0" headerRowDxfId="227" headerRowBorderDxfId="226" tableBorderDxfId="225">
  <autoFilter ref="A1:CL239"/>
  <tableColumns count="90">
    <tableColumn id="1" name="BfArM Nummer" dataDxfId="224"/>
    <tableColumn id="2" name="Bilirubin-Datum unbekannt (mg/dl)"/>
    <tableColumn id="3" name="Bilirubin-7 Tage vor Krankheitsbeginn "/>
    <tableColumn id="4" name="Bilirubin-2 Tage vor Krankheitsbeginn "/>
    <tableColumn id="5" name="Blut-Bilirubin (Gessamtbilirubin)-d1 (mg/dl)"/>
    <tableColumn id="6" name="Bilirubin-d2 "/>
    <tableColumn id="7" name="Bilirubin-d3"/>
    <tableColumn id="8" name="Bilirubin-d4"/>
    <tableColumn id="9" name="Bilirubin- (mg/dl) d5"/>
    <tableColumn id="10" name="Bilirubin-d6"/>
    <tableColumn id="11" name="Bilirubin-d7"/>
    <tableColumn id="12" name="Bilirubin-d1w1"/>
    <tableColumn id="13" name="Bilirubin- (mg/dl) d2w1"/>
    <tableColumn id="14" name="Bilirubin-d3w1"/>
    <tableColumn id="15" name="Bilirubin-d5w1"/>
    <tableColumn id="16" name="Bilirubin-d6w1"/>
    <tableColumn id="17" name="Bilirubin- (mg/dl) d7w1"/>
    <tableColumn id="18" name="Bilirubin-d3w2"/>
    <tableColumn id="19" name="Bilirubin-d4w2"/>
    <tableColumn id="20" name="Bilirubin-d1w3"/>
    <tableColumn id="21" name="Bilirubin- (mg/dl) d6w0m1"/>
    <tableColumn id="22" name="Bilirubin-107 Tage vor Krankheitsbeginn (mg/dl)"/>
    <tableColumn id="23" name="Bilirubin-64 Tage vor Krankheitsbeginn (mg/dl)"/>
    <tableColumn id="24" name="Bilirubin-22 Tage vor Krankheitsbeginn (mg/dl)"/>
    <tableColumn id="25" name="Bilirubin-12 Tage vor Krankheitsbeginn "/>
    <tableColumn id="26" name="Bilirubin-11 Tage vor Krankheitsbeginn "/>
    <tableColumn id="27" name="Bilirubin-8 Tage vor Krankheitsbeginn "/>
    <tableColumn id="28" name="Bilirubin-7 Tage vor Krankheitsbeginn 2"/>
    <tableColumn id="29" name="Bilirubin-6 Tage vor Krankheitsbeginn "/>
    <tableColumn id="30" name="Bilirubin-5 Tage vor Krankheitsbeginn "/>
    <tableColumn id="31" name="Bilirubin-4 Tage vor Krankheitsbeginn "/>
    <tableColumn id="32" name="Bilirubin-3 Tage vor Krankheitsbeginn (mg/dl)"/>
    <tableColumn id="33" name="Bilirubin-2 Tage vor Krankheitsbeginn 3"/>
    <tableColumn id="34" name="Bilirubin-1 Tage vor Krankheitsbeginn "/>
    <tableColumn id="35" name="Bilirubin-Datum unbekannt (mg/dl)4"/>
    <tableColumn id="36" name="Totales-Bilirubin-d1 (mg/dl)"/>
    <tableColumn id="37" name="Blut-Bilirubin-d2 "/>
    <tableColumn id="38" name="Bilirubin-d35"/>
    <tableColumn id="39" name="Bilirubin- (mg/dl) d4"/>
    <tableColumn id="40" name="Bilirubin-d5"/>
    <tableColumn id="41" name="Bilirubin-d66"/>
    <tableColumn id="42" name="Bilirubin-d77"/>
    <tableColumn id="43" name="Bilirubin- (mg/dl) d1w1"/>
    <tableColumn id="44" name="Bilirubin-d2w1"/>
    <tableColumn id="45" name="Bilirubin-d3w18"/>
    <tableColumn id="46" name="Bilirubin-d4w1"/>
    <tableColumn id="47" name="Bilirubin- (mg/dl) d5w1"/>
    <tableColumn id="48" name="Bilirubin-d6w19"/>
    <tableColumn id="49" name="Bilirubin-d7w1"/>
    <tableColumn id="50" name="Bilirubin-d1w2"/>
    <tableColumn id="51" name="Bilirubin- (mg/dl) d2w2"/>
    <tableColumn id="52" name="Bilirubin-d3w210"/>
    <tableColumn id="53" name="Bilirubin-d4w211"/>
    <tableColumn id="54" name="Bilirubin-d5w2"/>
    <tableColumn id="55" name="Bilirubin-d6w2"/>
    <tableColumn id="56" name="Bilirubin- (mg/dl) d7w2"/>
    <tableColumn id="57" name="Bilirubin-d1w312"/>
    <tableColumn id="58" name="Bilirubin-d2w3"/>
    <tableColumn id="59" name="Bilirubin-d3w3"/>
    <tableColumn id="60" name="Bilirubin-d5w3"/>
    <tableColumn id="61" name="Bilirubin- (mg/dl) d7w3"/>
    <tableColumn id="62" name="Bilirubin-d1w0m1"/>
    <tableColumn id="63" name="Bilirubin-d2w0m1"/>
    <tableColumn id="64" name="Bilirubin- (mg/dl) d3w0m1"/>
    <tableColumn id="65" name="Bilirubin-d4w0m1"/>
    <tableColumn id="66" name="Bilirubin-d5w0m1"/>
    <tableColumn id="67" name="Bilirubin-d6w0m1"/>
    <tableColumn id="68" name="Bilirubin-d7w0m1"/>
    <tableColumn id="69" name="Bilirubin-d7w1m1"/>
    <tableColumn id="70" name="Bilirubin-d2w2m1"/>
    <tableColumn id="71" name="Bilirubin-d3w2m1"/>
    <tableColumn id="72" name="Bilirubin-d4w2m1"/>
    <tableColumn id="73" name="Bilirubin-d5w2m1"/>
    <tableColumn id="74" name="Bilirubin-d7w2m1"/>
    <tableColumn id="75" name="Bilirubin-d2w3m1"/>
    <tableColumn id="76" name="Bilirubin-d3w3m1"/>
    <tableColumn id="77" name="Bilirubin-d4w3m1"/>
    <tableColumn id="78" name="Bilirubin-d5w3m1"/>
    <tableColumn id="79" name="Bilirubin-d7w3m1"/>
    <tableColumn id="80" name="Bilirubin-d6w0m2"/>
    <tableColumn id="81" name="Bilirubin-d7w0m2"/>
    <tableColumn id="82" name="Bilirubin-d4w2m2"/>
    <tableColumn id="83" name="Bilirubin-d5w2m2"/>
    <tableColumn id="84" name="Bilirubin- (mg/dl) d3w3m2"/>
    <tableColumn id="85" name="Bilirubin-d2w0m3"/>
    <tableColumn id="86" name="Bilirubin-d6w0m3"/>
    <tableColumn id="87" name="Bilirubin-d6w1m3"/>
    <tableColumn id="88" name="Bilirubin-d7w1m5"/>
    <tableColumn id="89" name="Bilirubin-64 Tage vor Krankheitsbeginn"/>
    <tableColumn id="90" name="Direktes Bilirubin-Datum unbekannt (mg/dl) "/>
  </tableColumns>
  <tableStyleInfo showFirstColumn="0" showLastColumn="0" showRowStripes="1" showColumnStripes="0"/>
</table>
</file>

<file path=xl/tables/table26.xml><?xml version="1.0" encoding="utf-8"?>
<table xmlns="http://schemas.openxmlformats.org/spreadsheetml/2006/main" id="27" name="Bilirubin" displayName="Bilirubin" ref="A1:D39" tableType="queryTable" totalsRowShown="0">
  <autoFilter ref="A1:D39"/>
  <tableColumns count="4">
    <tableColumn id="5" uniqueName="5" name="BfArM Nummer" queryTableFieldId="1" dataDxfId="3"/>
    <tableColumn id="2" uniqueName="2" name="Bilirubin" queryTableFieldId="2" dataDxfId="2"/>
    <tableColumn id="3" uniqueName="3" name="Day of Observations" queryTableFieldId="3" dataDxfId="1"/>
    <tableColumn id="4" uniqueName="4" name="Total Number of Observations" queryTableFieldId="4" dataDxfId="0"/>
  </tableColumns>
  <tableStyleInfo name="TableStyleMedium7" showFirstColumn="0" showLastColumn="0" showRowStripes="1" showColumnStripes="0"/>
</table>
</file>

<file path=xl/tables/table27.xml><?xml version="1.0" encoding="utf-8"?>
<table xmlns="http://schemas.openxmlformats.org/spreadsheetml/2006/main" id="28" name="Tabelle28" displayName="Tabelle28" ref="A1:P239" totalsRowShown="0" headerRowDxfId="223" headerRowBorderDxfId="222" tableBorderDxfId="221">
  <autoFilter ref="A1:P239"/>
  <tableColumns count="16">
    <tableColumn id="1" name="BfArM Nummer"/>
    <tableColumn id="2" name="Gesamteiweiß-11 Tage vor Kranknheitsbeginn"/>
    <tableColumn id="3" name="Gesamteiweiß-2 Tage vor Kranknheitsbeginn"/>
    <tableColumn id="4" name="Gesamteiweiß-Datum unbekannt"/>
    <tableColumn id="5" name="Gesamteiweiß-d1 [g/dl]"/>
    <tableColumn id="6" name="Gesamteiweiß-d2 "/>
    <tableColumn id="7" name="Gesamteiweiß-d4 "/>
    <tableColumn id="8" name="Gesamteiweiß- [g/dl] d5 "/>
    <tableColumn id="9" name="Gesamteiweiß-d6 "/>
    <tableColumn id="10" name="Gesamteiweiß-d2w1"/>
    <tableColumn id="11" name="Gesamteiweiß- [g/dl] d3w1"/>
    <tableColumn id="12" name="Gesamteiweiß-d4w1"/>
    <tableColumn id="13" name="Gesamteiweiß-d5w1"/>
    <tableColumn id="14" name="Gesamteiweiß-d1w2"/>
    <tableColumn id="15" name="Gesamteiweiß-d2w2"/>
    <tableColumn id="16" name="Gesamteiweiß-d3w3"/>
  </tableColumns>
  <tableStyleInfo showFirstColumn="0" showLastColumn="0" showRowStripes="1" showColumnStripes="0"/>
</table>
</file>

<file path=xl/tables/table28.xml><?xml version="1.0" encoding="utf-8"?>
<table xmlns="http://schemas.openxmlformats.org/spreadsheetml/2006/main" id="29" name="Gesamteiweiß" displayName="Gesamteiweiß" ref="A1:D13" tableType="queryTable" totalsRowShown="0">
  <autoFilter ref="A1:D13"/>
  <tableColumns count="4">
    <tableColumn id="5" uniqueName="5" name="BfArM Nummer" queryTableFieldId="1" dataDxfId="220"/>
    <tableColumn id="2" uniqueName="2" name="Gesamteiweiß" queryTableFieldId="2" dataDxfId="219"/>
    <tableColumn id="3" uniqueName="3" name="Day of Observations" queryTableFieldId="3" dataDxfId="218"/>
    <tableColumn id="4" uniqueName="4" name="Total Number of Observations" queryTableFieldId="4" dataDxfId="217"/>
  </tableColumns>
  <tableStyleInfo name="TableStyleMedium7" showFirstColumn="0" showLastColumn="0" showRowStripes="1" showColumnStripes="0"/>
</table>
</file>

<file path=xl/tables/table29.xml><?xml version="1.0" encoding="utf-8"?>
<table xmlns="http://schemas.openxmlformats.org/spreadsheetml/2006/main" id="30" name="Tabelle30" displayName="Tabelle30" ref="A1:BX239" totalsRowShown="0" headerRowDxfId="216" headerRowBorderDxfId="215" tableBorderDxfId="214">
  <autoFilter ref="A1:BX239"/>
  <tableColumns count="76">
    <tableColumn id="1" name="BfArM Nummer"/>
    <tableColumn id="2" name="AP-3 Jahre vor Krankheitsbeginn (u/l)"/>
    <tableColumn id="3" name="AP-107 Tage vor Krankheitsbeginn"/>
    <tableColumn id="4" name="AP-37 Tage vor Krankheitsbeginn"/>
    <tableColumn id="5" name="AP-36 Tage vor Krankheitsbeginn"/>
    <tableColumn id="6" name="AP-30 Tage vor Krankheitsbeginn"/>
    <tableColumn id="7" name="AP-22 Tage vor Krankheitsbeginn"/>
    <tableColumn id="8" name="AP-20 Tage vor Krankheitsbeginn (u/l)"/>
    <tableColumn id="9" name="AP-18 Tage vor Krankheitsbeginn"/>
    <tableColumn id="10" name="AP-14 Tage vor Krankheitsbeginn"/>
    <tableColumn id="11" name="AP-13 Tage vor Krankheitsbeginn"/>
    <tableColumn id="12" name="AP-12 Tage vor Krankheitsbeginn"/>
    <tableColumn id="13" name="AP-11 Tage vor Krankheitsbeginn"/>
    <tableColumn id="14" name="AP-18 Tage vor Krankheitsbeginn2"/>
    <tableColumn id="15" name="AP-7 Tage vor Krankheitsbeginn (u/l)"/>
    <tableColumn id="16" name="AP-6 Tage vor Krankheitsbeginn"/>
    <tableColumn id="17" name="AP-5 Tage vor Krankheitsbeginn"/>
    <tableColumn id="18" name="AP-4 Tage vor Krankheitsbeginn"/>
    <tableColumn id="19" name="AP-3 Tage vor Krankheitsbeginn"/>
    <tableColumn id="20" name="AP-2 Tage vor Krankheitsbeginn"/>
    <tableColumn id="21" name="AP-1 Tag vor Krankheitsbeginn"/>
    <tableColumn id="22" name="AP-Datum unbekannt (u/l)"/>
    <tableColumn id="23" name="AP (alkalische Phosphatase)-d1 (u/l)"/>
    <tableColumn id="24" name="AP-d2"/>
    <tableColumn id="25" name="AP-d3"/>
    <tableColumn id="26" name="Ap-d4"/>
    <tableColumn id="27" name="Ap- (u/l) d5"/>
    <tableColumn id="28" name="Ap-d6"/>
    <tableColumn id="29" name="Ap-d7"/>
    <tableColumn id="30" name="Ap-d1w1"/>
    <tableColumn id="31" name="Ap- (u/l) d2w1"/>
    <tableColumn id="32" name="AP-d3w1"/>
    <tableColumn id="33" name="AP-d4w1"/>
    <tableColumn id="34" name="AP-d5w1"/>
    <tableColumn id="35" name="AP- (u/l) d6w1"/>
    <tableColumn id="36" name="AP-d7w1"/>
    <tableColumn id="37" name="AP-d1w2"/>
    <tableColumn id="38" name="AP-d2w2"/>
    <tableColumn id="39" name="AP- (u/l) d3w2"/>
    <tableColumn id="40" name="AP-d4w2"/>
    <tableColumn id="41" name="AP-d5w2"/>
    <tableColumn id="42" name="AP-d6w2"/>
    <tableColumn id="43" name="AP-d7w2"/>
    <tableColumn id="44" name="AP- (u/l) d1w3"/>
    <tableColumn id="45" name="AP-d2w3"/>
    <tableColumn id="46" name="AP-d3w3"/>
    <tableColumn id="47" name="AP-d4w3"/>
    <tableColumn id="48" name="AP-d5w3"/>
    <tableColumn id="49" name="AP-d7w3"/>
    <tableColumn id="50" name="Ap- (u/l) d1w4"/>
    <tableColumn id="51" name="Ap-d4w4"/>
    <tableColumn id="52" name="Ap-d6w4"/>
    <tableColumn id="53" name="Ap- (u/l) d1w0m1"/>
    <tableColumn id="54" name="Ap-d3w0m1"/>
    <tableColumn id="55" name="Ap-d4w0m1"/>
    <tableColumn id="56" name="Ap-d5w0m1"/>
    <tableColumn id="57" name="Ap-d3w1m1"/>
    <tableColumn id="58" name="Ap-d5w1m1"/>
    <tableColumn id="59" name="Ap-d7w1m1"/>
    <tableColumn id="60" name="Ap-d3w2m1"/>
    <tableColumn id="61" name="Ap-d4w2m1"/>
    <tableColumn id="62" name="Ap-d5w2m1"/>
    <tableColumn id="63" name="Ap-d2w3m1"/>
    <tableColumn id="64" name="Ap-d4w3m1"/>
    <tableColumn id="65" name="Ap-d5w3m1"/>
    <tableColumn id="66" name="Ap-d7w3m1"/>
    <tableColumn id="67" name="Ap-d1w0m2"/>
    <tableColumn id="68" name="Ap-d2w0m2"/>
    <tableColumn id="69" name="Ap-d7w0m2"/>
    <tableColumn id="70" name="Ap-d3w1m2"/>
    <tableColumn id="71" name="Ap-d5w2m2"/>
    <tableColumn id="72" name="Ap- (u/l) d3w3m2"/>
    <tableColumn id="73" name="Ap-d7w3m2"/>
    <tableColumn id="74" name="Ap- (u/l) d2w0m3"/>
    <tableColumn id="75" name="Ap- (u/l) d6w1m3"/>
    <tableColumn id="76" name="Ap- (u/l) d7w1m5"/>
  </tableColumns>
  <tableStyleInfo showFirstColumn="0" showLastColumn="0" showRowStripes="1" showColumnStripes="0"/>
</table>
</file>

<file path=xl/tables/table30.xml><?xml version="1.0" encoding="utf-8"?>
<table xmlns="http://schemas.openxmlformats.org/spreadsheetml/2006/main" id="31" name="Ap" displayName="Ap" ref="A1:D92" tableType="queryTable" totalsRowShown="0">
  <autoFilter ref="A1:D92"/>
  <tableColumns count="4">
    <tableColumn id="5" uniqueName="5" name="BfArM Nummer" queryTableFieldId="1"/>
    <tableColumn id="2" uniqueName="2" name="Ap" queryTableFieldId="2" dataDxfId="213"/>
    <tableColumn id="3" uniqueName="3" name="Day of Observations" queryTableFieldId="3"/>
    <tableColumn id="4" uniqueName="4" name="Total Number of Observations" queryTableFieldId="4"/>
  </tableColumns>
  <tableStyleInfo name="TableStyleMedium7" showFirstColumn="0" showLastColumn="0" showRowStripes="1" showColumnStripes="0"/>
</table>
</file>

<file path=xl/tables/table31.xml><?xml version="1.0" encoding="utf-8"?>
<table xmlns="http://schemas.openxmlformats.org/spreadsheetml/2006/main" id="32" name="Tabelle32" displayName="Tabelle32" ref="A1:V239" totalsRowShown="0" headerRowDxfId="212" headerRowBorderDxfId="211" tableBorderDxfId="210">
  <autoFilter ref="A1:V239"/>
  <tableColumns count="22">
    <tableColumn id="1" name="BfArM Nummer"/>
    <tableColumn id="2" name="Cholinesterase-11 Tage vor Krankheitsbeginn"/>
    <tableColumn id="3" name="Cholinesterase-Datum unbekannt (u/l) "/>
    <tableColumn id="4" name="Cholinesterase (Che)-d1 (u/l)"/>
    <tableColumn id="5" name="Cholinesterase-d2"/>
    <tableColumn id="6" name="Cholinesterase-d3"/>
    <tableColumn id="7" name="Cholinesterase-d4"/>
    <tableColumn id="8" name="Cholinesterase- (u/l) d5"/>
    <tableColumn id="9" name="Cholinesterase-d6"/>
    <tableColumn id="10" name="Cholinesterase-d7"/>
    <tableColumn id="11" name="Cholinesterase-d1w1"/>
    <tableColumn id="12" name="Cholinesterase-d2w1"/>
    <tableColumn id="13" name="Cholinesterase-d3w1"/>
    <tableColumn id="14" name="Cholinesterase-d5w1"/>
    <tableColumn id="15" name="Cholinesterase- (u/l) d1w2"/>
    <tableColumn id="16" name="Cholinesterase- (u/l) d2w2"/>
    <tableColumn id="17" name="Cholinesterase-d7w3"/>
    <tableColumn id="18" name="Cholinesterase-d5w0m1"/>
    <tableColumn id="19" name="Cholinesterase-d5w2m1"/>
    <tableColumn id="20" name="Cholinesterase- (u/l) d6w0m2"/>
    <tableColumn id="21" name="Cholinesterase- (u/l) d5w2m2"/>
    <tableColumn id="22" name="Cholinesterase- (u/l) d6w1m3"/>
  </tableColumns>
  <tableStyleInfo showFirstColumn="0" showLastColumn="0" showRowStripes="1" showColumnStripes="0"/>
</table>
</file>

<file path=xl/tables/table32.xml><?xml version="1.0" encoding="utf-8"?>
<table xmlns="http://schemas.openxmlformats.org/spreadsheetml/2006/main" id="33" name="Cholinesterase" displayName="Cholinesterase" ref="A1:D13" tableType="queryTable" totalsRowShown="0">
  <autoFilter ref="A1:D13"/>
  <tableColumns count="4">
    <tableColumn id="5" uniqueName="5" name="BfArM Nummer" queryTableFieldId="1" dataDxfId="209"/>
    <tableColumn id="2" uniqueName="2" name="Erste Zeichen" queryTableFieldId="2" dataDxfId="208"/>
    <tableColumn id="3" uniqueName="3" name="Day of Observations" queryTableFieldId="3" dataDxfId="207"/>
    <tableColumn id="4" uniqueName="4" name="Total Number of Observations" queryTableFieldId="4" dataDxfId="206"/>
  </tableColumns>
  <tableStyleInfo name="TableStyleMedium7" showFirstColumn="0" showLastColumn="0" showRowStripes="1" showColumnStripes="0"/>
</table>
</file>

<file path=xl/tables/table33.xml><?xml version="1.0" encoding="utf-8"?>
<table xmlns="http://schemas.openxmlformats.org/spreadsheetml/2006/main" id="34" name="Tabelle34" displayName="Tabelle34" ref="A1:AR239" totalsRowShown="0" headerRowDxfId="205" headerRowBorderDxfId="204" tableBorderDxfId="203">
  <autoFilter ref="A1:AR239"/>
  <tableColumns count="44">
    <tableColumn id="1" name="BfArM Nummer"/>
    <tableColumn id="2" name="Kreatinin-64 Tage vor Krankheitsbeginn (mg/dl)"/>
    <tableColumn id="3" name="Kreatinin-36 Tage vor Krankheitsbeginn (mg/dl)"/>
    <tableColumn id="4" name="Kreatinin-20 Tage vor Krankheitsbeginn"/>
    <tableColumn id="5" name="Kreatinin-12 Tage vor Krankheitsbeginn"/>
    <tableColumn id="6" name="Kreatinin-11 Tage vor Krankheitsbeginn"/>
    <tableColumn id="7" name="Kreatinin-8 Tage vor Krankheitsbeginn (mg/dl)"/>
    <tableColumn id="8" name="Kreatinin-7 Tage vor Krankheitsbeginn"/>
    <tableColumn id="9" name="Kreatinin-6 Tage vor Krankheitsbeginn"/>
    <tableColumn id="10" name="Kreatinin-5 Tage vor Krankheitsbeginn"/>
    <tableColumn id="11" name="Kreatinin-4 Tage vor Krankheitsbeginn (mg/dl)"/>
    <tableColumn id="12" name="Kreatinin-3 Tage vor Krankheitsbeginn"/>
    <tableColumn id="13" name="Kreatinin-2 Tage vor Krankheitsbeginn"/>
    <tableColumn id="14" name="Kreatinin-1 Tage vor Krankheitsbeginn"/>
    <tableColumn id="15" name="Kreatinin-Datum unbekannt (mg/dl)"/>
    <tableColumn id="16" name="Kreatinin-d1 (mg/dl)"/>
    <tableColumn id="17" name="Kreatinin-d2"/>
    <tableColumn id="18" name="Kreatinin-d3 "/>
    <tableColumn id="19" name="Kreatinin-d4"/>
    <tableColumn id="20" name="Kreatinin- (mg/dl) d5"/>
    <tableColumn id="21" name="Kreatinin-d6"/>
    <tableColumn id="22" name="Kreatinin-d7"/>
    <tableColumn id="23" name="Kreatinin- (mg/dl) d1w1"/>
    <tableColumn id="24" name="Kreatinin-d2w1"/>
    <tableColumn id="25" name="Kreatinin-d3w1"/>
    <tableColumn id="26" name="Kreatinin-d4w1"/>
    <tableColumn id="27" name="Kreatinin-d5w1"/>
    <tableColumn id="28" name="Kreatinin- (mg/dl) d6w1"/>
    <tableColumn id="29" name="Kreatinin- (mg/dl) d7w1"/>
    <tableColumn id="30" name="Kreatinin-d1w2"/>
    <tableColumn id="31" name="Kreatinin- (mg/dl) d3w2"/>
    <tableColumn id="32" name="Kreatinin-d4w2"/>
    <tableColumn id="33" name="Kreatinin-d7w2"/>
    <tableColumn id="34" name="Kreatinin-d1w3"/>
    <tableColumn id="35" name="Kreatinin-d3w3"/>
    <tableColumn id="36" name="Kreatinin- (mg/dl) d4w3"/>
    <tableColumn id="37" name="Kreatinin-d7w3"/>
    <tableColumn id="38" name="Kreatinin- (mg/dl) d1w0m1"/>
    <tableColumn id="39" name="Kreatinin-d3w0m1"/>
    <tableColumn id="40" name="Kreatinin-d4w0m1"/>
    <tableColumn id="41" name="Kreatinin-d5w0m1"/>
    <tableColumn id="42" name="Kreatinin-d4w3m1"/>
    <tableColumn id="43" name="Kreatinin-d5w2m2"/>
    <tableColumn id="44" name="Kreatinin- (mg/dl) d4w3m2"/>
  </tableColumns>
  <tableStyleInfo showFirstColumn="0" showLastColumn="0" showRowStripes="1" showColumnStripes="0"/>
</table>
</file>

<file path=xl/tables/table34.xml><?xml version="1.0" encoding="utf-8"?>
<table xmlns="http://schemas.openxmlformats.org/spreadsheetml/2006/main" id="35" name="Kreatinin" displayName="Kreatinin" ref="A1:D83" tableType="queryTable" totalsRowShown="0">
  <autoFilter ref="A1:D83"/>
  <tableColumns count="4">
    <tableColumn id="5" uniqueName="5" name="BfArM Nummer" queryTableFieldId="1"/>
    <tableColumn id="2" uniqueName="2" name="Kreatinin" queryTableFieldId="2" dataDxfId="202"/>
    <tableColumn id="3" uniqueName="3" name="Day of Observations" queryTableFieldId="3"/>
    <tableColumn id="4" uniqueName="4" name="Total Number of Observations" queryTableFieldId="4"/>
  </tableColumns>
  <tableStyleInfo name="TableStyleMedium7" showFirstColumn="0" showLastColumn="0" showRowStripes="1" showColumnStripes="0"/>
</table>
</file>

<file path=xl/tables/table35.xml><?xml version="1.0" encoding="utf-8"?>
<table xmlns="http://schemas.openxmlformats.org/spreadsheetml/2006/main" id="36" name="Tabelle36" displayName="Tabelle36" ref="A1:W239" totalsRowShown="0" headerRowDxfId="201" headerRowBorderDxfId="200" tableBorderDxfId="199">
  <autoFilter ref="A1:W239"/>
  <tableColumns count="23">
    <tableColumn id="1" name="BfArM Nummer"/>
    <tableColumn id="2" name="Amylase-3 Tage vor Krankheitsbeginn "/>
    <tableColumn id="3" name="Amylase-2 Tage vor Krankheitsbeginn "/>
    <tableColumn id="4" name="Amylase-1 Tag vor Krankheitsbeginn "/>
    <tableColumn id="5" name="Amylase-Datum unbekannt"/>
    <tableColumn id="6" name="Amylase-d1 (U/L)"/>
    <tableColumn id="7" name="Amylase-d2 "/>
    <tableColumn id="8" name="Amylase-d3"/>
    <tableColumn id="9" name="Amylase-d4"/>
    <tableColumn id="10" name="Amylase- (U/L) d5"/>
    <tableColumn id="11" name="Amylase-d6"/>
    <tableColumn id="12" name="Amylase-d1w1"/>
    <tableColumn id="13" name="Amylase-d2w1"/>
    <tableColumn id="14" name="Amylase- (U/L) d4w1"/>
    <tableColumn id="15" name="Amylase-d5w1"/>
    <tableColumn id="16" name="Amylase-d7w1"/>
    <tableColumn id="17" name="Amylase-d1w2"/>
    <tableColumn id="18" name="Amylase- (U/L) d2w2"/>
    <tableColumn id="19" name="Amylase-d7w2"/>
    <tableColumn id="20" name="Amylase-d1w0m1"/>
    <tableColumn id="21" name="Amylase-d5w0m1"/>
    <tableColumn id="22" name="Amylase-d7w0m2"/>
    <tableColumn id="23" name="Amylase- (U/L) d3w3m2"/>
  </tableColumns>
  <tableStyleInfo showFirstColumn="0" showLastColumn="0" showRowStripes="1" showColumnStripes="0"/>
</table>
</file>

<file path=xl/tables/table36.xml><?xml version="1.0" encoding="utf-8"?>
<table xmlns="http://schemas.openxmlformats.org/spreadsheetml/2006/main" id="37" name="Amylase" displayName="Amylase" ref="A1:D20" tableType="queryTable" totalsRowShown="0">
  <autoFilter ref="A1:D20"/>
  <tableColumns count="4">
    <tableColumn id="5" uniqueName="5" name="BfArM Nummer" queryTableFieldId="1" dataDxfId="198"/>
    <tableColumn id="2" uniqueName="2" name="Amylase" queryTableFieldId="2" dataDxfId="197"/>
    <tableColumn id="3" uniqueName="3" name="Day of Observations" queryTableFieldId="3" dataDxfId="196"/>
    <tableColumn id="4" uniqueName="4" name="Total Number of Observations" queryTableFieldId="4" dataDxfId="195"/>
  </tableColumns>
  <tableStyleInfo name="TableStyleMedium7" showFirstColumn="0" showLastColumn="0" showRowStripes="1" showColumnStripes="0"/>
</table>
</file>

<file path=xl/tables/table37.xml><?xml version="1.0" encoding="utf-8"?>
<table xmlns="http://schemas.openxmlformats.org/spreadsheetml/2006/main" id="38" name="Tabelle38" displayName="Tabelle38" ref="A1:AH239" totalsRowShown="0" headerRowDxfId="194" headerRowBorderDxfId="193" tableBorderDxfId="192">
  <autoFilter ref="A1:AH239"/>
  <tableColumns count="34">
    <tableColumn id="1" name="BfArM Nummer"/>
    <tableColumn id="2" name="Lipase-d7 Tage vor Krankheitsbeginn (U/L) "/>
    <tableColumn id="3" name="Lipase-6 Tage vor Krankheitsbeginn "/>
    <tableColumn id="4" name="Lipase-3 Tage vor Krankheitsbeginn "/>
    <tableColumn id="5" name="Lipase-2 Tage vor Krankheitsbeginn "/>
    <tableColumn id="6" name="Lipase-1 Tag vor Krankheitsbeginn "/>
    <tableColumn id="7" name="Lipase-Datum unbekannt (U/L)"/>
    <tableColumn id="8" name="Lipase-d1  (U/L)"/>
    <tableColumn id="9" name="Lipase-d2 "/>
    <tableColumn id="10" name="Lipase-d3"/>
    <tableColumn id="11" name="Lipase-d4"/>
    <tableColumn id="12" name="Lipase- (U/L) d5"/>
    <tableColumn id="13" name="Lipase-d6"/>
    <tableColumn id="14" name="Lipase-d1w1"/>
    <tableColumn id="15" name="Lipase-d2w1"/>
    <tableColumn id="16" name="Lipase-d3w1"/>
    <tableColumn id="17" name="Lipase-d4w1"/>
    <tableColumn id="18" name="Lipase-d6w1"/>
    <tableColumn id="19" name="Lipase- (U/L) d7w1"/>
    <tableColumn id="20" name="Lipase-d1w2"/>
    <tableColumn id="21" name="Lipase-d2w2"/>
    <tableColumn id="22" name="Lipase-d3w2"/>
    <tableColumn id="23" name="Lipase-d4w2"/>
    <tableColumn id="24" name="Lipase-d7w2"/>
    <tableColumn id="25" name="Lipase- (U/L) d1w4"/>
    <tableColumn id="26" name="Lipase-d1w0m1"/>
    <tableColumn id="27" name="Lipase-d4w0m1"/>
    <tableColumn id="28" name="Lipase-d5w0m1"/>
    <tableColumn id="29" name="Lipase-d4w2m1"/>
    <tableColumn id="30" name="Lipase-d5w2m1"/>
    <tableColumn id="31" name="Lipase-d7w3m1"/>
    <tableColumn id="32" name="Lipase-d7w0m2"/>
    <tableColumn id="33" name="Lipase-d6w0m2"/>
    <tableColumn id="34" name="Lipase- (U/L) d3w3m2"/>
  </tableColumns>
  <tableStyleInfo showFirstColumn="0" showLastColumn="0" showRowStripes="1" showColumnStripes="0"/>
</table>
</file>

<file path=xl/tables/table38.xml><?xml version="1.0" encoding="utf-8"?>
<table xmlns="http://schemas.openxmlformats.org/spreadsheetml/2006/main" id="39" name="Tabelle38_2" displayName="Tabelle38_2" ref="A1:D35" tableType="queryTable" totalsRowShown="0">
  <autoFilter ref="A1:D35"/>
  <tableColumns count="4">
    <tableColumn id="5" uniqueName="5" name="BfArM Nummer" queryTableFieldId="1" dataDxfId="191"/>
    <tableColumn id="2" uniqueName="2" name="Lipase" queryTableFieldId="2" dataDxfId="190"/>
    <tableColumn id="3" uniqueName="3" name="Day of Observations" queryTableFieldId="3" dataDxfId="189"/>
    <tableColumn id="4" uniqueName="4" name="Total Number of Observations" queryTableFieldId="4" dataDxfId="188"/>
  </tableColumns>
  <tableStyleInfo name="TableStyleMedium7" showFirstColumn="0" showLastColumn="0" showRowStripes="1" showColumnStripes="0"/>
</table>
</file>

<file path=xl/tables/table39.xml><?xml version="1.0" encoding="utf-8"?>
<table xmlns="http://schemas.openxmlformats.org/spreadsheetml/2006/main" id="40" name="Tabelle40" displayName="Tabelle40" ref="A1:AO239" totalsRowShown="0" headerRowDxfId="187" headerRowBorderDxfId="186" tableBorderDxfId="185">
  <autoFilter ref="A1:AO239"/>
  <tableColumns count="41">
    <tableColumn id="1" name="BfArM Nummer"/>
    <tableColumn id="2" name="CRP-12 Tage vor Krankheitsbeginn"/>
    <tableColumn id="3" name="CRP-11 Tage vor Krankheitsbeginn"/>
    <tableColumn id="4" name="CRP-8 Tage vor Krankheitsbeginn"/>
    <tableColumn id="5" name="CRP-7 Tage vor Krankheitsbeginn (mg/l)"/>
    <tableColumn id="6" name="CRP-6 Tage vor Krankheitsbeginn"/>
    <tableColumn id="7" name="CRP-5 Tage vor Krankheitsbeginn"/>
    <tableColumn id="8" name="CRP-3 Tage vor Krankheitsbeginn"/>
    <tableColumn id="9" name="CRP-2 Tage vor Krankheitsbeginn"/>
    <tableColumn id="10" name="CRP-1 Tage vor Krankheitsbeginn"/>
    <tableColumn id="11" name="CRP-Datum unbekannt (mg/l)"/>
    <tableColumn id="12" name="CRP-d1 (mg/l)"/>
    <tableColumn id="13" name="CRP-d2"/>
    <tableColumn id="14" name="CRP-d3"/>
    <tableColumn id="15" name="CRP-d4"/>
    <tableColumn id="16" name="CRP- (mg/l) d5"/>
    <tableColumn id="17" name="CRP-d6"/>
    <tableColumn id="18" name="CRP-d7"/>
    <tableColumn id="19" name="CRP-d1w1 "/>
    <tableColumn id="20" name="CRP- (mg/l) d2w1 "/>
    <tableColumn id="21" name="CRP-d3w1"/>
    <tableColumn id="22" name="CRP-d4w1"/>
    <tableColumn id="23" name="CRP-d5w1"/>
    <tableColumn id="24" name="CRP-d6w1"/>
    <tableColumn id="25" name="CRP- (mg/l) d7w1"/>
    <tableColumn id="26" name="CRP-d1w2"/>
    <tableColumn id="27" name="CRP-d2w2"/>
    <tableColumn id="28" name="CRP-d3w2"/>
    <tableColumn id="29" name="CRP-d4w2"/>
    <tableColumn id="30" name="CRP- (mg/l) d6w2"/>
    <tableColumn id="31" name="CRP-d7w2"/>
    <tableColumn id="32" name="CRP-d2w3"/>
    <tableColumn id="33" name="CRP-d3w3"/>
    <tableColumn id="34" name="CRP-d7w3"/>
    <tableColumn id="35" name="CRP- (mg/l) d6w4"/>
    <tableColumn id="36" name="CRP- (mg/l) d2w6"/>
    <tableColumn id="37" name="CRP- (mg/l) d5w0m1"/>
    <tableColumn id="38" name="CRP-d6w0m2"/>
    <tableColumn id="39" name="CRP- (mg/l) d7w1w2"/>
    <tableColumn id="40" name="CRP- (mg/l) d5w2w2"/>
    <tableColumn id="41" name="CRP-d1w3m5"/>
  </tableColumns>
  <tableStyleInfo showFirstColumn="0" showLastColumn="0" showRowStripes="1" showColumnStripes="0"/>
</table>
</file>

<file path=xl/tables/table40.xml><?xml version="1.0" encoding="utf-8"?>
<table xmlns="http://schemas.openxmlformats.org/spreadsheetml/2006/main" id="41" name="CRP" displayName="CRP" ref="A1:D78" tableType="queryTable" totalsRowShown="0">
  <autoFilter ref="A1:D78"/>
  <tableColumns count="4">
    <tableColumn id="5" uniqueName="5" name="BfArM Nummer" queryTableFieldId="1"/>
    <tableColumn id="2" uniqueName="2" name="Text vor Trennzeichen" queryTableFieldId="2" dataDxfId="184"/>
    <tableColumn id="3" uniqueName="3" name="Day of Observations" queryTableFieldId="3"/>
    <tableColumn id="4" uniqueName="4" name="Total Number of Observations" queryTableFieldId="4"/>
  </tableColumns>
  <tableStyleInfo name="TableStyleMedium7" showFirstColumn="0" showLastColumn="0" showRowStripes="1" showColumnStripes="0"/>
</table>
</file>

<file path=xl/tables/table41.xml><?xml version="1.0" encoding="utf-8"?>
<table xmlns="http://schemas.openxmlformats.org/spreadsheetml/2006/main" id="42" name="Tabelle42" displayName="Tabelle42" ref="A1:AE239" totalsRowShown="0" headerRowDxfId="183" headerRowBorderDxfId="182" tableBorderDxfId="181">
  <autoFilter ref="A1:AE239"/>
  <tableColumns count="31">
    <tableColumn id="1" name="BfArM Nummer"/>
    <tableColumn id="2" name="Harnstoff-11 Tage vor Krankheitsbeginn (mg/dl)"/>
    <tableColumn id="3" name="Harnstoff-8 Tage vor Krankheitsbeginn (mg/dl)"/>
    <tableColumn id="4" name="Harnstoff-7 Tage vor Krankheitsbeginn (mg/dl)"/>
    <tableColumn id="5" name="Harnstoff-6 Tage vor Krankheitsbeginn"/>
    <tableColumn id="6" name="Harnstoff-5 Tage vor Krankheitsbeginn"/>
    <tableColumn id="7" name="Harnstoff-3 Tage vor Krankheitsbeginn"/>
    <tableColumn id="8" name="Harnstoff-2 Tage vor Krankheitsbeginn"/>
    <tableColumn id="9" name="Harnstoff-1 Tag vor Krankheitsbeginn"/>
    <tableColumn id="10" name="Harnstoff-Datum unbekannt (mg/dl)"/>
    <tableColumn id="11" name="Harnstoff (HST)-d1 (mg/dl)"/>
    <tableColumn id="12" name="Harnstoff-d2"/>
    <tableColumn id="13" name="Harnstoff-d3"/>
    <tableColumn id="14" name="Harnstoff-d4"/>
    <tableColumn id="15" name="Harnstoff- (mg/dl) d6"/>
    <tableColumn id="16" name="Harnstoff-d7"/>
    <tableColumn id="17" name="Harnstoff-d2w1 "/>
    <tableColumn id="18" name="Harnstoff-d3w1 "/>
    <tableColumn id="19" name="Harnstoff- (mg/dl) d4w1 "/>
    <tableColumn id="20" name="Harnstoff-d6w1 "/>
    <tableColumn id="21" name="Harnstoff-d7w1 "/>
    <tableColumn id="22" name="Harnstoff-d1w2"/>
    <tableColumn id="23" name="Harnstoff- (mg/dl) d2w2"/>
    <tableColumn id="24" name="Harnstoff-d3w2"/>
    <tableColumn id="25" name="Harnstoff-d1w3"/>
    <tableColumn id="26" name="Harnstoff- (mg/dl) d4w3"/>
    <tableColumn id="27" name="Harnstoff-d7w3"/>
    <tableColumn id="28" name="Harnstoff-d1w0m1"/>
    <tableColumn id="29" name="Harnstoff-d4w0m1"/>
    <tableColumn id="30" name="Harnstoff-d4w3m1"/>
    <tableColumn id="31" name="Harnstoff- (mg/dl) d6w0m2"/>
  </tableColumns>
  <tableStyleInfo showFirstColumn="0" showLastColumn="0" showRowStripes="1" showColumnStripes="0"/>
</table>
</file>

<file path=xl/tables/table42.xml><?xml version="1.0" encoding="utf-8"?>
<table xmlns="http://schemas.openxmlformats.org/spreadsheetml/2006/main" id="43" name="Tabelle42_2" displayName="Tabelle42_2" ref="A1:D38" tableType="queryTable" totalsRowShown="0">
  <autoFilter ref="A1:D38"/>
  <tableColumns count="4">
    <tableColumn id="5" uniqueName="5" name="BfArM Nummer" queryTableFieldId="1" dataDxfId="180"/>
    <tableColumn id="2" uniqueName="2" name="Harnstoff" queryTableFieldId="2" dataDxfId="179"/>
    <tableColumn id="3" uniqueName="3" name="Day of Observations" queryTableFieldId="3" dataDxfId="178"/>
    <tableColumn id="4" uniqueName="4" name="Total Number of Observations" queryTableFieldId="4" dataDxfId="177"/>
  </tableColumns>
  <tableStyleInfo name="TableStyleMedium7" showFirstColumn="0" showLastColumn="0" showRowStripes="1" showColumnStripes="0"/>
</table>
</file>

<file path=xl/tables/table43.xml><?xml version="1.0" encoding="utf-8"?>
<table xmlns="http://schemas.openxmlformats.org/spreadsheetml/2006/main" id="44" name="Ery" displayName="Ery" ref="A1:AJ239" totalsRowShown="0" headerRowDxfId="176" headerRowBorderDxfId="175" tableBorderDxfId="174">
  <autoFilter ref="A1:AJ239"/>
  <tableColumns count="36">
    <tableColumn id="1" name="BfArM Nummer"/>
    <tableColumn id="2" name="Erythrozyten-36 Tage vor Krankheitsbeginn [Erys/ul]" dataDxfId="173"/>
    <tableColumn id="3" name="Erythrozyten-22 Tage vor Krankheitsbeginn" dataDxfId="172"/>
    <tableColumn id="4" name="Erythrozyten-20 Tage vor Krankheitsbeginn [Erys/ul]" dataDxfId="171"/>
    <tableColumn id="5" name="Erythrozyten-12 Tage vor Krankheitsbeginn" dataDxfId="170"/>
    <tableColumn id="6" name="Erythrozyten-11 Tage vor Krankheitsbeginn" dataDxfId="169"/>
    <tableColumn id="7" name="Erythrozyten-8 Tage vor Krankheitsbeginn" dataDxfId="168"/>
    <tableColumn id="8" name="Erythrozyten-7 Tage vor Krankheitsbeginn" dataDxfId="167"/>
    <tableColumn id="9" name="Erythrozyten-6 Tage vor Krankheitsbeginn" dataDxfId="166"/>
    <tableColumn id="10" name="Erythrozyten-5 Tage vor Krankheitsbeginn" dataDxfId="165"/>
    <tableColumn id="11" name="Erythrozyten-3 Tage vor Krankheitsbeginn [Erys/ul]" dataDxfId="164"/>
    <tableColumn id="12" name="Erythrozyten-2 Tage vor Krankheitsbeginn [Erys/ul]" dataDxfId="163"/>
    <tableColumn id="13" name="Erythrozyten-1 Tag vor Krankheitsbeginn" dataDxfId="162"/>
    <tableColumn id="14" name="Erythrozyten-Datum unbekannt [Erys/ul]" dataDxfId="161"/>
    <tableColumn id="15" name="Erythrozyten (Erys, Rbc)_x000a_[Erys/ul]-d1" dataDxfId="160"/>
    <tableColumn id="16" name="Erythrozyten-d2" dataDxfId="159"/>
    <tableColumn id="17" name="Erythrozyten_x000a_-d3" dataDxfId="158"/>
    <tableColumn id="18" name="Erythrozyten_x000a_-d4" dataDxfId="157"/>
    <tableColumn id="19" name="Erythrozyten_x000a_- [Erys/ul] d5" dataDxfId="156"/>
    <tableColumn id="20" name="Erythrozyten_x000a_-d6" dataDxfId="155"/>
    <tableColumn id="21" name="Erythrozyten_x000a_-d7" dataDxfId="154"/>
    <tableColumn id="22" name="Erythrozyten-d1w1" dataDxfId="153"/>
    <tableColumn id="23" name="Erythrozyten- [Erys/ul] d2w1" dataDxfId="152"/>
    <tableColumn id="24" name="Erythrozyten-d3w1" dataDxfId="151"/>
    <tableColumn id="25" name="Erythrozyten-d4w1" dataDxfId="150"/>
    <tableColumn id="26" name="Erythrozyten-d5w1" dataDxfId="149"/>
    <tableColumn id="27" name="Erythrozyten- [Erys/ul] d6w1" dataDxfId="148"/>
    <tableColumn id="28" name="Erythrozyten-d7w1" dataDxfId="147"/>
    <tableColumn id="29" name="Erythrozyten-d1w2" dataDxfId="146"/>
    <tableColumn id="30" name="Erythrozyten-d2w2" dataDxfId="145"/>
    <tableColumn id="31" name="Erythrozyten- [Erys/ul] d1w3" dataDxfId="144"/>
    <tableColumn id="32" name="Erythrozyten-d4w3" dataDxfId="143"/>
    <tableColumn id="33" name="Erythrozyten-d1w0m1" dataDxfId="142"/>
    <tableColumn id="34" name="Erythrozyten- [Erys/ul] d6w0m2" dataDxfId="141"/>
    <tableColumn id="35" name="Erythrozyten-d7w0m2" dataDxfId="140"/>
    <tableColumn id="36" name="Erythrozyten-d3w1m2" dataDxfId="139"/>
  </tableColumns>
  <tableStyleInfo showFirstColumn="0" showLastColumn="0" showRowStripes="1" showColumnStripes="0"/>
</table>
</file>

<file path=xl/tables/table44.xml><?xml version="1.0" encoding="utf-8"?>
<table xmlns="http://schemas.openxmlformats.org/spreadsheetml/2006/main" id="51" name="Erythrozyten" displayName="Erythrozyten" ref="A1:D34" tableType="queryTable" totalsRowShown="0">
  <autoFilter ref="A1:D34"/>
  <tableColumns count="4">
    <tableColumn id="5" uniqueName="5" name="BfArM Nummer" queryTableFieldId="1" dataDxfId="138"/>
    <tableColumn id="2" uniqueName="2" name="Erythrozyten" queryTableFieldId="2" dataDxfId="137"/>
    <tableColumn id="3" uniqueName="3" name="Day of Observations" queryTableFieldId="3" dataDxfId="136"/>
    <tableColumn id="4" uniqueName="4" name="Total Number of Observations" queryTableFieldId="4" dataDxfId="135"/>
  </tableColumns>
  <tableStyleInfo name="TableStyleMedium7" showFirstColumn="0" showLastColumn="0" showRowStripes="1" showColumnStripes="0"/>
</table>
</file>

<file path=xl/tables/table45.xml><?xml version="1.0" encoding="utf-8"?>
<table xmlns="http://schemas.openxmlformats.org/spreadsheetml/2006/main" id="45" name="Tabelle45" displayName="Tabelle45" ref="A1:AU239" totalsRowShown="0" headerRowDxfId="134" headerRowBorderDxfId="133" tableBorderDxfId="132">
  <autoFilter ref="A1:AU239"/>
  <tableColumns count="47">
    <tableColumn id="1" name="BfArM Nummer"/>
    <tableColumn id="2" name="Thrombozyten-36 Tage vor Krankheitsbeginn (/mikroliter)"/>
    <tableColumn id="3" name="Thrombozyten-20 Tage vor Krankheitsbeginn"/>
    <tableColumn id="4" name="Thrombozyten-12 Tage vor Krankheitsbeginn"/>
    <tableColumn id="5" name="Thrombozyten-11 Tage vor Krankheitsbeginn"/>
    <tableColumn id="6" name="Thrombozyten-9 Tage vor Krankheitsbeginn"/>
    <tableColumn id="7" name="Thrombozyten-8 Tage vor Krankheitsbeginn (/mikroliter)"/>
    <tableColumn id="8" name="Thrombozyten-7 Tage vor Krankheitsbeginn"/>
    <tableColumn id="9" name="Thrombozyten-6 Tage vor Krankheitsbeginn"/>
    <tableColumn id="10" name="Thrombozyten-5 Tag vor Krankheitsbeginn"/>
    <tableColumn id="11" name="Thrombozyten-3 Tage vor Krankheitsbeginn (/mikroliter)"/>
    <tableColumn id="12" name="Thrombozyten-2 Tage vor Krankheitsbeginn (/mikroliter)"/>
    <tableColumn id="13" name="Thrombozyten-1 Tag vor Krankheitsbeginn"/>
    <tableColumn id="14" name="Thrombozyten-Datum unbekannt (/mikroliter)"/>
    <tableColumn id="15" name="Thrombozyten (MPV,PLT)-d1 (/mikroliter)"/>
    <tableColumn id="16" name="Thrombozyten-d2"/>
    <tableColumn id="17" name="Thrombozyten-d3"/>
    <tableColumn id="18" name="Thrombozyten-d4"/>
    <tableColumn id="19" name="Thrombozyten- (/mikroliter)d5"/>
    <tableColumn id="20" name="Thrombozyten-d6"/>
    <tableColumn id="21" name="Thrombozyten-d7"/>
    <tableColumn id="22" name="Trhombozyten-d1w1"/>
    <tableColumn id="23" name="Trhombozyten- (/mikroliter)d2w1"/>
    <tableColumn id="24" name="Trhombozyten-d3w1"/>
    <tableColumn id="25" name="Trhombozyten-d4w1"/>
    <tableColumn id="26" name="Trhombozyten-d5w1"/>
    <tableColumn id="27" name="Trhombozyten-d6w1"/>
    <tableColumn id="28" name="Trhombozyten- (/mikroliter)d7w1"/>
    <tableColumn id="29" name="Trhombozyten-d1w2"/>
    <tableColumn id="30" name="Trhombozyten-d2w2"/>
    <tableColumn id="31" name="Trhombozyten-d3w2"/>
    <tableColumn id="32" name="Trhombozyten-d7w2"/>
    <tableColumn id="33" name="Trhombozyten- (/mikroliter) d1w3"/>
    <tableColumn id="34" name="Trhombozyten-d2w3"/>
    <tableColumn id="35" name="Trhombozyten-d3w3"/>
    <tableColumn id="36" name="Trhombozyten-d4w3"/>
    <tableColumn id="37" name="Trhombozyten- (/mikroliter) d6w3"/>
    <tableColumn id="38" name="Trhombozyten-d1w4"/>
    <tableColumn id="39" name="Trhombozyten-d1w0m1"/>
    <tableColumn id="40" name="Trhombozyten-d4w0m1"/>
    <tableColumn id="41" name="Trhombozyten-d4w3m1"/>
    <tableColumn id="42" name="Trhombozyten-d6w0m2"/>
    <tableColumn id="43" name="Trhombozyten- (/mikroliter) d7w0m2"/>
    <tableColumn id="44" name="Trhombozyten-d7w9"/>
    <tableColumn id="45" name="Trhombozyten-d1w23"/>
    <tableColumn id="46" name="Trhombozyten-d3w3m2"/>
    <tableColumn id="47" name="Trhombozyten- (/mikroliter) d4w3m2"/>
  </tableColumns>
  <tableStyleInfo showFirstColumn="0" showLastColumn="0" showRowStripes="1" showColumnStripes="0"/>
</table>
</file>

<file path=xl/tables/table46.xml><?xml version="1.0" encoding="utf-8"?>
<table xmlns="http://schemas.openxmlformats.org/spreadsheetml/2006/main" id="46" name="Thrombozyten" displayName="Thrombozyten" ref="A1:D85" tableType="queryTable" totalsRowShown="0">
  <autoFilter ref="A1:D85"/>
  <tableColumns count="4">
    <tableColumn id="5" uniqueName="5" name="BfArM Nummer" queryTableFieldId="1"/>
    <tableColumn id="2" uniqueName="2" name="Erste Zeichen" queryTableFieldId="2" dataDxfId="131"/>
    <tableColumn id="3" uniqueName="3" name="Day of Observations" queryTableFieldId="3"/>
    <tableColumn id="4" uniqueName="4" name="Total Number of Observations" queryTableFieldId="4"/>
  </tableColumns>
  <tableStyleInfo name="TableStyleMedium7" showFirstColumn="0" showLastColumn="0" showRowStripes="1" showColumnStripes="0"/>
</table>
</file>

<file path=xl/tables/table47.xml><?xml version="1.0" encoding="utf-8"?>
<table xmlns="http://schemas.openxmlformats.org/spreadsheetml/2006/main" id="47" name="Tabelle47" displayName="Tabelle47" ref="A1:I239" totalsRowShown="0" headerRowDxfId="130" headerRowBorderDxfId="129" tableBorderDxfId="128">
  <autoFilter ref="A1:I239"/>
  <tableColumns count="9">
    <tableColumn id="1" name="BfArM Nummer"/>
    <tableColumn id="2" name="BSG-12 Tage vor Krankheitsbeginn"/>
    <tableColumn id="3" name="BSG-7 Tage vor Krankheitsbeginn"/>
    <tableColumn id="4" name="BSG-Datum unbekannt (mm/h)"/>
    <tableColumn id="5" name="BSG-d1 (mm/h)"/>
    <tableColumn id="6" name="BSG-d2 "/>
    <tableColumn id="7" name="BSG-d2w1 (mm/h)"/>
    <tableColumn id="8" name="BSG-d4w1 (mm/h)"/>
    <tableColumn id="9" name="BSG-d5w1 (mm/h)"/>
  </tableColumns>
  <tableStyleInfo name="TableStyleMedium2" showFirstColumn="0" showLastColumn="0" showRowStripes="1" showColumnStripes="0"/>
</table>
</file>

<file path=xl/tables/table48.xml><?xml version="1.0" encoding="utf-8"?>
<table xmlns="http://schemas.openxmlformats.org/spreadsheetml/2006/main" id="48" name="BSG" displayName="BSG" ref="A1:D7" tableType="queryTable" totalsRowShown="0">
  <autoFilter ref="A1:D7"/>
  <tableColumns count="4">
    <tableColumn id="5" uniqueName="5" name="BfArM Nummer" queryTableFieldId="1" dataDxfId="127"/>
    <tableColumn id="2" uniqueName="2" name="BSG" queryTableFieldId="2" dataDxfId="126"/>
    <tableColumn id="3" uniqueName="3" name="Day of Observations" queryTableFieldId="3" dataDxfId="125"/>
    <tableColumn id="4" uniqueName="4" name="Total Number of Observations" queryTableFieldId="4" dataDxfId="124"/>
  </tableColumns>
  <tableStyleInfo name="TableStyleMedium7" showFirstColumn="0" showLastColumn="0" showRowStripes="1" showColumnStripes="0"/>
</table>
</file>

<file path=xl/tables/table49.xml><?xml version="1.0" encoding="utf-8"?>
<table xmlns="http://schemas.openxmlformats.org/spreadsheetml/2006/main" id="49" name="Tabelle49" displayName="Tabelle49" ref="A1:G239" totalsRowShown="0" headerRowDxfId="123" headerRowBorderDxfId="122" tableBorderDxfId="121">
  <autoFilter ref="A1:G239"/>
  <tableColumns count="7">
    <tableColumn id="1" name="BfArM Nummer"/>
    <tableColumn id="2" name="Monozyten-11 Tage vor Krankheitsbeginn"/>
    <tableColumn id="3" name="Monozyten-Datum unbekannt  (%)"/>
    <tableColumn id="4" name="Monozyten-d1 (%)"/>
    <tableColumn id="5" name="Monozyten-d6"/>
    <tableColumn id="6" name="Monozyten- (%) d3w0m1"/>
    <tableColumn id="7" name="Monozyten-d4w3m2"/>
  </tableColumns>
  <tableStyleInfo name="TableStyleMedium2" showFirstColumn="0" showLastColumn="0" showRowStripes="1" showColumnStripes="0"/>
</table>
</file>

<file path=xl/tables/table50.xml><?xml version="1.0" encoding="utf-8"?>
<table xmlns="http://schemas.openxmlformats.org/spreadsheetml/2006/main" id="50" name="Monozyten" displayName="Monozyten" ref="A1:D9" tableType="queryTable" totalsRowShown="0">
  <autoFilter ref="A1:D9"/>
  <tableColumns count="4">
    <tableColumn id="5" uniqueName="5" name="BfArM Nummer" queryTableFieldId="1" dataDxfId="120"/>
    <tableColumn id="2" uniqueName="2" name="Monozyten" queryTableFieldId="2" dataDxfId="119"/>
    <tableColumn id="3" uniqueName="3" name="Day of Observations" queryTableFieldId="3" dataDxfId="118"/>
    <tableColumn id="4" uniqueName="4" name="Total Number of Observations" queryTableFieldId="4" dataDxfId="117"/>
  </tableColumns>
  <tableStyleInfo name="TableStyleMedium7" showFirstColumn="0" showLastColumn="0" showRowStripes="1" showColumnStripes="0"/>
</table>
</file>

<file path=xl/tables/table51.xml><?xml version="1.0" encoding="utf-8"?>
<table xmlns="http://schemas.openxmlformats.org/spreadsheetml/2006/main" id="52" name="Tabelle52" displayName="Tabelle52" ref="A1:S239" totalsRowShown="0" headerRowDxfId="116" headerRowBorderDxfId="115" tableBorderDxfId="114">
  <autoFilter ref="A1:S239"/>
  <tableColumns count="19">
    <tableColumn id="1" name="BfArM Nummer"/>
    <tableColumn id="2" name="Eosinophile Granuloyzten-36 Tage vor Krankheitsbeginn (%)"/>
    <tableColumn id="3" name="Eosinophile Granuloyzten-20 Tage vor Krankheitsbeginn"/>
    <tableColumn id="4" name="Eosinophile Granuloyzten-12 Tage vor Krankheitsbeginn"/>
    <tableColumn id="5" name="Eosinophile Granuloyzten-11 Tage vor Krankheitsbeginn"/>
    <tableColumn id="6" name="Eosinophile Granuloyzten-7 Tage vor Krankheitsbeginn"/>
    <tableColumn id="7" name="Eosinophile Granuloyzten-6 Tage vor Krankheitsbeginn"/>
    <tableColumn id="8" name="Eosinophile Granuloyzten-Datum unbekannt (%)"/>
    <tableColumn id="9" name="Eosinophile Granuloyzten-d1 (%)"/>
    <tableColumn id="10" name="Eosinophile Granuloyzten-d2 (%)"/>
    <tableColumn id="11" name="Eosinophile Granuloyzten-d3"/>
    <tableColumn id="12" name="Eosinophile Granuloyzten-d7"/>
    <tableColumn id="13" name="Eosinophile Granuloyzten-d2w1"/>
    <tableColumn id="14" name="Eosinophile Granuloyzten-d1w2"/>
    <tableColumn id="15" name="Eosinophile Granuloyzten- (%) d1w0m1"/>
    <tableColumn id="16" name="Eosinophile Granuloyzten-d1w0m1"/>
    <tableColumn id="17" name="Eosinophile Granuloyzten-d7w0m2"/>
    <tableColumn id="18" name="Eosinophile Granuloyzten- (%) d3w3m2"/>
    <tableColumn id="19" name="Eosinophile Granuloyzten-d4w3m2"/>
  </tableColumns>
  <tableStyleInfo showFirstColumn="0" showLastColumn="0" showRowStripes="1" showColumnStripes="0"/>
</table>
</file>

<file path=xl/tables/table52.xml><?xml version="1.0" encoding="utf-8"?>
<table xmlns="http://schemas.openxmlformats.org/spreadsheetml/2006/main" id="53" name="Eosinophile_Granulozyten" displayName="Eosinophile_Granulozyten" ref="A1:D15" tableType="queryTable" totalsRowShown="0">
  <autoFilter ref="A1:D15"/>
  <tableColumns count="4">
    <tableColumn id="5" uniqueName="5" name="BfArM Nummer" queryTableFieldId="1" dataDxfId="113"/>
    <tableColumn id="2" uniqueName="2" name="Eosinophile Granulozyten" queryTableFieldId="2" dataDxfId="112"/>
    <tableColumn id="3" uniqueName="3" name="Day of Observations" queryTableFieldId="3" dataDxfId="111"/>
    <tableColumn id="4" uniqueName="4" name="Total Number of Observations" queryTableFieldId="4" dataDxfId="110"/>
  </tableColumns>
  <tableStyleInfo name="TableStyleMedium7" showFirstColumn="0" showLastColumn="0" showRowStripes="1" showColumnStripes="0"/>
</table>
</file>

<file path=xl/tables/table53.xml><?xml version="1.0" encoding="utf-8"?>
<table xmlns="http://schemas.openxmlformats.org/spreadsheetml/2006/main" id="54" name="Tabelle54" displayName="Tabelle54" ref="A1:Y239" totalsRowShown="0" headerRowDxfId="109" headerRowBorderDxfId="108" tableBorderDxfId="107">
  <autoFilter ref="A1:Y239"/>
  <tableColumns count="25">
    <tableColumn id="1" name="BfArM Nummer"/>
    <tableColumn id="2" name="Neutrophile-48 Tage vor Krankheitsbeginn (%)"/>
    <tableColumn id="3" name="Neutrophile-36 Tage vor Krankheitsbeginn (%)"/>
    <tableColumn id="4" name="Neutrophile-22 Tage vor Krankheitsbeginn"/>
    <tableColumn id="5" name="Neutrophile-20 Tage vor Krankheitsbeginn (%)"/>
    <tableColumn id="6" name="Neutrophile-12 Tage vor Krankheitsbeginn"/>
    <tableColumn id="7" name="Neutrophile-9 Tage vor Krankheitsbeginn"/>
    <tableColumn id="8" name="Neutrophile-7 Tage vor Krankheitsbeginn"/>
    <tableColumn id="9" name="Neutrophile-6 Tage vor Krankheitsbeginn"/>
    <tableColumn id="10" name="Neutrophile (Segment-/Stabkernige)-Datum unbekannt (%)"/>
    <tableColumn id="11" name="Neutrophile-d1 (%)"/>
    <tableColumn id="12" name="Neutrophile-d2"/>
    <tableColumn id="13" name="Neutrophile-d3"/>
    <tableColumn id="14" name="Neutrophile- (%) d5"/>
    <tableColumn id="15" name="Neutrophile-d6"/>
    <tableColumn id="16" name="Neutrophile-d2w1"/>
    <tableColumn id="17" name="Neutrophile- (%) d7w1"/>
    <tableColumn id="18" name="Neutrophile-d1w2"/>
    <tableColumn id="19" name="Neutrophile-d2w4"/>
    <tableColumn id="20" name="Neutrophile- (%) d1w0m1"/>
    <tableColumn id="21" name="Neutrophile-d3w0m1"/>
    <tableColumn id="22" name="Neutrophile-d2w2m1"/>
    <tableColumn id="23" name="Neutrophile- (%) d7w0m2"/>
    <tableColumn id="24" name="Neutrophile-d3w3m2"/>
    <tableColumn id="25" name="Neutrophile- (%) d4w3m2"/>
  </tableColumns>
  <tableStyleInfo showFirstColumn="0" showLastColumn="0" showRowStripes="1" showColumnStripes="0"/>
</table>
</file>

<file path=xl/tables/table54.xml><?xml version="1.0" encoding="utf-8"?>
<table xmlns="http://schemas.openxmlformats.org/spreadsheetml/2006/main" id="56" name="Neutrophile" displayName="Neutrophile" ref="A1:D23" tableType="queryTable" totalsRowShown="0">
  <autoFilter ref="A1:D23"/>
  <tableColumns count="4">
    <tableColumn id="5" uniqueName="5" name="BfArM Nummer" queryTableFieldId="1" dataDxfId="106"/>
    <tableColumn id="2" uniqueName="2" name="Neutrophile" queryTableFieldId="2" dataDxfId="105"/>
    <tableColumn id="3" uniqueName="3" name="Day of Observations" queryTableFieldId="3" dataDxfId="104"/>
    <tableColumn id="4" uniqueName="4" name="Total Number of Observations" queryTableFieldId="4" dataDxfId="103"/>
  </tableColumns>
  <tableStyleInfo name="TableStyleMedium7" showFirstColumn="0" showLastColumn="0" showRowStripes="1" showColumnStripes="0"/>
</table>
</file>

<file path=xl/tables/table55.xml><?xml version="1.0" encoding="utf-8"?>
<table xmlns="http://schemas.openxmlformats.org/spreadsheetml/2006/main" id="57" name="Tabelle57" displayName="Tabelle57" ref="A1:Q239" totalsRowShown="0" headerRowDxfId="102" headerRowBorderDxfId="101" tableBorderDxfId="100">
  <autoFilter ref="A1:Q239"/>
  <tableColumns count="17">
    <tableColumn id="1" name="BfArM Nummer"/>
    <tableColumn id="2" name="Basophile Granulozyten-36 Tage vor Krankheisbeginn (%)"/>
    <tableColumn id="3" name="Basophile Granulozyten-20 Tage vor Krankheisbeginn"/>
    <tableColumn id="4" name="Basophile Granulozyten-12 Tage vor Krankheisbeginn"/>
    <tableColumn id="5" name="Basophile Granulozyten-11 Tage vor Krankheisbeginn"/>
    <tableColumn id="6" name="Basophile Granulozyten-7 Tage vor Krankheisbeginn"/>
    <tableColumn id="7" name="Basophile Granulozyten-6 Tage vor Krankheisbeginn"/>
    <tableColumn id="8" name="Basophile Granulozyten-Datum unbekannt (%)"/>
    <tableColumn id="9" name="Basophile Granulozyten-d1 (%)"/>
    <tableColumn id="10" name="Basophile Granulozyten-d2"/>
    <tableColumn id="11" name="Basophile Granulozyten-d3"/>
    <tableColumn id="12" name="Basophile Granulozyten-d2w1"/>
    <tableColumn id="13" name="Basophile Granulozyten- (%) d1w2"/>
    <tableColumn id="14" name="Basophile Granulozyten-d1w0m1"/>
    <tableColumn id="15" name="Basophile Granulozyten-d7w0m2"/>
    <tableColumn id="16" name="Basophile Granulozyten- (%) d3w3m2"/>
    <tableColumn id="17" name="Basophile Granulozyten- (%) d4w3m2"/>
  </tableColumns>
  <tableStyleInfo showFirstColumn="0" showLastColumn="0" showRowStripes="1" showColumnStripes="0"/>
</table>
</file>

<file path=xl/tables/table56.xml><?xml version="1.0" encoding="utf-8"?>
<table xmlns="http://schemas.openxmlformats.org/spreadsheetml/2006/main" id="58" name="Basophile_Granulozyten" displayName="Basophile_Granulozyten" ref="A1:D11" tableType="queryTable" totalsRowShown="0">
  <autoFilter ref="A1:D11"/>
  <tableColumns count="4">
    <tableColumn id="5" uniqueName="5" name="BfArM Nummer" queryTableFieldId="1" dataDxfId="99"/>
    <tableColumn id="2" uniqueName="2" name="Basophile Granulozyten" queryTableFieldId="2" dataDxfId="98"/>
    <tableColumn id="3" uniqueName="3" name="Day of Observations" queryTableFieldId="3" dataDxfId="97"/>
    <tableColumn id="4" uniqueName="4" name="Total Number of Observations" queryTableFieldId="4" dataDxfId="96"/>
  </tableColumns>
  <tableStyleInfo name="TableStyleMedium7" showFirstColumn="0" showLastColumn="0" showRowStripes="1" showColumnStripes="0"/>
</table>
</file>

<file path=xl/tables/table57.xml><?xml version="1.0" encoding="utf-8"?>
<table xmlns="http://schemas.openxmlformats.org/spreadsheetml/2006/main" id="59" name="Tabelle59" displayName="Tabelle59" ref="A1:V239" totalsRowShown="0" headerRowDxfId="95" headerRowBorderDxfId="94" tableBorderDxfId="93">
  <autoFilter ref="A1:V239"/>
  <tableColumns count="22">
    <tableColumn id="1" name="BfArM Nummer"/>
    <tableColumn id="2" name="Albumin-11 Tage vor Krankheitsbeginn"/>
    <tableColumn id="3" name="Albumin-8 Tage vor Krankheitsbeginn"/>
    <tableColumn id="4" name="Albumin-2 Tage vor Krankheitsbeginn"/>
    <tableColumn id="5" name="Albumin-1 Tag vor Krankheitsbeginn"/>
    <tableColumn id="6" name="Albumin-Datum unbekannt (g/l)"/>
    <tableColumn id="7" name="Albumin-d1 (g/l)"/>
    <tableColumn id="8" name="Albumin-d2"/>
    <tableColumn id="9" name="Albumin-d3"/>
    <tableColumn id="10" name="Albumin-d4"/>
    <tableColumn id="11" name="Albumin-d5"/>
    <tableColumn id="12" name="Albumin-d6"/>
    <tableColumn id="13" name="Albumin- (g/l) d5w1"/>
    <tableColumn id="14" name="Albumin-d6w1"/>
    <tableColumn id="15" name="Albumin-d7w1"/>
    <tableColumn id="16" name="Albumin-d2w2"/>
    <tableColumn id="17" name="Albumin- (g/l) d3w2"/>
    <tableColumn id="18" name="Albumin-d3w3"/>
    <tableColumn id="19" name="Albumin-d4w3"/>
    <tableColumn id="20" name="Albumin-d4w3m1"/>
    <tableColumn id="21" name="Albumin-d3w1m2"/>
    <tableColumn id="22" name="Albumin- (g/l) d2w0m3"/>
  </tableColumns>
  <tableStyleInfo showFirstColumn="0" showLastColumn="0" showRowStripes="1" showColumnStripes="0"/>
</table>
</file>

<file path=xl/tables/table58.xml><?xml version="1.0" encoding="utf-8"?>
<table xmlns="http://schemas.openxmlformats.org/spreadsheetml/2006/main" id="60" name="Albumin" displayName="Albumin" ref="A1:D19" tableType="queryTable" totalsRowShown="0">
  <autoFilter ref="A1:D19"/>
  <tableColumns count="4">
    <tableColumn id="5" uniqueName="5" name="BfArM Nummer" queryTableFieldId="1" dataDxfId="92"/>
    <tableColumn id="2" uniqueName="2" name="Albumin" queryTableFieldId="2" dataDxfId="91"/>
    <tableColumn id="3" uniqueName="3" name="Day of Observations" queryTableFieldId="3" dataDxfId="90"/>
    <tableColumn id="4" uniqueName="4" name="Total Number of Observations" queryTableFieldId="4" dataDxfId="89"/>
  </tableColumns>
  <tableStyleInfo name="TableStyleMedium7" showFirstColumn="0" showLastColumn="0" showRowStripes="1" showColumnStripes="0"/>
</table>
</file>

<file path=xl/tables/table59.xml><?xml version="1.0" encoding="utf-8"?>
<table xmlns="http://schemas.openxmlformats.org/spreadsheetml/2006/main" id="61" name="Tabelle61" displayName="Tabelle61" ref="A1:AX239" totalsRowShown="0" headerRowDxfId="88" headerRowBorderDxfId="87" tableBorderDxfId="86">
  <autoFilter ref="A1:AX239"/>
  <tableColumns count="50">
    <tableColumn id="1" name="BfArM Nummer"/>
    <tableColumn id="2" name="Treatment"/>
    <tableColumn id="3" name="Hämatokrit (HTK, HK)-64 Tage vor Krankheitsbeginn (%)"/>
    <tableColumn id="4" name="Hämatokrit (HTK, HK)-56 Tage vor Krankheitsbeginn (%)"/>
    <tableColumn id="5" name="Hämatokrit (HTK, HK)-36 Tage vor Krankheitsbeginn"/>
    <tableColumn id="6" name="Hämatokrit (HTK, HK)-26 Tage vor Krankheitsbeginn"/>
    <tableColumn id="7" name="Hämatokrit (HTK, HK)-22 Tage vor Krankheitsbeginn (%)"/>
    <tableColumn id="8" name="Hämatokrit (HTK, HK)-20 Tage vor Krankheitsbeginn"/>
    <tableColumn id="9" name="Hämatokrit (HTK, HK)-12 Tage vor Krankheitsbeginn"/>
    <tableColumn id="10" name="Hämatokrit (HTK, HK)-11 Tage vor Krankheitsbeginn"/>
    <tableColumn id="11" name="Hämatokrit (HTK, HK)-8 Tage vor Krankheitsbeginn (%)"/>
    <tableColumn id="12" name="Hämatokrit (HTK, HK)-7 Tage vor Krankheitsbeginn"/>
    <tableColumn id="13" name="Hämatokrit (HTK, HK)-6 Tage vor Krankheitsbeginn"/>
    <tableColumn id="14" name="Hämatokrit (HTK, HK)-5 Tage vor Krankheitsbeginn"/>
    <tableColumn id="15" name="Hämatokrit (HTK, HK)-3 Tage vor Krankheitsbeginn (%)"/>
    <tableColumn id="16" name="Hämatokrit (HTK, HK)-2 Tage vor Krankheitsbeginn (%)"/>
    <tableColumn id="17" name="Hämatokrit (HTK, HK)-1 Tag vor Krankheitsbeginn"/>
    <tableColumn id="18" name="Hämatokrit (HTK, HK)-Datum unbekannt (%)"/>
    <tableColumn id="19" name="Hämatokrit (HTK, HK)-d1 (%)"/>
    <tableColumn id="20" name="Hämatokrit (HTK, HK)-d2"/>
    <tableColumn id="21" name="Hämatokrit (HTK, HK)-d3"/>
    <tableColumn id="22" name="Hämatokrit (HTK, HK)-d4"/>
    <tableColumn id="23" name="Hämatokrit (HTK, HK)- (%) d5"/>
    <tableColumn id="24" name="Hämatokrit (HTK, HK)-d6"/>
    <tableColumn id="25" name="Hämatokrit (HTK, HK)-d7"/>
    <tableColumn id="26" name="Hämatokrit (HTK, HK)-d1w1"/>
    <tableColumn id="27" name="Hämatokrit (HTK, HK)- (%) d2w1"/>
    <tableColumn id="28" name="Hämatokrit (HTK, HK)-d3w1"/>
    <tableColumn id="29" name="Hämatokrit (HTK, HK)-d4w1"/>
    <tableColumn id="30" name="Hämatokrit (HTK, HK)-d5w1"/>
    <tableColumn id="31" name="Hämatokrit (HTK, HK)-d6w1"/>
    <tableColumn id="32" name="Hämatokrit (HTK, HK)- (%) d1w2"/>
    <tableColumn id="33" name="Hämatokrit (HTK, HK)-d2w2"/>
    <tableColumn id="34" name="Hämatokrit (HTK, HK)-d4w2"/>
    <tableColumn id="35" name="Hämatokrit (HTK, HK)-d7w2"/>
    <tableColumn id="36" name="Hämatokrit (HTK, HK)- (%) d1w3"/>
    <tableColumn id="37" name="Hämatokrit (HTK, HK)-d2w3"/>
    <tableColumn id="38" name="Hämatokrit (HTK, HK)-d3w3"/>
    <tableColumn id="39" name="Hämatokrit (HTK, HK)-d4w3"/>
    <tableColumn id="40" name="Hämatokrit (HTK, HK)-d6w3"/>
    <tableColumn id="41" name="Hämatokrit (HTK, HK)-d1w0m1"/>
    <tableColumn id="42" name="Hämatokrit (HTK, HK)- (%) d6w0m1"/>
    <tableColumn id="43" name="Hämatokrit (HTK, HK)-d4w3m1"/>
    <tableColumn id="44" name="Hämatokrit (HTK, HK)-d6w3m1"/>
    <tableColumn id="45" name="Hämatokrit (HTK, HK)-d6w0m2"/>
    <tableColumn id="46" name="Hämatokrit (HTK, HK)-d7w0m2"/>
    <tableColumn id="47" name="Hämatokrit (HTK, HK)- (%) d3w1m2"/>
    <tableColumn id="48" name="Hämatokrit (HTK, HK)- (%) d3w3m2"/>
    <tableColumn id="49" name="Hämatokrit (HTK, HK)-d4w3m2"/>
    <tableColumn id="50" name="Hämatokrit (HTK, HK)- (%) d4w0m4"/>
  </tableColumns>
  <tableStyleInfo showFirstColumn="0" showLastColumn="0" showRowStripes="1" showColumnStripes="0"/>
</table>
</file>

<file path=xl/tables/table60.xml><?xml version="1.0" encoding="utf-8"?>
<table xmlns="http://schemas.openxmlformats.org/spreadsheetml/2006/main" id="62" name="Tabelle61_2" displayName="Tabelle61_2" ref="A1:E53" tableType="queryTable" totalsRowShown="0">
  <autoFilter ref="A1:E53"/>
  <tableColumns count="5">
    <tableColumn id="6" uniqueName="6" name="BfArM Nummer" queryTableFieldId="1"/>
    <tableColumn id="2" uniqueName="2" name="Treatment" queryTableFieldId="2"/>
    <tableColumn id="3" uniqueName="3" name="Hämatokrit" queryTableFieldId="3"/>
    <tableColumn id="4" uniqueName="4" name="Day of Observations" queryTableFieldId="4"/>
    <tableColumn id="5" uniqueName="5" name="Total Number of Observations" queryTableFieldId="5"/>
  </tableColumns>
  <tableStyleInfo name="TableStyleMedium7" showFirstColumn="0" showLastColumn="0" showRowStripes="1" showColumnStripes="0"/>
</table>
</file>

<file path=xl/tables/table61.xml><?xml version="1.0" encoding="utf-8"?>
<table xmlns="http://schemas.openxmlformats.org/spreadsheetml/2006/main" id="63" name="Tabelle63" displayName="Tabelle63" ref="A1:AI239" totalsRowShown="0" headerRowDxfId="85" headerRowBorderDxfId="84">
  <autoFilter ref="A1:AI239"/>
  <tableColumns count="35">
    <tableColumn id="1" name="BfArM Nummer"/>
    <tableColumn id="2" name="Treatment"/>
    <tableColumn id="3" name="MCV-36 Tage vor Krankheitsbeginn (fl)"/>
    <tableColumn id="4" name="MCV-20 Tage vor Krankheitsbeginn"/>
    <tableColumn id="5" name="MCV-12 Tage vor Krankheitsbeginn"/>
    <tableColumn id="6" name="MCV-11 Tage vor Krankheitsbeginn"/>
    <tableColumn id="7" name="MCV-9 Tage vor Krankheitsbeginn"/>
    <tableColumn id="8" name="MCV-8 Tage vor Krankheitsbeginn"/>
    <tableColumn id="9" name="MCV-7 Tage vor Krankheitsbeginn"/>
    <tableColumn id="10" name="MCV-6 Tage vor Krankheitsbeginn"/>
    <tableColumn id="11" name="MCV-3 Tage vor Krankheitsbeginn"/>
    <tableColumn id="12" name="MCV-2 Tage vor Krankheitsbeginn"/>
    <tableColumn id="13" name="MCV-1 Tag vor Krankheitsbeginn"/>
    <tableColumn id="14" name="MCV-Datum unbekannt (fl)"/>
    <tableColumn id="15" name="MCV-d1 (fl)"/>
    <tableColumn id="16" name="MCV-d2"/>
    <tableColumn id="17" name="MCV-d3"/>
    <tableColumn id="18" name="MCV-d4"/>
    <tableColumn id="19" name="MCV- (fl) d5"/>
    <tableColumn id="20" name="MCV-d6"/>
    <tableColumn id="21" name="MCV-d7"/>
    <tableColumn id="22" name="MCV-d2w1"/>
    <tableColumn id="23" name="MCV- (fl) d3w1"/>
    <tableColumn id="24" name="MCV-d4w1"/>
    <tableColumn id="25" name="MCV-d5w1"/>
    <tableColumn id="26" name="MCV-d1w2"/>
    <tableColumn id="27" name="MCV- (fl) d2w2"/>
    <tableColumn id="28" name="MCV-d7w2"/>
    <tableColumn id="29" name="MCV-d2w3"/>
    <tableColumn id="30" name="MCV-d4w3"/>
    <tableColumn id="31" name="MCV- (fl) d1w0m1"/>
    <tableColumn id="32" name="MCV- (fl) d4w3m1"/>
    <tableColumn id="33" name="MCV-d7w0m2"/>
    <tableColumn id="34" name="MCV-d3w3m2"/>
    <tableColumn id="35" name="MCV- (fl) d4w3m2"/>
  </tableColumns>
  <tableStyleInfo showFirstColumn="0" showLastColumn="0" showRowStripes="1" showColumnStripes="0"/>
</table>
</file>

<file path=xl/tables/table62.xml><?xml version="1.0" encoding="utf-8"?>
<table xmlns="http://schemas.openxmlformats.org/spreadsheetml/2006/main" id="64" name="MCV" displayName="MCV" ref="A1:E24" tableType="queryTable" totalsRowShown="0">
  <autoFilter ref="A1:E24"/>
  <tableColumns count="5">
    <tableColumn id="6" uniqueName="6" name="BfArM Nummer" queryTableFieldId="1" dataDxfId="83"/>
    <tableColumn id="2" uniqueName="2" name="Treatment" queryTableFieldId="2" dataDxfId="82"/>
    <tableColumn id="3" uniqueName="3" name="MCV" queryTableFieldId="3" dataDxfId="81"/>
    <tableColumn id="4" uniqueName="4" name="Day of Observations" queryTableFieldId="4" dataDxfId="80"/>
    <tableColumn id="5" uniqueName="5" name="Total Number of Observations" queryTableFieldId="5" dataDxfId="79"/>
  </tableColumns>
  <tableStyleInfo name="TableStyleMedium7" showFirstColumn="0" showLastColumn="0" showRowStripes="1" showColumnStripes="0"/>
</table>
</file>

<file path=xl/tables/table63.xml><?xml version="1.0" encoding="utf-8"?>
<table xmlns="http://schemas.openxmlformats.org/spreadsheetml/2006/main" id="65" name="Tabelle65" displayName="Tabelle65" ref="A1:AE239" totalsRowShown="0" headerRowDxfId="78" headerRowBorderDxfId="77">
  <autoFilter ref="A1:AE239"/>
  <tableColumns count="31">
    <tableColumn id="1" name="BfArM Nummer"/>
    <tableColumn id="2" name="Treatment"/>
    <tableColumn id="3" name="MCH-36 Tage vor Krankheitsbeginn (pg)"/>
    <tableColumn id="4" name="MCH-20 Tage vor Krankheitsbeginn"/>
    <tableColumn id="5" name="MCH-12 Tage vor Krankheitsbeginn"/>
    <tableColumn id="6" name="MCH-11 Tage vor Krankheitsbeginn"/>
    <tableColumn id="7" name="MCH-8 Tage vor Krankheitsbeginn"/>
    <tableColumn id="8" name="MCH-7 Tage vor Krankheitsbeginn"/>
    <tableColumn id="9" name="MCH-6 Tage vor Krankheitsbeginn"/>
    <tableColumn id="10" name="MCH-3 Tage vor Krankheitsbeginn"/>
    <tableColumn id="11" name="MCH-2 Tage vor Krankheitsbeginn"/>
    <tableColumn id="12" name="MCH-1 Tag vor Krankheitsbeginn"/>
    <tableColumn id="13" name="MCH-Datum unbekannt (pg)"/>
    <tableColumn id="14" name="MCH (HBE)-d1 (pg)"/>
    <tableColumn id="15" name="MCH-d2"/>
    <tableColumn id="16" name="MCH-d3"/>
    <tableColumn id="17" name="MCH-d4"/>
    <tableColumn id="18" name="MCH- (pg) d5"/>
    <tableColumn id="19" name="MCH-d6"/>
    <tableColumn id="20" name="MCH-d7"/>
    <tableColumn id="21" name="MCH-d2w1"/>
    <tableColumn id="22" name="MCH-d3w1"/>
    <tableColumn id="23" name="MCH- (pg) d4w1"/>
    <tableColumn id="24" name="MCH-d5w1"/>
    <tableColumn id="25" name="MCH-d1w2"/>
    <tableColumn id="26" name="MCH-d2w2"/>
    <tableColumn id="27" name="MCH-d4w3"/>
    <tableColumn id="28" name="MCH- (pg) d1w0m1"/>
    <tableColumn id="29" name="MCH-d7w0m2"/>
    <tableColumn id="30" name="MCH-d3w3m2"/>
    <tableColumn id="31" name="MCH- (pg) d4w3m2"/>
  </tableColumns>
  <tableStyleInfo showFirstColumn="0" showLastColumn="0" showRowStripes="1" showColumnStripes="0"/>
</table>
</file>

<file path=xl/tables/table64.xml><?xml version="1.0" encoding="utf-8"?>
<table xmlns="http://schemas.openxmlformats.org/spreadsheetml/2006/main" id="66" name="MCH" displayName="MCH" ref="A1:E21" tableType="queryTable" totalsRowShown="0">
  <autoFilter ref="A1:E21"/>
  <tableColumns count="5">
    <tableColumn id="6" uniqueName="6" name="BfArM Nummer" queryTableFieldId="1" dataDxfId="76"/>
    <tableColumn id="2" uniqueName="2" name="Treatment" queryTableFieldId="2" dataDxfId="75"/>
    <tableColumn id="3" uniqueName="3" name="MCH" queryTableFieldId="3" dataDxfId="74"/>
    <tableColumn id="4" uniqueName="4" name="Day of Observations" queryTableFieldId="4" dataDxfId="73"/>
    <tableColumn id="5" uniqueName="5" name="Total Number of Observations" queryTableFieldId="5" dataDxfId="7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8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9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0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1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2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3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4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5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6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7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8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9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0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1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2.xml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3.xml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4.xml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5.xml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6.xml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7.xml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8.xml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9.xml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0.xml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1.xml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2.xml"/></Relationships>
</file>

<file path=xl/worksheets/_rels/sheet4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3.xml"/><Relationship Id="rId1" Type="http://schemas.openxmlformats.org/officeDocument/2006/relationships/printerSettings" Target="../printerSettings/printerSettings3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4.xml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5.xml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6.xml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7.xml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8.xml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9.xml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0.xml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1.xml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2.xml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3.xml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4.xml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5.xml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6.xml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7.xml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8.xml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9.xml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0.xml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1.xml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2.xml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3.xml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MR240"/>
  <sheetViews>
    <sheetView zoomScale="85" zoomScaleNormal="85" zoomScaleSheetLayoutView="90" workbookViewId="0">
      <pane xSplit="1" ySplit="2" topLeftCell="B3" activePane="bottomRight" state="frozen"/>
      <selection pane="topRight" activeCell="B1" sqref="B1"/>
      <selection pane="bottomLeft" activeCell="A2" sqref="A2"/>
      <selection pane="bottomRight" activeCell="GMQ1" sqref="GMQ1:GMQ1048576"/>
    </sheetView>
  </sheetViews>
  <sheetFormatPr defaultColWidth="11.42578125" defaultRowHeight="15" x14ac:dyDescent="0.25"/>
  <cols>
    <col min="417" max="428" width="12.28515625" customWidth="1"/>
    <col min="429" max="429" width="12.28515625" bestFit="1" customWidth="1"/>
    <col min="430" max="437" width="12.28515625" customWidth="1"/>
    <col min="5086" max="5086" width="11.42578125" style="79"/>
  </cols>
  <sheetData>
    <row r="1" spans="1:5088" x14ac:dyDescent="0.25">
      <c r="AMH1" s="43" t="s">
        <v>587</v>
      </c>
      <c r="AWT1" s="16" t="s">
        <v>143</v>
      </c>
      <c r="AXG1" s="16" t="s">
        <v>146</v>
      </c>
      <c r="AXS1" s="16" t="s">
        <v>120</v>
      </c>
      <c r="AYE1" s="16" t="s">
        <v>1659</v>
      </c>
      <c r="AYP1" s="16" t="s">
        <v>213</v>
      </c>
      <c r="AZA1" s="16" t="s">
        <v>682</v>
      </c>
      <c r="AZK1" s="16" t="s">
        <v>485</v>
      </c>
      <c r="AZV1" s="16" t="s">
        <v>977</v>
      </c>
      <c r="BAF1" s="16" t="s">
        <v>2256</v>
      </c>
      <c r="BAP1" s="16" t="s">
        <v>2244</v>
      </c>
      <c r="BAZ1" s="30" t="s">
        <v>285</v>
      </c>
      <c r="BBK1" s="16" t="s">
        <v>972</v>
      </c>
      <c r="BBV1" s="16" t="s">
        <v>1002</v>
      </c>
      <c r="BCF1" s="16" t="s">
        <v>984</v>
      </c>
      <c r="BCQ1" s="16" t="s">
        <v>1021</v>
      </c>
      <c r="BDB1" s="16" t="s">
        <v>421</v>
      </c>
      <c r="BDM1" s="16" t="s">
        <v>523</v>
      </c>
      <c r="BDW1" s="16" t="s">
        <v>2464</v>
      </c>
      <c r="BEG1" s="16" t="s">
        <v>326</v>
      </c>
      <c r="BEQ1" s="16" t="s">
        <v>327</v>
      </c>
      <c r="BFA1" s="16" t="s">
        <v>488</v>
      </c>
      <c r="BFK1" s="16" t="s">
        <v>274</v>
      </c>
      <c r="BFV1" s="16" t="s">
        <v>979</v>
      </c>
      <c r="BGF1" s="16" t="s">
        <v>380</v>
      </c>
      <c r="BGP1" s="16" t="s">
        <v>428</v>
      </c>
      <c r="BHA1" s="16" t="s">
        <v>484</v>
      </c>
      <c r="BHK1" s="16" t="s">
        <v>1717</v>
      </c>
      <c r="BHU1" s="16" t="s">
        <v>429</v>
      </c>
      <c r="BIE1" s="16" t="s">
        <v>1019</v>
      </c>
      <c r="BIO1" t="s">
        <v>1029</v>
      </c>
      <c r="BIY1" t="s">
        <v>2025</v>
      </c>
      <c r="BJI1" s="16" t="s">
        <v>225</v>
      </c>
      <c r="BJT1" s="16" t="s">
        <v>330</v>
      </c>
      <c r="BKD1" s="16" t="s">
        <v>243</v>
      </c>
      <c r="BKN1" s="16" t="s">
        <v>152</v>
      </c>
      <c r="BKX1" s="16" t="s">
        <v>980</v>
      </c>
      <c r="BLH1" s="16" t="s">
        <v>2225</v>
      </c>
      <c r="BLR1" s="16" t="s">
        <v>2458</v>
      </c>
      <c r="BMB1" s="16" t="s">
        <v>522</v>
      </c>
      <c r="BML1" s="16" t="s">
        <v>2014</v>
      </c>
      <c r="BMW1" s="16" t="s">
        <v>2013</v>
      </c>
      <c r="BNG1" s="16" t="s">
        <v>978</v>
      </c>
      <c r="BNQ1" s="16" t="s">
        <v>986</v>
      </c>
      <c r="BOA1" s="16" t="s">
        <v>2255</v>
      </c>
      <c r="BOK1" s="16" t="s">
        <v>277</v>
      </c>
      <c r="BOU1" s="16" t="s">
        <v>339</v>
      </c>
      <c r="BPE1" s="16" t="s">
        <v>721</v>
      </c>
      <c r="BPO1" s="16" t="s">
        <v>999</v>
      </c>
      <c r="BPY1" s="16" t="s">
        <v>431</v>
      </c>
      <c r="BQI1" s="16" t="s">
        <v>1678</v>
      </c>
      <c r="BQS1" s="16" t="s">
        <v>434</v>
      </c>
      <c r="BRC1" s="16" t="s">
        <v>483</v>
      </c>
      <c r="BRN1" s="16" t="s">
        <v>489</v>
      </c>
      <c r="BRY1" s="16" t="s">
        <v>490</v>
      </c>
      <c r="BSI1" s="16" t="s">
        <v>1716</v>
      </c>
      <c r="BSS1" s="16" t="s">
        <v>1022</v>
      </c>
      <c r="BTC1" s="16" t="s">
        <v>2467</v>
      </c>
      <c r="BTM1" s="16" t="s">
        <v>541</v>
      </c>
      <c r="BTW1" s="16" t="s">
        <v>542</v>
      </c>
      <c r="BUG1" s="16" t="s">
        <v>768</v>
      </c>
      <c r="BUQ1" s="16" t="s">
        <v>780</v>
      </c>
      <c r="BVB1" s="16" t="s">
        <v>779</v>
      </c>
      <c r="BVM1" s="16" t="s">
        <v>781</v>
      </c>
      <c r="BVX1" s="16" t="s">
        <v>2469</v>
      </c>
      <c r="BWH1" s="16" t="s">
        <v>737</v>
      </c>
      <c r="BWR1" s="16" t="s">
        <v>2241</v>
      </c>
      <c r="BXB1" s="16" t="s">
        <v>279</v>
      </c>
      <c r="BXL1" s="16" t="s">
        <v>288</v>
      </c>
      <c r="BXW1" t="s">
        <v>998</v>
      </c>
      <c r="BYG1" s="16" t="s">
        <v>2010</v>
      </c>
      <c r="BYR1" s="16" t="s">
        <v>2252</v>
      </c>
      <c r="BZB1" s="16" t="s">
        <v>375</v>
      </c>
      <c r="BZL1" s="16" t="s">
        <v>373</v>
      </c>
      <c r="BZV1" s="16" t="s">
        <v>422</v>
      </c>
      <c r="CAF1" s="16" t="s">
        <v>2016</v>
      </c>
      <c r="CAP1" s="16" t="s">
        <v>2026</v>
      </c>
      <c r="CBA1" s="16" t="s">
        <v>1705</v>
      </c>
      <c r="CBL1" s="16" t="s">
        <v>280</v>
      </c>
      <c r="CBW1" s="16" t="s">
        <v>2235</v>
      </c>
      <c r="CCG1" s="16" t="s">
        <v>290</v>
      </c>
      <c r="CCQ1" s="16" t="s">
        <v>547</v>
      </c>
      <c r="CDA1" s="16" t="s">
        <v>2017</v>
      </c>
      <c r="CDK1" s="16" t="s">
        <v>272</v>
      </c>
      <c r="CDU1" s="16" t="s">
        <v>1683</v>
      </c>
      <c r="CEE1" s="16" t="s">
        <v>281</v>
      </c>
      <c r="CEO1" s="16" t="s">
        <v>1008</v>
      </c>
      <c r="CEY1" s="16" t="s">
        <v>2245</v>
      </c>
      <c r="CFI1" s="16" t="s">
        <v>1025</v>
      </c>
      <c r="CFS1" s="16" t="s">
        <v>981</v>
      </c>
      <c r="CGC1" s="16" t="s">
        <v>992</v>
      </c>
      <c r="CGM1" s="16" t="s">
        <v>2240</v>
      </c>
      <c r="CGW1" s="16" t="s">
        <v>2462</v>
      </c>
      <c r="CHG1" s="16" t="s">
        <v>982</v>
      </c>
      <c r="CHQ1" s="16" t="s">
        <v>282</v>
      </c>
      <c r="CIB1" s="16" t="s">
        <v>1713</v>
      </c>
      <c r="CIL1" s="16" t="s">
        <v>2222</v>
      </c>
      <c r="CIV1" s="16" t="s">
        <v>2239</v>
      </c>
      <c r="CJF1" s="16" t="s">
        <v>2020</v>
      </c>
      <c r="CJP1" s="16" t="s">
        <v>1708</v>
      </c>
      <c r="CJZ1" s="16" t="s">
        <v>516</v>
      </c>
      <c r="CKJ1" s="16" t="s">
        <v>296</v>
      </c>
      <c r="CKT1" s="16" t="s">
        <v>706</v>
      </c>
      <c r="CLD1" s="16" t="s">
        <v>487</v>
      </c>
      <c r="CLN1" s="16" t="s">
        <v>1709</v>
      </c>
      <c r="CLX1" t="s">
        <v>1004</v>
      </c>
      <c r="CMH1" s="16" t="s">
        <v>520</v>
      </c>
      <c r="CMR1" s="16" t="s">
        <v>2253</v>
      </c>
      <c r="CNB1" s="16" t="s">
        <v>295</v>
      </c>
      <c r="CNM1" s="16" t="s">
        <v>407</v>
      </c>
      <c r="CNW1" s="16" t="s">
        <v>419</v>
      </c>
      <c r="COG1" s="16" t="s">
        <v>420</v>
      </c>
      <c r="COQ1" s="16" t="s">
        <v>2461</v>
      </c>
      <c r="CPB1" s="16" t="s">
        <v>402</v>
      </c>
      <c r="CPL1" s="16" t="s">
        <v>470</v>
      </c>
      <c r="CPV1" s="16" t="s">
        <v>474</v>
      </c>
      <c r="CQG1" t="s">
        <v>1018</v>
      </c>
      <c r="CQQ1" s="16" t="s">
        <v>1000</v>
      </c>
      <c r="CRA1" s="16" t="s">
        <v>480</v>
      </c>
      <c r="CRK1" s="16" t="s">
        <v>294</v>
      </c>
      <c r="CRU1" s="16" t="s">
        <v>366</v>
      </c>
      <c r="CSF1" t="s">
        <v>1005</v>
      </c>
      <c r="CSP1" t="s">
        <v>1006</v>
      </c>
      <c r="CSZ1" s="16" t="s">
        <v>1707</v>
      </c>
      <c r="CTJ1" s="16" t="s">
        <v>424</v>
      </c>
      <c r="CTT1" s="16" t="s">
        <v>976</v>
      </c>
      <c r="CUE1" s="16" t="s">
        <v>425</v>
      </c>
      <c r="CUO1" s="16" t="s">
        <v>475</v>
      </c>
      <c r="CUY1" s="16" t="s">
        <v>1003</v>
      </c>
      <c r="CVI1" s="16" t="s">
        <v>988</v>
      </c>
      <c r="CVT1" s="16" t="s">
        <v>342</v>
      </c>
      <c r="CWE1" s="16" t="s">
        <v>2242</v>
      </c>
      <c r="CWP1" s="16" t="s">
        <v>2470</v>
      </c>
      <c r="CXA1" t="s">
        <v>974</v>
      </c>
      <c r="CXL1" s="16" t="s">
        <v>1017</v>
      </c>
      <c r="CXX1" s="16" t="s">
        <v>1012</v>
      </c>
      <c r="CYH1" t="s">
        <v>1015</v>
      </c>
      <c r="CYR1" s="16" t="s">
        <v>1014</v>
      </c>
      <c r="CZD1" s="16" t="s">
        <v>708</v>
      </c>
      <c r="CZN1" s="16" t="s">
        <v>1711</v>
      </c>
      <c r="CZX1" s="16" t="s">
        <v>1001</v>
      </c>
      <c r="DAH1" s="16" t="s">
        <v>1712</v>
      </c>
      <c r="DAR1" s="16" t="s">
        <v>1714</v>
      </c>
      <c r="DBC1" s="16" t="s">
        <v>2454</v>
      </c>
      <c r="DBM1" s="16" t="s">
        <v>2456</v>
      </c>
      <c r="DBW1" s="16" t="s">
        <v>2457</v>
      </c>
      <c r="DCG1" s="30" t="s">
        <v>283</v>
      </c>
      <c r="DCR1" s="30" t="s">
        <v>284</v>
      </c>
      <c r="DDC1" s="16" t="s">
        <v>301</v>
      </c>
      <c r="DDO1" s="16" t="s">
        <v>229</v>
      </c>
      <c r="DEA1" s="16" t="s">
        <v>276</v>
      </c>
      <c r="DEK1" t="s">
        <v>707</v>
      </c>
      <c r="DEU1" s="16" t="s">
        <v>2250</v>
      </c>
      <c r="DFE1" s="16" t="s">
        <v>291</v>
      </c>
      <c r="DFO1" s="16" t="s">
        <v>973</v>
      </c>
      <c r="DFY1" s="16" t="s">
        <v>298</v>
      </c>
      <c r="DGI1" s="16" t="s">
        <v>2018</v>
      </c>
      <c r="DGS1" s="16" t="s">
        <v>302</v>
      </c>
      <c r="DHC1" s="16" t="s">
        <v>1702</v>
      </c>
      <c r="DHM1" s="16" t="s">
        <v>344</v>
      </c>
      <c r="DHW1" s="16" t="s">
        <v>1681</v>
      </c>
      <c r="DIG1" s="16" t="s">
        <v>1704</v>
      </c>
      <c r="DIQ1" s="16" t="s">
        <v>2459</v>
      </c>
      <c r="DJA1" s="16" t="s">
        <v>317</v>
      </c>
      <c r="DJK1" s="16" t="s">
        <v>410</v>
      </c>
      <c r="DJU1" s="16" t="s">
        <v>318</v>
      </c>
      <c r="DKE1" s="16" t="s">
        <v>733</v>
      </c>
      <c r="DKP1" s="16" t="s">
        <v>322</v>
      </c>
      <c r="DKZ1" s="16" t="s">
        <v>323</v>
      </c>
      <c r="DLJ1" s="16" t="s">
        <v>318</v>
      </c>
      <c r="DLT1" s="16" t="s">
        <v>412</v>
      </c>
      <c r="DMD1" s="16" t="s">
        <v>413</v>
      </c>
      <c r="DMN1" t="s">
        <v>990</v>
      </c>
      <c r="DMX1" s="16" t="s">
        <v>398</v>
      </c>
      <c r="DNH1" s="16" t="s">
        <v>1706</v>
      </c>
      <c r="DNS1" s="16" t="s">
        <v>546</v>
      </c>
      <c r="DOD1" s="16" t="s">
        <v>1718</v>
      </c>
      <c r="DON1" s="16" t="s">
        <v>2471</v>
      </c>
      <c r="DOX1" s="16" t="s">
        <v>991</v>
      </c>
      <c r="DPI1" t="s">
        <v>993</v>
      </c>
      <c r="DPS1" s="16" t="s">
        <v>411</v>
      </c>
      <c r="DQC1" s="16" t="s">
        <v>996</v>
      </c>
      <c r="DQM1" s="16" t="s">
        <v>1703</v>
      </c>
      <c r="DQW1" s="16" t="s">
        <v>324</v>
      </c>
      <c r="DRE1" s="16" t="s">
        <v>289</v>
      </c>
      <c r="DRP1" s="16" t="s">
        <v>545</v>
      </c>
      <c r="DRZ1" s="16" t="s">
        <v>471</v>
      </c>
      <c r="DSJ1" t="s">
        <v>1020</v>
      </c>
      <c r="DSU1" s="16" t="s">
        <v>273</v>
      </c>
      <c r="DTE1" s="16" t="s">
        <v>432</v>
      </c>
      <c r="DTO1" s="16" t="s">
        <v>433</v>
      </c>
      <c r="DTY1" s="16" t="s">
        <v>518</v>
      </c>
      <c r="DUI1" t="s">
        <v>2021</v>
      </c>
      <c r="DUS1" s="16" t="s">
        <v>2227</v>
      </c>
      <c r="DVD1" s="16" t="s">
        <v>286</v>
      </c>
      <c r="DVO1" t="s">
        <v>997</v>
      </c>
      <c r="DVY1" s="16" t="s">
        <v>2249</v>
      </c>
      <c r="DWI1" s="16" t="s">
        <v>2251</v>
      </c>
      <c r="DWS1" s="16" t="s">
        <v>2466</v>
      </c>
      <c r="DXC1" s="16" t="s">
        <v>994</v>
      </c>
      <c r="DXM1" s="16" t="s">
        <v>2005</v>
      </c>
      <c r="DXX1" s="16" t="s">
        <v>306</v>
      </c>
      <c r="DYH1" t="s">
        <v>2004</v>
      </c>
      <c r="DYR1" s="16" t="s">
        <v>305</v>
      </c>
      <c r="DZB1" s="16" t="s">
        <v>399</v>
      </c>
      <c r="DZL1" s="16" t="s">
        <v>513</v>
      </c>
      <c r="DZW1" s="16" t="s">
        <v>544</v>
      </c>
      <c r="EAG1" s="16" t="s">
        <v>345</v>
      </c>
      <c r="EAQ1" s="16" t="s">
        <v>731</v>
      </c>
      <c r="EBA1" t="s">
        <v>753</v>
      </c>
      <c r="EBK1" s="16" t="s">
        <v>2460</v>
      </c>
      <c r="EBU1" t="s">
        <v>752</v>
      </c>
      <c r="ECE1" s="16" t="s">
        <v>2451</v>
      </c>
      <c r="ECO1" s="16" t="s">
        <v>2475</v>
      </c>
      <c r="ECZ1" s="16" t="s">
        <v>2019</v>
      </c>
      <c r="EDJ1" s="16" t="s">
        <v>521</v>
      </c>
      <c r="EDT1" s="16" t="s">
        <v>1677</v>
      </c>
      <c r="EED1" s="16" t="s">
        <v>377</v>
      </c>
      <c r="EEN1" s="16" t="s">
        <v>1682</v>
      </c>
      <c r="EEX1" s="16" t="s">
        <v>287</v>
      </c>
      <c r="EFI1" s="16" t="s">
        <v>319</v>
      </c>
      <c r="EFS1" s="16" t="s">
        <v>300</v>
      </c>
      <c r="EGC1" s="16" t="s">
        <v>2023</v>
      </c>
      <c r="EGM1" s="16" t="s">
        <v>2024</v>
      </c>
      <c r="EGW1" s="16" t="s">
        <v>2009</v>
      </c>
      <c r="EHG1" s="16" t="s">
        <v>2472</v>
      </c>
      <c r="EHR1" s="16" t="s">
        <v>735</v>
      </c>
      <c r="EIB1" s="16" t="s">
        <v>736</v>
      </c>
      <c r="EIL1" t="s">
        <v>1719</v>
      </c>
      <c r="EIV1" s="16" t="s">
        <v>1721</v>
      </c>
      <c r="EJF1" s="16" t="s">
        <v>2022</v>
      </c>
      <c r="EJP1" s="16" t="s">
        <v>1007</v>
      </c>
      <c r="EJZ1" s="16" t="s">
        <v>2006</v>
      </c>
      <c r="EKJ1" s="16" t="s">
        <v>1715</v>
      </c>
      <c r="EKT1" s="16" t="s">
        <v>1030</v>
      </c>
      <c r="ELE1" s="16" t="s">
        <v>2254</v>
      </c>
      <c r="ELO1" s="16" t="s">
        <v>1028</v>
      </c>
      <c r="ELY1" s="16" t="s">
        <v>1656</v>
      </c>
      <c r="EMI1" s="16" t="s">
        <v>1657</v>
      </c>
      <c r="EMS1" s="16" t="s">
        <v>1720</v>
      </c>
      <c r="ENC1" s="16" t="s">
        <v>2447</v>
      </c>
      <c r="ENM1" s="16" t="s">
        <v>1026</v>
      </c>
      <c r="ENW1" t="s">
        <v>2008</v>
      </c>
      <c r="EOG1" s="16" t="s">
        <v>2007</v>
      </c>
      <c r="EOQ1" s="16" t="s">
        <v>320</v>
      </c>
      <c r="EPA1" s="16" t="s">
        <v>543</v>
      </c>
      <c r="EPK1" s="16" t="s">
        <v>1023</v>
      </c>
      <c r="EPU1" t="s">
        <v>1009</v>
      </c>
      <c r="EQE1" s="16" t="s">
        <v>278</v>
      </c>
      <c r="EQO1" s="16" t="s">
        <v>400</v>
      </c>
      <c r="EQY1" s="16" t="s">
        <v>405</v>
      </c>
      <c r="ERI1" s="16" t="s">
        <v>481</v>
      </c>
      <c r="ERS1" s="16" t="s">
        <v>2238</v>
      </c>
      <c r="ESC1" s="16" t="s">
        <v>292</v>
      </c>
      <c r="ESM1" s="16" t="s">
        <v>403</v>
      </c>
      <c r="ESU1" s="16" t="s">
        <v>409</v>
      </c>
      <c r="ETE1" t="s">
        <v>1679</v>
      </c>
      <c r="ETM1" s="16" t="s">
        <v>1676</v>
      </c>
      <c r="ETW1" s="16" t="s">
        <v>738</v>
      </c>
      <c r="EUG1" s="16" t="s">
        <v>1658</v>
      </c>
      <c r="EUQ1" s="16" t="s">
        <v>985</v>
      </c>
      <c r="EVA1" s="38" t="s">
        <v>386</v>
      </c>
      <c r="EVK1" s="16" t="s">
        <v>2468</v>
      </c>
      <c r="EVV1" s="16" t="s">
        <v>329</v>
      </c>
      <c r="EWF1" s="16" t="s">
        <v>1701</v>
      </c>
      <c r="EWP1" s="16" t="s">
        <v>494</v>
      </c>
      <c r="EWZ1" s="16" t="s">
        <v>293</v>
      </c>
      <c r="EXJ1" t="s">
        <v>1660</v>
      </c>
      <c r="EXT1" s="16" t="s">
        <v>971</v>
      </c>
      <c r="EYD1" s="16" t="s">
        <v>2453</v>
      </c>
      <c r="EYN1" s="16" t="s">
        <v>2489</v>
      </c>
      <c r="EYY1" s="16" t="s">
        <v>1016</v>
      </c>
      <c r="EZI1" s="16" t="s">
        <v>2446</v>
      </c>
      <c r="EZS1" s="16" t="s">
        <v>1024</v>
      </c>
      <c r="FAC1" s="16" t="s">
        <v>2243</v>
      </c>
      <c r="FAM1" s="16" t="s">
        <v>2015</v>
      </c>
      <c r="FAW1" s="16" t="s">
        <v>517</v>
      </c>
      <c r="FBH1" s="16" t="s">
        <v>2224</v>
      </c>
      <c r="FBR1" s="16" t="s">
        <v>2221</v>
      </c>
      <c r="FCB1" s="16" t="s">
        <v>2512</v>
      </c>
      <c r="FCM1" s="16" t="s">
        <v>364</v>
      </c>
      <c r="FCX1" s="16" t="s">
        <v>1027</v>
      </c>
      <c r="FDI1" s="16" t="s">
        <v>975</v>
      </c>
      <c r="FDS1" s="16" t="s">
        <v>374</v>
      </c>
      <c r="FEC1" s="16" t="s">
        <v>439</v>
      </c>
      <c r="FEM1" s="16" t="s">
        <v>1661</v>
      </c>
      <c r="FEX1" t="s">
        <v>989</v>
      </c>
      <c r="FFH1" s="16" t="s">
        <v>486</v>
      </c>
      <c r="FFR1" t="s">
        <v>440</v>
      </c>
      <c r="FGB1" s="16" t="s">
        <v>362</v>
      </c>
      <c r="FGL1" t="s">
        <v>268</v>
      </c>
      <c r="FGV1" s="16" t="s">
        <v>438</v>
      </c>
      <c r="FHF1" s="16" t="s">
        <v>556</v>
      </c>
      <c r="FHP1" s="16" t="s">
        <v>557</v>
      </c>
      <c r="FHZ1" s="16" t="s">
        <v>558</v>
      </c>
      <c r="FIJ1" s="16" t="s">
        <v>2448</v>
      </c>
      <c r="FIT1" s="16" t="s">
        <v>2449</v>
      </c>
      <c r="FJD1" s="16" t="s">
        <v>2450</v>
      </c>
      <c r="FJN1" s="16" t="s">
        <v>2465</v>
      </c>
      <c r="FJX1" s="16" t="s">
        <v>2226</v>
      </c>
      <c r="FKI1" s="16" t="s">
        <v>2455</v>
      </c>
      <c r="FKS1" s="16" t="s">
        <v>515</v>
      </c>
      <c r="FLC1" t="s">
        <v>1013</v>
      </c>
      <c r="FLM1" s="16" t="s">
        <v>1699</v>
      </c>
      <c r="FLW1" s="16" t="s">
        <v>2474</v>
      </c>
      <c r="FMH1" s="16" t="s">
        <v>2237</v>
      </c>
      <c r="FMS1" s="16" t="s">
        <v>1700</v>
      </c>
      <c r="FNC1" s="16" t="s">
        <v>512</v>
      </c>
      <c r="FNN1" s="16" t="s">
        <v>983</v>
      </c>
      <c r="FNY1" s="16" t="s">
        <v>321</v>
      </c>
      <c r="FOI1" s="16" t="s">
        <v>732</v>
      </c>
      <c r="FOT1" s="16" t="s">
        <v>987</v>
      </c>
      <c r="FPE1" s="16" t="s">
        <v>2011</v>
      </c>
      <c r="FPP1" s="16" t="s">
        <v>705</v>
      </c>
      <c r="FPZ1" s="16" t="s">
        <v>270</v>
      </c>
      <c r="FQJ1" s="16" t="s">
        <v>378</v>
      </c>
      <c r="FQT1" t="s">
        <v>769</v>
      </c>
      <c r="FRD1" s="16" t="s">
        <v>2228</v>
      </c>
      <c r="FRN1" s="16" t="s">
        <v>2246</v>
      </c>
      <c r="FRY1" s="38" t="s">
        <v>384</v>
      </c>
      <c r="FSI1" t="s">
        <v>1680</v>
      </c>
      <c r="FSS1" s="16" t="s">
        <v>275</v>
      </c>
      <c r="FTD1" s="16" t="s">
        <v>214</v>
      </c>
      <c r="FTO1" s="16" t="s">
        <v>297</v>
      </c>
      <c r="FTY1" s="16" t="s">
        <v>224</v>
      </c>
      <c r="FUI1" t="s">
        <v>1710</v>
      </c>
      <c r="FUJ1" t="s">
        <v>360</v>
      </c>
      <c r="FUK1" t="s">
        <v>361</v>
      </c>
      <c r="FUL1" t="s">
        <v>394</v>
      </c>
      <c r="FUM1" t="s">
        <v>376</v>
      </c>
      <c r="FUO1" s="37" t="s">
        <v>379</v>
      </c>
      <c r="FUP1" s="38" t="s">
        <v>538</v>
      </c>
      <c r="FUQ1" s="38" t="s">
        <v>539</v>
      </c>
      <c r="FUR1" t="s">
        <v>371</v>
      </c>
      <c r="FUS1" t="s">
        <v>372</v>
      </c>
      <c r="FWW1" s="19" t="s">
        <v>443</v>
      </c>
      <c r="GBV1" s="1" t="s">
        <v>2518</v>
      </c>
      <c r="GBW1" s="1"/>
      <c r="GBX1" s="18" t="s">
        <v>554</v>
      </c>
      <c r="GDI1" s="22" t="s">
        <v>182</v>
      </c>
      <c r="GDS1" s="20" t="s">
        <v>128</v>
      </c>
      <c r="GEC1" s="22" t="s">
        <v>190</v>
      </c>
      <c r="GEK1" s="21" t="s">
        <v>197</v>
      </c>
      <c r="GEY1" s="22" t="s">
        <v>133</v>
      </c>
      <c r="GFL1" s="22" t="s">
        <v>723</v>
      </c>
      <c r="GFP1" s="22" t="s">
        <v>253</v>
      </c>
      <c r="GFU1" s="22" t="s">
        <v>783</v>
      </c>
      <c r="GFZ1" s="22" t="s">
        <v>722</v>
      </c>
      <c r="GGE1" s="22" t="s">
        <v>241</v>
      </c>
      <c r="GGG1" s="22" t="s">
        <v>254</v>
      </c>
      <c r="GGJ1" s="22" t="s">
        <v>256</v>
      </c>
      <c r="GGP1" s="22" t="s">
        <v>509</v>
      </c>
      <c r="GGU1" s="22" t="s">
        <v>454</v>
      </c>
      <c r="GHA1" s="22" t="s">
        <v>155</v>
      </c>
      <c r="GHF1" s="22" t="s">
        <v>136</v>
      </c>
      <c r="GHI1" s="22" t="s">
        <v>255</v>
      </c>
      <c r="GHR1" s="22" t="s">
        <v>744</v>
      </c>
      <c r="GHX1" s="21" t="s">
        <v>192</v>
      </c>
      <c r="GID1" s="21" t="s">
        <v>223</v>
      </c>
      <c r="GIH1" s="22" t="s">
        <v>456</v>
      </c>
      <c r="GIK1" s="22" t="s">
        <v>714</v>
      </c>
      <c r="GIP1" s="22" t="s">
        <v>1663</v>
      </c>
      <c r="GKR1" s="24" t="s">
        <v>2287</v>
      </c>
      <c r="GLM1" s="32" t="s">
        <v>257</v>
      </c>
    </row>
    <row r="2" spans="1:5088" ht="105" x14ac:dyDescent="0.25">
      <c r="A2" s="9" t="s">
        <v>59</v>
      </c>
      <c r="B2" s="4" t="s">
        <v>658</v>
      </c>
      <c r="C2" s="4" t="s">
        <v>851</v>
      </c>
      <c r="D2" s="4" t="s">
        <v>852</v>
      </c>
      <c r="E2" s="45" t="s">
        <v>1455</v>
      </c>
      <c r="F2" s="4" t="s">
        <v>911</v>
      </c>
      <c r="G2" s="4" t="s">
        <v>1178</v>
      </c>
      <c r="H2" s="4" t="s">
        <v>1179</v>
      </c>
      <c r="I2" s="4" t="s">
        <v>1459</v>
      </c>
      <c r="J2" s="4" t="s">
        <v>1181</v>
      </c>
      <c r="K2" s="4" t="s">
        <v>1182</v>
      </c>
      <c r="L2" s="4" t="s">
        <v>1287</v>
      </c>
      <c r="M2" s="4" t="s">
        <v>1460</v>
      </c>
      <c r="N2" s="4" t="s">
        <v>808</v>
      </c>
      <c r="O2" s="4" t="s">
        <v>103</v>
      </c>
      <c r="P2" s="4" t="s">
        <v>809</v>
      </c>
      <c r="Q2" s="4" t="s">
        <v>1461</v>
      </c>
      <c r="R2" s="4" t="s">
        <v>34</v>
      </c>
      <c r="S2" s="4" t="s">
        <v>1453</v>
      </c>
      <c r="T2" s="4" t="s">
        <v>1454</v>
      </c>
      <c r="U2" s="4" t="s">
        <v>1462</v>
      </c>
      <c r="V2" s="4" t="s">
        <v>2418</v>
      </c>
      <c r="W2" s="4" t="s">
        <v>2355</v>
      </c>
      <c r="X2" s="4" t="s">
        <v>1463</v>
      </c>
      <c r="Y2" s="4" t="s">
        <v>1771</v>
      </c>
      <c r="Z2" s="4" t="s">
        <v>1857</v>
      </c>
      <c r="AA2" s="4" t="s">
        <v>1896</v>
      </c>
      <c r="AB2" s="4" t="s">
        <v>851</v>
      </c>
      <c r="AC2" s="4" t="s">
        <v>1962</v>
      </c>
      <c r="AD2" s="4" t="s">
        <v>1918</v>
      </c>
      <c r="AE2" s="4" t="s">
        <v>1990</v>
      </c>
      <c r="AF2" s="4" t="s">
        <v>1464</v>
      </c>
      <c r="AG2" s="4" t="s">
        <v>852</v>
      </c>
      <c r="AH2" s="4" t="s">
        <v>2308</v>
      </c>
      <c r="AI2" s="4" t="s">
        <v>658</v>
      </c>
      <c r="AJ2" s="45" t="s">
        <v>1456</v>
      </c>
      <c r="AK2" s="4" t="s">
        <v>858</v>
      </c>
      <c r="AL2" s="4" t="s">
        <v>1178</v>
      </c>
      <c r="AM2" s="4" t="s">
        <v>1465</v>
      </c>
      <c r="AN2" s="4" t="s">
        <v>1180</v>
      </c>
      <c r="AO2" s="4" t="s">
        <v>1181</v>
      </c>
      <c r="AP2" s="4" t="s">
        <v>1182</v>
      </c>
      <c r="AQ2" s="4" t="s">
        <v>1466</v>
      </c>
      <c r="AR2" s="4" t="s">
        <v>102</v>
      </c>
      <c r="AS2" s="4" t="s">
        <v>808</v>
      </c>
      <c r="AT2" s="4" t="s">
        <v>1183</v>
      </c>
      <c r="AU2" s="4" t="s">
        <v>1467</v>
      </c>
      <c r="AV2" s="4" t="s">
        <v>809</v>
      </c>
      <c r="AW2" s="4" t="s">
        <v>165</v>
      </c>
      <c r="AX2" s="4" t="s">
        <v>1184</v>
      </c>
      <c r="AY2" s="4" t="s">
        <v>1468</v>
      </c>
      <c r="AZ2" s="4" t="s">
        <v>34</v>
      </c>
      <c r="BA2" s="4" t="s">
        <v>1453</v>
      </c>
      <c r="BB2" s="4" t="s">
        <v>1306</v>
      </c>
      <c r="BC2" s="4" t="s">
        <v>1185</v>
      </c>
      <c r="BD2" s="4" t="s">
        <v>1469</v>
      </c>
      <c r="BE2" s="4" t="s">
        <v>1454</v>
      </c>
      <c r="BF2" s="4" t="s">
        <v>1307</v>
      </c>
      <c r="BG2" s="4" t="s">
        <v>1314</v>
      </c>
      <c r="BH2" s="4" t="s">
        <v>1187</v>
      </c>
      <c r="BI2" s="4" t="s">
        <v>1470</v>
      </c>
      <c r="BJ2" s="4" t="s">
        <v>1202</v>
      </c>
      <c r="BK2" s="4" t="s">
        <v>2196</v>
      </c>
      <c r="BL2" s="4" t="s">
        <v>1471</v>
      </c>
      <c r="BM2" s="4" t="s">
        <v>1815</v>
      </c>
      <c r="BN2" s="4" t="s">
        <v>1816</v>
      </c>
      <c r="BO2" s="4" t="s">
        <v>2432</v>
      </c>
      <c r="BP2" s="4" t="s">
        <v>1204</v>
      </c>
      <c r="BQ2" s="4" t="s">
        <v>2151</v>
      </c>
      <c r="BR2" s="4" t="s">
        <v>2433</v>
      </c>
      <c r="BS2" s="4" t="s">
        <v>2152</v>
      </c>
      <c r="BT2" s="4" t="s">
        <v>2428</v>
      </c>
      <c r="BU2" s="4" t="s">
        <v>2081</v>
      </c>
      <c r="BV2" s="4" t="s">
        <v>2153</v>
      </c>
      <c r="BW2" s="4" t="s">
        <v>2075</v>
      </c>
      <c r="BX2" s="4" t="s">
        <v>2154</v>
      </c>
      <c r="BY2" s="4" t="s">
        <v>2341</v>
      </c>
      <c r="BZ2" s="4" t="s">
        <v>2434</v>
      </c>
      <c r="CA2" s="4" t="s">
        <v>2155</v>
      </c>
      <c r="CB2" s="4" t="s">
        <v>1188</v>
      </c>
      <c r="CC2" s="4" t="s">
        <v>1203</v>
      </c>
      <c r="CD2" s="4" t="s">
        <v>1817</v>
      </c>
      <c r="CE2" s="4" t="s">
        <v>2083</v>
      </c>
      <c r="CF2" s="4" t="s">
        <v>1472</v>
      </c>
      <c r="CG2" s="4" t="s">
        <v>1189</v>
      </c>
      <c r="CH2" s="4" t="s">
        <v>2212</v>
      </c>
      <c r="CI2" s="4" t="s">
        <v>2084</v>
      </c>
      <c r="CJ2" s="4" t="s">
        <v>2076</v>
      </c>
      <c r="CK2" s="4" t="s">
        <v>2356</v>
      </c>
      <c r="CL2" s="4" t="s">
        <v>1474</v>
      </c>
      <c r="CM2" s="45" t="s">
        <v>1473</v>
      </c>
      <c r="CN2" s="4" t="s">
        <v>858</v>
      </c>
      <c r="CO2" s="4" t="s">
        <v>1178</v>
      </c>
      <c r="CP2" s="4" t="s">
        <v>1179</v>
      </c>
      <c r="CQ2" s="4" t="s">
        <v>1459</v>
      </c>
      <c r="CR2" s="4" t="s">
        <v>1181</v>
      </c>
      <c r="CS2" s="4" t="s">
        <v>2121</v>
      </c>
      <c r="CT2" s="4" t="s">
        <v>1287</v>
      </c>
      <c r="CU2" s="4" t="s">
        <v>808</v>
      </c>
      <c r="CV2" s="4" t="s">
        <v>1183</v>
      </c>
      <c r="CW2" s="4" t="s">
        <v>103</v>
      </c>
      <c r="CX2" s="4" t="s">
        <v>1184</v>
      </c>
      <c r="CY2" s="4" t="s">
        <v>1320</v>
      </c>
      <c r="CZ2" s="4" t="s">
        <v>1475</v>
      </c>
      <c r="DA2" s="4" t="s">
        <v>1453</v>
      </c>
      <c r="DB2" s="4" t="s">
        <v>1306</v>
      </c>
      <c r="DC2" s="4" t="s">
        <v>1186</v>
      </c>
      <c r="DD2" s="4" t="s">
        <v>1307</v>
      </c>
      <c r="DE2" s="4" t="s">
        <v>1476</v>
      </c>
      <c r="DF2" s="4" t="s">
        <v>1187</v>
      </c>
      <c r="DG2" s="4" t="s">
        <v>1202</v>
      </c>
      <c r="DH2" s="4" t="s">
        <v>1816</v>
      </c>
      <c r="DI2" s="4" t="s">
        <v>2081</v>
      </c>
      <c r="DJ2" s="4" t="s">
        <v>2341</v>
      </c>
      <c r="DK2" s="4" t="s">
        <v>1477</v>
      </c>
      <c r="DL2" s="4" t="s">
        <v>2082</v>
      </c>
      <c r="DM2" s="4" t="s">
        <v>1855</v>
      </c>
      <c r="DN2" s="4" t="s">
        <v>1993</v>
      </c>
      <c r="DO2" s="4" t="s">
        <v>60</v>
      </c>
      <c r="DP2" s="45" t="s">
        <v>1157</v>
      </c>
      <c r="DQ2" s="4" t="s">
        <v>1478</v>
      </c>
      <c r="DR2" s="4" t="s">
        <v>1479</v>
      </c>
      <c r="DS2" s="4" t="s">
        <v>1481</v>
      </c>
      <c r="DT2" s="4" t="s">
        <v>1480</v>
      </c>
      <c r="DU2" s="4" t="s">
        <v>1158</v>
      </c>
      <c r="DV2" s="4" t="s">
        <v>1482</v>
      </c>
      <c r="DW2" s="4" t="s">
        <v>2141</v>
      </c>
      <c r="DX2" s="4" t="s">
        <v>94</v>
      </c>
      <c r="DY2" s="4" t="s">
        <v>1324</v>
      </c>
      <c r="DZ2" s="4" t="s">
        <v>1129</v>
      </c>
      <c r="EA2" s="4" t="s">
        <v>2142</v>
      </c>
      <c r="EB2" s="4" t="s">
        <v>1483</v>
      </c>
      <c r="EC2" s="4" t="s">
        <v>1484</v>
      </c>
      <c r="ED2" s="4" t="s">
        <v>2415</v>
      </c>
      <c r="EE2" s="4" t="s">
        <v>2438</v>
      </c>
      <c r="EF2" s="4" t="s">
        <v>1105</v>
      </c>
      <c r="EG2" s="4" t="s">
        <v>2443</v>
      </c>
      <c r="EH2" s="4" t="s">
        <v>1035</v>
      </c>
      <c r="EI2" s="4" t="s">
        <v>1485</v>
      </c>
      <c r="EJ2" s="4" t="s">
        <v>1073</v>
      </c>
      <c r="EK2" s="4" t="s">
        <v>1770</v>
      </c>
      <c r="EL2" s="4" t="s">
        <v>1769</v>
      </c>
      <c r="EM2" s="4" t="s">
        <v>1984</v>
      </c>
      <c r="EN2" s="4" t="s">
        <v>1900</v>
      </c>
      <c r="EO2" s="4" t="s">
        <v>1073</v>
      </c>
      <c r="EP2" s="4" t="s">
        <v>1486</v>
      </c>
      <c r="EQ2" s="4" t="s">
        <v>1959</v>
      </c>
      <c r="ER2" s="4" t="s">
        <v>1767</v>
      </c>
      <c r="ES2" s="4" t="s">
        <v>1764</v>
      </c>
      <c r="ET2" s="4" t="s">
        <v>1270</v>
      </c>
      <c r="EU2" s="4" t="s">
        <v>1994</v>
      </c>
      <c r="EV2" s="4" t="s">
        <v>2353</v>
      </c>
      <c r="EW2" s="4" t="s">
        <v>1487</v>
      </c>
      <c r="EX2" s="45" t="s">
        <v>1326</v>
      </c>
      <c r="EY2" s="4" t="s">
        <v>662</v>
      </c>
      <c r="EZ2" s="4" t="s">
        <v>35</v>
      </c>
      <c r="FA2" s="4" t="s">
        <v>36</v>
      </c>
      <c r="FB2" s="4" t="s">
        <v>1488</v>
      </c>
      <c r="FC2" s="4" t="s">
        <v>37</v>
      </c>
      <c r="FD2" s="4" t="s">
        <v>1258</v>
      </c>
      <c r="FE2" s="4" t="s">
        <v>1286</v>
      </c>
      <c r="FF2" s="4" t="s">
        <v>1489</v>
      </c>
      <c r="FG2" s="4" t="s">
        <v>1125</v>
      </c>
      <c r="FH2" s="4" t="s">
        <v>1076</v>
      </c>
      <c r="FI2" s="4" t="s">
        <v>99</v>
      </c>
      <c r="FJ2" s="4" t="s">
        <v>1490</v>
      </c>
      <c r="FK2" s="4" t="s">
        <v>166</v>
      </c>
      <c r="FL2" s="4" t="s">
        <v>906</v>
      </c>
      <c r="FM2" s="4" t="s">
        <v>1077</v>
      </c>
      <c r="FN2" s="4" t="s">
        <v>1491</v>
      </c>
      <c r="FO2" s="4" t="s">
        <v>1768</v>
      </c>
      <c r="FP2" s="4" t="s">
        <v>1293</v>
      </c>
      <c r="FQ2" s="4" t="s">
        <v>893</v>
      </c>
      <c r="FR2" s="4" t="s">
        <v>1036</v>
      </c>
      <c r="FS2" s="4" t="s">
        <v>1492</v>
      </c>
      <c r="FT2" s="4" t="s">
        <v>1294</v>
      </c>
      <c r="FU2" s="4" t="s">
        <v>1315</v>
      </c>
      <c r="FV2" s="4" t="s">
        <v>1766</v>
      </c>
      <c r="FW2" s="4" t="s">
        <v>1765</v>
      </c>
      <c r="FX2" s="4" t="s">
        <v>1057</v>
      </c>
      <c r="FY2" s="4" t="s">
        <v>1493</v>
      </c>
      <c r="FZ2" s="4" t="s">
        <v>1240</v>
      </c>
      <c r="GA2" s="4" t="s">
        <v>811</v>
      </c>
      <c r="GB2" s="4" t="s">
        <v>1494</v>
      </c>
      <c r="GC2" s="4" t="s">
        <v>2193</v>
      </c>
      <c r="GD2" s="4" t="s">
        <v>1804</v>
      </c>
      <c r="GE2" s="4" t="s">
        <v>1803</v>
      </c>
      <c r="GF2" s="4" t="s">
        <v>2186</v>
      </c>
      <c r="GG2" s="4" t="s">
        <v>2181</v>
      </c>
      <c r="GH2" s="4" t="s">
        <v>1164</v>
      </c>
      <c r="GI2" s="4" t="s">
        <v>2149</v>
      </c>
      <c r="GJ2" s="4" t="s">
        <v>2431</v>
      </c>
      <c r="GK2" s="4" t="s">
        <v>2096</v>
      </c>
      <c r="GL2" s="4" t="s">
        <v>2073</v>
      </c>
      <c r="GM2" s="4" t="s">
        <v>2320</v>
      </c>
      <c r="GN2" s="4" t="s">
        <v>2321</v>
      </c>
      <c r="GO2" s="4" t="s">
        <v>2150</v>
      </c>
      <c r="GP2" s="4" t="s">
        <v>2322</v>
      </c>
      <c r="GQ2" s="4" t="s">
        <v>2187</v>
      </c>
      <c r="GR2" s="4" t="s">
        <v>1201</v>
      </c>
      <c r="GS2" s="4" t="s">
        <v>2345</v>
      </c>
      <c r="GT2" s="4" t="s">
        <v>2097</v>
      </c>
      <c r="GU2" s="4" t="s">
        <v>1495</v>
      </c>
      <c r="GV2" s="4" t="s">
        <v>1177</v>
      </c>
      <c r="GW2" s="4" t="s">
        <v>1496</v>
      </c>
      <c r="GX2" s="4" t="s">
        <v>2098</v>
      </c>
      <c r="GY2" s="4" t="s">
        <v>2074</v>
      </c>
      <c r="GZ2" s="4" t="s">
        <v>1861</v>
      </c>
      <c r="HA2" s="4" t="s">
        <v>1497</v>
      </c>
      <c r="HB2" s="45" t="s">
        <v>1869</v>
      </c>
      <c r="HC2" s="4" t="s">
        <v>1775</v>
      </c>
      <c r="HD2" s="4" t="s">
        <v>1498</v>
      </c>
      <c r="HE2" s="4" t="s">
        <v>1132</v>
      </c>
      <c r="HF2" s="4" t="s">
        <v>1499</v>
      </c>
      <c r="HG2" s="4" t="s">
        <v>1133</v>
      </c>
      <c r="HH2" s="4" t="s">
        <v>1772</v>
      </c>
      <c r="HI2" s="4" t="s">
        <v>1917</v>
      </c>
      <c r="HJ2" s="4" t="s">
        <v>1901</v>
      </c>
      <c r="HK2" s="4" t="s">
        <v>1773</v>
      </c>
      <c r="HL2" s="4" t="s">
        <v>1774</v>
      </c>
      <c r="HM2" s="4" t="s">
        <v>2122</v>
      </c>
      <c r="HN2" s="4" t="s">
        <v>1500</v>
      </c>
      <c r="HO2" s="4" t="s">
        <v>1056</v>
      </c>
      <c r="HP2" s="4" t="s">
        <v>2099</v>
      </c>
      <c r="HQ2" s="4" t="s">
        <v>2100</v>
      </c>
      <c r="HR2" s="4" t="s">
        <v>1501</v>
      </c>
      <c r="HS2" s="4" t="s">
        <v>2101</v>
      </c>
      <c r="HT2" s="4" t="s">
        <v>2102</v>
      </c>
      <c r="HU2" s="4" t="s">
        <v>2360</v>
      </c>
      <c r="HV2" s="4" t="s">
        <v>1502</v>
      </c>
      <c r="HW2" s="4" t="s">
        <v>1106</v>
      </c>
      <c r="HX2" s="4" t="s">
        <v>1983</v>
      </c>
      <c r="HY2" s="4" t="s">
        <v>1853</v>
      </c>
      <c r="HZ2" s="4" t="s">
        <v>1503</v>
      </c>
      <c r="IA2" s="4" t="s">
        <v>853</v>
      </c>
      <c r="IB2" s="4" t="s">
        <v>1957</v>
      </c>
      <c r="IC2" s="4" t="s">
        <v>1890</v>
      </c>
      <c r="ID2" s="4" t="s">
        <v>1504</v>
      </c>
      <c r="IE2" s="4" t="s">
        <v>502</v>
      </c>
      <c r="IF2" s="4" t="s">
        <v>503</v>
      </c>
      <c r="IG2" s="4" t="s">
        <v>1891</v>
      </c>
      <c r="IH2" s="4" t="s">
        <v>1505</v>
      </c>
      <c r="II2" s="45" t="s">
        <v>504</v>
      </c>
      <c r="IJ2" s="4" t="s">
        <v>915</v>
      </c>
      <c r="IK2" s="4" t="s">
        <v>916</v>
      </c>
      <c r="IL2" s="4" t="s">
        <v>39</v>
      </c>
      <c r="IM2" s="4" t="s">
        <v>1506</v>
      </c>
      <c r="IN2" s="4" t="s">
        <v>40</v>
      </c>
      <c r="IO2" s="4" t="s">
        <v>505</v>
      </c>
      <c r="IP2" s="4" t="s">
        <v>1507</v>
      </c>
      <c r="IQ2" s="4" t="s">
        <v>917</v>
      </c>
      <c r="IR2" s="4" t="s">
        <v>1156</v>
      </c>
      <c r="IS2" s="4" t="s">
        <v>68</v>
      </c>
      <c r="IT2" s="4" t="s">
        <v>76</v>
      </c>
      <c r="IU2" s="4" t="s">
        <v>1508</v>
      </c>
      <c r="IV2" s="4" t="s">
        <v>2352</v>
      </c>
      <c r="IW2" s="4" t="s">
        <v>38</v>
      </c>
      <c r="IX2" s="4" t="s">
        <v>1509</v>
      </c>
      <c r="IY2" s="4" t="s">
        <v>506</v>
      </c>
      <c r="IZ2" s="4" t="s">
        <v>2200</v>
      </c>
      <c r="JA2" s="4" t="s">
        <v>813</v>
      </c>
      <c r="JB2" s="4" t="s">
        <v>80</v>
      </c>
      <c r="JC2" s="4" t="s">
        <v>1510</v>
      </c>
      <c r="JD2" s="4" t="s">
        <v>1058</v>
      </c>
      <c r="JE2" s="4" t="s">
        <v>1798</v>
      </c>
      <c r="JF2" s="4" t="s">
        <v>1797</v>
      </c>
      <c r="JG2" s="4" t="s">
        <v>1796</v>
      </c>
      <c r="JH2" s="4" t="s">
        <v>2079</v>
      </c>
      <c r="JI2" s="4" t="s">
        <v>2312</v>
      </c>
      <c r="JJ2" s="4" t="s">
        <v>2085</v>
      </c>
      <c r="JK2" s="4" t="s">
        <v>1511</v>
      </c>
      <c r="JL2" s="4" t="s">
        <v>1928</v>
      </c>
      <c r="JM2" s="45" t="s">
        <v>1927</v>
      </c>
      <c r="JN2" s="4" t="s">
        <v>1929</v>
      </c>
      <c r="JO2" s="4" t="s">
        <v>2378</v>
      </c>
      <c r="JP2" s="4" t="s">
        <v>1995</v>
      </c>
      <c r="JQ2" s="4" t="s">
        <v>2379</v>
      </c>
      <c r="JR2" s="4" t="s">
        <v>63</v>
      </c>
      <c r="JS2" s="45" t="s">
        <v>1052</v>
      </c>
      <c r="JT2" s="4" t="s">
        <v>1512</v>
      </c>
      <c r="JU2" s="4" t="s">
        <v>41</v>
      </c>
      <c r="JV2" s="4" t="s">
        <v>42</v>
      </c>
      <c r="JW2" s="4" t="s">
        <v>1513</v>
      </c>
      <c r="JX2" s="4" t="s">
        <v>43</v>
      </c>
      <c r="JY2" s="4" t="s">
        <v>2514</v>
      </c>
      <c r="JZ2" s="4" t="s">
        <v>100</v>
      </c>
      <c r="KA2" s="4" t="s">
        <v>1514</v>
      </c>
      <c r="KB2" s="4" t="s">
        <v>101</v>
      </c>
      <c r="KC2" s="4" t="s">
        <v>167</v>
      </c>
      <c r="KD2" s="4" t="s">
        <v>1321</v>
      </c>
      <c r="KE2" s="4" t="s">
        <v>1515</v>
      </c>
      <c r="KF2" s="4" t="s">
        <v>2203</v>
      </c>
      <c r="KG2" s="4" t="s">
        <v>1199</v>
      </c>
      <c r="KH2" s="4" t="s">
        <v>1813</v>
      </c>
      <c r="KI2" s="4" t="s">
        <v>1200</v>
      </c>
      <c r="KJ2" s="4" t="s">
        <v>1516</v>
      </c>
      <c r="KK2" s="4" t="s">
        <v>1517</v>
      </c>
      <c r="KL2" s="4" t="s">
        <v>1961</v>
      </c>
      <c r="KM2" s="4" t="s">
        <v>2380</v>
      </c>
      <c r="KN2" s="4" t="s">
        <v>850</v>
      </c>
      <c r="KO2" s="4" t="s">
        <v>2309</v>
      </c>
      <c r="KP2" s="4" t="s">
        <v>1518</v>
      </c>
      <c r="KQ2" s="45" t="s">
        <v>786</v>
      </c>
      <c r="KR2" s="4" t="s">
        <v>787</v>
      </c>
      <c r="KS2" s="4" t="s">
        <v>44</v>
      </c>
      <c r="KT2" s="4" t="s">
        <v>1914</v>
      </c>
      <c r="KU2" s="4" t="s">
        <v>1519</v>
      </c>
      <c r="KV2" s="4" t="s">
        <v>45</v>
      </c>
      <c r="KW2" s="4" t="s">
        <v>1915</v>
      </c>
      <c r="KX2" s="4" t="s">
        <v>1259</v>
      </c>
      <c r="KY2" s="4" t="s">
        <v>2230</v>
      </c>
      <c r="KZ2" s="4" t="s">
        <v>1922</v>
      </c>
      <c r="LA2" s="4" t="s">
        <v>2204</v>
      </c>
      <c r="LB2" s="4" t="s">
        <v>1520</v>
      </c>
      <c r="LC2" s="4" t="s">
        <v>1322</v>
      </c>
      <c r="LD2" s="4" t="s">
        <v>1323</v>
      </c>
      <c r="LE2" s="4" t="s">
        <v>1260</v>
      </c>
      <c r="LF2" s="4" t="s">
        <v>1828</v>
      </c>
      <c r="LG2" s="4" t="s">
        <v>2205</v>
      </c>
      <c r="LH2" s="4" t="s">
        <v>1521</v>
      </c>
      <c r="LI2" s="4" t="s">
        <v>1222</v>
      </c>
      <c r="LJ2" s="4" t="s">
        <v>2429</v>
      </c>
      <c r="LK2" s="4" t="s">
        <v>1814</v>
      </c>
      <c r="LL2" s="4" t="s">
        <v>2430</v>
      </c>
      <c r="LM2" s="4" t="s">
        <v>2166</v>
      </c>
      <c r="LN2" s="4" t="s">
        <v>2167</v>
      </c>
      <c r="LO2" s="4" t="s">
        <v>1223</v>
      </c>
      <c r="LP2" s="4" t="s">
        <v>1065</v>
      </c>
      <c r="LQ2" s="4" t="s">
        <v>1522</v>
      </c>
      <c r="LR2" s="4" t="s">
        <v>1976</v>
      </c>
      <c r="LS2" s="4" t="s">
        <v>1836</v>
      </c>
      <c r="LT2" s="4" t="s">
        <v>1977</v>
      </c>
      <c r="LU2" s="4" t="s">
        <v>1524</v>
      </c>
      <c r="LV2" s="4" t="s">
        <v>1951</v>
      </c>
      <c r="LW2" s="4" t="s">
        <v>1913</v>
      </c>
      <c r="LX2" s="4" t="s">
        <v>1952</v>
      </c>
      <c r="LY2" s="4" t="s">
        <v>854</v>
      </c>
      <c r="LZ2" s="4" t="s">
        <v>2311</v>
      </c>
      <c r="MA2" s="4" t="s">
        <v>1523</v>
      </c>
      <c r="MB2" s="45" t="s">
        <v>577</v>
      </c>
      <c r="MC2" s="4" t="s">
        <v>1108</v>
      </c>
      <c r="MD2" s="4" t="s">
        <v>585</v>
      </c>
      <c r="ME2" s="4" t="s">
        <v>586</v>
      </c>
      <c r="MF2" s="4" t="s">
        <v>1525</v>
      </c>
      <c r="MG2" s="4" t="s">
        <v>175</v>
      </c>
      <c r="MH2" s="4" t="s">
        <v>580</v>
      </c>
      <c r="MI2" s="4" t="s">
        <v>168</v>
      </c>
      <c r="MJ2" s="4" t="s">
        <v>1526</v>
      </c>
      <c r="MK2" s="4" t="s">
        <v>605</v>
      </c>
      <c r="ML2" s="4" t="s">
        <v>581</v>
      </c>
      <c r="MM2" s="4" t="s">
        <v>75</v>
      </c>
      <c r="MN2" s="4" t="s">
        <v>2202</v>
      </c>
      <c r="MO2" s="4" t="s">
        <v>1527</v>
      </c>
      <c r="MP2" s="4" t="s">
        <v>910</v>
      </c>
      <c r="MQ2" s="4" t="s">
        <v>1131</v>
      </c>
      <c r="MR2" s="4" t="s">
        <v>895</v>
      </c>
      <c r="MS2" s="4" t="s">
        <v>2170</v>
      </c>
      <c r="MT2" s="4" t="s">
        <v>1528</v>
      </c>
      <c r="MU2" s="4" t="s">
        <v>2190</v>
      </c>
      <c r="MV2" s="4" t="s">
        <v>2191</v>
      </c>
      <c r="MW2" s="4" t="s">
        <v>1317</v>
      </c>
      <c r="MX2" s="4" t="s">
        <v>2192</v>
      </c>
      <c r="MY2" s="4" t="s">
        <v>1530</v>
      </c>
      <c r="MZ2" s="4" t="s">
        <v>1529</v>
      </c>
      <c r="NA2" s="4" t="s">
        <v>2080</v>
      </c>
      <c r="NB2" s="4" t="s">
        <v>1069</v>
      </c>
      <c r="NC2" s="4" t="s">
        <v>1532</v>
      </c>
      <c r="ND2" s="4" t="s">
        <v>2086</v>
      </c>
      <c r="NE2" s="4" t="s">
        <v>1531</v>
      </c>
      <c r="NF2" s="4" t="s">
        <v>1886</v>
      </c>
      <c r="NG2" s="4" t="s">
        <v>1887</v>
      </c>
      <c r="NH2" s="4" t="s">
        <v>1533</v>
      </c>
      <c r="NI2" s="4" t="s">
        <v>1958</v>
      </c>
      <c r="NJ2" s="4" t="s">
        <v>1888</v>
      </c>
      <c r="NK2" s="4" t="s">
        <v>2403</v>
      </c>
      <c r="NL2" s="4" t="s">
        <v>859</v>
      </c>
      <c r="NM2" s="4" t="s">
        <v>2404</v>
      </c>
      <c r="NN2" s="4" t="s">
        <v>1534</v>
      </c>
      <c r="NO2" s="45" t="s">
        <v>1154</v>
      </c>
      <c r="NP2" s="4" t="s">
        <v>918</v>
      </c>
      <c r="NQ2" s="4" t="s">
        <v>860</v>
      </c>
      <c r="NR2" s="4" t="s">
        <v>1269</v>
      </c>
      <c r="NS2" s="4" t="s">
        <v>1535</v>
      </c>
      <c r="NT2" s="4" t="s">
        <v>1889</v>
      </c>
      <c r="NU2" s="4" t="s">
        <v>919</v>
      </c>
      <c r="NV2" s="4" t="s">
        <v>1155</v>
      </c>
      <c r="NW2" s="4" t="s">
        <v>1536</v>
      </c>
      <c r="NX2" s="4" t="s">
        <v>920</v>
      </c>
      <c r="NY2" s="4" t="s">
        <v>647</v>
      </c>
      <c r="NZ2" s="4" t="s">
        <v>73</v>
      </c>
      <c r="OA2" s="4" t="s">
        <v>1537</v>
      </c>
      <c r="OB2" s="4" t="s">
        <v>74</v>
      </c>
      <c r="OC2" s="4" t="s">
        <v>880</v>
      </c>
      <c r="OD2" s="4" t="s">
        <v>1538</v>
      </c>
      <c r="OE2" s="4" t="s">
        <v>1059</v>
      </c>
      <c r="OF2" s="4" t="s">
        <v>1820</v>
      </c>
      <c r="OG2" s="4" t="s">
        <v>1821</v>
      </c>
      <c r="OH2" s="4" t="s">
        <v>2313</v>
      </c>
      <c r="OI2" s="4" t="s">
        <v>1539</v>
      </c>
      <c r="OJ2" s="4" t="s">
        <v>2361</v>
      </c>
      <c r="OK2" s="4" t="s">
        <v>1856</v>
      </c>
      <c r="OL2" s="4" t="s">
        <v>1892</v>
      </c>
      <c r="OM2" s="4" t="s">
        <v>1893</v>
      </c>
      <c r="ON2" s="4" t="s">
        <v>2386</v>
      </c>
      <c r="OO2" s="4" t="s">
        <v>641</v>
      </c>
      <c r="OP2" s="45" t="s">
        <v>1051</v>
      </c>
      <c r="OQ2" s="4" t="s">
        <v>1540</v>
      </c>
      <c r="OR2" s="4" t="s">
        <v>1541</v>
      </c>
      <c r="OS2" s="4" t="s">
        <v>1542</v>
      </c>
      <c r="OT2" s="4" t="s">
        <v>1894</v>
      </c>
      <c r="OU2" s="4" t="s">
        <v>1895</v>
      </c>
      <c r="OV2" s="4" t="s">
        <v>1545</v>
      </c>
      <c r="OW2" s="4" t="s">
        <v>1543</v>
      </c>
      <c r="OX2" s="4" t="s">
        <v>1544</v>
      </c>
      <c r="OY2" s="4" t="s">
        <v>1544</v>
      </c>
      <c r="OZ2" s="4" t="s">
        <v>1546</v>
      </c>
      <c r="PA2" s="4" t="s">
        <v>1547</v>
      </c>
      <c r="PB2" s="4" t="s">
        <v>1045</v>
      </c>
      <c r="PC2" s="4" t="s">
        <v>1548</v>
      </c>
      <c r="PD2" s="4" t="s">
        <v>1964</v>
      </c>
      <c r="PE2" s="4" t="s">
        <v>1841</v>
      </c>
      <c r="PF2" s="4" t="s">
        <v>900</v>
      </c>
      <c r="PG2" s="4" t="s">
        <v>862</v>
      </c>
      <c r="PH2" s="4" t="s">
        <v>1930</v>
      </c>
      <c r="PI2" s="4" t="s">
        <v>1906</v>
      </c>
      <c r="PJ2" s="4" t="s">
        <v>2388</v>
      </c>
      <c r="PK2" s="4" t="s">
        <v>1549</v>
      </c>
      <c r="PL2" s="4" t="s">
        <v>899</v>
      </c>
      <c r="PM2" s="4" t="s">
        <v>1550</v>
      </c>
      <c r="PN2" s="45" t="s">
        <v>1242</v>
      </c>
      <c r="PO2" s="4" t="s">
        <v>803</v>
      </c>
      <c r="PP2" s="4" t="s">
        <v>863</v>
      </c>
      <c r="PQ2" s="4" t="s">
        <v>785</v>
      </c>
      <c r="PR2" s="4" t="s">
        <v>1551</v>
      </c>
      <c r="PS2" s="4" t="s">
        <v>1046</v>
      </c>
      <c r="PT2" s="4" t="s">
        <v>1907</v>
      </c>
      <c r="PU2" s="4" t="s">
        <v>1134</v>
      </c>
      <c r="PV2" s="4" t="s">
        <v>1552</v>
      </c>
      <c r="PW2" s="4" t="s">
        <v>1111</v>
      </c>
      <c r="PX2" s="4" t="s">
        <v>1135</v>
      </c>
      <c r="PY2" s="4" t="s">
        <v>870</v>
      </c>
      <c r="PZ2" s="4" t="s">
        <v>1553</v>
      </c>
      <c r="QA2" s="4" t="s">
        <v>652</v>
      </c>
      <c r="QB2" s="4" t="s">
        <v>929</v>
      </c>
      <c r="QC2" s="4" t="s">
        <v>1112</v>
      </c>
      <c r="QD2" s="4" t="s">
        <v>1554</v>
      </c>
      <c r="QE2" s="4" t="s">
        <v>653</v>
      </c>
      <c r="QF2" s="4" t="s">
        <v>1207</v>
      </c>
      <c r="QG2" s="4" t="s">
        <v>1555</v>
      </c>
      <c r="QH2" s="4" t="s">
        <v>1208</v>
      </c>
      <c r="QI2" s="4" t="s">
        <v>2349</v>
      </c>
      <c r="QJ2" s="45" t="s">
        <v>660</v>
      </c>
      <c r="QK2" s="4" t="s">
        <v>2427</v>
      </c>
      <c r="QL2" s="4" t="s">
        <v>1556</v>
      </c>
      <c r="QM2" s="4" t="s">
        <v>1089</v>
      </c>
      <c r="QN2" s="4" t="s">
        <v>1980</v>
      </c>
      <c r="QO2" s="4" t="s">
        <v>1847</v>
      </c>
      <c r="QP2" s="4" t="s">
        <v>1190</v>
      </c>
      <c r="QQ2" s="4" t="s">
        <v>1557</v>
      </c>
      <c r="QR2" s="4" t="s">
        <v>861</v>
      </c>
      <c r="QS2" s="4" t="s">
        <v>1940</v>
      </c>
      <c r="QT2" s="5" t="s">
        <v>1912</v>
      </c>
      <c r="QU2" s="5" t="s">
        <v>2397</v>
      </c>
      <c r="QV2" s="5" t="s">
        <v>1558</v>
      </c>
      <c r="QW2" s="5" t="s">
        <v>898</v>
      </c>
      <c r="QX2" s="5" t="s">
        <v>1559</v>
      </c>
      <c r="QY2" s="45" t="s">
        <v>1248</v>
      </c>
      <c r="QZ2" s="4" t="s">
        <v>46</v>
      </c>
      <c r="RA2" s="4" t="s">
        <v>47</v>
      </c>
      <c r="RB2" s="4" t="s">
        <v>48</v>
      </c>
      <c r="RC2" s="4" t="s">
        <v>1560</v>
      </c>
      <c r="RD2" s="4" t="s">
        <v>49</v>
      </c>
      <c r="RE2" s="4" t="s">
        <v>1249</v>
      </c>
      <c r="RF2" s="4" t="s">
        <v>1194</v>
      </c>
      <c r="RG2" s="4" t="s">
        <v>1561</v>
      </c>
      <c r="RH2" s="4" t="s">
        <v>606</v>
      </c>
      <c r="RI2" s="4" t="s">
        <v>1140</v>
      </c>
      <c r="RJ2" s="4" t="s">
        <v>176</v>
      </c>
      <c r="RK2" s="4" t="s">
        <v>921</v>
      </c>
      <c r="RL2" s="4" t="s">
        <v>1562</v>
      </c>
      <c r="RM2" s="4" t="s">
        <v>67</v>
      </c>
      <c r="RN2" s="4" t="s">
        <v>1123</v>
      </c>
      <c r="RO2" s="4" t="s">
        <v>177</v>
      </c>
      <c r="RP2" s="4" t="s">
        <v>1304</v>
      </c>
      <c r="RQ2" s="4" t="s">
        <v>1565</v>
      </c>
      <c r="RR2" s="4" t="s">
        <v>1305</v>
      </c>
      <c r="RS2" s="4" t="s">
        <v>1316</v>
      </c>
      <c r="RT2" s="4" t="s">
        <v>646</v>
      </c>
      <c r="RU2" s="4" t="s">
        <v>1564</v>
      </c>
      <c r="RV2" s="4" t="s">
        <v>65</v>
      </c>
      <c r="RW2" s="4" t="s">
        <v>1232</v>
      </c>
      <c r="RX2" s="4" t="s">
        <v>1822</v>
      </c>
      <c r="RY2" s="4" t="s">
        <v>2334</v>
      </c>
      <c r="RZ2" s="4" t="s">
        <v>1070</v>
      </c>
      <c r="SA2" s="4" t="s">
        <v>1563</v>
      </c>
      <c r="SB2" s="4" t="s">
        <v>608</v>
      </c>
      <c r="SC2" s="4" t="s">
        <v>609</v>
      </c>
      <c r="SD2" s="4" t="s">
        <v>1233</v>
      </c>
      <c r="SE2" s="4" t="s">
        <v>1566</v>
      </c>
      <c r="SF2" s="4" t="s">
        <v>1568</v>
      </c>
      <c r="SG2" s="45" t="s">
        <v>804</v>
      </c>
      <c r="SH2" s="4" t="s">
        <v>806</v>
      </c>
      <c r="SI2" s="4" t="s">
        <v>805</v>
      </c>
      <c r="SJ2" s="4" t="s">
        <v>1567</v>
      </c>
      <c r="SK2" s="5" t="s">
        <v>1975</v>
      </c>
      <c r="SL2" s="5" t="s">
        <v>1949</v>
      </c>
      <c r="SM2" s="5" t="s">
        <v>1569</v>
      </c>
      <c r="SN2" s="45" t="s">
        <v>1570</v>
      </c>
      <c r="SO2" s="4" t="s">
        <v>1571</v>
      </c>
      <c r="SP2" s="4" t="s">
        <v>1950</v>
      </c>
      <c r="SQ2" s="4" t="s">
        <v>2140</v>
      </c>
      <c r="SR2" s="4" t="s">
        <v>119</v>
      </c>
      <c r="SS2" s="4" t="s">
        <v>1838</v>
      </c>
      <c r="ST2" s="4" t="s">
        <v>62</v>
      </c>
      <c r="SU2" s="45" t="s">
        <v>1050</v>
      </c>
      <c r="SV2" s="4" t="s">
        <v>90</v>
      </c>
      <c r="SW2" s="4" t="s">
        <v>1572</v>
      </c>
      <c r="SX2" s="4" t="s">
        <v>1168</v>
      </c>
      <c r="SY2" s="4" t="s">
        <v>1573</v>
      </c>
      <c r="SZ2" s="4" t="s">
        <v>1094</v>
      </c>
      <c r="TA2" s="4" t="s">
        <v>1973</v>
      </c>
      <c r="TB2" s="4" t="s">
        <v>1839</v>
      </c>
      <c r="TC2" s="4" t="s">
        <v>1945</v>
      </c>
      <c r="TD2" s="4" t="s">
        <v>1946</v>
      </c>
      <c r="TE2" s="4" t="s">
        <v>61</v>
      </c>
      <c r="TF2" s="45" t="s">
        <v>1049</v>
      </c>
      <c r="TG2" s="4" t="s">
        <v>1209</v>
      </c>
      <c r="TH2" s="4" t="s">
        <v>1866</v>
      </c>
      <c r="TI2" s="4" t="s">
        <v>1327</v>
      </c>
      <c r="TJ2" s="4" t="s">
        <v>1095</v>
      </c>
      <c r="TK2" s="4" t="s">
        <v>1096</v>
      </c>
      <c r="TL2" s="4" t="s">
        <v>1574</v>
      </c>
      <c r="TM2" s="4" t="s">
        <v>1210</v>
      </c>
      <c r="TN2" s="4" t="s">
        <v>1211</v>
      </c>
      <c r="TO2" s="4" t="s">
        <v>1575</v>
      </c>
      <c r="TP2" s="4" t="s">
        <v>1166</v>
      </c>
      <c r="TQ2" s="4" t="s">
        <v>2425</v>
      </c>
      <c r="TR2" s="4" t="s">
        <v>1576</v>
      </c>
      <c r="TS2" s="4" t="s">
        <v>1042</v>
      </c>
      <c r="TT2" s="4" t="s">
        <v>1577</v>
      </c>
      <c r="TU2" s="4" t="s">
        <v>1971</v>
      </c>
      <c r="TV2" s="4" t="s">
        <v>2426</v>
      </c>
      <c r="TW2" s="4" t="s">
        <v>1941</v>
      </c>
      <c r="TX2" s="4" t="s">
        <v>1942</v>
      </c>
      <c r="TY2" s="4" t="s">
        <v>1867</v>
      </c>
      <c r="TZ2" s="45" t="s">
        <v>578</v>
      </c>
      <c r="UA2" s="4" t="s">
        <v>1578</v>
      </c>
      <c r="UB2" s="4" t="s">
        <v>611</v>
      </c>
      <c r="UC2" s="4" t="s">
        <v>1579</v>
      </c>
      <c r="UD2" s="4" t="s">
        <v>1047</v>
      </c>
      <c r="UE2" s="4" t="s">
        <v>1090</v>
      </c>
      <c r="UF2" s="4" t="s">
        <v>1580</v>
      </c>
      <c r="UG2" s="4" t="s">
        <v>1091</v>
      </c>
      <c r="UH2" s="4" t="s">
        <v>1043</v>
      </c>
      <c r="UI2" s="4" t="s">
        <v>1581</v>
      </c>
      <c r="UJ2" s="4" t="s">
        <v>1311</v>
      </c>
      <c r="UK2" s="4" t="s">
        <v>1044</v>
      </c>
      <c r="UL2" s="4" t="s">
        <v>1582</v>
      </c>
      <c r="UM2" s="4" t="s">
        <v>1231</v>
      </c>
      <c r="UN2" s="4" t="s">
        <v>1583</v>
      </c>
      <c r="UO2" s="4" t="s">
        <v>1584</v>
      </c>
      <c r="UP2" s="4" t="s">
        <v>1097</v>
      </c>
      <c r="UQ2" s="4" t="s">
        <v>1974</v>
      </c>
      <c r="UR2" s="4" t="s">
        <v>1840</v>
      </c>
      <c r="US2" s="4" t="s">
        <v>1947</v>
      </c>
      <c r="UT2" s="4" t="s">
        <v>1948</v>
      </c>
      <c r="UU2" s="4" t="s">
        <v>560</v>
      </c>
      <c r="UV2" s="45" t="s">
        <v>1048</v>
      </c>
      <c r="UW2" s="4" t="s">
        <v>1585</v>
      </c>
      <c r="UX2" s="4" t="s">
        <v>1865</v>
      </c>
      <c r="UY2" s="4" t="s">
        <v>1098</v>
      </c>
      <c r="UZ2" s="4" t="s">
        <v>1586</v>
      </c>
      <c r="VA2" s="4" t="s">
        <v>1205</v>
      </c>
      <c r="VB2" s="4" t="s">
        <v>1206</v>
      </c>
      <c r="VC2" s="4" t="s">
        <v>1587</v>
      </c>
      <c r="VD2" s="4" t="s">
        <v>1588</v>
      </c>
      <c r="VE2" s="4" t="s">
        <v>1884</v>
      </c>
      <c r="VF2" s="4" t="s">
        <v>1885</v>
      </c>
      <c r="VG2" s="4" t="s">
        <v>788</v>
      </c>
      <c r="VH2" s="4" t="s">
        <v>2401</v>
      </c>
      <c r="VI2" s="4" t="s">
        <v>1589</v>
      </c>
      <c r="VJ2" s="45" t="s">
        <v>50</v>
      </c>
      <c r="VK2" s="4" t="s">
        <v>2402</v>
      </c>
      <c r="VL2" s="4" t="s">
        <v>2229</v>
      </c>
      <c r="VM2" s="4" t="s">
        <v>1263</v>
      </c>
      <c r="VN2" s="4" t="s">
        <v>95</v>
      </c>
      <c r="VO2" s="4" t="s">
        <v>1264</v>
      </c>
      <c r="VP2" s="4" t="s">
        <v>1590</v>
      </c>
      <c r="VQ2" s="4" t="s">
        <v>2077</v>
      </c>
      <c r="VR2" s="4" t="s">
        <v>644</v>
      </c>
      <c r="VS2" s="4" t="s">
        <v>1325</v>
      </c>
      <c r="VT2" s="4" t="s">
        <v>1591</v>
      </c>
      <c r="VU2" s="4" t="s">
        <v>2143</v>
      </c>
      <c r="VV2" s="4" t="s">
        <v>643</v>
      </c>
      <c r="VW2" s="4" t="s">
        <v>2339</v>
      </c>
      <c r="VX2" s="4" t="s">
        <v>2340</v>
      </c>
      <c r="VY2" s="4" t="s">
        <v>1592</v>
      </c>
      <c r="VZ2" s="4" t="s">
        <v>904</v>
      </c>
      <c r="WA2" s="45" t="s">
        <v>903</v>
      </c>
      <c r="WB2" s="4" t="s">
        <v>905</v>
      </c>
      <c r="WC2" s="45" t="s">
        <v>96</v>
      </c>
      <c r="WD2" s="4" t="s">
        <v>97</v>
      </c>
      <c r="WE2" s="4" t="s">
        <v>907</v>
      </c>
      <c r="WF2" s="45" t="s">
        <v>908</v>
      </c>
      <c r="WG2" s="4" t="s">
        <v>909</v>
      </c>
      <c r="WH2" s="4" t="s">
        <v>563</v>
      </c>
      <c r="WI2" s="45" t="s">
        <v>933</v>
      </c>
      <c r="WJ2" s="4" t="s">
        <v>570</v>
      </c>
      <c r="WK2" s="4" t="s">
        <v>571</v>
      </c>
      <c r="WL2" s="4" t="s">
        <v>934</v>
      </c>
      <c r="WM2" s="4" t="s">
        <v>935</v>
      </c>
      <c r="WN2" s="4" t="s">
        <v>572</v>
      </c>
      <c r="WO2" s="4" t="s">
        <v>936</v>
      </c>
      <c r="WP2" s="4" t="s">
        <v>1267</v>
      </c>
      <c r="WQ2" s="4" t="s">
        <v>937</v>
      </c>
      <c r="WR2" s="4" t="s">
        <v>1594</v>
      </c>
      <c r="WS2" s="45" t="s">
        <v>1593</v>
      </c>
      <c r="WT2" s="4" t="s">
        <v>954</v>
      </c>
      <c r="WU2" s="4" t="s">
        <v>955</v>
      </c>
      <c r="WV2" s="4" t="s">
        <v>1595</v>
      </c>
      <c r="WW2" s="4" t="s">
        <v>956</v>
      </c>
      <c r="WX2" s="4" t="s">
        <v>1596</v>
      </c>
      <c r="WY2" s="45" t="s">
        <v>945</v>
      </c>
      <c r="WZ2" s="4" t="s">
        <v>946</v>
      </c>
      <c r="XA2" s="4" t="s">
        <v>947</v>
      </c>
      <c r="XB2" s="4" t="s">
        <v>950</v>
      </c>
      <c r="XC2" s="4" t="s">
        <v>951</v>
      </c>
      <c r="XD2" s="4" t="s">
        <v>1597</v>
      </c>
      <c r="XE2" s="4" t="s">
        <v>952</v>
      </c>
      <c r="XF2" s="4" t="s">
        <v>953</v>
      </c>
      <c r="XG2" s="4" t="s">
        <v>948</v>
      </c>
      <c r="XH2" s="45" t="s">
        <v>2209</v>
      </c>
      <c r="XI2" s="4" t="s">
        <v>569</v>
      </c>
      <c r="XJ2" s="4" t="s">
        <v>949</v>
      </c>
      <c r="XK2" s="4" t="s">
        <v>1598</v>
      </c>
      <c r="XL2" s="4" t="s">
        <v>942</v>
      </c>
      <c r="XM2" s="45" t="s">
        <v>941</v>
      </c>
      <c r="XN2" s="4" t="s">
        <v>940</v>
      </c>
      <c r="XO2" s="4" t="s">
        <v>938</v>
      </c>
      <c r="XP2" s="4" t="s">
        <v>943</v>
      </c>
      <c r="XQ2" s="4" t="s">
        <v>1599</v>
      </c>
      <c r="XR2" s="4" t="s">
        <v>939</v>
      </c>
      <c r="XS2" s="4" t="s">
        <v>944</v>
      </c>
      <c r="XT2" s="4" t="s">
        <v>1600</v>
      </c>
      <c r="XU2" s="4" t="s">
        <v>564</v>
      </c>
      <c r="XV2" s="45" t="s">
        <v>566</v>
      </c>
      <c r="XW2" s="4" t="s">
        <v>567</v>
      </c>
      <c r="XX2" s="4" t="s">
        <v>568</v>
      </c>
      <c r="XY2" s="4" t="s">
        <v>2358</v>
      </c>
      <c r="XZ2" s="4" t="s">
        <v>1601</v>
      </c>
      <c r="YA2" s="4" t="s">
        <v>1082</v>
      </c>
      <c r="YB2" s="4" t="s">
        <v>1161</v>
      </c>
      <c r="YC2" s="4" t="s">
        <v>1602</v>
      </c>
      <c r="YD2" s="4" t="s">
        <v>1083</v>
      </c>
      <c r="YE2" s="4" t="s">
        <v>1966</v>
      </c>
      <c r="YF2" s="4" t="s">
        <v>1843</v>
      </c>
      <c r="YG2" s="4" t="s">
        <v>1603</v>
      </c>
      <c r="YH2" s="4" t="s">
        <v>848</v>
      </c>
      <c r="YI2" s="4" t="s">
        <v>1933</v>
      </c>
      <c r="YJ2" s="4" t="s">
        <v>1908</v>
      </c>
      <c r="YK2" s="4" t="s">
        <v>2389</v>
      </c>
      <c r="YL2" s="4" t="s">
        <v>1604</v>
      </c>
      <c r="YM2" s="4" t="s">
        <v>896</v>
      </c>
      <c r="YN2" s="4" t="s">
        <v>639</v>
      </c>
      <c r="YO2" s="45" t="s">
        <v>866</v>
      </c>
      <c r="YP2" s="4" t="s">
        <v>867</v>
      </c>
      <c r="YQ2" s="4" t="s">
        <v>849</v>
      </c>
      <c r="YR2" s="4" t="s">
        <v>888</v>
      </c>
      <c r="YS2" s="4" t="s">
        <v>1605</v>
      </c>
      <c r="YT2" s="4" t="s">
        <v>1113</v>
      </c>
      <c r="YU2" s="4" t="s">
        <v>1244</v>
      </c>
      <c r="YV2" s="4" t="s">
        <v>1136</v>
      </c>
      <c r="YW2" s="4" t="s">
        <v>1606</v>
      </c>
      <c r="YX2" s="4" t="s">
        <v>1114</v>
      </c>
      <c r="YY2" s="4" t="s">
        <v>1137</v>
      </c>
      <c r="YZ2" s="4" t="s">
        <v>871</v>
      </c>
      <c r="ZA2" s="4" t="s">
        <v>923</v>
      </c>
      <c r="ZB2" s="4" t="s">
        <v>1607</v>
      </c>
      <c r="ZC2" s="4" t="s">
        <v>1115</v>
      </c>
      <c r="ZD2" s="4" t="s">
        <v>1921</v>
      </c>
      <c r="ZE2" s="4" t="s">
        <v>1299</v>
      </c>
      <c r="ZF2" s="4" t="s">
        <v>1608</v>
      </c>
      <c r="ZG2" s="4" t="s">
        <v>1300</v>
      </c>
      <c r="ZH2" s="4" t="s">
        <v>2139</v>
      </c>
      <c r="ZI2" s="4" t="s">
        <v>2125</v>
      </c>
      <c r="ZJ2" s="4" t="s">
        <v>889</v>
      </c>
      <c r="ZK2" s="4" t="s">
        <v>1197</v>
      </c>
      <c r="ZL2" s="4" t="s">
        <v>1609</v>
      </c>
      <c r="ZM2" s="4" t="s">
        <v>2336</v>
      </c>
      <c r="ZN2" s="4" t="s">
        <v>1062</v>
      </c>
      <c r="ZO2" s="4" t="s">
        <v>1068</v>
      </c>
      <c r="ZP2" s="4" t="s">
        <v>1198</v>
      </c>
      <c r="ZQ2" s="4" t="s">
        <v>2351</v>
      </c>
      <c r="ZR2" s="4" t="s">
        <v>1610</v>
      </c>
      <c r="ZS2" s="4" t="s">
        <v>1165</v>
      </c>
      <c r="ZT2" s="4" t="s">
        <v>1611</v>
      </c>
      <c r="ZU2" s="4" t="s">
        <v>1612</v>
      </c>
      <c r="ZV2" s="4" t="s">
        <v>1084</v>
      </c>
      <c r="ZW2" s="4" t="s">
        <v>1967</v>
      </c>
      <c r="ZX2" s="4" t="s">
        <v>1844</v>
      </c>
      <c r="ZY2" s="4" t="s">
        <v>1824</v>
      </c>
      <c r="ZZ2" s="4" t="s">
        <v>1909</v>
      </c>
      <c r="AAA2" s="4" t="s">
        <v>1934</v>
      </c>
      <c r="AAB2" s="4" t="s">
        <v>1935</v>
      </c>
      <c r="AAC2" s="4" t="s">
        <v>2390</v>
      </c>
      <c r="AAD2" s="4" t="s">
        <v>1999</v>
      </c>
      <c r="AAE2" s="4" t="s">
        <v>2391</v>
      </c>
      <c r="AAF2" s="4" t="s">
        <v>574</v>
      </c>
      <c r="AAG2" s="45" t="s">
        <v>890</v>
      </c>
      <c r="AAH2" s="4" t="s">
        <v>1138</v>
      </c>
      <c r="AAI2" s="4" t="s">
        <v>1864</v>
      </c>
      <c r="AAJ2" s="4" t="s">
        <v>1116</v>
      </c>
      <c r="AAK2" s="4" t="s">
        <v>1613</v>
      </c>
      <c r="AAL2" s="4" t="s">
        <v>1193</v>
      </c>
      <c r="AAM2" s="4" t="s">
        <v>2231</v>
      </c>
      <c r="AAN2" s="4" t="s">
        <v>1085</v>
      </c>
      <c r="AAO2" s="4" t="s">
        <v>1614</v>
      </c>
      <c r="AAP2" s="4" t="s">
        <v>1139</v>
      </c>
      <c r="AAQ2" s="4" t="s">
        <v>1117</v>
      </c>
      <c r="AAR2" s="4" t="s">
        <v>1086</v>
      </c>
      <c r="AAS2" s="4" t="s">
        <v>1615</v>
      </c>
      <c r="AAT2" s="4" t="s">
        <v>1301</v>
      </c>
      <c r="AAU2" s="4" t="s">
        <v>1302</v>
      </c>
      <c r="AAV2" s="4" t="s">
        <v>2129</v>
      </c>
      <c r="AAW2" s="4" t="s">
        <v>1616</v>
      </c>
      <c r="AAX2" s="4" t="s">
        <v>2333</v>
      </c>
      <c r="AAY2" s="4" t="s">
        <v>1229</v>
      </c>
      <c r="AAZ2" s="4" t="s">
        <v>1230</v>
      </c>
      <c r="ABA2" s="4" t="s">
        <v>1617</v>
      </c>
      <c r="ABB2" s="4" t="s">
        <v>1618</v>
      </c>
      <c r="ABC2" s="4" t="s">
        <v>1087</v>
      </c>
      <c r="ABD2" s="4" t="s">
        <v>1968</v>
      </c>
      <c r="ABE2" s="4" t="s">
        <v>1845</v>
      </c>
      <c r="ABF2" s="4" t="s">
        <v>1910</v>
      </c>
      <c r="ABG2" s="4" t="s">
        <v>1936</v>
      </c>
      <c r="ABH2" s="4" t="s">
        <v>1937</v>
      </c>
      <c r="ABI2" s="4" t="s">
        <v>2392</v>
      </c>
      <c r="ABJ2" s="4" t="s">
        <v>2000</v>
      </c>
      <c r="ABK2" s="4" t="s">
        <v>2393</v>
      </c>
      <c r="ABL2" s="4" t="s">
        <v>575</v>
      </c>
      <c r="ABM2" s="45" t="s">
        <v>1118</v>
      </c>
      <c r="ABN2" s="4" t="s">
        <v>957</v>
      </c>
      <c r="ABO2" s="4" t="s">
        <v>958</v>
      </c>
      <c r="ABP2" s="4" t="s">
        <v>1119</v>
      </c>
      <c r="ABQ2" s="4" t="s">
        <v>1619</v>
      </c>
      <c r="ABR2" s="4" t="s">
        <v>1245</v>
      </c>
      <c r="ABS2" s="4" t="s">
        <v>2232</v>
      </c>
      <c r="ABT2" s="4" t="s">
        <v>959</v>
      </c>
      <c r="ABU2" s="4" t="s">
        <v>960</v>
      </c>
      <c r="ABV2" s="4" t="s">
        <v>1620</v>
      </c>
      <c r="ABW2" s="4" t="s">
        <v>961</v>
      </c>
      <c r="ABX2" s="4" t="s">
        <v>962</v>
      </c>
      <c r="ABY2" s="4" t="s">
        <v>1120</v>
      </c>
      <c r="ABZ2" s="4" t="s">
        <v>2127</v>
      </c>
      <c r="ACA2" s="4" t="s">
        <v>1621</v>
      </c>
      <c r="ACB2" s="4" t="s">
        <v>1224</v>
      </c>
      <c r="ACC2" s="4" t="s">
        <v>1225</v>
      </c>
      <c r="ACD2" s="4" t="s">
        <v>1622</v>
      </c>
      <c r="ACE2" s="4" t="s">
        <v>1623</v>
      </c>
      <c r="ACF2" s="4" t="s">
        <v>1088</v>
      </c>
      <c r="ACG2" s="4" t="s">
        <v>1969</v>
      </c>
      <c r="ACH2" s="4" t="s">
        <v>1846</v>
      </c>
      <c r="ACI2" s="4" t="s">
        <v>1911</v>
      </c>
      <c r="ACJ2" s="4" t="s">
        <v>1938</v>
      </c>
      <c r="ACK2" s="4" t="s">
        <v>1939</v>
      </c>
      <c r="ACL2" s="4" t="s">
        <v>2394</v>
      </c>
      <c r="ACM2" s="4" t="s">
        <v>2395</v>
      </c>
      <c r="ACN2" s="4" t="s">
        <v>2396</v>
      </c>
      <c r="ACO2" s="4" t="s">
        <v>640</v>
      </c>
      <c r="ACP2" s="45" t="s">
        <v>891</v>
      </c>
      <c r="ACQ2" s="4" t="s">
        <v>963</v>
      </c>
      <c r="ACR2" s="4" t="s">
        <v>964</v>
      </c>
      <c r="ACS2" s="4" t="s">
        <v>1121</v>
      </c>
      <c r="ACT2" s="4" t="s">
        <v>1624</v>
      </c>
      <c r="ACU2" s="4" t="s">
        <v>1246</v>
      </c>
      <c r="ACV2" s="4" t="s">
        <v>2233</v>
      </c>
      <c r="ACW2" s="4" t="s">
        <v>965</v>
      </c>
      <c r="ACX2" s="4" t="s">
        <v>966</v>
      </c>
      <c r="ACY2" s="4" t="s">
        <v>1625</v>
      </c>
      <c r="ACZ2" s="4" t="s">
        <v>967</v>
      </c>
      <c r="ADA2" s="4" t="s">
        <v>968</v>
      </c>
      <c r="ADB2" s="4" t="s">
        <v>1122</v>
      </c>
      <c r="ADC2" s="4" t="s">
        <v>1626</v>
      </c>
      <c r="ADD2" s="4" t="s">
        <v>2128</v>
      </c>
      <c r="ADE2" s="4" t="s">
        <v>1226</v>
      </c>
      <c r="ADF2" s="4" t="s">
        <v>1227</v>
      </c>
      <c r="ADG2" s="4" t="s">
        <v>1228</v>
      </c>
      <c r="ADH2" s="4" t="s">
        <v>1627</v>
      </c>
      <c r="ADI2" s="4" t="s">
        <v>1848</v>
      </c>
      <c r="ADJ2" s="4" t="s">
        <v>576</v>
      </c>
      <c r="ADK2" s="45" t="s">
        <v>799</v>
      </c>
      <c r="ADL2" s="4" t="s">
        <v>800</v>
      </c>
      <c r="ADM2" s="4" t="s">
        <v>615</v>
      </c>
      <c r="ADN2" s="4" t="s">
        <v>616</v>
      </c>
      <c r="ADO2" s="5" t="s">
        <v>617</v>
      </c>
      <c r="ADP2" s="5" t="s">
        <v>630</v>
      </c>
      <c r="ADQ2" s="4" t="s">
        <v>629</v>
      </c>
      <c r="ADR2" s="4" t="s">
        <v>618</v>
      </c>
      <c r="ADS2" s="4" t="s">
        <v>619</v>
      </c>
      <c r="ADT2" s="4" t="s">
        <v>620</v>
      </c>
      <c r="ADU2" s="4" t="s">
        <v>621</v>
      </c>
      <c r="ADV2" s="4" t="s">
        <v>602</v>
      </c>
      <c r="ADW2" s="4" t="s">
        <v>622</v>
      </c>
      <c r="ADX2" s="4" t="s">
        <v>623</v>
      </c>
      <c r="ADY2" s="4" t="s">
        <v>631</v>
      </c>
      <c r="ADZ2" s="4" t="s">
        <v>624</v>
      </c>
      <c r="AEA2" s="4" t="s">
        <v>625</v>
      </c>
      <c r="AEB2" s="4" t="s">
        <v>626</v>
      </c>
      <c r="AEC2" s="4" t="s">
        <v>627</v>
      </c>
      <c r="AED2" s="4" t="s">
        <v>628</v>
      </c>
      <c r="AEE2" s="4" t="s">
        <v>613</v>
      </c>
      <c r="AEF2" s="4" t="s">
        <v>614</v>
      </c>
      <c r="AEG2" s="4" t="s">
        <v>173</v>
      </c>
      <c r="AEH2" s="4" t="s">
        <v>612</v>
      </c>
      <c r="AEI2" s="4" t="s">
        <v>604</v>
      </c>
      <c r="AEJ2" s="4" t="s">
        <v>603</v>
      </c>
      <c r="AEK2" s="4" t="s">
        <v>1849</v>
      </c>
      <c r="AEL2" s="4" t="s">
        <v>1628</v>
      </c>
      <c r="AEM2" s="4" t="s">
        <v>1874</v>
      </c>
      <c r="AEN2" s="4" t="s">
        <v>1875</v>
      </c>
      <c r="AEO2" s="4" t="s">
        <v>1876</v>
      </c>
      <c r="AEP2" s="4" t="s">
        <v>1274</v>
      </c>
      <c r="AEQ2" s="4" t="s">
        <v>1997</v>
      </c>
      <c r="AER2" s="4" t="s">
        <v>2366</v>
      </c>
      <c r="AES2" s="4" t="s">
        <v>1063</v>
      </c>
      <c r="AET2" s="45" t="s">
        <v>874</v>
      </c>
      <c r="AEU2" s="4" t="s">
        <v>927</v>
      </c>
      <c r="AEV2" s="4" t="s">
        <v>884</v>
      </c>
      <c r="AEW2" s="4" t="s">
        <v>1126</v>
      </c>
      <c r="AEX2" s="4" t="s">
        <v>1629</v>
      </c>
      <c r="AEY2" s="4" t="s">
        <v>846</v>
      </c>
      <c r="AEZ2" s="4" t="s">
        <v>1261</v>
      </c>
      <c r="AFA2" s="4" t="s">
        <v>1630</v>
      </c>
      <c r="AFB2" s="4" t="s">
        <v>1148</v>
      </c>
      <c r="AFC2" s="4" t="s">
        <v>1149</v>
      </c>
      <c r="AFD2" s="4" t="s">
        <v>1150</v>
      </c>
      <c r="AFE2" s="4" t="s">
        <v>1810</v>
      </c>
      <c r="AFF2" s="4" t="s">
        <v>1811</v>
      </c>
      <c r="AFG2" s="4" t="s">
        <v>2405</v>
      </c>
      <c r="AFH2" s="4" t="s">
        <v>928</v>
      </c>
      <c r="AFI2" s="4" t="s">
        <v>1631</v>
      </c>
      <c r="AFJ2" s="4" t="s">
        <v>2207</v>
      </c>
      <c r="AFK2" s="4" t="s">
        <v>875</v>
      </c>
      <c r="AFL2" s="4" t="s">
        <v>1060</v>
      </c>
      <c r="AFM2" s="4" t="s">
        <v>1812</v>
      </c>
      <c r="AFN2" s="4" t="s">
        <v>2329</v>
      </c>
      <c r="AFO2" s="4" t="s">
        <v>1632</v>
      </c>
      <c r="AFP2" s="4" t="s">
        <v>1981</v>
      </c>
      <c r="AFQ2" s="4" t="s">
        <v>1850</v>
      </c>
      <c r="AFR2" s="4" t="s">
        <v>1633</v>
      </c>
      <c r="AFS2" s="4" t="s">
        <v>1877</v>
      </c>
      <c r="AFT2" s="4" t="s">
        <v>1878</v>
      </c>
      <c r="AFU2" s="4" t="s">
        <v>1879</v>
      </c>
      <c r="AFV2" s="4" t="s">
        <v>1273</v>
      </c>
      <c r="AFW2" s="4" t="s">
        <v>1996</v>
      </c>
      <c r="AFX2" s="4" t="s">
        <v>2367</v>
      </c>
      <c r="AFY2" s="4" t="s">
        <v>1639</v>
      </c>
      <c r="AFZ2" s="45" t="s">
        <v>876</v>
      </c>
      <c r="AGA2" s="4" t="s">
        <v>1634</v>
      </c>
      <c r="AGB2" s="4" t="s">
        <v>1635</v>
      </c>
      <c r="AGC2" s="4" t="s">
        <v>1127</v>
      </c>
      <c r="AGD2" s="4" t="s">
        <v>1640</v>
      </c>
      <c r="AGE2" s="4" t="s">
        <v>1636</v>
      </c>
      <c r="AGF2" s="4" t="s">
        <v>1262</v>
      </c>
      <c r="AGG2" s="4" t="s">
        <v>1151</v>
      </c>
      <c r="AGH2" s="4" t="s">
        <v>1152</v>
      </c>
      <c r="AGI2" s="4" t="s">
        <v>1637</v>
      </c>
      <c r="AGJ2" s="4" t="s">
        <v>1153</v>
      </c>
      <c r="AGK2" s="4" t="s">
        <v>1807</v>
      </c>
      <c r="AGL2" s="4" t="s">
        <v>1808</v>
      </c>
      <c r="AGM2" s="4" t="s">
        <v>2406</v>
      </c>
      <c r="AGN2" s="4" t="s">
        <v>926</v>
      </c>
      <c r="AGO2" s="4" t="s">
        <v>2206</v>
      </c>
      <c r="AGP2" s="4" t="s">
        <v>877</v>
      </c>
      <c r="AGQ2" s="4" t="s">
        <v>1809</v>
      </c>
      <c r="AGR2" s="4" t="s">
        <v>2330</v>
      </c>
      <c r="AGS2" s="4" t="s">
        <v>1638</v>
      </c>
      <c r="AGT2" s="4" t="s">
        <v>1982</v>
      </c>
      <c r="AGU2" s="4" t="s">
        <v>1851</v>
      </c>
      <c r="AGV2" s="4" t="s">
        <v>1880</v>
      </c>
      <c r="AGW2" s="4" t="s">
        <v>1881</v>
      </c>
      <c r="AGX2" s="4" t="s">
        <v>1882</v>
      </c>
      <c r="AGY2" s="4" t="s">
        <v>1285</v>
      </c>
      <c r="AGZ2" s="4" t="s">
        <v>2174</v>
      </c>
      <c r="AHA2" s="4" t="s">
        <v>2368</v>
      </c>
      <c r="AHB2" s="4" t="s">
        <v>1275</v>
      </c>
      <c r="AHC2" s="45" t="s">
        <v>1276</v>
      </c>
      <c r="AHD2" s="4" t="s">
        <v>1277</v>
      </c>
      <c r="AHE2" s="4" t="s">
        <v>1278</v>
      </c>
      <c r="AHF2" s="4" t="s">
        <v>1279</v>
      </c>
      <c r="AHG2" s="4" t="s">
        <v>1641</v>
      </c>
      <c r="AHH2" s="4" t="s">
        <v>1280</v>
      </c>
      <c r="AHI2" s="4" t="s">
        <v>1281</v>
      </c>
      <c r="AHJ2" s="4" t="s">
        <v>2513</v>
      </c>
      <c r="AHK2" s="4" t="s">
        <v>1282</v>
      </c>
      <c r="AHL2" s="4" t="s">
        <v>1642</v>
      </c>
      <c r="AHM2" s="4" t="s">
        <v>2136</v>
      </c>
      <c r="AHN2" s="4" t="s">
        <v>1283</v>
      </c>
      <c r="AHO2" s="4" t="s">
        <v>2208</v>
      </c>
      <c r="AHP2" s="4" t="s">
        <v>1284</v>
      </c>
      <c r="AHQ2" s="4" t="s">
        <v>2137</v>
      </c>
      <c r="AHR2" s="4" t="s">
        <v>2331</v>
      </c>
      <c r="AHS2" s="4" t="s">
        <v>1852</v>
      </c>
      <c r="AHT2" s="4" t="s">
        <v>1883</v>
      </c>
      <c r="AHU2" s="4" t="s">
        <v>2369</v>
      </c>
      <c r="AHV2" s="4" t="s">
        <v>2370</v>
      </c>
      <c r="AHW2" s="4" t="s">
        <v>1643</v>
      </c>
      <c r="AHX2" s="45" t="s">
        <v>1239</v>
      </c>
      <c r="AHY2" s="4" t="s">
        <v>2371</v>
      </c>
      <c r="AHZ2" s="4" t="s">
        <v>1644</v>
      </c>
      <c r="AIA2" s="4" t="s">
        <v>1863</v>
      </c>
      <c r="AIB2" s="4" t="s">
        <v>2375</v>
      </c>
      <c r="AIC2" s="4" t="s">
        <v>2376</v>
      </c>
      <c r="AID2" s="4" t="s">
        <v>1868</v>
      </c>
      <c r="AIE2" s="45" t="s">
        <v>878</v>
      </c>
      <c r="AIF2" s="4" t="s">
        <v>2003</v>
      </c>
      <c r="AIG2" s="4" t="s">
        <v>879</v>
      </c>
      <c r="AIH2" s="4" t="s">
        <v>2138</v>
      </c>
      <c r="AII2" s="4" t="s">
        <v>1862</v>
      </c>
      <c r="AIJ2" s="4" t="s">
        <v>791</v>
      </c>
      <c r="AIK2" s="45" t="s">
        <v>790</v>
      </c>
      <c r="AIL2" s="4" t="s">
        <v>1645</v>
      </c>
      <c r="AIM2" s="4" t="s">
        <v>2364</v>
      </c>
      <c r="AIN2" s="4" t="s">
        <v>1318</v>
      </c>
      <c r="AIO2" s="4" t="s">
        <v>1646</v>
      </c>
      <c r="AIP2" s="4" t="s">
        <v>2126</v>
      </c>
      <c r="AIQ2" s="4" t="s">
        <v>1319</v>
      </c>
      <c r="AIR2" s="4" t="s">
        <v>2103</v>
      </c>
      <c r="AIS2" s="4" t="s">
        <v>2104</v>
      </c>
      <c r="AIT2" s="4" t="s">
        <v>1991</v>
      </c>
      <c r="AIU2" s="4" t="s">
        <v>1963</v>
      </c>
      <c r="AIV2" s="4" t="s">
        <v>659</v>
      </c>
      <c r="AIW2" s="45" t="s">
        <v>1992</v>
      </c>
      <c r="AIX2" s="4" t="s">
        <v>1265</v>
      </c>
      <c r="AIY2" s="4" t="s">
        <v>1238</v>
      </c>
      <c r="AIZ2" s="4" t="s">
        <v>2510</v>
      </c>
      <c r="AJA2" s="4" t="s">
        <v>2511</v>
      </c>
      <c r="AJB2" s="4" t="s">
        <v>792</v>
      </c>
      <c r="AJC2" s="4" t="s">
        <v>1647</v>
      </c>
      <c r="AJD2" s="4" t="s">
        <v>178</v>
      </c>
      <c r="AJE2" s="4" t="s">
        <v>179</v>
      </c>
      <c r="AJF2" s="4" t="s">
        <v>180</v>
      </c>
      <c r="AJG2" s="4" t="s">
        <v>104</v>
      </c>
      <c r="AJH2" s="4" t="s">
        <v>584</v>
      </c>
      <c r="AJI2" s="4" t="s">
        <v>573</v>
      </c>
      <c r="AJJ2" s="45" t="s">
        <v>562</v>
      </c>
      <c r="AJK2" s="4" t="s">
        <v>105</v>
      </c>
      <c r="AJL2" s="4" t="s">
        <v>106</v>
      </c>
      <c r="AJM2" s="4" t="s">
        <v>583</v>
      </c>
      <c r="AJN2" s="4" t="s">
        <v>930</v>
      </c>
      <c r="AJO2" s="45" t="s">
        <v>931</v>
      </c>
      <c r="AJP2" s="4" t="s">
        <v>932</v>
      </c>
      <c r="AJQ2" s="4" t="s">
        <v>1648</v>
      </c>
      <c r="AJR2" s="4" t="s">
        <v>2362</v>
      </c>
      <c r="AJS2" s="4" t="s">
        <v>1854</v>
      </c>
      <c r="AJT2" s="4" t="s">
        <v>1872</v>
      </c>
      <c r="AJU2" s="4" t="s">
        <v>1956</v>
      </c>
      <c r="AJV2" s="4" t="s">
        <v>2381</v>
      </c>
      <c r="AJW2" s="4" t="s">
        <v>2001</v>
      </c>
      <c r="AJX2" s="4" t="s">
        <v>2382</v>
      </c>
      <c r="AJY2" s="4" t="s">
        <v>636</v>
      </c>
      <c r="AJZ2" s="45" t="s">
        <v>924</v>
      </c>
      <c r="AKA2" s="4" t="s">
        <v>1109</v>
      </c>
      <c r="AKB2" s="4" t="s">
        <v>925</v>
      </c>
      <c r="AKC2" s="4" t="s">
        <v>1128</v>
      </c>
      <c r="AKD2" s="4" t="s">
        <v>1649</v>
      </c>
      <c r="AKE2" s="4" t="s">
        <v>1250</v>
      </c>
      <c r="AKF2" s="4" t="s">
        <v>1251</v>
      </c>
      <c r="AKG2" s="4" t="s">
        <v>2407</v>
      </c>
      <c r="AKH2" s="4" t="s">
        <v>1252</v>
      </c>
      <c r="AKI2" s="4" t="s">
        <v>1650</v>
      </c>
      <c r="AKJ2" s="4" t="s">
        <v>1253</v>
      </c>
      <c r="AKK2" s="4" t="s">
        <v>1254</v>
      </c>
      <c r="AKL2" s="4" t="s">
        <v>1255</v>
      </c>
      <c r="AKM2" s="4" t="s">
        <v>645</v>
      </c>
      <c r="AKN2" s="4" t="s">
        <v>1651</v>
      </c>
      <c r="AKO2" s="4" t="s">
        <v>1256</v>
      </c>
      <c r="AKP2" s="4" t="s">
        <v>1257</v>
      </c>
      <c r="AKQ2" s="4" t="s">
        <v>2118</v>
      </c>
      <c r="AKR2" s="4" t="s">
        <v>2119</v>
      </c>
      <c r="AKS2" s="4" t="s">
        <v>1652</v>
      </c>
      <c r="AKT2" s="4" t="s">
        <v>2120</v>
      </c>
      <c r="AKU2" s="4" t="s">
        <v>2383</v>
      </c>
      <c r="AKV2" s="4" t="s">
        <v>2384</v>
      </c>
      <c r="AKW2" s="4" t="s">
        <v>2385</v>
      </c>
      <c r="AKX2" s="4" t="s">
        <v>638</v>
      </c>
      <c r="AKY2" s="45" t="s">
        <v>789</v>
      </c>
      <c r="AKZ2" s="4" t="s">
        <v>1653</v>
      </c>
      <c r="ALA2" s="4" t="s">
        <v>1655</v>
      </c>
      <c r="ALB2" s="4" t="s">
        <v>1925</v>
      </c>
      <c r="ALC2" s="4" t="s">
        <v>1654</v>
      </c>
      <c r="ALD2" s="4" t="s">
        <v>107</v>
      </c>
      <c r="ALE2" s="4" t="s">
        <v>650</v>
      </c>
      <c r="ALF2" s="4" t="s">
        <v>651</v>
      </c>
      <c r="ALG2" s="4" t="s">
        <v>1830</v>
      </c>
      <c r="ALH2" s="45" t="s">
        <v>1829</v>
      </c>
      <c r="ALI2" s="4" t="s">
        <v>1833</v>
      </c>
      <c r="ALJ2" s="4" t="s">
        <v>2420</v>
      </c>
      <c r="ALK2" s="4" t="s">
        <v>2421</v>
      </c>
      <c r="ALL2" s="4" t="s">
        <v>2422</v>
      </c>
      <c r="ALM2" s="4" t="s">
        <v>1873</v>
      </c>
      <c r="ALN2" s="4" t="s">
        <v>1832</v>
      </c>
      <c r="ALO2" s="45" t="s">
        <v>1831</v>
      </c>
      <c r="ALP2" s="4" t="s">
        <v>1834</v>
      </c>
      <c r="ALQ2" s="4" t="s">
        <v>1924</v>
      </c>
      <c r="ALR2" s="4" t="s">
        <v>108</v>
      </c>
      <c r="ALS2" s="4" t="s">
        <v>1899</v>
      </c>
      <c r="ALT2" s="4" t="s">
        <v>2372</v>
      </c>
      <c r="ALU2" s="4" t="s">
        <v>2373</v>
      </c>
      <c r="ALV2" s="4" t="s">
        <v>1898</v>
      </c>
      <c r="ALW2" s="45" t="s">
        <v>1897</v>
      </c>
      <c r="ALX2" s="4" t="s">
        <v>2374</v>
      </c>
      <c r="ALY2" s="5" t="s">
        <v>2177</v>
      </c>
      <c r="ALZ2" s="46" t="s">
        <v>2176</v>
      </c>
      <c r="AMA2" s="5" t="s">
        <v>109</v>
      </c>
      <c r="AMB2" s="5" t="s">
        <v>637</v>
      </c>
      <c r="AMC2" s="5" t="s">
        <v>1871</v>
      </c>
      <c r="AMD2" s="5" t="s">
        <v>1870</v>
      </c>
      <c r="AME2" s="5" t="s">
        <v>632</v>
      </c>
      <c r="AMF2" s="5" t="s">
        <v>634</v>
      </c>
      <c r="AMG2" s="5" t="s">
        <v>635</v>
      </c>
      <c r="AMH2" s="41" t="s">
        <v>58</v>
      </c>
      <c r="AMI2" s="41" t="s">
        <v>590</v>
      </c>
      <c r="AMJ2" s="41" t="s">
        <v>594</v>
      </c>
      <c r="AMK2" s="41" t="s">
        <v>559</v>
      </c>
      <c r="AML2" s="41" t="s">
        <v>593</v>
      </c>
      <c r="AMM2" s="41" t="s">
        <v>600</v>
      </c>
      <c r="AMN2" s="41" t="s">
        <v>601</v>
      </c>
      <c r="AMO2" s="41" t="s">
        <v>652</v>
      </c>
      <c r="AMP2" s="41" t="s">
        <v>653</v>
      </c>
      <c r="AMQ2" s="41" t="s">
        <v>595</v>
      </c>
      <c r="AMR2" s="41" t="s">
        <v>592</v>
      </c>
      <c r="AMS2" s="41" t="s">
        <v>638</v>
      </c>
      <c r="AMT2" s="41" t="s">
        <v>2354</v>
      </c>
      <c r="AMU2" s="41" t="s">
        <v>2411</v>
      </c>
      <c r="AMV2" s="41" t="s">
        <v>591</v>
      </c>
      <c r="AMW2" s="41" t="s">
        <v>2412</v>
      </c>
      <c r="AMX2" s="41" t="s">
        <v>648</v>
      </c>
      <c r="AMY2" s="41" t="s">
        <v>649</v>
      </c>
      <c r="AMZ2" s="41" t="s">
        <v>642</v>
      </c>
      <c r="ANA2" s="41" t="s">
        <v>654</v>
      </c>
      <c r="ANB2" s="42" t="s">
        <v>588</v>
      </c>
      <c r="ANC2" s="42" t="s">
        <v>589</v>
      </c>
      <c r="AND2" s="41" t="s">
        <v>597</v>
      </c>
      <c r="ANE2" s="41" t="s">
        <v>598</v>
      </c>
      <c r="ANF2" s="41" t="s">
        <v>599</v>
      </c>
      <c r="ANG2" s="41" t="s">
        <v>596</v>
      </c>
      <c r="ANH2" s="11" t="s">
        <v>2</v>
      </c>
      <c r="ANI2" s="11" t="s">
        <v>159</v>
      </c>
      <c r="ANJ2" s="11" t="s">
        <v>158</v>
      </c>
      <c r="ANK2" s="11" t="s">
        <v>3</v>
      </c>
      <c r="ANL2" s="11" t="s">
        <v>121</v>
      </c>
      <c r="ANM2" s="11" t="s">
        <v>247</v>
      </c>
      <c r="ANN2" s="11" t="s">
        <v>233</v>
      </c>
      <c r="ANO2" s="17" t="s">
        <v>389</v>
      </c>
      <c r="ANP2" s="12" t="s">
        <v>388</v>
      </c>
      <c r="ANQ2" s="12" t="s">
        <v>1742</v>
      </c>
      <c r="ANR2" s="12" t="s">
        <v>239</v>
      </c>
      <c r="ANS2" s="12" t="s">
        <v>153</v>
      </c>
      <c r="ANT2" s="12" t="s">
        <v>53</v>
      </c>
      <c r="ANU2" s="12" t="s">
        <v>2299</v>
      </c>
      <c r="ANV2" s="12" t="s">
        <v>52</v>
      </c>
      <c r="ANW2" s="12" t="s">
        <v>334</v>
      </c>
      <c r="ANX2" s="12" t="s">
        <v>336</v>
      </c>
      <c r="ANY2" s="12" t="s">
        <v>519</v>
      </c>
      <c r="ANZ2" s="12" t="s">
        <v>2286</v>
      </c>
      <c r="AOA2" s="12" t="s">
        <v>1755</v>
      </c>
      <c r="AOB2" s="12" t="s">
        <v>2283</v>
      </c>
      <c r="AOC2" s="12" t="s">
        <v>2033</v>
      </c>
      <c r="AOD2" s="12" t="s">
        <v>250</v>
      </c>
      <c r="AOE2" s="12" t="s">
        <v>1688</v>
      </c>
      <c r="AOF2" s="12" t="s">
        <v>156</v>
      </c>
      <c r="AOG2" s="12" t="s">
        <v>222</v>
      </c>
      <c r="AOH2" s="12" t="s">
        <v>754</v>
      </c>
      <c r="AOI2" s="12" t="s">
        <v>822</v>
      </c>
      <c r="AOJ2" s="12" t="s">
        <v>2285</v>
      </c>
      <c r="AOK2" s="12" t="s">
        <v>238</v>
      </c>
      <c r="AOL2" s="12" t="s">
        <v>227</v>
      </c>
      <c r="AOM2" s="12" t="s">
        <v>307</v>
      </c>
      <c r="AON2" s="12" t="s">
        <v>236</v>
      </c>
      <c r="AOO2" s="12" t="s">
        <v>459</v>
      </c>
      <c r="AOP2" s="12" t="s">
        <v>202</v>
      </c>
      <c r="AOQ2" s="12" t="s">
        <v>335</v>
      </c>
      <c r="AOR2" s="12" t="s">
        <v>741</v>
      </c>
      <c r="AOS2" s="12" t="s">
        <v>2034</v>
      </c>
      <c r="AOT2" s="12" t="s">
        <v>1744</v>
      </c>
      <c r="AOU2" s="12" t="s">
        <v>2055</v>
      </c>
      <c r="AOV2" s="12" t="s">
        <v>1748</v>
      </c>
      <c r="AOW2" s="12" t="s">
        <v>2035</v>
      </c>
      <c r="AOX2" s="12" t="s">
        <v>692</v>
      </c>
      <c r="AOY2" s="12" t="s">
        <v>2037</v>
      </c>
      <c r="AOZ2" s="12" t="s">
        <v>1722</v>
      </c>
      <c r="APA2" s="12" t="s">
        <v>2270</v>
      </c>
      <c r="APB2" s="12" t="s">
        <v>219</v>
      </c>
      <c r="APC2" s="12" t="s">
        <v>734</v>
      </c>
      <c r="APD2" s="12" t="s">
        <v>430</v>
      </c>
      <c r="APE2" s="12" t="s">
        <v>1745</v>
      </c>
      <c r="APF2" s="12" t="s">
        <v>2487</v>
      </c>
      <c r="APG2" s="12" t="s">
        <v>2291</v>
      </c>
      <c r="APH2" s="12" t="s">
        <v>2499</v>
      </c>
      <c r="API2" s="12" t="s">
        <v>313</v>
      </c>
      <c r="APJ2" s="12" t="s">
        <v>1733</v>
      </c>
      <c r="APK2" s="12" t="s">
        <v>2290</v>
      </c>
      <c r="APL2" s="12" t="s">
        <v>2030</v>
      </c>
      <c r="APM2" s="12" t="s">
        <v>1751</v>
      </c>
      <c r="APN2" s="12" t="s">
        <v>251</v>
      </c>
      <c r="APO2" s="12" t="s">
        <v>308</v>
      </c>
      <c r="APP2" s="12" t="s">
        <v>2500</v>
      </c>
      <c r="APQ2" s="12" t="s">
        <v>2502</v>
      </c>
      <c r="APR2" s="12" t="s">
        <v>2505</v>
      </c>
      <c r="APS2" s="12" t="s">
        <v>1758</v>
      </c>
      <c r="APT2" s="12" t="s">
        <v>1759</v>
      </c>
      <c r="APU2" s="12" t="s">
        <v>552</v>
      </c>
      <c r="APV2" s="12" t="s">
        <v>2498</v>
      </c>
      <c r="APW2" s="12" t="s">
        <v>463</v>
      </c>
      <c r="APX2" s="12" t="s">
        <v>465</v>
      </c>
      <c r="APY2" s="12" t="s">
        <v>826</v>
      </c>
      <c r="APZ2" s="12" t="s">
        <v>828</v>
      </c>
      <c r="AQA2" s="12" t="s">
        <v>184</v>
      </c>
      <c r="AQB2" s="12" t="s">
        <v>537</v>
      </c>
      <c r="AQC2" s="12" t="s">
        <v>464</v>
      </c>
      <c r="AQD2" s="12" t="s">
        <v>550</v>
      </c>
      <c r="AQE2" s="12" t="s">
        <v>337</v>
      </c>
      <c r="AQF2" s="12" t="s">
        <v>2267</v>
      </c>
      <c r="AQG2" s="12" t="s">
        <v>2297</v>
      </c>
      <c r="AQH2" s="12" t="s">
        <v>2054</v>
      </c>
      <c r="AQI2" s="12" t="s">
        <v>720</v>
      </c>
      <c r="AQJ2" s="12" t="s">
        <v>740</v>
      </c>
      <c r="AQK2" s="12" t="s">
        <v>249</v>
      </c>
      <c r="AQL2" s="12" t="s">
        <v>2281</v>
      </c>
      <c r="AQM2" s="12" t="s">
        <v>1675</v>
      </c>
      <c r="AQN2" s="12" t="s">
        <v>1672</v>
      </c>
      <c r="AQO2" s="12" t="s">
        <v>2268</v>
      </c>
      <c r="AQP2" s="12" t="s">
        <v>418</v>
      </c>
      <c r="AQQ2" s="12" t="s">
        <v>2029</v>
      </c>
      <c r="AQR2" s="12" t="s">
        <v>2486</v>
      </c>
      <c r="AQS2" s="12" t="s">
        <v>759</v>
      </c>
      <c r="AQT2" s="12" t="s">
        <v>2490</v>
      </c>
      <c r="AQU2" s="12" t="s">
        <v>216</v>
      </c>
      <c r="AQV2" s="12" t="s">
        <v>2062</v>
      </c>
      <c r="AQW2" s="12" t="s">
        <v>2061</v>
      </c>
      <c r="AQX2" s="12" t="s">
        <v>234</v>
      </c>
      <c r="AQY2" s="12" t="s">
        <v>2295</v>
      </c>
      <c r="AQZ2" s="12" t="s">
        <v>2051</v>
      </c>
      <c r="ARA2" s="12" t="s">
        <v>1734</v>
      </c>
      <c r="ARB2" s="12" t="s">
        <v>2280</v>
      </c>
      <c r="ARC2" s="12" t="s">
        <v>2058</v>
      </c>
      <c r="ARD2" s="12" t="s">
        <v>237</v>
      </c>
      <c r="ARE2" s="12" t="s">
        <v>669</v>
      </c>
      <c r="ARF2" s="12" t="s">
        <v>449</v>
      </c>
      <c r="ARG2" s="12" t="s">
        <v>1762</v>
      </c>
      <c r="ARH2" s="12" t="s">
        <v>248</v>
      </c>
      <c r="ARI2" s="12" t="s">
        <v>2276</v>
      </c>
      <c r="ARJ2" s="12" t="s">
        <v>2497</v>
      </c>
      <c r="ARK2" s="12" t="s">
        <v>215</v>
      </c>
      <c r="ARL2" s="12" t="s">
        <v>2292</v>
      </c>
      <c r="ARM2" s="12" t="s">
        <v>237</v>
      </c>
      <c r="ARN2" s="12" t="s">
        <v>755</v>
      </c>
      <c r="ARO2" s="12" t="s">
        <v>466</v>
      </c>
      <c r="ARP2" s="12" t="s">
        <v>462</v>
      </c>
      <c r="ARQ2" s="12" t="s">
        <v>390</v>
      </c>
      <c r="ARR2" s="12" t="s">
        <v>2493</v>
      </c>
      <c r="ARS2" s="12" t="s">
        <v>1725</v>
      </c>
      <c r="ART2" s="12" t="s">
        <v>2306</v>
      </c>
      <c r="ARU2" s="12" t="s">
        <v>2060</v>
      </c>
      <c r="ARV2" s="12" t="s">
        <v>235</v>
      </c>
      <c r="ARW2" s="12" t="s">
        <v>680</v>
      </c>
      <c r="ARX2" s="12" t="s">
        <v>415</v>
      </c>
      <c r="ARY2" s="12" t="s">
        <v>2506</v>
      </c>
      <c r="ARZ2" s="12" t="s">
        <v>416</v>
      </c>
      <c r="ASA2" s="12" t="s">
        <v>267</v>
      </c>
      <c r="ASB2" s="12" t="s">
        <v>2509</v>
      </c>
      <c r="ASC2" s="17" t="s">
        <v>206</v>
      </c>
      <c r="ASD2" s="17" t="s">
        <v>467</v>
      </c>
      <c r="ASE2" s="17" t="s">
        <v>468</v>
      </c>
      <c r="ASF2" s="12" t="s">
        <v>208</v>
      </c>
      <c r="ASG2" s="12" t="s">
        <v>514</v>
      </c>
      <c r="ASH2" s="12" t="s">
        <v>2045</v>
      </c>
      <c r="ASI2" s="17" t="s">
        <v>495</v>
      </c>
      <c r="ASJ2" s="17" t="s">
        <v>207</v>
      </c>
      <c r="ASK2" s="17" t="s">
        <v>691</v>
      </c>
      <c r="ASL2" s="12" t="s">
        <v>209</v>
      </c>
      <c r="ASM2" s="12" t="s">
        <v>401</v>
      </c>
      <c r="ASN2" s="12" t="s">
        <v>263</v>
      </c>
      <c r="ASO2" s="12" t="s">
        <v>435</v>
      </c>
      <c r="ASP2" s="12" t="s">
        <v>491</v>
      </c>
      <c r="ASQ2" s="12" t="s">
        <v>1694</v>
      </c>
      <c r="ASR2" s="12" t="s">
        <v>414</v>
      </c>
      <c r="ASS2" s="12" t="s">
        <v>210</v>
      </c>
      <c r="AST2" s="12" t="s">
        <v>200</v>
      </c>
      <c r="ASU2" s="12" t="s">
        <v>396</v>
      </c>
      <c r="ASV2" s="12" t="s">
        <v>395</v>
      </c>
      <c r="ASW2" s="12" t="s">
        <v>201</v>
      </c>
      <c r="ASX2" s="12" t="s">
        <v>756</v>
      </c>
      <c r="ASY2" s="12" t="s">
        <v>2269</v>
      </c>
      <c r="ASZ2" s="12" t="s">
        <v>2064</v>
      </c>
      <c r="ATA2" s="12" t="s">
        <v>760</v>
      </c>
      <c r="ATB2" s="12" t="s">
        <v>397</v>
      </c>
      <c r="ATC2" s="12" t="s">
        <v>2483</v>
      </c>
      <c r="ATD2" s="12" t="s">
        <v>2484</v>
      </c>
      <c r="ATE2" s="12" t="s">
        <v>436</v>
      </c>
      <c r="ATF2" s="12" t="s">
        <v>437</v>
      </c>
      <c r="ATG2" s="12" t="s">
        <v>2059</v>
      </c>
      <c r="ATH2" s="12" t="s">
        <v>469</v>
      </c>
      <c r="ATI2" s="12" t="s">
        <v>757</v>
      </c>
      <c r="ATJ2" s="12" t="s">
        <v>551</v>
      </c>
      <c r="ATK2" s="12" t="s">
        <v>220</v>
      </c>
      <c r="ATL2" s="12" t="s">
        <v>221</v>
      </c>
      <c r="ATM2" s="12" t="s">
        <v>1674</v>
      </c>
      <c r="ATN2" s="12" t="s">
        <v>217</v>
      </c>
      <c r="ATO2" s="12" t="s">
        <v>1686</v>
      </c>
      <c r="ATP2" s="12" t="s">
        <v>1689</v>
      </c>
      <c r="ATQ2" s="12" t="s">
        <v>2279</v>
      </c>
      <c r="ATR2" s="12" t="s">
        <v>1691</v>
      </c>
      <c r="ATS2" s="12" t="s">
        <v>1696</v>
      </c>
      <c r="ATT2" s="12" t="s">
        <v>1763</v>
      </c>
      <c r="ATU2" s="12" t="s">
        <v>777</v>
      </c>
      <c r="ATV2" s="12" t="s">
        <v>758</v>
      </c>
      <c r="ATW2" s="12" t="s">
        <v>1673</v>
      </c>
      <c r="ATX2" s="12" t="s">
        <v>1724</v>
      </c>
      <c r="ATY2" s="12" t="s">
        <v>1760</v>
      </c>
      <c r="ATZ2" s="12" t="s">
        <v>1750</v>
      </c>
      <c r="AUA2" s="12" t="s">
        <v>240</v>
      </c>
      <c r="AUB2" s="12" t="s">
        <v>829</v>
      </c>
      <c r="AUC2" s="12" t="s">
        <v>2504</v>
      </c>
      <c r="AUD2" s="12" t="s">
        <v>2507</v>
      </c>
      <c r="AUE2" s="12" t="s">
        <v>825</v>
      </c>
      <c r="AUF2" s="12" t="s">
        <v>767</v>
      </c>
      <c r="AUG2" s="12" t="s">
        <v>510</v>
      </c>
      <c r="AUH2" s="12" t="s">
        <v>750</v>
      </c>
      <c r="AUI2" s="12" t="s">
        <v>827</v>
      </c>
      <c r="AUJ2" s="12" t="s">
        <v>2028</v>
      </c>
      <c r="AUK2" s="12" t="s">
        <v>479</v>
      </c>
      <c r="AUL2" s="12" t="s">
        <v>1739</v>
      </c>
      <c r="AUM2" s="12" t="s">
        <v>766</v>
      </c>
      <c r="AUN2" s="12" t="s">
        <v>252</v>
      </c>
      <c r="AUO2" s="12" t="s">
        <v>2508</v>
      </c>
      <c r="AUP2" s="12" t="s">
        <v>309</v>
      </c>
      <c r="AUQ2" s="12" t="s">
        <v>2492</v>
      </c>
      <c r="AUR2" s="12" t="s">
        <v>684</v>
      </c>
      <c r="AUS2" s="12" t="s">
        <v>2503</v>
      </c>
      <c r="AUT2" s="12" t="s">
        <v>310</v>
      </c>
      <c r="AUU2" s="12" t="s">
        <v>311</v>
      </c>
      <c r="AUV2" s="12" t="s">
        <v>340</v>
      </c>
      <c r="AUW2" s="12" t="s">
        <v>2063</v>
      </c>
      <c r="AUX2" s="12" t="s">
        <v>2066</v>
      </c>
      <c r="AUY2" s="12" t="s">
        <v>417</v>
      </c>
      <c r="AUZ2" s="12" t="s">
        <v>2501</v>
      </c>
      <c r="AVA2" s="12" t="s">
        <v>2043</v>
      </c>
      <c r="AVB2" s="12" t="s">
        <v>2052</v>
      </c>
      <c r="AVC2" s="12" t="s">
        <v>316</v>
      </c>
      <c r="AVD2" s="12" t="s">
        <v>246</v>
      </c>
      <c r="AVE2" s="17" t="s">
        <v>51</v>
      </c>
      <c r="AVF2" s="17" t="s">
        <v>174</v>
      </c>
      <c r="AVG2" s="17" t="s">
        <v>823</v>
      </c>
      <c r="AVH2" s="12" t="s">
        <v>312</v>
      </c>
      <c r="AVI2" s="12" t="s">
        <v>314</v>
      </c>
      <c r="AVJ2" s="12" t="s">
        <v>1</v>
      </c>
      <c r="AVK2" s="12" t="s">
        <v>2056</v>
      </c>
      <c r="AVL2" s="12" t="s">
        <v>1671</v>
      </c>
      <c r="AVM2" s="12" t="s">
        <v>2044</v>
      </c>
      <c r="AVN2" s="12" t="s">
        <v>678</v>
      </c>
      <c r="AVO2" s="12" t="s">
        <v>2282</v>
      </c>
      <c r="AVP2" s="12" t="s">
        <v>771</v>
      </c>
      <c r="AVQ2" s="12" t="s">
        <v>2302</v>
      </c>
      <c r="AVR2" s="12" t="s">
        <v>1747</v>
      </c>
      <c r="AVS2" s="12" t="s">
        <v>1685</v>
      </c>
      <c r="AVT2" s="12" t="s">
        <v>2234</v>
      </c>
      <c r="AVU2" s="12" t="s">
        <v>1746</v>
      </c>
      <c r="AVV2" s="12" t="s">
        <v>183</v>
      </c>
      <c r="AVW2" s="12" t="s">
        <v>2485</v>
      </c>
      <c r="AVX2" s="12" t="s">
        <v>2495</v>
      </c>
      <c r="AVY2" s="12" t="s">
        <v>528</v>
      </c>
      <c r="AVZ2" s="12" t="s">
        <v>2053</v>
      </c>
      <c r="AWA2" s="12" t="s">
        <v>266</v>
      </c>
      <c r="AWB2" s="12" t="s">
        <v>1726</v>
      </c>
      <c r="AWC2" s="12" t="s">
        <v>696</v>
      </c>
      <c r="AWD2" s="12" t="s">
        <v>264</v>
      </c>
      <c r="AWE2" s="12" t="s">
        <v>1723</v>
      </c>
      <c r="AWF2" s="12" t="s">
        <v>553</v>
      </c>
      <c r="AWG2" s="12" t="s">
        <v>683</v>
      </c>
      <c r="AWH2" s="12" t="s">
        <v>2036</v>
      </c>
      <c r="AWI2" s="12" t="s">
        <v>1752</v>
      </c>
      <c r="AWJ2" s="12" t="s">
        <v>2307</v>
      </c>
      <c r="AWK2" s="12" t="s">
        <v>2065</v>
      </c>
      <c r="AWL2" s="12" t="s">
        <v>2271</v>
      </c>
      <c r="AWM2" s="12" t="s">
        <v>2298</v>
      </c>
      <c r="AWN2" s="12" t="s">
        <v>1753</v>
      </c>
      <c r="AWO2" s="12" t="s">
        <v>2491</v>
      </c>
      <c r="AWP2" s="12" t="s">
        <v>2272</v>
      </c>
      <c r="AWQ2" s="12" t="s">
        <v>1756</v>
      </c>
      <c r="AWR2" s="12" t="s">
        <v>2488</v>
      </c>
      <c r="AWS2" s="12" t="s">
        <v>2266</v>
      </c>
      <c r="AWT2" s="29" t="s">
        <v>212</v>
      </c>
      <c r="AWU2" s="13" t="s">
        <v>150</v>
      </c>
      <c r="AWV2" s="13" t="s">
        <v>151</v>
      </c>
      <c r="AWW2" s="13" t="s">
        <v>147</v>
      </c>
      <c r="AWX2" s="13" t="s">
        <v>148</v>
      </c>
      <c r="AWY2" s="13" t="s">
        <v>149</v>
      </c>
      <c r="AWZ2" s="13" t="s">
        <v>427</v>
      </c>
      <c r="AXA2" s="13" t="s">
        <v>242</v>
      </c>
      <c r="AXB2" s="13" t="s">
        <v>144</v>
      </c>
      <c r="AXC2" s="13" t="s">
        <v>218</v>
      </c>
      <c r="AXD2" s="13" t="s">
        <v>145</v>
      </c>
      <c r="AXE2" s="13" t="s">
        <v>356</v>
      </c>
      <c r="AXF2" s="13" t="s">
        <v>359</v>
      </c>
      <c r="AXG2" s="13" t="s">
        <v>212</v>
      </c>
      <c r="AXH2" s="13" t="s">
        <v>150</v>
      </c>
      <c r="AXI2" s="13" t="s">
        <v>151</v>
      </c>
      <c r="AXJ2" s="13" t="s">
        <v>147</v>
      </c>
      <c r="AXK2" s="13" t="s">
        <v>148</v>
      </c>
      <c r="AXL2" s="13" t="s">
        <v>149</v>
      </c>
      <c r="AXM2" s="13" t="s">
        <v>242</v>
      </c>
      <c r="AXN2" s="13" t="s">
        <v>144</v>
      </c>
      <c r="AXO2" s="13" t="s">
        <v>218</v>
      </c>
      <c r="AXP2" s="13" t="s">
        <v>145</v>
      </c>
      <c r="AXQ2" s="13" t="s">
        <v>356</v>
      </c>
      <c r="AXR2" s="13" t="s">
        <v>359</v>
      </c>
      <c r="AXS2" s="13" t="s">
        <v>212</v>
      </c>
      <c r="AXT2" s="13" t="s">
        <v>150</v>
      </c>
      <c r="AXU2" s="13" t="s">
        <v>151</v>
      </c>
      <c r="AXV2" s="13" t="s">
        <v>147</v>
      </c>
      <c r="AXW2" s="13" t="s">
        <v>148</v>
      </c>
      <c r="AXX2" s="13" t="s">
        <v>149</v>
      </c>
      <c r="AXY2" s="13" t="s">
        <v>393</v>
      </c>
      <c r="AXZ2" s="13" t="s">
        <v>144</v>
      </c>
      <c r="AYA2" s="13" t="s">
        <v>218</v>
      </c>
      <c r="AYB2" s="13" t="s">
        <v>145</v>
      </c>
      <c r="AYC2" s="13" t="s">
        <v>356</v>
      </c>
      <c r="AYD2" s="13" t="s">
        <v>359</v>
      </c>
      <c r="AYE2" s="13" t="s">
        <v>212</v>
      </c>
      <c r="AYF2" s="13" t="s">
        <v>150</v>
      </c>
      <c r="AYG2" s="13" t="s">
        <v>151</v>
      </c>
      <c r="AYH2" s="13" t="s">
        <v>147</v>
      </c>
      <c r="AYI2" s="13" t="s">
        <v>148</v>
      </c>
      <c r="AYJ2" s="13" t="s">
        <v>149</v>
      </c>
      <c r="AYK2" s="13" t="s">
        <v>144</v>
      </c>
      <c r="AYL2" s="13" t="s">
        <v>218</v>
      </c>
      <c r="AYM2" s="13" t="s">
        <v>145</v>
      </c>
      <c r="AYN2" s="13" t="s">
        <v>356</v>
      </c>
      <c r="AYO2" s="13" t="s">
        <v>359</v>
      </c>
      <c r="AYP2" s="13" t="s">
        <v>212</v>
      </c>
      <c r="AYQ2" s="13" t="s">
        <v>150</v>
      </c>
      <c r="AYR2" s="13" t="s">
        <v>151</v>
      </c>
      <c r="AYS2" s="13" t="s">
        <v>147</v>
      </c>
      <c r="AYT2" s="13" t="s">
        <v>148</v>
      </c>
      <c r="AYU2" s="13" t="s">
        <v>149</v>
      </c>
      <c r="AYV2" s="13" t="s">
        <v>144</v>
      </c>
      <c r="AYW2" s="13" t="s">
        <v>218</v>
      </c>
      <c r="AYX2" s="13" t="s">
        <v>145</v>
      </c>
      <c r="AYY2" s="13" t="s">
        <v>356</v>
      </c>
      <c r="AYZ2" s="13" t="s">
        <v>359</v>
      </c>
      <c r="AZA2" s="13" t="s">
        <v>150</v>
      </c>
      <c r="AZB2" s="13" t="s">
        <v>151</v>
      </c>
      <c r="AZC2" s="13" t="s">
        <v>147</v>
      </c>
      <c r="AZD2" s="13" t="s">
        <v>148</v>
      </c>
      <c r="AZE2" s="13" t="s">
        <v>149</v>
      </c>
      <c r="AZF2" s="13" t="s">
        <v>144</v>
      </c>
      <c r="AZG2" s="13" t="s">
        <v>218</v>
      </c>
      <c r="AZH2" s="13" t="s">
        <v>145</v>
      </c>
      <c r="AZI2" s="13" t="s">
        <v>356</v>
      </c>
      <c r="AZJ2" s="13" t="s">
        <v>359</v>
      </c>
      <c r="AZK2" s="13" t="s">
        <v>212</v>
      </c>
      <c r="AZL2" s="13" t="s">
        <v>150</v>
      </c>
      <c r="AZM2" s="13" t="s">
        <v>151</v>
      </c>
      <c r="AZN2" s="13" t="s">
        <v>147</v>
      </c>
      <c r="AZO2" s="13" t="s">
        <v>148</v>
      </c>
      <c r="AZP2" s="13" t="s">
        <v>149</v>
      </c>
      <c r="AZQ2" s="13" t="s">
        <v>144</v>
      </c>
      <c r="AZR2" s="13" t="s">
        <v>218</v>
      </c>
      <c r="AZS2" s="13" t="s">
        <v>145</v>
      </c>
      <c r="AZT2" s="13" t="s">
        <v>356</v>
      </c>
      <c r="AZU2" s="13" t="s">
        <v>359</v>
      </c>
      <c r="AZV2" s="13" t="s">
        <v>150</v>
      </c>
      <c r="AZW2" s="13" t="s">
        <v>151</v>
      </c>
      <c r="AZX2" s="13" t="s">
        <v>147</v>
      </c>
      <c r="AZY2" s="13" t="s">
        <v>148</v>
      </c>
      <c r="AZZ2" s="13" t="s">
        <v>149</v>
      </c>
      <c r="BAA2" s="13" t="s">
        <v>144</v>
      </c>
      <c r="BAB2" s="13" t="s">
        <v>218</v>
      </c>
      <c r="BAC2" s="13" t="s">
        <v>145</v>
      </c>
      <c r="BAD2" s="13" t="s">
        <v>356</v>
      </c>
      <c r="BAE2" s="13" t="s">
        <v>359</v>
      </c>
      <c r="BAF2" s="13" t="s">
        <v>150</v>
      </c>
      <c r="BAG2" s="13" t="s">
        <v>151</v>
      </c>
      <c r="BAH2" s="13" t="s">
        <v>147</v>
      </c>
      <c r="BAI2" s="13" t="s">
        <v>148</v>
      </c>
      <c r="BAJ2" s="13" t="s">
        <v>149</v>
      </c>
      <c r="BAK2" s="13" t="s">
        <v>144</v>
      </c>
      <c r="BAL2" s="13" t="s">
        <v>218</v>
      </c>
      <c r="BAM2" s="13" t="s">
        <v>145</v>
      </c>
      <c r="BAN2" s="13" t="s">
        <v>356</v>
      </c>
      <c r="BAO2" s="13" t="s">
        <v>359</v>
      </c>
      <c r="BAP2" s="13" t="s">
        <v>150</v>
      </c>
      <c r="BAQ2" s="13" t="s">
        <v>151</v>
      </c>
      <c r="BAR2" s="13" t="s">
        <v>147</v>
      </c>
      <c r="BAS2" s="13" t="s">
        <v>148</v>
      </c>
      <c r="BAT2" s="13" t="s">
        <v>149</v>
      </c>
      <c r="BAU2" s="13" t="s">
        <v>144</v>
      </c>
      <c r="BAV2" s="13" t="s">
        <v>218</v>
      </c>
      <c r="BAW2" s="13" t="s">
        <v>145</v>
      </c>
      <c r="BAX2" s="13" t="s">
        <v>356</v>
      </c>
      <c r="BAY2" s="13" t="s">
        <v>359</v>
      </c>
      <c r="BAZ2" s="13" t="s">
        <v>212</v>
      </c>
      <c r="BBA2" s="13" t="s">
        <v>150</v>
      </c>
      <c r="BBB2" s="13" t="s">
        <v>151</v>
      </c>
      <c r="BBC2" s="13" t="s">
        <v>147</v>
      </c>
      <c r="BBD2" s="13" t="s">
        <v>148</v>
      </c>
      <c r="BBE2" s="13" t="s">
        <v>149</v>
      </c>
      <c r="BBF2" s="13" t="s">
        <v>144</v>
      </c>
      <c r="BBG2" s="13" t="s">
        <v>218</v>
      </c>
      <c r="BBH2" s="13" t="s">
        <v>145</v>
      </c>
      <c r="BBI2" s="13" t="s">
        <v>356</v>
      </c>
      <c r="BBJ2" s="13" t="s">
        <v>359</v>
      </c>
      <c r="BBK2" s="13" t="s">
        <v>212</v>
      </c>
      <c r="BBL2" s="13" t="s">
        <v>150</v>
      </c>
      <c r="BBM2" s="13" t="s">
        <v>151</v>
      </c>
      <c r="BBN2" s="13" t="s">
        <v>147</v>
      </c>
      <c r="BBO2" s="13" t="s">
        <v>148</v>
      </c>
      <c r="BBP2" s="13" t="s">
        <v>149</v>
      </c>
      <c r="BBQ2" s="13" t="s">
        <v>144</v>
      </c>
      <c r="BBR2" s="13" t="s">
        <v>218</v>
      </c>
      <c r="BBS2" s="13" t="s">
        <v>145</v>
      </c>
      <c r="BBT2" s="13" t="s">
        <v>356</v>
      </c>
      <c r="BBU2" s="13" t="s">
        <v>359</v>
      </c>
      <c r="BBV2" s="13" t="s">
        <v>150</v>
      </c>
      <c r="BBW2" s="13" t="s">
        <v>151</v>
      </c>
      <c r="BBX2" s="13" t="s">
        <v>147</v>
      </c>
      <c r="BBY2" s="13" t="s">
        <v>148</v>
      </c>
      <c r="BBZ2" s="13" t="s">
        <v>149</v>
      </c>
      <c r="BCA2" s="13" t="s">
        <v>144</v>
      </c>
      <c r="BCB2" s="13" t="s">
        <v>218</v>
      </c>
      <c r="BCC2" s="13" t="s">
        <v>145</v>
      </c>
      <c r="BCD2" s="13" t="s">
        <v>356</v>
      </c>
      <c r="BCE2" s="13" t="s">
        <v>359</v>
      </c>
      <c r="BCF2" s="13" t="s">
        <v>212</v>
      </c>
      <c r="BCG2" s="13" t="s">
        <v>150</v>
      </c>
      <c r="BCH2" s="13" t="s">
        <v>151</v>
      </c>
      <c r="BCI2" s="13" t="s">
        <v>147</v>
      </c>
      <c r="BCJ2" s="13" t="s">
        <v>148</v>
      </c>
      <c r="BCK2" s="13" t="s">
        <v>149</v>
      </c>
      <c r="BCL2" s="13" t="s">
        <v>144</v>
      </c>
      <c r="BCM2" s="13" t="s">
        <v>218</v>
      </c>
      <c r="BCN2" s="13" t="s">
        <v>145</v>
      </c>
      <c r="BCO2" s="13" t="s">
        <v>356</v>
      </c>
      <c r="BCP2" s="13" t="s">
        <v>359</v>
      </c>
      <c r="BCQ2" s="13" t="s">
        <v>150</v>
      </c>
      <c r="BCR2" s="13" t="s">
        <v>151</v>
      </c>
      <c r="BCS2" s="13" t="s">
        <v>147</v>
      </c>
      <c r="BCT2" s="13" t="s">
        <v>148</v>
      </c>
      <c r="BCU2" s="13" t="s">
        <v>1010</v>
      </c>
      <c r="BCV2" s="13" t="s">
        <v>149</v>
      </c>
      <c r="BCW2" s="13" t="s">
        <v>144</v>
      </c>
      <c r="BCX2" s="13" t="s">
        <v>218</v>
      </c>
      <c r="BCY2" s="13" t="s">
        <v>145</v>
      </c>
      <c r="BCZ2" s="13" t="s">
        <v>356</v>
      </c>
      <c r="BDA2" s="13" t="s">
        <v>359</v>
      </c>
      <c r="BDB2" s="13" t="s">
        <v>150</v>
      </c>
      <c r="BDC2" s="13" t="s">
        <v>151</v>
      </c>
      <c r="BDD2" s="13" t="s">
        <v>147</v>
      </c>
      <c r="BDE2" s="13" t="s">
        <v>148</v>
      </c>
      <c r="BDF2" s="13" t="s">
        <v>230</v>
      </c>
      <c r="BDG2" s="13" t="s">
        <v>149</v>
      </c>
      <c r="BDH2" s="13" t="s">
        <v>144</v>
      </c>
      <c r="BDI2" s="13" t="s">
        <v>218</v>
      </c>
      <c r="BDJ2" s="13" t="s">
        <v>145</v>
      </c>
      <c r="BDK2" s="13" t="s">
        <v>356</v>
      </c>
      <c r="BDL2" s="13" t="s">
        <v>359</v>
      </c>
      <c r="BDM2" s="13" t="s">
        <v>328</v>
      </c>
      <c r="BDN2" s="13" t="s">
        <v>151</v>
      </c>
      <c r="BDO2" s="13" t="s">
        <v>147</v>
      </c>
      <c r="BDP2" s="13" t="s">
        <v>148</v>
      </c>
      <c r="BDQ2" s="13" t="s">
        <v>149</v>
      </c>
      <c r="BDR2" s="13" t="s">
        <v>144</v>
      </c>
      <c r="BDS2" s="13" t="s">
        <v>218</v>
      </c>
      <c r="BDT2" s="13" t="s">
        <v>145</v>
      </c>
      <c r="BDU2" s="13" t="s">
        <v>356</v>
      </c>
      <c r="BDV2" s="13" t="s">
        <v>359</v>
      </c>
      <c r="BDW2" s="13" t="s">
        <v>2463</v>
      </c>
      <c r="BDX2" s="13" t="s">
        <v>151</v>
      </c>
      <c r="BDY2" s="13" t="s">
        <v>147</v>
      </c>
      <c r="BDZ2" s="13" t="s">
        <v>148</v>
      </c>
      <c r="BEA2" s="13" t="s">
        <v>149</v>
      </c>
      <c r="BEB2" s="13" t="s">
        <v>144</v>
      </c>
      <c r="BEC2" s="13" t="s">
        <v>218</v>
      </c>
      <c r="BED2" s="13" t="s">
        <v>145</v>
      </c>
      <c r="BEE2" s="13" t="s">
        <v>356</v>
      </c>
      <c r="BEF2" s="13" t="s">
        <v>359</v>
      </c>
      <c r="BEG2" s="13" t="s">
        <v>328</v>
      </c>
      <c r="BEH2" s="13" t="s">
        <v>151</v>
      </c>
      <c r="BEI2" s="13" t="s">
        <v>147</v>
      </c>
      <c r="BEJ2" s="13" t="s">
        <v>148</v>
      </c>
      <c r="BEK2" s="13" t="s">
        <v>149</v>
      </c>
      <c r="BEL2" s="13" t="s">
        <v>144</v>
      </c>
      <c r="BEM2" s="13" t="s">
        <v>218</v>
      </c>
      <c r="BEN2" s="13" t="s">
        <v>145</v>
      </c>
      <c r="BEO2" s="13" t="s">
        <v>356</v>
      </c>
      <c r="BEP2" s="13" t="s">
        <v>359</v>
      </c>
      <c r="BEQ2" s="13" t="s">
        <v>328</v>
      </c>
      <c r="BER2" s="13" t="s">
        <v>151</v>
      </c>
      <c r="BES2" s="13" t="s">
        <v>147</v>
      </c>
      <c r="BET2" s="13" t="s">
        <v>148</v>
      </c>
      <c r="BEU2" s="13" t="s">
        <v>149</v>
      </c>
      <c r="BEV2" s="13" t="s">
        <v>144</v>
      </c>
      <c r="BEW2" s="13" t="s">
        <v>218</v>
      </c>
      <c r="BEX2" s="13" t="s">
        <v>145</v>
      </c>
      <c r="BEY2" s="13" t="s">
        <v>356</v>
      </c>
      <c r="BEZ2" s="13" t="s">
        <v>359</v>
      </c>
      <c r="BFA2" s="13" t="s">
        <v>150</v>
      </c>
      <c r="BFB2" s="13" t="s">
        <v>151</v>
      </c>
      <c r="BFC2" s="13" t="s">
        <v>147</v>
      </c>
      <c r="BFD2" s="13" t="s">
        <v>148</v>
      </c>
      <c r="BFE2" s="13" t="s">
        <v>149</v>
      </c>
      <c r="BFF2" s="13" t="s">
        <v>144</v>
      </c>
      <c r="BFG2" s="13" t="s">
        <v>218</v>
      </c>
      <c r="BFH2" s="13" t="s">
        <v>145</v>
      </c>
      <c r="BFI2" s="13" t="s">
        <v>356</v>
      </c>
      <c r="BFJ2" s="13" t="s">
        <v>359</v>
      </c>
      <c r="BFK2" s="13" t="s">
        <v>212</v>
      </c>
      <c r="BFL2" s="13" t="s">
        <v>150</v>
      </c>
      <c r="BFM2" s="13" t="s">
        <v>151</v>
      </c>
      <c r="BFN2" s="13" t="s">
        <v>147</v>
      </c>
      <c r="BFO2" s="13" t="s">
        <v>148</v>
      </c>
      <c r="BFP2" s="13" t="s">
        <v>149</v>
      </c>
      <c r="BFQ2" s="13" t="s">
        <v>144</v>
      </c>
      <c r="BFR2" s="13" t="s">
        <v>218</v>
      </c>
      <c r="BFS2" s="13" t="s">
        <v>145</v>
      </c>
      <c r="BFT2" s="13" t="s">
        <v>356</v>
      </c>
      <c r="BFU2" s="13" t="s">
        <v>359</v>
      </c>
      <c r="BFV2" s="13" t="s">
        <v>150</v>
      </c>
      <c r="BFW2" s="13" t="s">
        <v>151</v>
      </c>
      <c r="BFX2" s="13" t="s">
        <v>147</v>
      </c>
      <c r="BFY2" s="13" t="s">
        <v>148</v>
      </c>
      <c r="BFZ2" s="13" t="s">
        <v>149</v>
      </c>
      <c r="BGA2" s="13" t="s">
        <v>144</v>
      </c>
      <c r="BGB2" s="13" t="s">
        <v>218</v>
      </c>
      <c r="BGC2" s="13" t="s">
        <v>145</v>
      </c>
      <c r="BGD2" s="13" t="s">
        <v>356</v>
      </c>
      <c r="BGE2" s="13" t="s">
        <v>359</v>
      </c>
      <c r="BGF2" s="13" t="s">
        <v>269</v>
      </c>
      <c r="BGG2" s="13" t="s">
        <v>151</v>
      </c>
      <c r="BGH2" s="13" t="s">
        <v>147</v>
      </c>
      <c r="BGI2" s="13" t="s">
        <v>148</v>
      </c>
      <c r="BGJ2" s="13" t="s">
        <v>149</v>
      </c>
      <c r="BGK2" s="13" t="s">
        <v>144</v>
      </c>
      <c r="BGL2" s="13" t="s">
        <v>218</v>
      </c>
      <c r="BGM2" s="13" t="s">
        <v>145</v>
      </c>
      <c r="BGN2" s="13" t="s">
        <v>356</v>
      </c>
      <c r="BGO2" s="13" t="s">
        <v>359</v>
      </c>
      <c r="BGP2" s="13" t="s">
        <v>150</v>
      </c>
      <c r="BGQ2" s="13" t="s">
        <v>151</v>
      </c>
      <c r="BGR2" s="13" t="s">
        <v>147</v>
      </c>
      <c r="BGS2" s="13" t="s">
        <v>148</v>
      </c>
      <c r="BGT2" s="13" t="s">
        <v>1010</v>
      </c>
      <c r="BGU2" s="13" t="s">
        <v>149</v>
      </c>
      <c r="BGV2" s="13" t="s">
        <v>144</v>
      </c>
      <c r="BGW2" s="13" t="s">
        <v>218</v>
      </c>
      <c r="BGX2" s="13" t="s">
        <v>145</v>
      </c>
      <c r="BGY2" s="13" t="s">
        <v>356</v>
      </c>
      <c r="BGZ2" s="13" t="s">
        <v>359</v>
      </c>
      <c r="BHA2" s="13" t="s">
        <v>150</v>
      </c>
      <c r="BHB2" s="13" t="s">
        <v>151</v>
      </c>
      <c r="BHC2" s="13" t="s">
        <v>147</v>
      </c>
      <c r="BHD2" s="13" t="s">
        <v>148</v>
      </c>
      <c r="BHE2" s="13" t="s">
        <v>149</v>
      </c>
      <c r="BHF2" s="13" t="s">
        <v>144</v>
      </c>
      <c r="BHG2" s="13" t="s">
        <v>218</v>
      </c>
      <c r="BHH2" s="13" t="s">
        <v>145</v>
      </c>
      <c r="BHI2" s="13" t="s">
        <v>356</v>
      </c>
      <c r="BHJ2" s="13" t="s">
        <v>359</v>
      </c>
      <c r="BHK2" s="13" t="s">
        <v>150</v>
      </c>
      <c r="BHL2" s="13" t="s">
        <v>151</v>
      </c>
      <c r="BHM2" s="13" t="s">
        <v>147</v>
      </c>
      <c r="BHN2" s="13" t="s">
        <v>148</v>
      </c>
      <c r="BHO2" s="13" t="s">
        <v>149</v>
      </c>
      <c r="BHP2" s="13" t="s">
        <v>144</v>
      </c>
      <c r="BHQ2" s="13" t="s">
        <v>218</v>
      </c>
      <c r="BHR2" s="13" t="s">
        <v>145</v>
      </c>
      <c r="BHS2" s="13" t="s">
        <v>356</v>
      </c>
      <c r="BHT2" s="13" t="s">
        <v>359</v>
      </c>
      <c r="BHU2" s="13" t="s">
        <v>269</v>
      </c>
      <c r="BHV2" s="13" t="s">
        <v>151</v>
      </c>
      <c r="BHW2" s="13" t="s">
        <v>147</v>
      </c>
      <c r="BHX2" s="13" t="s">
        <v>148</v>
      </c>
      <c r="BHY2" s="13" t="s">
        <v>149</v>
      </c>
      <c r="BHZ2" s="13" t="s">
        <v>144</v>
      </c>
      <c r="BIA2" s="13" t="s">
        <v>218</v>
      </c>
      <c r="BIB2" s="13" t="s">
        <v>145</v>
      </c>
      <c r="BIC2" s="13" t="s">
        <v>356</v>
      </c>
      <c r="BID2" s="13" t="s">
        <v>359</v>
      </c>
      <c r="BIE2" s="13" t="s">
        <v>150</v>
      </c>
      <c r="BIF2" s="13" t="s">
        <v>151</v>
      </c>
      <c r="BIG2" s="13" t="s">
        <v>147</v>
      </c>
      <c r="BIH2" s="13" t="s">
        <v>148</v>
      </c>
      <c r="BII2" s="13" t="s">
        <v>149</v>
      </c>
      <c r="BIJ2" s="13" t="s">
        <v>144</v>
      </c>
      <c r="BIK2" s="13" t="s">
        <v>218</v>
      </c>
      <c r="BIL2" s="13" t="s">
        <v>145</v>
      </c>
      <c r="BIM2" s="13" t="s">
        <v>356</v>
      </c>
      <c r="BIN2" s="13" t="s">
        <v>359</v>
      </c>
      <c r="BIO2" s="13" t="s">
        <v>150</v>
      </c>
      <c r="BIP2" s="13" t="s">
        <v>151</v>
      </c>
      <c r="BIQ2" s="13" t="s">
        <v>147</v>
      </c>
      <c r="BIR2" s="13" t="s">
        <v>148</v>
      </c>
      <c r="BIS2" s="13" t="s">
        <v>149</v>
      </c>
      <c r="BIT2" s="13" t="s">
        <v>144</v>
      </c>
      <c r="BIU2" s="13" t="s">
        <v>218</v>
      </c>
      <c r="BIV2" s="13" t="s">
        <v>145</v>
      </c>
      <c r="BIW2" s="13" t="s">
        <v>356</v>
      </c>
      <c r="BIX2" s="13" t="s">
        <v>359</v>
      </c>
      <c r="BIY2" s="13" t="s">
        <v>150</v>
      </c>
      <c r="BIZ2" s="13" t="s">
        <v>151</v>
      </c>
      <c r="BJA2" s="13" t="s">
        <v>147</v>
      </c>
      <c r="BJB2" s="13" t="s">
        <v>148</v>
      </c>
      <c r="BJC2" s="13" t="s">
        <v>149</v>
      </c>
      <c r="BJD2" s="13" t="s">
        <v>144</v>
      </c>
      <c r="BJE2" s="13" t="s">
        <v>218</v>
      </c>
      <c r="BJF2" s="13" t="s">
        <v>145</v>
      </c>
      <c r="BJG2" s="13" t="s">
        <v>356</v>
      </c>
      <c r="BJH2" s="13" t="s">
        <v>359</v>
      </c>
      <c r="BJI2" s="13" t="s">
        <v>150</v>
      </c>
      <c r="BJJ2" s="13" t="s">
        <v>151</v>
      </c>
      <c r="BJK2" s="13" t="s">
        <v>147</v>
      </c>
      <c r="BJL2" s="13" t="s">
        <v>148</v>
      </c>
      <c r="BJM2" s="13" t="s">
        <v>226</v>
      </c>
      <c r="BJN2" s="13" t="s">
        <v>149</v>
      </c>
      <c r="BJO2" s="13" t="s">
        <v>144</v>
      </c>
      <c r="BJP2" s="13" t="s">
        <v>218</v>
      </c>
      <c r="BJQ2" s="13" t="s">
        <v>145</v>
      </c>
      <c r="BJR2" s="13" t="s">
        <v>356</v>
      </c>
      <c r="BJS2" s="13" t="s">
        <v>359</v>
      </c>
      <c r="BJT2" s="13" t="s">
        <v>269</v>
      </c>
      <c r="BJU2" s="13" t="s">
        <v>151</v>
      </c>
      <c r="BJV2" s="13" t="s">
        <v>147</v>
      </c>
      <c r="BJW2" s="13" t="s">
        <v>148</v>
      </c>
      <c r="BJX2" s="13" t="s">
        <v>149</v>
      </c>
      <c r="BJY2" s="13" t="s">
        <v>144</v>
      </c>
      <c r="BJZ2" s="13" t="s">
        <v>218</v>
      </c>
      <c r="BKA2" s="13" t="s">
        <v>145</v>
      </c>
      <c r="BKB2" s="13" t="s">
        <v>356</v>
      </c>
      <c r="BKC2" s="13" t="s">
        <v>359</v>
      </c>
      <c r="BKD2" s="13" t="s">
        <v>150</v>
      </c>
      <c r="BKE2" s="13" t="s">
        <v>151</v>
      </c>
      <c r="BKF2" s="13" t="s">
        <v>147</v>
      </c>
      <c r="BKG2" s="13" t="s">
        <v>148</v>
      </c>
      <c r="BKH2" s="13" t="s">
        <v>149</v>
      </c>
      <c r="BKI2" s="13" t="s">
        <v>144</v>
      </c>
      <c r="BKJ2" s="13" t="s">
        <v>218</v>
      </c>
      <c r="BKK2" s="13" t="s">
        <v>145</v>
      </c>
      <c r="BKL2" s="13" t="s">
        <v>356</v>
      </c>
      <c r="BKM2" s="13" t="s">
        <v>359</v>
      </c>
      <c r="BKN2" s="13" t="s">
        <v>150</v>
      </c>
      <c r="BKO2" s="13" t="s">
        <v>151</v>
      </c>
      <c r="BKP2" s="13" t="s">
        <v>147</v>
      </c>
      <c r="BKQ2" s="13" t="s">
        <v>148</v>
      </c>
      <c r="BKR2" s="13" t="s">
        <v>149</v>
      </c>
      <c r="BKS2" s="13" t="s">
        <v>144</v>
      </c>
      <c r="BKT2" s="13" t="s">
        <v>218</v>
      </c>
      <c r="BKU2" s="13" t="s">
        <v>145</v>
      </c>
      <c r="BKV2" s="13" t="s">
        <v>356</v>
      </c>
      <c r="BKW2" s="13" t="s">
        <v>359</v>
      </c>
      <c r="BKX2" s="13" t="s">
        <v>150</v>
      </c>
      <c r="BKY2" s="13" t="s">
        <v>151</v>
      </c>
      <c r="BKZ2" s="13" t="s">
        <v>147</v>
      </c>
      <c r="BLA2" s="13" t="s">
        <v>148</v>
      </c>
      <c r="BLB2" s="13" t="s">
        <v>149</v>
      </c>
      <c r="BLC2" s="13" t="s">
        <v>144</v>
      </c>
      <c r="BLD2" s="13" t="s">
        <v>218</v>
      </c>
      <c r="BLE2" s="13" t="s">
        <v>145</v>
      </c>
      <c r="BLF2" s="13" t="s">
        <v>356</v>
      </c>
      <c r="BLG2" s="13" t="s">
        <v>359</v>
      </c>
      <c r="BLH2" s="13" t="s">
        <v>150</v>
      </c>
      <c r="BLI2" s="13" t="s">
        <v>151</v>
      </c>
      <c r="BLJ2" s="13" t="s">
        <v>147</v>
      </c>
      <c r="BLK2" s="13" t="s">
        <v>148</v>
      </c>
      <c r="BLL2" s="13" t="s">
        <v>149</v>
      </c>
      <c r="BLM2" s="13" t="s">
        <v>144</v>
      </c>
      <c r="BLN2" s="13" t="s">
        <v>218</v>
      </c>
      <c r="BLO2" s="13" t="s">
        <v>145</v>
      </c>
      <c r="BLP2" s="13" t="s">
        <v>356</v>
      </c>
      <c r="BLQ2" s="13" t="s">
        <v>359</v>
      </c>
      <c r="BLR2" s="13" t="s">
        <v>150</v>
      </c>
      <c r="BLS2" s="13" t="s">
        <v>151</v>
      </c>
      <c r="BLT2" s="13" t="s">
        <v>147</v>
      </c>
      <c r="BLU2" s="13" t="s">
        <v>148</v>
      </c>
      <c r="BLV2" s="13" t="s">
        <v>149</v>
      </c>
      <c r="BLW2" s="13" t="s">
        <v>144</v>
      </c>
      <c r="BLX2" s="13" t="s">
        <v>218</v>
      </c>
      <c r="BLY2" s="13" t="s">
        <v>145</v>
      </c>
      <c r="BLZ2" s="13" t="s">
        <v>356</v>
      </c>
      <c r="BMA2" s="13" t="s">
        <v>359</v>
      </c>
      <c r="BMB2" s="13" t="s">
        <v>150</v>
      </c>
      <c r="BMC2" s="13" t="s">
        <v>151</v>
      </c>
      <c r="BMD2" s="13" t="s">
        <v>147</v>
      </c>
      <c r="BME2" s="13" t="s">
        <v>148</v>
      </c>
      <c r="BMF2" s="13" t="s">
        <v>149</v>
      </c>
      <c r="BMG2" s="13" t="s">
        <v>144</v>
      </c>
      <c r="BMH2" s="13" t="s">
        <v>218</v>
      </c>
      <c r="BMI2" s="13" t="s">
        <v>145</v>
      </c>
      <c r="BMJ2" s="13" t="s">
        <v>356</v>
      </c>
      <c r="BMK2" s="13" t="s">
        <v>359</v>
      </c>
      <c r="BML2" s="13" t="s">
        <v>212</v>
      </c>
      <c r="BMM2" s="13" t="s">
        <v>150</v>
      </c>
      <c r="BMN2" s="13" t="s">
        <v>151</v>
      </c>
      <c r="BMO2" s="13" t="s">
        <v>147</v>
      </c>
      <c r="BMP2" s="13" t="s">
        <v>148</v>
      </c>
      <c r="BMQ2" s="13" t="s">
        <v>149</v>
      </c>
      <c r="BMR2" s="13" t="s">
        <v>144</v>
      </c>
      <c r="BMS2" s="13" t="s">
        <v>218</v>
      </c>
      <c r="BMT2" s="13" t="s">
        <v>145</v>
      </c>
      <c r="BMU2" s="13" t="s">
        <v>356</v>
      </c>
      <c r="BMV2" s="13" t="s">
        <v>359</v>
      </c>
      <c r="BMW2" s="13" t="s">
        <v>150</v>
      </c>
      <c r="BMX2" s="13" t="s">
        <v>151</v>
      </c>
      <c r="BMY2" s="13" t="s">
        <v>147</v>
      </c>
      <c r="BMZ2" s="13" t="s">
        <v>148</v>
      </c>
      <c r="BNA2" s="13" t="s">
        <v>149</v>
      </c>
      <c r="BNB2" s="13" t="s">
        <v>144</v>
      </c>
      <c r="BNC2" s="13" t="s">
        <v>218</v>
      </c>
      <c r="BND2" s="13" t="s">
        <v>145</v>
      </c>
      <c r="BNE2" s="13" t="s">
        <v>356</v>
      </c>
      <c r="BNF2" s="13" t="s">
        <v>359</v>
      </c>
      <c r="BNG2" s="13" t="s">
        <v>150</v>
      </c>
      <c r="BNH2" s="13" t="s">
        <v>151</v>
      </c>
      <c r="BNI2" s="13" t="s">
        <v>147</v>
      </c>
      <c r="BNJ2" s="13" t="s">
        <v>148</v>
      </c>
      <c r="BNK2" s="13" t="s">
        <v>149</v>
      </c>
      <c r="BNL2" s="13" t="s">
        <v>144</v>
      </c>
      <c r="BNM2" s="13" t="s">
        <v>218</v>
      </c>
      <c r="BNN2" s="13" t="s">
        <v>145</v>
      </c>
      <c r="BNO2" s="13" t="s">
        <v>356</v>
      </c>
      <c r="BNP2" s="13" t="s">
        <v>359</v>
      </c>
      <c r="BNQ2" s="13" t="s">
        <v>150</v>
      </c>
      <c r="BNR2" s="13" t="s">
        <v>151</v>
      </c>
      <c r="BNS2" s="13" t="s">
        <v>147</v>
      </c>
      <c r="BNT2" s="13" t="s">
        <v>148</v>
      </c>
      <c r="BNU2" s="13" t="s">
        <v>149</v>
      </c>
      <c r="BNV2" s="13" t="s">
        <v>144</v>
      </c>
      <c r="BNW2" s="13" t="s">
        <v>218</v>
      </c>
      <c r="BNX2" s="13" t="s">
        <v>145</v>
      </c>
      <c r="BNY2" s="13" t="s">
        <v>356</v>
      </c>
      <c r="BNZ2" s="13" t="s">
        <v>359</v>
      </c>
      <c r="BOA2" s="13" t="s">
        <v>150</v>
      </c>
      <c r="BOB2" s="13" t="s">
        <v>151</v>
      </c>
      <c r="BOC2" s="13" t="s">
        <v>147</v>
      </c>
      <c r="BOD2" s="13" t="s">
        <v>148</v>
      </c>
      <c r="BOE2" s="13" t="s">
        <v>149</v>
      </c>
      <c r="BOF2" s="13" t="s">
        <v>144</v>
      </c>
      <c r="BOG2" s="13" t="s">
        <v>218</v>
      </c>
      <c r="BOH2" s="13" t="s">
        <v>145</v>
      </c>
      <c r="BOI2" s="13" t="s">
        <v>356</v>
      </c>
      <c r="BOJ2" s="13" t="s">
        <v>359</v>
      </c>
      <c r="BOK2" s="13" t="s">
        <v>150</v>
      </c>
      <c r="BOL2" s="13" t="s">
        <v>151</v>
      </c>
      <c r="BOM2" s="13" t="s">
        <v>147</v>
      </c>
      <c r="BON2" s="13" t="s">
        <v>148</v>
      </c>
      <c r="BOO2" s="13" t="s">
        <v>149</v>
      </c>
      <c r="BOP2" s="13" t="s">
        <v>144</v>
      </c>
      <c r="BOQ2" s="13" t="s">
        <v>218</v>
      </c>
      <c r="BOR2" s="13" t="s">
        <v>145</v>
      </c>
      <c r="BOS2" s="13" t="s">
        <v>356</v>
      </c>
      <c r="BOT2" s="13" t="s">
        <v>359</v>
      </c>
      <c r="BOU2" s="13" t="s">
        <v>150</v>
      </c>
      <c r="BOV2" s="13" t="s">
        <v>151</v>
      </c>
      <c r="BOW2" s="13" t="s">
        <v>147</v>
      </c>
      <c r="BOX2" s="13" t="s">
        <v>148</v>
      </c>
      <c r="BOY2" s="13" t="s">
        <v>149</v>
      </c>
      <c r="BOZ2" s="13" t="s">
        <v>144</v>
      </c>
      <c r="BPA2" s="13" t="s">
        <v>218</v>
      </c>
      <c r="BPB2" s="13" t="s">
        <v>145</v>
      </c>
      <c r="BPC2" s="13" t="s">
        <v>356</v>
      </c>
      <c r="BPD2" s="13" t="s">
        <v>359</v>
      </c>
      <c r="BPE2" s="13" t="s">
        <v>150</v>
      </c>
      <c r="BPF2" s="13" t="s">
        <v>151</v>
      </c>
      <c r="BPG2" s="13" t="s">
        <v>147</v>
      </c>
      <c r="BPH2" s="13" t="s">
        <v>148</v>
      </c>
      <c r="BPI2" s="13" t="s">
        <v>149</v>
      </c>
      <c r="BPJ2" s="13" t="s">
        <v>144</v>
      </c>
      <c r="BPK2" s="13" t="s">
        <v>218</v>
      </c>
      <c r="BPL2" s="13" t="s">
        <v>145</v>
      </c>
      <c r="BPM2" s="13" t="s">
        <v>356</v>
      </c>
      <c r="BPN2" s="13" t="s">
        <v>359</v>
      </c>
      <c r="BPO2" s="13" t="s">
        <v>150</v>
      </c>
      <c r="BPP2" s="13" t="s">
        <v>151</v>
      </c>
      <c r="BPQ2" s="13" t="s">
        <v>147</v>
      </c>
      <c r="BPR2" s="13" t="s">
        <v>148</v>
      </c>
      <c r="BPS2" s="13" t="s">
        <v>149</v>
      </c>
      <c r="BPT2" s="13" t="s">
        <v>144</v>
      </c>
      <c r="BPU2" s="13" t="s">
        <v>218</v>
      </c>
      <c r="BPV2" s="13" t="s">
        <v>145</v>
      </c>
      <c r="BPW2" s="13" t="s">
        <v>356</v>
      </c>
      <c r="BPX2" s="13" t="s">
        <v>359</v>
      </c>
      <c r="BPY2" s="13" t="s">
        <v>150</v>
      </c>
      <c r="BPZ2" s="13" t="s">
        <v>151</v>
      </c>
      <c r="BQA2" s="13" t="s">
        <v>147</v>
      </c>
      <c r="BQB2" s="13" t="s">
        <v>148</v>
      </c>
      <c r="BQC2" s="13" t="s">
        <v>149</v>
      </c>
      <c r="BQD2" s="13" t="s">
        <v>144</v>
      </c>
      <c r="BQE2" s="13" t="s">
        <v>218</v>
      </c>
      <c r="BQF2" s="13" t="s">
        <v>145</v>
      </c>
      <c r="BQG2" s="13" t="s">
        <v>356</v>
      </c>
      <c r="BQH2" s="13" t="s">
        <v>359</v>
      </c>
      <c r="BQI2" s="13" t="s">
        <v>150</v>
      </c>
      <c r="BQJ2" s="13" t="s">
        <v>151</v>
      </c>
      <c r="BQK2" s="13" t="s">
        <v>147</v>
      </c>
      <c r="BQL2" s="13" t="s">
        <v>148</v>
      </c>
      <c r="BQM2" s="13" t="s">
        <v>149</v>
      </c>
      <c r="BQN2" s="13" t="s">
        <v>144</v>
      </c>
      <c r="BQO2" s="13" t="s">
        <v>218</v>
      </c>
      <c r="BQP2" s="13" t="s">
        <v>145</v>
      </c>
      <c r="BQQ2" s="13" t="s">
        <v>356</v>
      </c>
      <c r="BQR2" s="13" t="s">
        <v>359</v>
      </c>
      <c r="BQS2" s="13" t="s">
        <v>150</v>
      </c>
      <c r="BQT2" s="13" t="s">
        <v>151</v>
      </c>
      <c r="BQU2" s="13" t="s">
        <v>147</v>
      </c>
      <c r="BQV2" s="13" t="s">
        <v>148</v>
      </c>
      <c r="BQW2" s="13" t="s">
        <v>149</v>
      </c>
      <c r="BQX2" s="13" t="s">
        <v>144</v>
      </c>
      <c r="BQY2" s="13" t="s">
        <v>218</v>
      </c>
      <c r="BQZ2" s="13" t="s">
        <v>145</v>
      </c>
      <c r="BRA2" s="13" t="s">
        <v>356</v>
      </c>
      <c r="BRB2" s="13" t="s">
        <v>359</v>
      </c>
      <c r="BRC2" s="13" t="s">
        <v>150</v>
      </c>
      <c r="BRD2" s="13" t="s">
        <v>151</v>
      </c>
      <c r="BRE2" s="13" t="s">
        <v>147</v>
      </c>
      <c r="BRF2" s="13" t="s">
        <v>148</v>
      </c>
      <c r="BRG2" s="13" t="s">
        <v>149</v>
      </c>
      <c r="BRH2" s="13" t="s">
        <v>473</v>
      </c>
      <c r="BRI2" s="13" t="s">
        <v>144</v>
      </c>
      <c r="BRJ2" s="13" t="s">
        <v>218</v>
      </c>
      <c r="BRK2" s="13" t="s">
        <v>145</v>
      </c>
      <c r="BRL2" s="13" t="s">
        <v>356</v>
      </c>
      <c r="BRM2" s="13" t="s">
        <v>359</v>
      </c>
      <c r="BRN2" s="13" t="s">
        <v>212</v>
      </c>
      <c r="BRO2" s="13" t="s">
        <v>150</v>
      </c>
      <c r="BRP2" s="13" t="s">
        <v>151</v>
      </c>
      <c r="BRQ2" s="13" t="s">
        <v>147</v>
      </c>
      <c r="BRR2" s="13" t="s">
        <v>148</v>
      </c>
      <c r="BRS2" s="13" t="s">
        <v>149</v>
      </c>
      <c r="BRT2" s="13" t="s">
        <v>144</v>
      </c>
      <c r="BRU2" s="13" t="s">
        <v>218</v>
      </c>
      <c r="BRV2" s="13" t="s">
        <v>145</v>
      </c>
      <c r="BRW2" s="13" t="s">
        <v>356</v>
      </c>
      <c r="BRX2" s="13" t="s">
        <v>359</v>
      </c>
      <c r="BRY2" s="13" t="s">
        <v>150</v>
      </c>
      <c r="BRZ2" s="13" t="s">
        <v>151</v>
      </c>
      <c r="BSA2" s="13" t="s">
        <v>147</v>
      </c>
      <c r="BSB2" s="13" t="s">
        <v>148</v>
      </c>
      <c r="BSC2" s="13" t="s">
        <v>149</v>
      </c>
      <c r="BSD2" s="13" t="s">
        <v>144</v>
      </c>
      <c r="BSE2" s="13" t="s">
        <v>218</v>
      </c>
      <c r="BSF2" s="13" t="s">
        <v>145</v>
      </c>
      <c r="BSG2" s="13" t="s">
        <v>356</v>
      </c>
      <c r="BSH2" s="13" t="s">
        <v>359</v>
      </c>
      <c r="BSI2" s="13" t="s">
        <v>150</v>
      </c>
      <c r="BSJ2" s="13" t="s">
        <v>151</v>
      </c>
      <c r="BSK2" s="13" t="s">
        <v>147</v>
      </c>
      <c r="BSL2" s="13" t="s">
        <v>148</v>
      </c>
      <c r="BSM2" s="13" t="s">
        <v>149</v>
      </c>
      <c r="BSN2" s="13" t="s">
        <v>144</v>
      </c>
      <c r="BSO2" s="13" t="s">
        <v>218</v>
      </c>
      <c r="BSP2" s="13" t="s">
        <v>145</v>
      </c>
      <c r="BSQ2" s="13" t="s">
        <v>356</v>
      </c>
      <c r="BSR2" s="13" t="s">
        <v>359</v>
      </c>
      <c r="BSS2" s="13" t="s">
        <v>150</v>
      </c>
      <c r="BST2" s="13" t="s">
        <v>151</v>
      </c>
      <c r="BSU2" s="13" t="s">
        <v>147</v>
      </c>
      <c r="BSV2" s="13" t="s">
        <v>148</v>
      </c>
      <c r="BSW2" s="13" t="s">
        <v>149</v>
      </c>
      <c r="BSX2" s="13" t="s">
        <v>144</v>
      </c>
      <c r="BSY2" s="13" t="s">
        <v>218</v>
      </c>
      <c r="BSZ2" s="13" t="s">
        <v>145</v>
      </c>
      <c r="BTA2" s="13" t="s">
        <v>356</v>
      </c>
      <c r="BTB2" s="13" t="s">
        <v>359</v>
      </c>
      <c r="BTC2" s="13" t="s">
        <v>150</v>
      </c>
      <c r="BTD2" s="13" t="s">
        <v>151</v>
      </c>
      <c r="BTE2" s="13" t="s">
        <v>147</v>
      </c>
      <c r="BTF2" s="13" t="s">
        <v>148</v>
      </c>
      <c r="BTG2" s="13" t="s">
        <v>149</v>
      </c>
      <c r="BTH2" s="13" t="s">
        <v>144</v>
      </c>
      <c r="BTI2" s="13" t="s">
        <v>218</v>
      </c>
      <c r="BTJ2" s="13" t="s">
        <v>145</v>
      </c>
      <c r="BTK2" s="13" t="s">
        <v>356</v>
      </c>
      <c r="BTL2" s="13" t="s">
        <v>359</v>
      </c>
      <c r="BTM2" s="13" t="s">
        <v>150</v>
      </c>
      <c r="BTN2" s="13" t="s">
        <v>151</v>
      </c>
      <c r="BTO2" s="13" t="s">
        <v>147</v>
      </c>
      <c r="BTP2" s="13" t="s">
        <v>148</v>
      </c>
      <c r="BTQ2" s="13" t="s">
        <v>149</v>
      </c>
      <c r="BTR2" s="13" t="s">
        <v>144</v>
      </c>
      <c r="BTS2" s="13" t="s">
        <v>218</v>
      </c>
      <c r="BTT2" s="13" t="s">
        <v>145</v>
      </c>
      <c r="BTU2" s="13" t="s">
        <v>356</v>
      </c>
      <c r="BTV2" s="13" t="s">
        <v>359</v>
      </c>
      <c r="BTW2" s="13" t="s">
        <v>150</v>
      </c>
      <c r="BTX2" s="13" t="s">
        <v>151</v>
      </c>
      <c r="BTY2" s="13" t="s">
        <v>147</v>
      </c>
      <c r="BTZ2" s="13" t="s">
        <v>148</v>
      </c>
      <c r="BUA2" s="13" t="s">
        <v>149</v>
      </c>
      <c r="BUB2" s="13" t="s">
        <v>144</v>
      </c>
      <c r="BUC2" s="13" t="s">
        <v>218</v>
      </c>
      <c r="BUD2" s="13" t="s">
        <v>145</v>
      </c>
      <c r="BUE2" s="13" t="s">
        <v>356</v>
      </c>
      <c r="BUF2" s="13" t="s">
        <v>359</v>
      </c>
      <c r="BUG2" s="13" t="s">
        <v>150</v>
      </c>
      <c r="BUH2" s="13" t="s">
        <v>151</v>
      </c>
      <c r="BUI2" s="13" t="s">
        <v>147</v>
      </c>
      <c r="BUJ2" s="13" t="s">
        <v>148</v>
      </c>
      <c r="BUK2" s="13" t="s">
        <v>149</v>
      </c>
      <c r="BUL2" s="13" t="s">
        <v>144</v>
      </c>
      <c r="BUM2" s="13" t="s">
        <v>218</v>
      </c>
      <c r="BUN2" s="13" t="s">
        <v>145</v>
      </c>
      <c r="BUO2" s="13" t="s">
        <v>356</v>
      </c>
      <c r="BUP2" s="13" t="s">
        <v>359</v>
      </c>
      <c r="BUQ2" s="13" t="s">
        <v>212</v>
      </c>
      <c r="BUR2" s="13" t="s">
        <v>150</v>
      </c>
      <c r="BUS2" s="13" t="s">
        <v>151</v>
      </c>
      <c r="BUT2" s="13" t="s">
        <v>147</v>
      </c>
      <c r="BUU2" s="13" t="s">
        <v>148</v>
      </c>
      <c r="BUV2" s="13" t="s">
        <v>149</v>
      </c>
      <c r="BUW2" s="13" t="s">
        <v>144</v>
      </c>
      <c r="BUX2" s="13" t="s">
        <v>218</v>
      </c>
      <c r="BUY2" s="13" t="s">
        <v>145</v>
      </c>
      <c r="BUZ2" s="13" t="s">
        <v>356</v>
      </c>
      <c r="BVA2" s="13" t="s">
        <v>359</v>
      </c>
      <c r="BVB2" s="13" t="s">
        <v>212</v>
      </c>
      <c r="BVC2" s="13" t="s">
        <v>150</v>
      </c>
      <c r="BVD2" s="13" t="s">
        <v>151</v>
      </c>
      <c r="BVE2" s="13" t="s">
        <v>147</v>
      </c>
      <c r="BVF2" s="13" t="s">
        <v>148</v>
      </c>
      <c r="BVG2" s="13" t="s">
        <v>149</v>
      </c>
      <c r="BVH2" s="13" t="s">
        <v>144</v>
      </c>
      <c r="BVI2" s="13" t="s">
        <v>218</v>
      </c>
      <c r="BVJ2" s="13" t="s">
        <v>145</v>
      </c>
      <c r="BVK2" s="13" t="s">
        <v>356</v>
      </c>
      <c r="BVL2" s="13" t="s">
        <v>359</v>
      </c>
      <c r="BVM2" s="13" t="s">
        <v>212</v>
      </c>
      <c r="BVN2" s="13" t="s">
        <v>150</v>
      </c>
      <c r="BVO2" s="13" t="s">
        <v>151</v>
      </c>
      <c r="BVP2" s="13" t="s">
        <v>147</v>
      </c>
      <c r="BVQ2" s="13" t="s">
        <v>148</v>
      </c>
      <c r="BVR2" s="13" t="s">
        <v>149</v>
      </c>
      <c r="BVS2" s="13" t="s">
        <v>144</v>
      </c>
      <c r="BVT2" s="13" t="s">
        <v>218</v>
      </c>
      <c r="BVU2" s="13" t="s">
        <v>145</v>
      </c>
      <c r="BVV2" s="13" t="s">
        <v>356</v>
      </c>
      <c r="BVW2" s="13" t="s">
        <v>359</v>
      </c>
      <c r="BVX2" s="13" t="s">
        <v>150</v>
      </c>
      <c r="BVY2" s="13" t="s">
        <v>151</v>
      </c>
      <c r="BVZ2" s="13" t="s">
        <v>147</v>
      </c>
      <c r="BWA2" s="13" t="s">
        <v>148</v>
      </c>
      <c r="BWB2" s="13" t="s">
        <v>149</v>
      </c>
      <c r="BWC2" s="13" t="s">
        <v>144</v>
      </c>
      <c r="BWD2" s="13" t="s">
        <v>218</v>
      </c>
      <c r="BWE2" s="13" t="s">
        <v>145</v>
      </c>
      <c r="BWF2" s="13" t="s">
        <v>356</v>
      </c>
      <c r="BWG2" s="13" t="s">
        <v>359</v>
      </c>
      <c r="BWH2" s="13" t="s">
        <v>150</v>
      </c>
      <c r="BWI2" s="13" t="s">
        <v>151</v>
      </c>
      <c r="BWJ2" s="13" t="s">
        <v>147</v>
      </c>
      <c r="BWK2" s="13" t="s">
        <v>148</v>
      </c>
      <c r="BWL2" s="13" t="s">
        <v>149</v>
      </c>
      <c r="BWM2" s="13" t="s">
        <v>144</v>
      </c>
      <c r="BWN2" s="13" t="s">
        <v>218</v>
      </c>
      <c r="BWO2" s="13" t="s">
        <v>145</v>
      </c>
      <c r="BWP2" s="13" t="s">
        <v>356</v>
      </c>
      <c r="BWQ2" s="13" t="s">
        <v>359</v>
      </c>
      <c r="BWR2" s="13" t="s">
        <v>150</v>
      </c>
      <c r="BWS2" s="13" t="s">
        <v>151</v>
      </c>
      <c r="BWT2" s="13" t="s">
        <v>147</v>
      </c>
      <c r="BWU2" s="13" t="s">
        <v>148</v>
      </c>
      <c r="BWV2" s="13" t="s">
        <v>149</v>
      </c>
      <c r="BWW2" s="13" t="s">
        <v>144</v>
      </c>
      <c r="BWX2" s="13" t="s">
        <v>218</v>
      </c>
      <c r="BWY2" s="13" t="s">
        <v>145</v>
      </c>
      <c r="BWZ2" s="13" t="s">
        <v>356</v>
      </c>
      <c r="BXA2" s="13" t="s">
        <v>359</v>
      </c>
      <c r="BXB2" s="13" t="s">
        <v>150</v>
      </c>
      <c r="BXC2" s="13" t="s">
        <v>151</v>
      </c>
      <c r="BXD2" s="13" t="s">
        <v>147</v>
      </c>
      <c r="BXE2" s="13" t="s">
        <v>148</v>
      </c>
      <c r="BXF2" s="13" t="s">
        <v>149</v>
      </c>
      <c r="BXG2" s="13" t="s">
        <v>144</v>
      </c>
      <c r="BXH2" s="13" t="s">
        <v>218</v>
      </c>
      <c r="BXI2" s="13" t="s">
        <v>145</v>
      </c>
      <c r="BXJ2" s="13" t="s">
        <v>356</v>
      </c>
      <c r="BXK2" s="13" t="s">
        <v>359</v>
      </c>
      <c r="BXL2" s="13" t="s">
        <v>212</v>
      </c>
      <c r="BXM2" s="13" t="s">
        <v>150</v>
      </c>
      <c r="BXN2" s="13" t="s">
        <v>151</v>
      </c>
      <c r="BXO2" s="13" t="s">
        <v>147</v>
      </c>
      <c r="BXP2" s="13" t="s">
        <v>148</v>
      </c>
      <c r="BXQ2" s="13" t="s">
        <v>149</v>
      </c>
      <c r="BXR2" s="13" t="s">
        <v>144</v>
      </c>
      <c r="BXS2" s="13" t="s">
        <v>218</v>
      </c>
      <c r="BXT2" s="13" t="s">
        <v>145</v>
      </c>
      <c r="BXU2" s="13" t="s">
        <v>356</v>
      </c>
      <c r="BXV2" s="13" t="s">
        <v>359</v>
      </c>
      <c r="BXW2" s="13" t="s">
        <v>150</v>
      </c>
      <c r="BXX2" s="13" t="s">
        <v>151</v>
      </c>
      <c r="BXY2" s="13" t="s">
        <v>147</v>
      </c>
      <c r="BXZ2" s="13" t="s">
        <v>148</v>
      </c>
      <c r="BYA2" s="13" t="s">
        <v>149</v>
      </c>
      <c r="BYB2" s="13" t="s">
        <v>144</v>
      </c>
      <c r="BYC2" s="13" t="s">
        <v>218</v>
      </c>
      <c r="BYD2" s="13" t="s">
        <v>145</v>
      </c>
      <c r="BYE2" s="13" t="s">
        <v>356</v>
      </c>
      <c r="BYF2" s="13" t="s">
        <v>359</v>
      </c>
      <c r="BYG2" s="13" t="s">
        <v>150</v>
      </c>
      <c r="BYH2" s="13" t="s">
        <v>151</v>
      </c>
      <c r="BYI2" s="13" t="s">
        <v>147</v>
      </c>
      <c r="BYJ2" s="13" t="s">
        <v>148</v>
      </c>
      <c r="BYK2" s="13" t="s">
        <v>149</v>
      </c>
      <c r="BYL2" s="13" t="s">
        <v>427</v>
      </c>
      <c r="BYM2" s="13" t="s">
        <v>144</v>
      </c>
      <c r="BYN2" s="13" t="s">
        <v>218</v>
      </c>
      <c r="BYO2" s="13" t="s">
        <v>145</v>
      </c>
      <c r="BYP2" s="13" t="s">
        <v>356</v>
      </c>
      <c r="BYQ2" s="13" t="s">
        <v>359</v>
      </c>
      <c r="BYR2" s="13" t="s">
        <v>150</v>
      </c>
      <c r="BYS2" s="13" t="s">
        <v>151</v>
      </c>
      <c r="BYT2" s="13" t="s">
        <v>147</v>
      </c>
      <c r="BYU2" s="13" t="s">
        <v>148</v>
      </c>
      <c r="BYV2" s="13" t="s">
        <v>149</v>
      </c>
      <c r="BYW2" s="13" t="s">
        <v>144</v>
      </c>
      <c r="BYX2" s="13" t="s">
        <v>218</v>
      </c>
      <c r="BYY2" s="13" t="s">
        <v>145</v>
      </c>
      <c r="BYZ2" s="13" t="s">
        <v>356</v>
      </c>
      <c r="BZA2" s="13" t="s">
        <v>359</v>
      </c>
      <c r="BZB2" s="13" t="s">
        <v>150</v>
      </c>
      <c r="BZC2" s="13" t="s">
        <v>151</v>
      </c>
      <c r="BZD2" s="13" t="s">
        <v>147</v>
      </c>
      <c r="BZE2" s="13" t="s">
        <v>148</v>
      </c>
      <c r="BZF2" s="13" t="s">
        <v>149</v>
      </c>
      <c r="BZG2" s="13" t="s">
        <v>144</v>
      </c>
      <c r="BZH2" s="13" t="s">
        <v>218</v>
      </c>
      <c r="BZI2" s="13" t="s">
        <v>145</v>
      </c>
      <c r="BZJ2" s="13" t="s">
        <v>356</v>
      </c>
      <c r="BZK2" s="13" t="s">
        <v>359</v>
      </c>
      <c r="BZL2" s="13" t="s">
        <v>363</v>
      </c>
      <c r="BZM2" s="13" t="s">
        <v>151</v>
      </c>
      <c r="BZN2" s="13" t="s">
        <v>147</v>
      </c>
      <c r="BZO2" s="13" t="s">
        <v>148</v>
      </c>
      <c r="BZP2" s="13" t="s">
        <v>149</v>
      </c>
      <c r="BZQ2" s="13" t="s">
        <v>144</v>
      </c>
      <c r="BZR2" s="13" t="s">
        <v>218</v>
      </c>
      <c r="BZS2" s="13" t="s">
        <v>145</v>
      </c>
      <c r="BZT2" s="13" t="s">
        <v>356</v>
      </c>
      <c r="BZU2" s="13" t="s">
        <v>359</v>
      </c>
      <c r="BZV2" s="13" t="s">
        <v>150</v>
      </c>
      <c r="BZW2" s="13" t="s">
        <v>151</v>
      </c>
      <c r="BZX2" s="13" t="s">
        <v>147</v>
      </c>
      <c r="BZY2" s="13" t="s">
        <v>148</v>
      </c>
      <c r="BZZ2" s="13" t="s">
        <v>149</v>
      </c>
      <c r="CAA2" s="13" t="s">
        <v>144</v>
      </c>
      <c r="CAB2" s="13" t="s">
        <v>218</v>
      </c>
      <c r="CAC2" s="13" t="s">
        <v>145</v>
      </c>
      <c r="CAD2" s="13" t="s">
        <v>356</v>
      </c>
      <c r="CAE2" s="13" t="s">
        <v>359</v>
      </c>
      <c r="CAF2" s="13" t="s">
        <v>150</v>
      </c>
      <c r="CAG2" s="13" t="s">
        <v>151</v>
      </c>
      <c r="CAH2" s="13" t="s">
        <v>147</v>
      </c>
      <c r="CAI2" s="13" t="s">
        <v>148</v>
      </c>
      <c r="CAJ2" s="13" t="s">
        <v>1662</v>
      </c>
      <c r="CAK2" s="13" t="s">
        <v>144</v>
      </c>
      <c r="CAL2" s="13" t="s">
        <v>218</v>
      </c>
      <c r="CAM2" s="13" t="s">
        <v>145</v>
      </c>
      <c r="CAN2" s="13" t="s">
        <v>356</v>
      </c>
      <c r="CAO2" s="13" t="s">
        <v>359</v>
      </c>
      <c r="CAP2" s="13" t="s">
        <v>150</v>
      </c>
      <c r="CAQ2" s="13" t="s">
        <v>151</v>
      </c>
      <c r="CAR2" s="13" t="s">
        <v>147</v>
      </c>
      <c r="CAS2" s="13" t="s">
        <v>148</v>
      </c>
      <c r="CAT2" s="13" t="s">
        <v>149</v>
      </c>
      <c r="CAU2" s="13" t="s">
        <v>2027</v>
      </c>
      <c r="CAV2" s="13" t="s">
        <v>144</v>
      </c>
      <c r="CAW2" s="13" t="s">
        <v>218</v>
      </c>
      <c r="CAX2" s="13" t="s">
        <v>145</v>
      </c>
      <c r="CAY2" s="13" t="s">
        <v>356</v>
      </c>
      <c r="CAZ2" s="13" t="s">
        <v>359</v>
      </c>
      <c r="CBA2" s="13" t="s">
        <v>212</v>
      </c>
      <c r="CBB2" s="13" t="s">
        <v>150</v>
      </c>
      <c r="CBC2" s="13" t="s">
        <v>151</v>
      </c>
      <c r="CBD2" s="13" t="s">
        <v>147</v>
      </c>
      <c r="CBE2" s="13" t="s">
        <v>148</v>
      </c>
      <c r="CBF2" s="13" t="s">
        <v>149</v>
      </c>
      <c r="CBG2" s="13" t="s">
        <v>144</v>
      </c>
      <c r="CBH2" s="13" t="s">
        <v>218</v>
      </c>
      <c r="CBI2" s="13" t="s">
        <v>145</v>
      </c>
      <c r="CBJ2" s="13" t="s">
        <v>356</v>
      </c>
      <c r="CBK2" s="13" t="s">
        <v>359</v>
      </c>
      <c r="CBL2" s="13" t="s">
        <v>212</v>
      </c>
      <c r="CBM2" s="13" t="s">
        <v>150</v>
      </c>
      <c r="CBN2" s="13" t="s">
        <v>151</v>
      </c>
      <c r="CBO2" s="13" t="s">
        <v>147</v>
      </c>
      <c r="CBP2" s="13" t="s">
        <v>148</v>
      </c>
      <c r="CBQ2" s="13" t="s">
        <v>149</v>
      </c>
      <c r="CBR2" s="13" t="s">
        <v>144</v>
      </c>
      <c r="CBS2" s="13" t="s">
        <v>218</v>
      </c>
      <c r="CBT2" s="13" t="s">
        <v>145</v>
      </c>
      <c r="CBU2" s="13" t="s">
        <v>356</v>
      </c>
      <c r="CBV2" s="13" t="s">
        <v>359</v>
      </c>
      <c r="CBW2" s="13" t="s">
        <v>150</v>
      </c>
      <c r="CBX2" s="13" t="s">
        <v>151</v>
      </c>
      <c r="CBY2" s="13" t="s">
        <v>147</v>
      </c>
      <c r="CBZ2" s="13" t="s">
        <v>148</v>
      </c>
      <c r="CCA2" s="13" t="s">
        <v>149</v>
      </c>
      <c r="CCB2" s="13" t="s">
        <v>144</v>
      </c>
      <c r="CCC2" s="13" t="s">
        <v>218</v>
      </c>
      <c r="CCD2" s="13" t="s">
        <v>145</v>
      </c>
      <c r="CCE2" s="13" t="s">
        <v>356</v>
      </c>
      <c r="CCF2" s="13" t="s">
        <v>359</v>
      </c>
      <c r="CCG2" s="13" t="s">
        <v>365</v>
      </c>
      <c r="CCH2" s="13" t="s">
        <v>151</v>
      </c>
      <c r="CCI2" s="13" t="s">
        <v>147</v>
      </c>
      <c r="CCJ2" s="13" t="s">
        <v>148</v>
      </c>
      <c r="CCK2" s="13" t="s">
        <v>149</v>
      </c>
      <c r="CCL2" s="13" t="s">
        <v>144</v>
      </c>
      <c r="CCM2" s="13" t="s">
        <v>218</v>
      </c>
      <c r="CCN2" s="13" t="s">
        <v>145</v>
      </c>
      <c r="CCO2" s="13" t="s">
        <v>356</v>
      </c>
      <c r="CCP2" s="13" t="s">
        <v>359</v>
      </c>
      <c r="CCQ2" s="13" t="s">
        <v>150</v>
      </c>
      <c r="CCR2" s="13" t="s">
        <v>151</v>
      </c>
      <c r="CCS2" s="13" t="s">
        <v>147</v>
      </c>
      <c r="CCT2" s="13" t="s">
        <v>148</v>
      </c>
      <c r="CCU2" s="13" t="s">
        <v>149</v>
      </c>
      <c r="CCV2" s="13" t="s">
        <v>144</v>
      </c>
      <c r="CCW2" s="13" t="s">
        <v>218</v>
      </c>
      <c r="CCX2" s="13" t="s">
        <v>145</v>
      </c>
      <c r="CCY2" s="13" t="s">
        <v>356</v>
      </c>
      <c r="CCZ2" s="13" t="s">
        <v>359</v>
      </c>
      <c r="CDA2" s="13" t="s">
        <v>150</v>
      </c>
      <c r="CDB2" s="13" t="s">
        <v>151</v>
      </c>
      <c r="CDC2" s="13" t="s">
        <v>147</v>
      </c>
      <c r="CDD2" s="13" t="s">
        <v>148</v>
      </c>
      <c r="CDE2" s="13" t="s">
        <v>149</v>
      </c>
      <c r="CDF2" s="13" t="s">
        <v>144</v>
      </c>
      <c r="CDG2" s="13" t="s">
        <v>218</v>
      </c>
      <c r="CDH2" s="13" t="s">
        <v>145</v>
      </c>
      <c r="CDI2" s="13" t="s">
        <v>356</v>
      </c>
      <c r="CDJ2" s="13" t="s">
        <v>359</v>
      </c>
      <c r="CDK2" s="13" t="s">
        <v>150</v>
      </c>
      <c r="CDL2" s="13" t="s">
        <v>151</v>
      </c>
      <c r="CDM2" s="13" t="s">
        <v>147</v>
      </c>
      <c r="CDN2" s="13" t="s">
        <v>148</v>
      </c>
      <c r="CDO2" s="13" t="s">
        <v>149</v>
      </c>
      <c r="CDP2" s="13" t="s">
        <v>144</v>
      </c>
      <c r="CDQ2" s="13" t="s">
        <v>218</v>
      </c>
      <c r="CDR2" s="13" t="s">
        <v>145</v>
      </c>
      <c r="CDS2" s="13" t="s">
        <v>356</v>
      </c>
      <c r="CDT2" s="13" t="s">
        <v>359</v>
      </c>
      <c r="CDU2" s="13" t="s">
        <v>357</v>
      </c>
      <c r="CDV2" s="13" t="s">
        <v>151</v>
      </c>
      <c r="CDW2" s="13" t="s">
        <v>147</v>
      </c>
      <c r="CDX2" s="13" t="s">
        <v>148</v>
      </c>
      <c r="CDY2" s="13" t="s">
        <v>149</v>
      </c>
      <c r="CDZ2" s="13" t="s">
        <v>144</v>
      </c>
      <c r="CEA2" s="13" t="s">
        <v>218</v>
      </c>
      <c r="CEB2" s="13" t="s">
        <v>145</v>
      </c>
      <c r="CEC2" s="13" t="s">
        <v>356</v>
      </c>
      <c r="CED2" s="13" t="s">
        <v>359</v>
      </c>
      <c r="CEE2" s="13" t="s">
        <v>357</v>
      </c>
      <c r="CEF2" s="13" t="s">
        <v>151</v>
      </c>
      <c r="CEG2" s="13" t="s">
        <v>147</v>
      </c>
      <c r="CEH2" s="13" t="s">
        <v>148</v>
      </c>
      <c r="CEI2" s="13" t="s">
        <v>149</v>
      </c>
      <c r="CEJ2" s="13" t="s">
        <v>144</v>
      </c>
      <c r="CEK2" s="13" t="s">
        <v>218</v>
      </c>
      <c r="CEL2" s="13" t="s">
        <v>145</v>
      </c>
      <c r="CEM2" s="13" t="s">
        <v>356</v>
      </c>
      <c r="CEN2" s="13" t="s">
        <v>359</v>
      </c>
      <c r="CEO2" s="13" t="s">
        <v>150</v>
      </c>
      <c r="CEP2" s="13" t="s">
        <v>151</v>
      </c>
      <c r="CEQ2" s="13" t="s">
        <v>147</v>
      </c>
      <c r="CER2" s="13" t="s">
        <v>148</v>
      </c>
      <c r="CES2" s="13" t="s">
        <v>149</v>
      </c>
      <c r="CET2" s="13" t="s">
        <v>144</v>
      </c>
      <c r="CEU2" s="13" t="s">
        <v>218</v>
      </c>
      <c r="CEV2" s="13" t="s">
        <v>145</v>
      </c>
      <c r="CEW2" s="13" t="s">
        <v>356</v>
      </c>
      <c r="CEX2" s="13" t="s">
        <v>359</v>
      </c>
      <c r="CEY2" s="13" t="s">
        <v>150</v>
      </c>
      <c r="CEZ2" s="13" t="s">
        <v>151</v>
      </c>
      <c r="CFA2" s="13" t="s">
        <v>147</v>
      </c>
      <c r="CFB2" s="13" t="s">
        <v>148</v>
      </c>
      <c r="CFC2" s="13" t="s">
        <v>149</v>
      </c>
      <c r="CFD2" s="13" t="s">
        <v>144</v>
      </c>
      <c r="CFE2" s="13" t="s">
        <v>218</v>
      </c>
      <c r="CFF2" s="13" t="s">
        <v>145</v>
      </c>
      <c r="CFG2" s="13" t="s">
        <v>356</v>
      </c>
      <c r="CFH2" s="13" t="s">
        <v>359</v>
      </c>
      <c r="CFI2" s="13" t="s">
        <v>150</v>
      </c>
      <c r="CFJ2" s="13" t="s">
        <v>151</v>
      </c>
      <c r="CFK2" s="13" t="s">
        <v>147</v>
      </c>
      <c r="CFL2" s="13" t="s">
        <v>148</v>
      </c>
      <c r="CFM2" s="13" t="s">
        <v>149</v>
      </c>
      <c r="CFN2" s="13" t="s">
        <v>144</v>
      </c>
      <c r="CFO2" s="13" t="s">
        <v>218</v>
      </c>
      <c r="CFP2" s="13" t="s">
        <v>145</v>
      </c>
      <c r="CFQ2" s="13" t="s">
        <v>356</v>
      </c>
      <c r="CFR2" s="13" t="s">
        <v>359</v>
      </c>
      <c r="CFS2" s="13" t="s">
        <v>150</v>
      </c>
      <c r="CFT2" s="13" t="s">
        <v>151</v>
      </c>
      <c r="CFU2" s="13" t="s">
        <v>147</v>
      </c>
      <c r="CFV2" s="13" t="s">
        <v>148</v>
      </c>
      <c r="CFW2" s="13" t="s">
        <v>149</v>
      </c>
      <c r="CFX2" s="13" t="s">
        <v>144</v>
      </c>
      <c r="CFY2" s="13" t="s">
        <v>218</v>
      </c>
      <c r="CFZ2" s="13" t="s">
        <v>145</v>
      </c>
      <c r="CGA2" s="13" t="s">
        <v>356</v>
      </c>
      <c r="CGB2" s="13" t="s">
        <v>359</v>
      </c>
      <c r="CGC2" s="13" t="s">
        <v>150</v>
      </c>
      <c r="CGD2" s="13" t="s">
        <v>151</v>
      </c>
      <c r="CGE2" s="13" t="s">
        <v>147</v>
      </c>
      <c r="CGF2" s="13" t="s">
        <v>148</v>
      </c>
      <c r="CGG2" s="13" t="s">
        <v>149</v>
      </c>
      <c r="CGH2" s="13" t="s">
        <v>144</v>
      </c>
      <c r="CGI2" s="13" t="s">
        <v>218</v>
      </c>
      <c r="CGJ2" s="13" t="s">
        <v>145</v>
      </c>
      <c r="CGK2" s="13" t="s">
        <v>356</v>
      </c>
      <c r="CGL2" s="13" t="s">
        <v>359</v>
      </c>
      <c r="CGM2" s="13" t="s">
        <v>150</v>
      </c>
      <c r="CGN2" s="13" t="s">
        <v>151</v>
      </c>
      <c r="CGO2" s="13" t="s">
        <v>147</v>
      </c>
      <c r="CGP2" s="13" t="s">
        <v>148</v>
      </c>
      <c r="CGQ2" s="13" t="s">
        <v>149</v>
      </c>
      <c r="CGR2" s="13" t="s">
        <v>144</v>
      </c>
      <c r="CGS2" s="13" t="s">
        <v>218</v>
      </c>
      <c r="CGT2" s="13" t="s">
        <v>145</v>
      </c>
      <c r="CGU2" s="13" t="s">
        <v>356</v>
      </c>
      <c r="CGV2" s="13" t="s">
        <v>359</v>
      </c>
      <c r="CGW2" s="13" t="s">
        <v>150</v>
      </c>
      <c r="CGX2" s="13" t="s">
        <v>151</v>
      </c>
      <c r="CGY2" s="13" t="s">
        <v>147</v>
      </c>
      <c r="CGZ2" s="13" t="s">
        <v>148</v>
      </c>
      <c r="CHA2" s="13" t="s">
        <v>149</v>
      </c>
      <c r="CHB2" s="13" t="s">
        <v>144</v>
      </c>
      <c r="CHC2" s="13" t="s">
        <v>218</v>
      </c>
      <c r="CHD2" s="13" t="s">
        <v>145</v>
      </c>
      <c r="CHE2" s="13" t="s">
        <v>356</v>
      </c>
      <c r="CHF2" s="13" t="s">
        <v>359</v>
      </c>
      <c r="CHG2" s="13" t="s">
        <v>150</v>
      </c>
      <c r="CHH2" s="13" t="s">
        <v>151</v>
      </c>
      <c r="CHI2" s="13" t="s">
        <v>147</v>
      </c>
      <c r="CHJ2" s="13" t="s">
        <v>148</v>
      </c>
      <c r="CHK2" s="13" t="s">
        <v>149</v>
      </c>
      <c r="CHL2" s="13" t="s">
        <v>144</v>
      </c>
      <c r="CHM2" s="13" t="s">
        <v>218</v>
      </c>
      <c r="CHN2" s="13" t="s">
        <v>145</v>
      </c>
      <c r="CHO2" s="13" t="s">
        <v>356</v>
      </c>
      <c r="CHP2" s="13" t="s">
        <v>359</v>
      </c>
      <c r="CHQ2" s="13" t="s">
        <v>212</v>
      </c>
      <c r="CHR2" s="13" t="s">
        <v>150</v>
      </c>
      <c r="CHS2" s="13" t="s">
        <v>151</v>
      </c>
      <c r="CHT2" s="13" t="s">
        <v>147</v>
      </c>
      <c r="CHU2" s="13" t="s">
        <v>148</v>
      </c>
      <c r="CHV2" s="13" t="s">
        <v>149</v>
      </c>
      <c r="CHW2" s="13" t="s">
        <v>144</v>
      </c>
      <c r="CHX2" s="13" t="s">
        <v>218</v>
      </c>
      <c r="CHY2" s="13" t="s">
        <v>145</v>
      </c>
      <c r="CHZ2" s="13" t="s">
        <v>356</v>
      </c>
      <c r="CIA2" s="13" t="s">
        <v>359</v>
      </c>
      <c r="CIB2" s="13" t="s">
        <v>150</v>
      </c>
      <c r="CIC2" s="13" t="s">
        <v>151</v>
      </c>
      <c r="CID2" s="13" t="s">
        <v>147</v>
      </c>
      <c r="CIE2" s="13" t="s">
        <v>148</v>
      </c>
      <c r="CIF2" s="13" t="s">
        <v>149</v>
      </c>
      <c r="CIG2" s="13" t="s">
        <v>144</v>
      </c>
      <c r="CIH2" s="13" t="s">
        <v>218</v>
      </c>
      <c r="CII2" s="13" t="s">
        <v>145</v>
      </c>
      <c r="CIJ2" s="13" t="s">
        <v>356</v>
      </c>
      <c r="CIK2" s="13" t="s">
        <v>359</v>
      </c>
      <c r="CIL2" s="13" t="s">
        <v>150</v>
      </c>
      <c r="CIM2" s="13" t="s">
        <v>151</v>
      </c>
      <c r="CIN2" s="13" t="s">
        <v>147</v>
      </c>
      <c r="CIO2" s="13" t="s">
        <v>148</v>
      </c>
      <c r="CIP2" s="13" t="s">
        <v>149</v>
      </c>
      <c r="CIQ2" s="13" t="s">
        <v>144</v>
      </c>
      <c r="CIR2" s="13" t="s">
        <v>218</v>
      </c>
      <c r="CIS2" s="13" t="s">
        <v>145</v>
      </c>
      <c r="CIT2" s="13" t="s">
        <v>356</v>
      </c>
      <c r="CIU2" s="13" t="s">
        <v>359</v>
      </c>
      <c r="CIV2" s="13" t="s">
        <v>150</v>
      </c>
      <c r="CIW2" s="13" t="s">
        <v>151</v>
      </c>
      <c r="CIX2" s="13" t="s">
        <v>147</v>
      </c>
      <c r="CIY2" s="13" t="s">
        <v>148</v>
      </c>
      <c r="CIZ2" s="13" t="s">
        <v>149</v>
      </c>
      <c r="CJA2" s="13" t="s">
        <v>144</v>
      </c>
      <c r="CJB2" s="13" t="s">
        <v>218</v>
      </c>
      <c r="CJC2" s="13" t="s">
        <v>145</v>
      </c>
      <c r="CJD2" s="13" t="s">
        <v>356</v>
      </c>
      <c r="CJE2" s="13" t="s">
        <v>359</v>
      </c>
      <c r="CJF2" s="13" t="s">
        <v>150</v>
      </c>
      <c r="CJG2" s="13" t="s">
        <v>151</v>
      </c>
      <c r="CJH2" s="13" t="s">
        <v>147</v>
      </c>
      <c r="CJI2" s="13" t="s">
        <v>148</v>
      </c>
      <c r="CJJ2" s="13" t="s">
        <v>149</v>
      </c>
      <c r="CJK2" s="13" t="s">
        <v>144</v>
      </c>
      <c r="CJL2" s="13" t="s">
        <v>218</v>
      </c>
      <c r="CJM2" s="13" t="s">
        <v>145</v>
      </c>
      <c r="CJN2" s="13" t="s">
        <v>356</v>
      </c>
      <c r="CJO2" s="13" t="s">
        <v>359</v>
      </c>
      <c r="CJP2" s="13" t="s">
        <v>150</v>
      </c>
      <c r="CJQ2" s="13" t="s">
        <v>151</v>
      </c>
      <c r="CJR2" s="13" t="s">
        <v>147</v>
      </c>
      <c r="CJS2" s="13" t="s">
        <v>148</v>
      </c>
      <c r="CJT2" s="13" t="s">
        <v>149</v>
      </c>
      <c r="CJU2" s="13" t="s">
        <v>144</v>
      </c>
      <c r="CJV2" s="13" t="s">
        <v>218</v>
      </c>
      <c r="CJW2" s="13" t="s">
        <v>145</v>
      </c>
      <c r="CJX2" s="13" t="s">
        <v>356</v>
      </c>
      <c r="CJY2" s="13" t="s">
        <v>359</v>
      </c>
      <c r="CJZ2" s="13" t="s">
        <v>150</v>
      </c>
      <c r="CKA2" s="13" t="s">
        <v>151</v>
      </c>
      <c r="CKB2" s="13" t="s">
        <v>147</v>
      </c>
      <c r="CKC2" s="13" t="s">
        <v>148</v>
      </c>
      <c r="CKD2" s="13" t="s">
        <v>149</v>
      </c>
      <c r="CKE2" s="13" t="s">
        <v>144</v>
      </c>
      <c r="CKF2" s="13" t="s">
        <v>218</v>
      </c>
      <c r="CKG2" s="13" t="s">
        <v>145</v>
      </c>
      <c r="CKH2" s="13" t="s">
        <v>356</v>
      </c>
      <c r="CKI2" s="13" t="s">
        <v>359</v>
      </c>
      <c r="CKJ2" s="13" t="s">
        <v>150</v>
      </c>
      <c r="CKK2" s="13" t="s">
        <v>151</v>
      </c>
      <c r="CKL2" s="13" t="s">
        <v>147</v>
      </c>
      <c r="CKM2" s="13" t="s">
        <v>148</v>
      </c>
      <c r="CKN2" s="13" t="s">
        <v>149</v>
      </c>
      <c r="CKO2" s="13" t="s">
        <v>144</v>
      </c>
      <c r="CKP2" s="13" t="s">
        <v>218</v>
      </c>
      <c r="CKQ2" s="13" t="s">
        <v>145</v>
      </c>
      <c r="CKR2" s="13" t="s">
        <v>356</v>
      </c>
      <c r="CKS2" s="13" t="s">
        <v>359</v>
      </c>
      <c r="CKT2" s="13" t="s">
        <v>150</v>
      </c>
      <c r="CKU2" s="13" t="s">
        <v>151</v>
      </c>
      <c r="CKV2" s="13" t="s">
        <v>147</v>
      </c>
      <c r="CKW2" s="13" t="s">
        <v>148</v>
      </c>
      <c r="CKX2" s="13" t="s">
        <v>149</v>
      </c>
      <c r="CKY2" s="13" t="s">
        <v>144</v>
      </c>
      <c r="CKZ2" s="13" t="s">
        <v>218</v>
      </c>
      <c r="CLA2" s="13" t="s">
        <v>145</v>
      </c>
      <c r="CLB2" s="13" t="s">
        <v>356</v>
      </c>
      <c r="CLC2" s="13" t="s">
        <v>359</v>
      </c>
      <c r="CLD2" s="13" t="s">
        <v>150</v>
      </c>
      <c r="CLE2" s="13" t="s">
        <v>151</v>
      </c>
      <c r="CLF2" s="13" t="s">
        <v>147</v>
      </c>
      <c r="CLG2" s="13" t="s">
        <v>148</v>
      </c>
      <c r="CLH2" s="13" t="s">
        <v>149</v>
      </c>
      <c r="CLI2" s="13" t="s">
        <v>144</v>
      </c>
      <c r="CLJ2" s="13" t="s">
        <v>218</v>
      </c>
      <c r="CLK2" s="13" t="s">
        <v>145</v>
      </c>
      <c r="CLL2" s="13" t="s">
        <v>356</v>
      </c>
      <c r="CLM2" s="13" t="s">
        <v>359</v>
      </c>
      <c r="CLN2" s="13" t="s">
        <v>150</v>
      </c>
      <c r="CLO2" s="13" t="s">
        <v>151</v>
      </c>
      <c r="CLP2" s="13" t="s">
        <v>147</v>
      </c>
      <c r="CLQ2" s="13" t="s">
        <v>148</v>
      </c>
      <c r="CLR2" s="13" t="s">
        <v>149</v>
      </c>
      <c r="CLS2" s="13" t="s">
        <v>144</v>
      </c>
      <c r="CLT2" s="13" t="s">
        <v>218</v>
      </c>
      <c r="CLU2" s="13" t="s">
        <v>145</v>
      </c>
      <c r="CLV2" s="13" t="s">
        <v>356</v>
      </c>
      <c r="CLW2" s="13" t="s">
        <v>359</v>
      </c>
      <c r="CLX2" s="13" t="s">
        <v>150</v>
      </c>
      <c r="CLY2" s="13" t="s">
        <v>151</v>
      </c>
      <c r="CLZ2" s="13" t="s">
        <v>147</v>
      </c>
      <c r="CMA2" s="13" t="s">
        <v>148</v>
      </c>
      <c r="CMB2" s="13" t="s">
        <v>149</v>
      </c>
      <c r="CMC2" s="13" t="s">
        <v>144</v>
      </c>
      <c r="CMD2" s="13" t="s">
        <v>218</v>
      </c>
      <c r="CME2" s="13" t="s">
        <v>145</v>
      </c>
      <c r="CMF2" s="13" t="s">
        <v>356</v>
      </c>
      <c r="CMG2" s="13" t="s">
        <v>359</v>
      </c>
      <c r="CMH2" s="13" t="s">
        <v>150</v>
      </c>
      <c r="CMI2" s="13" t="s">
        <v>151</v>
      </c>
      <c r="CMJ2" s="13" t="s">
        <v>147</v>
      </c>
      <c r="CMK2" s="13" t="s">
        <v>148</v>
      </c>
      <c r="CML2" s="13" t="s">
        <v>149</v>
      </c>
      <c r="CMM2" s="13" t="s">
        <v>144</v>
      </c>
      <c r="CMN2" s="13" t="s">
        <v>218</v>
      </c>
      <c r="CMO2" s="13" t="s">
        <v>145</v>
      </c>
      <c r="CMP2" s="13" t="s">
        <v>356</v>
      </c>
      <c r="CMQ2" s="13" t="s">
        <v>359</v>
      </c>
      <c r="CMR2" s="13" t="s">
        <v>150</v>
      </c>
      <c r="CMS2" s="13" t="s">
        <v>151</v>
      </c>
      <c r="CMT2" s="13" t="s">
        <v>147</v>
      </c>
      <c r="CMU2" s="13" t="s">
        <v>148</v>
      </c>
      <c r="CMV2" s="13" t="s">
        <v>149</v>
      </c>
      <c r="CMW2" s="13" t="s">
        <v>144</v>
      </c>
      <c r="CMX2" s="13" t="s">
        <v>218</v>
      </c>
      <c r="CMY2" s="13" t="s">
        <v>145</v>
      </c>
      <c r="CMZ2" s="13" t="s">
        <v>356</v>
      </c>
      <c r="CNA2" s="13" t="s">
        <v>359</v>
      </c>
      <c r="CNB2" s="13" t="s">
        <v>150</v>
      </c>
      <c r="CNC2" s="13" t="s">
        <v>151</v>
      </c>
      <c r="CND2" s="13" t="s">
        <v>147</v>
      </c>
      <c r="CNE2" s="13" t="s">
        <v>148</v>
      </c>
      <c r="CNF2" s="13" t="s">
        <v>149</v>
      </c>
      <c r="CNG2" s="13" t="s">
        <v>427</v>
      </c>
      <c r="CNH2" s="13" t="s">
        <v>144</v>
      </c>
      <c r="CNI2" s="13" t="s">
        <v>218</v>
      </c>
      <c r="CNJ2" s="13" t="s">
        <v>145</v>
      </c>
      <c r="CNK2" s="13" t="s">
        <v>356</v>
      </c>
      <c r="CNL2" s="13" t="s">
        <v>359</v>
      </c>
      <c r="CNM2" s="13" t="s">
        <v>363</v>
      </c>
      <c r="CNN2" s="13" t="s">
        <v>151</v>
      </c>
      <c r="CNO2" s="13" t="s">
        <v>147</v>
      </c>
      <c r="CNP2" s="13" t="s">
        <v>148</v>
      </c>
      <c r="CNQ2" s="13" t="s">
        <v>149</v>
      </c>
      <c r="CNR2" s="13" t="s">
        <v>144</v>
      </c>
      <c r="CNS2" s="13" t="s">
        <v>218</v>
      </c>
      <c r="CNT2" s="13" t="s">
        <v>145</v>
      </c>
      <c r="CNU2" s="13" t="s">
        <v>356</v>
      </c>
      <c r="CNV2" s="13" t="s">
        <v>359</v>
      </c>
      <c r="CNW2" s="13" t="s">
        <v>363</v>
      </c>
      <c r="CNX2" s="13" t="s">
        <v>151</v>
      </c>
      <c r="CNY2" s="13" t="s">
        <v>147</v>
      </c>
      <c r="CNZ2" s="13" t="s">
        <v>148</v>
      </c>
      <c r="COA2" s="13" t="s">
        <v>149</v>
      </c>
      <c r="COB2" s="13" t="s">
        <v>144</v>
      </c>
      <c r="COC2" s="13" t="s">
        <v>218</v>
      </c>
      <c r="COD2" s="13" t="s">
        <v>145</v>
      </c>
      <c r="COE2" s="13" t="s">
        <v>356</v>
      </c>
      <c r="COF2" s="13" t="s">
        <v>359</v>
      </c>
      <c r="COG2" s="13" t="s">
        <v>363</v>
      </c>
      <c r="COH2" s="13" t="s">
        <v>151</v>
      </c>
      <c r="COI2" s="13" t="s">
        <v>147</v>
      </c>
      <c r="COJ2" s="13" t="s">
        <v>148</v>
      </c>
      <c r="COK2" s="13" t="s">
        <v>149</v>
      </c>
      <c r="COL2" s="13" t="s">
        <v>144</v>
      </c>
      <c r="COM2" s="13" t="s">
        <v>218</v>
      </c>
      <c r="CON2" s="13" t="s">
        <v>145</v>
      </c>
      <c r="COO2" s="13" t="s">
        <v>356</v>
      </c>
      <c r="COP2" s="13" t="s">
        <v>359</v>
      </c>
      <c r="COQ2" s="13" t="s">
        <v>739</v>
      </c>
      <c r="COR2" s="13" t="s">
        <v>151</v>
      </c>
      <c r="COS2" s="13" t="s">
        <v>147</v>
      </c>
      <c r="COT2" s="13" t="s">
        <v>148</v>
      </c>
      <c r="COU2" s="13" t="s">
        <v>149</v>
      </c>
      <c r="COV2" s="13" t="s">
        <v>1662</v>
      </c>
      <c r="COW2" s="13" t="s">
        <v>144</v>
      </c>
      <c r="COX2" s="13" t="s">
        <v>218</v>
      </c>
      <c r="COY2" s="13" t="s">
        <v>145</v>
      </c>
      <c r="COZ2" s="13" t="s">
        <v>356</v>
      </c>
      <c r="CPA2" s="13" t="s">
        <v>359</v>
      </c>
      <c r="CPB2" s="13" t="s">
        <v>150</v>
      </c>
      <c r="CPC2" s="13" t="s">
        <v>151</v>
      </c>
      <c r="CPD2" s="13" t="s">
        <v>147</v>
      </c>
      <c r="CPE2" s="13" t="s">
        <v>148</v>
      </c>
      <c r="CPF2" s="13" t="s">
        <v>149</v>
      </c>
      <c r="CPG2" s="13" t="s">
        <v>144</v>
      </c>
      <c r="CPH2" s="13" t="s">
        <v>218</v>
      </c>
      <c r="CPI2" s="13" t="s">
        <v>145</v>
      </c>
      <c r="CPJ2" s="13" t="s">
        <v>356</v>
      </c>
      <c r="CPK2" s="13" t="s">
        <v>359</v>
      </c>
      <c r="CPL2" s="13" t="s">
        <v>150</v>
      </c>
      <c r="CPM2" s="13" t="s">
        <v>151</v>
      </c>
      <c r="CPN2" s="13" t="s">
        <v>147</v>
      </c>
      <c r="CPO2" s="13" t="s">
        <v>148</v>
      </c>
      <c r="CPP2" s="13" t="s">
        <v>149</v>
      </c>
      <c r="CPQ2" s="13" t="s">
        <v>144</v>
      </c>
      <c r="CPR2" s="13" t="s">
        <v>218</v>
      </c>
      <c r="CPS2" s="13" t="s">
        <v>145</v>
      </c>
      <c r="CPT2" s="13" t="s">
        <v>356</v>
      </c>
      <c r="CPU2" s="13" t="s">
        <v>359</v>
      </c>
      <c r="CPV2" s="13" t="s">
        <v>212</v>
      </c>
      <c r="CPW2" s="13" t="s">
        <v>150</v>
      </c>
      <c r="CPX2" s="13" t="s">
        <v>151</v>
      </c>
      <c r="CPY2" s="13" t="s">
        <v>147</v>
      </c>
      <c r="CPZ2" s="13" t="s">
        <v>148</v>
      </c>
      <c r="CQA2" s="13" t="s">
        <v>149</v>
      </c>
      <c r="CQB2" s="13" t="s">
        <v>144</v>
      </c>
      <c r="CQC2" s="13" t="s">
        <v>218</v>
      </c>
      <c r="CQD2" s="13" t="s">
        <v>145</v>
      </c>
      <c r="CQE2" s="13" t="s">
        <v>356</v>
      </c>
      <c r="CQF2" s="13" t="s">
        <v>359</v>
      </c>
      <c r="CQG2" s="13" t="s">
        <v>150</v>
      </c>
      <c r="CQH2" s="13" t="s">
        <v>151</v>
      </c>
      <c r="CQI2" s="13" t="s">
        <v>147</v>
      </c>
      <c r="CQJ2" s="13" t="s">
        <v>148</v>
      </c>
      <c r="CQK2" s="13" t="s">
        <v>149</v>
      </c>
      <c r="CQL2" s="13" t="s">
        <v>144</v>
      </c>
      <c r="CQM2" s="13" t="s">
        <v>218</v>
      </c>
      <c r="CQN2" s="13" t="s">
        <v>145</v>
      </c>
      <c r="CQO2" s="13" t="s">
        <v>356</v>
      </c>
      <c r="CQP2" s="13" t="s">
        <v>359</v>
      </c>
      <c r="CQQ2" s="13" t="s">
        <v>150</v>
      </c>
      <c r="CQR2" s="13" t="s">
        <v>151</v>
      </c>
      <c r="CQS2" s="13" t="s">
        <v>147</v>
      </c>
      <c r="CQT2" s="13" t="s">
        <v>148</v>
      </c>
      <c r="CQU2" s="13" t="s">
        <v>149</v>
      </c>
      <c r="CQV2" s="13" t="s">
        <v>144</v>
      </c>
      <c r="CQW2" s="13" t="s">
        <v>218</v>
      </c>
      <c r="CQX2" s="13" t="s">
        <v>145</v>
      </c>
      <c r="CQY2" s="13" t="s">
        <v>356</v>
      </c>
      <c r="CQZ2" s="13" t="s">
        <v>359</v>
      </c>
      <c r="CRA2" s="13" t="s">
        <v>150</v>
      </c>
      <c r="CRB2" s="13" t="s">
        <v>151</v>
      </c>
      <c r="CRC2" s="13" t="s">
        <v>147</v>
      </c>
      <c r="CRD2" s="13" t="s">
        <v>148</v>
      </c>
      <c r="CRE2" s="13" t="s">
        <v>149</v>
      </c>
      <c r="CRF2" s="13" t="s">
        <v>144</v>
      </c>
      <c r="CRG2" s="13" t="s">
        <v>218</v>
      </c>
      <c r="CRH2" s="13" t="s">
        <v>145</v>
      </c>
      <c r="CRI2" s="13" t="s">
        <v>356</v>
      </c>
      <c r="CRJ2" s="13" t="s">
        <v>359</v>
      </c>
      <c r="CRK2" s="13" t="s">
        <v>150</v>
      </c>
      <c r="CRL2" s="13" t="s">
        <v>151</v>
      </c>
      <c r="CRM2" s="13" t="s">
        <v>147</v>
      </c>
      <c r="CRN2" s="13" t="s">
        <v>148</v>
      </c>
      <c r="CRO2" s="13" t="s">
        <v>149</v>
      </c>
      <c r="CRP2" s="13" t="s">
        <v>144</v>
      </c>
      <c r="CRQ2" s="13" t="s">
        <v>218</v>
      </c>
      <c r="CRR2" s="13" t="s">
        <v>145</v>
      </c>
      <c r="CRS2" s="13" t="s">
        <v>356</v>
      </c>
      <c r="CRT2" s="13" t="s">
        <v>359</v>
      </c>
      <c r="CRU2" s="13" t="s">
        <v>343</v>
      </c>
      <c r="CRV2" s="13" t="s">
        <v>151</v>
      </c>
      <c r="CRW2" s="13" t="s">
        <v>147</v>
      </c>
      <c r="CRX2" s="13" t="s">
        <v>148</v>
      </c>
      <c r="CRY2" s="13" t="s">
        <v>230</v>
      </c>
      <c r="CRZ2" s="13" t="s">
        <v>149</v>
      </c>
      <c r="CSA2" s="13" t="s">
        <v>144</v>
      </c>
      <c r="CSB2" s="13" t="s">
        <v>218</v>
      </c>
      <c r="CSC2" s="13" t="s">
        <v>145</v>
      </c>
      <c r="CSD2" s="13" t="s">
        <v>356</v>
      </c>
      <c r="CSE2" s="13" t="s">
        <v>359</v>
      </c>
      <c r="CSF2" s="13" t="s">
        <v>150</v>
      </c>
      <c r="CSG2" s="13" t="s">
        <v>151</v>
      </c>
      <c r="CSH2" s="13" t="s">
        <v>147</v>
      </c>
      <c r="CSI2" s="13" t="s">
        <v>148</v>
      </c>
      <c r="CSJ2" s="13" t="s">
        <v>149</v>
      </c>
      <c r="CSK2" s="13" t="s">
        <v>144</v>
      </c>
      <c r="CSL2" s="13" t="s">
        <v>218</v>
      </c>
      <c r="CSM2" s="13" t="s">
        <v>145</v>
      </c>
      <c r="CSN2" s="13" t="s">
        <v>356</v>
      </c>
      <c r="CSO2" s="13" t="s">
        <v>359</v>
      </c>
      <c r="CSP2" s="13" t="s">
        <v>150</v>
      </c>
      <c r="CSQ2" s="13" t="s">
        <v>151</v>
      </c>
      <c r="CSR2" s="13" t="s">
        <v>147</v>
      </c>
      <c r="CSS2" s="13" t="s">
        <v>148</v>
      </c>
      <c r="CST2" s="13" t="s">
        <v>149</v>
      </c>
      <c r="CSU2" s="13" t="s">
        <v>144</v>
      </c>
      <c r="CSV2" s="13" t="s">
        <v>218</v>
      </c>
      <c r="CSW2" s="13" t="s">
        <v>145</v>
      </c>
      <c r="CSX2" s="13" t="s">
        <v>356</v>
      </c>
      <c r="CSY2" s="13" t="s">
        <v>359</v>
      </c>
      <c r="CSZ2" s="13" t="s">
        <v>150</v>
      </c>
      <c r="CTA2" s="13" t="s">
        <v>151</v>
      </c>
      <c r="CTB2" s="13" t="s">
        <v>147</v>
      </c>
      <c r="CTC2" s="13" t="s">
        <v>148</v>
      </c>
      <c r="CTD2" s="13" t="s">
        <v>149</v>
      </c>
      <c r="CTE2" s="13" t="s">
        <v>144</v>
      </c>
      <c r="CTF2" s="13" t="s">
        <v>218</v>
      </c>
      <c r="CTG2" s="13" t="s">
        <v>145</v>
      </c>
      <c r="CTH2" s="13" t="s">
        <v>356</v>
      </c>
      <c r="CTI2" s="13" t="s">
        <v>359</v>
      </c>
      <c r="CTJ2" s="13" t="s">
        <v>363</v>
      </c>
      <c r="CTK2" s="13" t="s">
        <v>151</v>
      </c>
      <c r="CTL2" s="13" t="s">
        <v>147</v>
      </c>
      <c r="CTM2" s="13" t="s">
        <v>148</v>
      </c>
      <c r="CTN2" s="13" t="s">
        <v>149</v>
      </c>
      <c r="CTO2" s="13" t="s">
        <v>144</v>
      </c>
      <c r="CTP2" s="13" t="s">
        <v>218</v>
      </c>
      <c r="CTQ2" s="13" t="s">
        <v>145</v>
      </c>
      <c r="CTR2" s="13" t="s">
        <v>356</v>
      </c>
      <c r="CTS2" s="13" t="s">
        <v>359</v>
      </c>
      <c r="CTT2" s="13" t="s">
        <v>212</v>
      </c>
      <c r="CTU2" s="13" t="s">
        <v>150</v>
      </c>
      <c r="CTV2" s="13" t="s">
        <v>151</v>
      </c>
      <c r="CTW2" s="13" t="s">
        <v>147</v>
      </c>
      <c r="CTX2" s="13" t="s">
        <v>148</v>
      </c>
      <c r="CTY2" s="13" t="s">
        <v>149</v>
      </c>
      <c r="CTZ2" s="13" t="s">
        <v>144</v>
      </c>
      <c r="CUA2" s="13" t="s">
        <v>218</v>
      </c>
      <c r="CUB2" s="13" t="s">
        <v>145</v>
      </c>
      <c r="CUC2" s="13" t="s">
        <v>356</v>
      </c>
      <c r="CUD2" s="13" t="s">
        <v>359</v>
      </c>
      <c r="CUE2" s="13" t="s">
        <v>150</v>
      </c>
      <c r="CUF2" s="13" t="s">
        <v>151</v>
      </c>
      <c r="CUG2" s="13" t="s">
        <v>147</v>
      </c>
      <c r="CUH2" s="13" t="s">
        <v>148</v>
      </c>
      <c r="CUI2" s="13" t="s">
        <v>149</v>
      </c>
      <c r="CUJ2" s="13" t="s">
        <v>144</v>
      </c>
      <c r="CUK2" s="13" t="s">
        <v>218</v>
      </c>
      <c r="CUL2" s="13" t="s">
        <v>145</v>
      </c>
      <c r="CUM2" s="13" t="s">
        <v>356</v>
      </c>
      <c r="CUN2" s="13" t="s">
        <v>359</v>
      </c>
      <c r="CUO2" s="13" t="s">
        <v>150</v>
      </c>
      <c r="CUP2" s="13" t="s">
        <v>151</v>
      </c>
      <c r="CUQ2" s="13" t="s">
        <v>147</v>
      </c>
      <c r="CUR2" s="13" t="s">
        <v>148</v>
      </c>
      <c r="CUS2" s="13" t="s">
        <v>149</v>
      </c>
      <c r="CUT2" s="13" t="s">
        <v>144</v>
      </c>
      <c r="CUU2" s="13" t="s">
        <v>218</v>
      </c>
      <c r="CUV2" s="13" t="s">
        <v>145</v>
      </c>
      <c r="CUW2" s="13" t="s">
        <v>356</v>
      </c>
      <c r="CUX2" s="13" t="s">
        <v>359</v>
      </c>
      <c r="CUY2" s="13" t="s">
        <v>150</v>
      </c>
      <c r="CUZ2" s="13" t="s">
        <v>151</v>
      </c>
      <c r="CVA2" s="13" t="s">
        <v>147</v>
      </c>
      <c r="CVB2" s="13" t="s">
        <v>148</v>
      </c>
      <c r="CVC2" s="13" t="s">
        <v>149</v>
      </c>
      <c r="CVD2" s="13" t="s">
        <v>144</v>
      </c>
      <c r="CVE2" s="13" t="s">
        <v>218</v>
      </c>
      <c r="CVF2" s="13" t="s">
        <v>145</v>
      </c>
      <c r="CVG2" s="13" t="s">
        <v>356</v>
      </c>
      <c r="CVH2" s="13" t="s">
        <v>359</v>
      </c>
      <c r="CVI2" s="13" t="s">
        <v>212</v>
      </c>
      <c r="CVJ2" s="13" t="s">
        <v>150</v>
      </c>
      <c r="CVK2" s="13" t="s">
        <v>151</v>
      </c>
      <c r="CVL2" s="13" t="s">
        <v>147</v>
      </c>
      <c r="CVM2" s="13" t="s">
        <v>148</v>
      </c>
      <c r="CVN2" s="13" t="s">
        <v>149</v>
      </c>
      <c r="CVO2" s="13" t="s">
        <v>144</v>
      </c>
      <c r="CVP2" s="13" t="s">
        <v>218</v>
      </c>
      <c r="CVQ2" s="13" t="s">
        <v>145</v>
      </c>
      <c r="CVR2" s="13" t="s">
        <v>356</v>
      </c>
      <c r="CVS2" s="13" t="s">
        <v>359</v>
      </c>
      <c r="CVT2" s="13" t="s">
        <v>343</v>
      </c>
      <c r="CVU2" s="13" t="s">
        <v>151</v>
      </c>
      <c r="CVV2" s="13" t="s">
        <v>147</v>
      </c>
      <c r="CVW2" s="13" t="s">
        <v>148</v>
      </c>
      <c r="CVX2" s="13" t="s">
        <v>230</v>
      </c>
      <c r="CVY2" s="13" t="s">
        <v>149</v>
      </c>
      <c r="CVZ2" s="13" t="s">
        <v>144</v>
      </c>
      <c r="CWA2" s="13" t="s">
        <v>218</v>
      </c>
      <c r="CWB2" s="13" t="s">
        <v>145</v>
      </c>
      <c r="CWC2" s="13" t="s">
        <v>356</v>
      </c>
      <c r="CWD2" s="13" t="s">
        <v>359</v>
      </c>
      <c r="CWE2" s="13" t="s">
        <v>343</v>
      </c>
      <c r="CWF2" s="13" t="s">
        <v>151</v>
      </c>
      <c r="CWG2" s="13" t="s">
        <v>147</v>
      </c>
      <c r="CWH2" s="13" t="s">
        <v>230</v>
      </c>
      <c r="CWI2" s="13" t="s">
        <v>148</v>
      </c>
      <c r="CWJ2" s="13" t="s">
        <v>149</v>
      </c>
      <c r="CWK2" s="13" t="s">
        <v>144</v>
      </c>
      <c r="CWL2" s="13" t="s">
        <v>218</v>
      </c>
      <c r="CWM2" s="13" t="s">
        <v>145</v>
      </c>
      <c r="CWN2" s="13" t="s">
        <v>356</v>
      </c>
      <c r="CWO2" s="13" t="s">
        <v>359</v>
      </c>
      <c r="CWP2" s="13" t="s">
        <v>343</v>
      </c>
      <c r="CWQ2" s="13" t="s">
        <v>151</v>
      </c>
      <c r="CWR2" s="13" t="s">
        <v>147</v>
      </c>
      <c r="CWS2" s="13" t="s">
        <v>230</v>
      </c>
      <c r="CWT2" s="13" t="s">
        <v>148</v>
      </c>
      <c r="CWU2" s="13" t="s">
        <v>149</v>
      </c>
      <c r="CWV2" s="13" t="s">
        <v>144</v>
      </c>
      <c r="CWW2" s="13" t="s">
        <v>218</v>
      </c>
      <c r="CWX2" s="13" t="s">
        <v>145</v>
      </c>
      <c r="CWY2" s="13" t="s">
        <v>356</v>
      </c>
      <c r="CWZ2" s="13" t="s">
        <v>359</v>
      </c>
      <c r="CXA2" s="13" t="s">
        <v>150</v>
      </c>
      <c r="CXB2" s="13" t="s">
        <v>151</v>
      </c>
      <c r="CXC2" s="13" t="s">
        <v>147</v>
      </c>
      <c r="CXD2" s="13" t="s">
        <v>230</v>
      </c>
      <c r="CXE2" s="13" t="s">
        <v>148</v>
      </c>
      <c r="CXF2" s="13" t="s">
        <v>149</v>
      </c>
      <c r="CXG2" s="13" t="s">
        <v>144</v>
      </c>
      <c r="CXH2" s="13" t="s">
        <v>218</v>
      </c>
      <c r="CXI2" s="13" t="s">
        <v>145</v>
      </c>
      <c r="CXJ2" s="13" t="s">
        <v>356</v>
      </c>
      <c r="CXK2" s="13" t="s">
        <v>359</v>
      </c>
      <c r="CXL2" s="13" t="s">
        <v>212</v>
      </c>
      <c r="CXM2" s="13" t="s">
        <v>150</v>
      </c>
      <c r="CXN2" s="13" t="s">
        <v>151</v>
      </c>
      <c r="CXO2" s="13" t="s">
        <v>147</v>
      </c>
      <c r="CXP2" s="13" t="s">
        <v>148</v>
      </c>
      <c r="CXQ2" s="13" t="s">
        <v>230</v>
      </c>
      <c r="CXR2" s="13" t="s">
        <v>149</v>
      </c>
      <c r="CXS2" s="13" t="s">
        <v>144</v>
      </c>
      <c r="CXT2" s="13" t="s">
        <v>218</v>
      </c>
      <c r="CXU2" s="13" t="s">
        <v>145</v>
      </c>
      <c r="CXV2" s="13" t="s">
        <v>356</v>
      </c>
      <c r="CXW2" s="13" t="s">
        <v>359</v>
      </c>
      <c r="CXX2" s="13" t="s">
        <v>150</v>
      </c>
      <c r="CXY2" s="13" t="s">
        <v>151</v>
      </c>
      <c r="CXZ2" s="13" t="s">
        <v>147</v>
      </c>
      <c r="CYA2" s="13" t="s">
        <v>148</v>
      </c>
      <c r="CYB2" s="13" t="s">
        <v>149</v>
      </c>
      <c r="CYC2" s="13" t="s">
        <v>144</v>
      </c>
      <c r="CYD2" s="13" t="s">
        <v>218</v>
      </c>
      <c r="CYE2" s="13" t="s">
        <v>145</v>
      </c>
      <c r="CYF2" s="13" t="s">
        <v>356</v>
      </c>
      <c r="CYG2" s="13" t="s">
        <v>359</v>
      </c>
      <c r="CYH2" s="13" t="s">
        <v>150</v>
      </c>
      <c r="CYI2" s="13" t="s">
        <v>151</v>
      </c>
      <c r="CYJ2" s="13" t="s">
        <v>147</v>
      </c>
      <c r="CYK2" s="13" t="s">
        <v>148</v>
      </c>
      <c r="CYL2" s="13" t="s">
        <v>149</v>
      </c>
      <c r="CYM2" s="13" t="s">
        <v>144</v>
      </c>
      <c r="CYN2" s="13" t="s">
        <v>218</v>
      </c>
      <c r="CYO2" s="13" t="s">
        <v>145</v>
      </c>
      <c r="CYP2" s="13" t="s">
        <v>356</v>
      </c>
      <c r="CYQ2" s="13" t="s">
        <v>359</v>
      </c>
      <c r="CYR2" s="13" t="s">
        <v>212</v>
      </c>
      <c r="CYS2" s="13" t="s">
        <v>150</v>
      </c>
      <c r="CYT2" s="13" t="s">
        <v>151</v>
      </c>
      <c r="CYU2" s="13" t="s">
        <v>147</v>
      </c>
      <c r="CYV2" s="13" t="s">
        <v>148</v>
      </c>
      <c r="CYW2" s="13" t="s">
        <v>230</v>
      </c>
      <c r="CYX2" s="13" t="s">
        <v>149</v>
      </c>
      <c r="CYY2" s="13" t="s">
        <v>144</v>
      </c>
      <c r="CYZ2" s="13" t="s">
        <v>218</v>
      </c>
      <c r="CZA2" s="13" t="s">
        <v>145</v>
      </c>
      <c r="CZB2" s="13" t="s">
        <v>356</v>
      </c>
      <c r="CZC2" s="13" t="s">
        <v>359</v>
      </c>
      <c r="CZD2" s="13" t="s">
        <v>150</v>
      </c>
      <c r="CZE2" s="13" t="s">
        <v>151</v>
      </c>
      <c r="CZF2" s="13" t="s">
        <v>147</v>
      </c>
      <c r="CZG2" s="13" t="s">
        <v>148</v>
      </c>
      <c r="CZH2" s="13" t="s">
        <v>149</v>
      </c>
      <c r="CZI2" s="13" t="s">
        <v>144</v>
      </c>
      <c r="CZJ2" s="13" t="s">
        <v>218</v>
      </c>
      <c r="CZK2" s="13" t="s">
        <v>145</v>
      </c>
      <c r="CZL2" s="13" t="s">
        <v>356</v>
      </c>
      <c r="CZM2" s="13" t="s">
        <v>359</v>
      </c>
      <c r="CZN2" s="13" t="s">
        <v>150</v>
      </c>
      <c r="CZO2" s="13" t="s">
        <v>151</v>
      </c>
      <c r="CZP2" s="13" t="s">
        <v>147</v>
      </c>
      <c r="CZQ2" s="13" t="s">
        <v>148</v>
      </c>
      <c r="CZR2" s="13" t="s">
        <v>149</v>
      </c>
      <c r="CZS2" s="13" t="s">
        <v>144</v>
      </c>
      <c r="CZT2" s="13" t="s">
        <v>218</v>
      </c>
      <c r="CZU2" s="13" t="s">
        <v>145</v>
      </c>
      <c r="CZV2" s="13" t="s">
        <v>356</v>
      </c>
      <c r="CZW2" s="13" t="s">
        <v>359</v>
      </c>
      <c r="CZX2" s="13" t="s">
        <v>150</v>
      </c>
      <c r="CZY2" s="13" t="s">
        <v>151</v>
      </c>
      <c r="CZZ2" s="13" t="s">
        <v>147</v>
      </c>
      <c r="DAA2" s="13" t="s">
        <v>148</v>
      </c>
      <c r="DAB2" s="13" t="s">
        <v>149</v>
      </c>
      <c r="DAC2" s="13" t="s">
        <v>144</v>
      </c>
      <c r="DAD2" s="13" t="s">
        <v>218</v>
      </c>
      <c r="DAE2" s="13" t="s">
        <v>145</v>
      </c>
      <c r="DAF2" s="13" t="s">
        <v>356</v>
      </c>
      <c r="DAG2" s="13" t="s">
        <v>359</v>
      </c>
      <c r="DAH2" s="13" t="s">
        <v>150</v>
      </c>
      <c r="DAI2" s="13" t="s">
        <v>151</v>
      </c>
      <c r="DAJ2" s="13" t="s">
        <v>147</v>
      </c>
      <c r="DAK2" s="13" t="s">
        <v>148</v>
      </c>
      <c r="DAL2" s="13" t="s">
        <v>149</v>
      </c>
      <c r="DAM2" s="13" t="s">
        <v>144</v>
      </c>
      <c r="DAN2" s="13" t="s">
        <v>218</v>
      </c>
      <c r="DAO2" s="13" t="s">
        <v>145</v>
      </c>
      <c r="DAP2" s="13" t="s">
        <v>356</v>
      </c>
      <c r="DAQ2" s="13" t="s">
        <v>359</v>
      </c>
      <c r="DAR2" s="13" t="s">
        <v>212</v>
      </c>
      <c r="DAS2" s="13" t="s">
        <v>150</v>
      </c>
      <c r="DAT2" s="13" t="s">
        <v>151</v>
      </c>
      <c r="DAU2" s="13" t="s">
        <v>147</v>
      </c>
      <c r="DAV2" s="13" t="s">
        <v>148</v>
      </c>
      <c r="DAW2" s="13" t="s">
        <v>149</v>
      </c>
      <c r="DAX2" s="13" t="s">
        <v>144</v>
      </c>
      <c r="DAY2" s="13" t="s">
        <v>218</v>
      </c>
      <c r="DAZ2" s="13" t="s">
        <v>145</v>
      </c>
      <c r="DBA2" s="13" t="s">
        <v>356</v>
      </c>
      <c r="DBB2" s="13" t="s">
        <v>359</v>
      </c>
      <c r="DBC2" s="13" t="s">
        <v>150</v>
      </c>
      <c r="DBD2" s="13" t="s">
        <v>151</v>
      </c>
      <c r="DBE2" s="13" t="s">
        <v>147</v>
      </c>
      <c r="DBF2" s="13" t="s">
        <v>148</v>
      </c>
      <c r="DBG2" s="13" t="s">
        <v>149</v>
      </c>
      <c r="DBH2" s="13" t="s">
        <v>144</v>
      </c>
      <c r="DBI2" s="13" t="s">
        <v>218</v>
      </c>
      <c r="DBJ2" s="13" t="s">
        <v>145</v>
      </c>
      <c r="DBK2" s="13" t="s">
        <v>356</v>
      </c>
      <c r="DBL2" s="13" t="s">
        <v>359</v>
      </c>
      <c r="DBM2" s="13" t="s">
        <v>150</v>
      </c>
      <c r="DBN2" s="13" t="s">
        <v>151</v>
      </c>
      <c r="DBO2" s="13" t="s">
        <v>147</v>
      </c>
      <c r="DBP2" s="13" t="s">
        <v>148</v>
      </c>
      <c r="DBQ2" s="13" t="s">
        <v>149</v>
      </c>
      <c r="DBR2" s="13" t="s">
        <v>144</v>
      </c>
      <c r="DBS2" s="13" t="s">
        <v>218</v>
      </c>
      <c r="DBT2" s="13" t="s">
        <v>145</v>
      </c>
      <c r="DBU2" s="13" t="s">
        <v>356</v>
      </c>
      <c r="DBV2" s="13" t="s">
        <v>359</v>
      </c>
      <c r="DBW2" s="13" t="s">
        <v>150</v>
      </c>
      <c r="DBX2" s="13" t="s">
        <v>151</v>
      </c>
      <c r="DBY2" s="13" t="s">
        <v>147</v>
      </c>
      <c r="DBZ2" s="13" t="s">
        <v>148</v>
      </c>
      <c r="DCA2" s="13" t="s">
        <v>149</v>
      </c>
      <c r="DCB2" s="13" t="s">
        <v>144</v>
      </c>
      <c r="DCC2" s="13" t="s">
        <v>218</v>
      </c>
      <c r="DCD2" s="13" t="s">
        <v>145</v>
      </c>
      <c r="DCE2" s="13" t="s">
        <v>356</v>
      </c>
      <c r="DCF2" s="13" t="s">
        <v>359</v>
      </c>
      <c r="DCG2" s="13" t="s">
        <v>212</v>
      </c>
      <c r="DCH2" s="13" t="s">
        <v>150</v>
      </c>
      <c r="DCI2" s="13" t="s">
        <v>151</v>
      </c>
      <c r="DCJ2" s="13" t="s">
        <v>147</v>
      </c>
      <c r="DCK2" s="13" t="s">
        <v>148</v>
      </c>
      <c r="DCL2" s="13" t="s">
        <v>149</v>
      </c>
      <c r="DCM2" s="13" t="s">
        <v>144</v>
      </c>
      <c r="DCN2" s="13" t="s">
        <v>218</v>
      </c>
      <c r="DCO2" s="13" t="s">
        <v>145</v>
      </c>
      <c r="DCP2" s="13" t="s">
        <v>356</v>
      </c>
      <c r="DCQ2" s="13" t="s">
        <v>359</v>
      </c>
      <c r="DCR2" s="13" t="s">
        <v>212</v>
      </c>
      <c r="DCS2" s="13" t="s">
        <v>150</v>
      </c>
      <c r="DCT2" s="13" t="s">
        <v>151</v>
      </c>
      <c r="DCU2" s="13" t="s">
        <v>147</v>
      </c>
      <c r="DCV2" s="13" t="s">
        <v>148</v>
      </c>
      <c r="DCW2" s="13" t="s">
        <v>149</v>
      </c>
      <c r="DCX2" s="13" t="s">
        <v>144</v>
      </c>
      <c r="DCY2" s="13" t="s">
        <v>218</v>
      </c>
      <c r="DCZ2" s="13" t="s">
        <v>145</v>
      </c>
      <c r="DDA2" s="13" t="s">
        <v>356</v>
      </c>
      <c r="DDB2" s="13" t="s">
        <v>359</v>
      </c>
      <c r="DDC2" s="13" t="s">
        <v>212</v>
      </c>
      <c r="DDD2" s="13" t="s">
        <v>150</v>
      </c>
      <c r="DDE2" s="13" t="s">
        <v>151</v>
      </c>
      <c r="DDF2" s="13" t="s">
        <v>147</v>
      </c>
      <c r="DDG2" s="13" t="s">
        <v>148</v>
      </c>
      <c r="DDH2" s="13" t="s">
        <v>149</v>
      </c>
      <c r="DDI2" s="13" t="s">
        <v>473</v>
      </c>
      <c r="DDJ2" s="13" t="s">
        <v>144</v>
      </c>
      <c r="DDK2" s="13" t="s">
        <v>218</v>
      </c>
      <c r="DDL2" s="13" t="s">
        <v>145</v>
      </c>
      <c r="DDM2" s="13" t="s">
        <v>356</v>
      </c>
      <c r="DDN2" s="13" t="s">
        <v>359</v>
      </c>
      <c r="DDO2" s="13" t="s">
        <v>212</v>
      </c>
      <c r="DDP2" s="13" t="s">
        <v>231</v>
      </c>
      <c r="DDQ2" s="13" t="s">
        <v>151</v>
      </c>
      <c r="DDR2" s="13" t="s">
        <v>147</v>
      </c>
      <c r="DDS2" s="13" t="s">
        <v>148</v>
      </c>
      <c r="DDT2" s="13" t="s">
        <v>230</v>
      </c>
      <c r="DDU2" s="13" t="s">
        <v>149</v>
      </c>
      <c r="DDV2" s="13" t="s">
        <v>144</v>
      </c>
      <c r="DDW2" s="13" t="s">
        <v>218</v>
      </c>
      <c r="DDX2" s="13" t="s">
        <v>145</v>
      </c>
      <c r="DDY2" s="13" t="s">
        <v>356</v>
      </c>
      <c r="DDZ2" s="13" t="s">
        <v>359</v>
      </c>
      <c r="DEA2" s="13" t="s">
        <v>150</v>
      </c>
      <c r="DEB2" s="13" t="s">
        <v>151</v>
      </c>
      <c r="DEC2" s="13" t="s">
        <v>147</v>
      </c>
      <c r="DED2" s="13" t="s">
        <v>148</v>
      </c>
      <c r="DEE2" s="13" t="s">
        <v>149</v>
      </c>
      <c r="DEF2" s="13" t="s">
        <v>144</v>
      </c>
      <c r="DEG2" s="13" t="s">
        <v>218</v>
      </c>
      <c r="DEH2" s="13" t="s">
        <v>145</v>
      </c>
      <c r="DEI2" s="13" t="s">
        <v>356</v>
      </c>
      <c r="DEJ2" s="13" t="s">
        <v>359</v>
      </c>
      <c r="DEK2" s="13" t="s">
        <v>150</v>
      </c>
      <c r="DEL2" s="13" t="s">
        <v>151</v>
      </c>
      <c r="DEM2" s="13" t="s">
        <v>147</v>
      </c>
      <c r="DEN2" s="13" t="s">
        <v>148</v>
      </c>
      <c r="DEO2" s="13" t="s">
        <v>149</v>
      </c>
      <c r="DEP2" s="13" t="s">
        <v>144</v>
      </c>
      <c r="DEQ2" s="13" t="s">
        <v>218</v>
      </c>
      <c r="DER2" s="13" t="s">
        <v>145</v>
      </c>
      <c r="DES2" s="13" t="s">
        <v>356</v>
      </c>
      <c r="DET2" s="13" t="s">
        <v>359</v>
      </c>
      <c r="DEU2" s="13" t="s">
        <v>150</v>
      </c>
      <c r="DEV2" s="13" t="s">
        <v>232</v>
      </c>
      <c r="DEW2" s="13" t="s">
        <v>147</v>
      </c>
      <c r="DEX2" s="13" t="s">
        <v>148</v>
      </c>
      <c r="DEY2" s="13" t="s">
        <v>149</v>
      </c>
      <c r="DEZ2" s="13" t="s">
        <v>144</v>
      </c>
      <c r="DFA2" s="13" t="s">
        <v>218</v>
      </c>
      <c r="DFB2" s="13" t="s">
        <v>145</v>
      </c>
      <c r="DFC2" s="13" t="s">
        <v>356</v>
      </c>
      <c r="DFD2" s="13" t="s">
        <v>359</v>
      </c>
      <c r="DFE2" s="13" t="s">
        <v>369</v>
      </c>
      <c r="DFF2" s="13" t="s">
        <v>232</v>
      </c>
      <c r="DFG2" s="13" t="s">
        <v>147</v>
      </c>
      <c r="DFH2" s="13" t="s">
        <v>148</v>
      </c>
      <c r="DFI2" s="13" t="s">
        <v>149</v>
      </c>
      <c r="DFJ2" s="13" t="s">
        <v>144</v>
      </c>
      <c r="DFK2" s="13" t="s">
        <v>218</v>
      </c>
      <c r="DFL2" s="13" t="s">
        <v>145</v>
      </c>
      <c r="DFM2" s="13" t="s">
        <v>356</v>
      </c>
      <c r="DFN2" s="13" t="s">
        <v>359</v>
      </c>
      <c r="DFO2" s="13" t="s">
        <v>150</v>
      </c>
      <c r="DFP2" s="13" t="s">
        <v>151</v>
      </c>
      <c r="DFQ2" s="13" t="s">
        <v>147</v>
      </c>
      <c r="DFR2" s="13" t="s">
        <v>148</v>
      </c>
      <c r="DFS2" s="13" t="s">
        <v>149</v>
      </c>
      <c r="DFT2" s="13" t="s">
        <v>144</v>
      </c>
      <c r="DFU2" s="13" t="s">
        <v>218</v>
      </c>
      <c r="DFV2" s="13" t="s">
        <v>145</v>
      </c>
      <c r="DFW2" s="13" t="s">
        <v>356</v>
      </c>
      <c r="DFX2" s="13" t="s">
        <v>359</v>
      </c>
      <c r="DFY2" s="13" t="s">
        <v>299</v>
      </c>
      <c r="DFZ2" s="13" t="s">
        <v>151</v>
      </c>
      <c r="DGA2" s="13" t="s">
        <v>147</v>
      </c>
      <c r="DGB2" s="13" t="s">
        <v>148</v>
      </c>
      <c r="DGC2" s="13" t="s">
        <v>149</v>
      </c>
      <c r="DGD2" s="13" t="s">
        <v>144</v>
      </c>
      <c r="DGE2" s="13" t="s">
        <v>218</v>
      </c>
      <c r="DGF2" s="13" t="s">
        <v>145</v>
      </c>
      <c r="DGG2" s="13" t="s">
        <v>356</v>
      </c>
      <c r="DGH2" s="13" t="s">
        <v>359</v>
      </c>
      <c r="DGI2" s="13" t="s">
        <v>303</v>
      </c>
      <c r="DGJ2" s="13" t="s">
        <v>151</v>
      </c>
      <c r="DGK2" s="13" t="s">
        <v>147</v>
      </c>
      <c r="DGL2" s="13" t="s">
        <v>148</v>
      </c>
      <c r="DGM2" s="13" t="s">
        <v>149</v>
      </c>
      <c r="DGN2" s="13" t="s">
        <v>144</v>
      </c>
      <c r="DGO2" s="13" t="s">
        <v>218</v>
      </c>
      <c r="DGP2" s="13" t="s">
        <v>145</v>
      </c>
      <c r="DGQ2" s="13" t="s">
        <v>356</v>
      </c>
      <c r="DGR2" s="13" t="s">
        <v>359</v>
      </c>
      <c r="DGS2" s="13" t="s">
        <v>303</v>
      </c>
      <c r="DGT2" s="13" t="s">
        <v>151</v>
      </c>
      <c r="DGU2" s="13" t="s">
        <v>147</v>
      </c>
      <c r="DGV2" s="13" t="s">
        <v>148</v>
      </c>
      <c r="DGW2" s="13" t="s">
        <v>149</v>
      </c>
      <c r="DGX2" s="13" t="s">
        <v>144</v>
      </c>
      <c r="DGY2" s="13" t="s">
        <v>218</v>
      </c>
      <c r="DGZ2" s="13" t="s">
        <v>145</v>
      </c>
      <c r="DHA2" s="13" t="s">
        <v>356</v>
      </c>
      <c r="DHB2" s="13" t="s">
        <v>359</v>
      </c>
      <c r="DHC2" s="13" t="s">
        <v>303</v>
      </c>
      <c r="DHD2" s="13" t="s">
        <v>151</v>
      </c>
      <c r="DHE2" s="13" t="s">
        <v>147</v>
      </c>
      <c r="DHF2" s="13" t="s">
        <v>148</v>
      </c>
      <c r="DHG2" s="13" t="s">
        <v>149</v>
      </c>
      <c r="DHH2" s="13" t="s">
        <v>144</v>
      </c>
      <c r="DHI2" s="13" t="s">
        <v>218</v>
      </c>
      <c r="DHJ2" s="13" t="s">
        <v>145</v>
      </c>
      <c r="DHK2" s="13" t="s">
        <v>356</v>
      </c>
      <c r="DHL2" s="13" t="s">
        <v>359</v>
      </c>
      <c r="DHM2" s="13" t="s">
        <v>303</v>
      </c>
      <c r="DHN2" s="13" t="s">
        <v>151</v>
      </c>
      <c r="DHO2" s="13" t="s">
        <v>147</v>
      </c>
      <c r="DHP2" s="13" t="s">
        <v>148</v>
      </c>
      <c r="DHQ2" s="13" t="s">
        <v>149</v>
      </c>
      <c r="DHR2" s="13" t="s">
        <v>144</v>
      </c>
      <c r="DHS2" s="13" t="s">
        <v>218</v>
      </c>
      <c r="DHT2" s="13" t="s">
        <v>145</v>
      </c>
      <c r="DHU2" s="13" t="s">
        <v>356</v>
      </c>
      <c r="DHV2" s="13" t="s">
        <v>359</v>
      </c>
      <c r="DHW2" s="13" t="s">
        <v>150</v>
      </c>
      <c r="DHX2" s="13" t="s">
        <v>151</v>
      </c>
      <c r="DHY2" s="13" t="s">
        <v>147</v>
      </c>
      <c r="DHZ2" s="13" t="s">
        <v>148</v>
      </c>
      <c r="DIA2" s="13" t="s">
        <v>149</v>
      </c>
      <c r="DIB2" s="13" t="s">
        <v>144</v>
      </c>
      <c r="DIC2" s="13" t="s">
        <v>218</v>
      </c>
      <c r="DID2" s="13" t="s">
        <v>145</v>
      </c>
      <c r="DIE2" s="13" t="s">
        <v>356</v>
      </c>
      <c r="DIF2" s="13" t="s">
        <v>359</v>
      </c>
      <c r="DIG2" s="13" t="s">
        <v>303</v>
      </c>
      <c r="DIH2" s="13" t="s">
        <v>151</v>
      </c>
      <c r="DII2" s="13" t="s">
        <v>147</v>
      </c>
      <c r="DIJ2" s="13" t="s">
        <v>148</v>
      </c>
      <c r="DIK2" s="13" t="s">
        <v>149</v>
      </c>
      <c r="DIL2" s="13" t="s">
        <v>144</v>
      </c>
      <c r="DIM2" s="13" t="s">
        <v>218</v>
      </c>
      <c r="DIN2" s="13" t="s">
        <v>145</v>
      </c>
      <c r="DIO2" s="13" t="s">
        <v>356</v>
      </c>
      <c r="DIP2" s="13" t="s">
        <v>359</v>
      </c>
      <c r="DIQ2" s="13" t="s">
        <v>150</v>
      </c>
      <c r="DIR2" s="13" t="s">
        <v>151</v>
      </c>
      <c r="DIS2" s="13" t="s">
        <v>147</v>
      </c>
      <c r="DIT2" s="13" t="s">
        <v>148</v>
      </c>
      <c r="DIU2" s="13" t="s">
        <v>149</v>
      </c>
      <c r="DIV2" s="13" t="s">
        <v>144</v>
      </c>
      <c r="DIW2" s="13" t="s">
        <v>218</v>
      </c>
      <c r="DIX2" s="13" t="s">
        <v>145</v>
      </c>
      <c r="DIY2" s="13" t="s">
        <v>356</v>
      </c>
      <c r="DIZ2" s="13" t="s">
        <v>359</v>
      </c>
      <c r="DJA2" s="13" t="s">
        <v>363</v>
      </c>
      <c r="DJB2" s="13" t="s">
        <v>151</v>
      </c>
      <c r="DJC2" s="13" t="s">
        <v>147</v>
      </c>
      <c r="DJD2" s="13" t="s">
        <v>148</v>
      </c>
      <c r="DJE2" s="13" t="s">
        <v>149</v>
      </c>
      <c r="DJF2" s="13" t="s">
        <v>144</v>
      </c>
      <c r="DJG2" s="13" t="s">
        <v>218</v>
      </c>
      <c r="DJH2" s="13" t="s">
        <v>145</v>
      </c>
      <c r="DJI2" s="13" t="s">
        <v>356</v>
      </c>
      <c r="DJJ2" s="13" t="s">
        <v>359</v>
      </c>
      <c r="DJK2" s="13" t="s">
        <v>363</v>
      </c>
      <c r="DJL2" s="13" t="s">
        <v>151</v>
      </c>
      <c r="DJM2" s="13" t="s">
        <v>147</v>
      </c>
      <c r="DJN2" s="13" t="s">
        <v>148</v>
      </c>
      <c r="DJO2" s="13" t="s">
        <v>149</v>
      </c>
      <c r="DJP2" s="13" t="s">
        <v>144</v>
      </c>
      <c r="DJQ2" s="13" t="s">
        <v>218</v>
      </c>
      <c r="DJR2" s="13" t="s">
        <v>145</v>
      </c>
      <c r="DJS2" s="13" t="s">
        <v>356</v>
      </c>
      <c r="DJT2" s="13" t="s">
        <v>359</v>
      </c>
      <c r="DJU2" s="13" t="s">
        <v>363</v>
      </c>
      <c r="DJV2" s="13" t="s">
        <v>151</v>
      </c>
      <c r="DJW2" s="13" t="s">
        <v>147</v>
      </c>
      <c r="DJX2" s="13" t="s">
        <v>148</v>
      </c>
      <c r="DJY2" s="13" t="s">
        <v>149</v>
      </c>
      <c r="DJZ2" s="13" t="s">
        <v>144</v>
      </c>
      <c r="DKA2" s="13" t="s">
        <v>218</v>
      </c>
      <c r="DKB2" s="13" t="s">
        <v>145</v>
      </c>
      <c r="DKC2" s="13" t="s">
        <v>356</v>
      </c>
      <c r="DKD2" s="13" t="s">
        <v>359</v>
      </c>
      <c r="DKE2" s="13" t="s">
        <v>212</v>
      </c>
      <c r="DKF2" s="13" t="s">
        <v>150</v>
      </c>
      <c r="DKG2" s="13" t="s">
        <v>151</v>
      </c>
      <c r="DKH2" s="13" t="s">
        <v>147</v>
      </c>
      <c r="DKI2" s="13" t="s">
        <v>148</v>
      </c>
      <c r="DKJ2" s="13" t="s">
        <v>149</v>
      </c>
      <c r="DKK2" s="13" t="s">
        <v>144</v>
      </c>
      <c r="DKL2" s="13" t="s">
        <v>218</v>
      </c>
      <c r="DKM2" s="13" t="s">
        <v>145</v>
      </c>
      <c r="DKN2" s="13" t="s">
        <v>356</v>
      </c>
      <c r="DKO2" s="13" t="s">
        <v>359</v>
      </c>
      <c r="DKP2" s="13" t="s">
        <v>150</v>
      </c>
      <c r="DKQ2" s="13" t="s">
        <v>151</v>
      </c>
      <c r="DKR2" s="13" t="s">
        <v>147</v>
      </c>
      <c r="DKS2" s="13" t="s">
        <v>148</v>
      </c>
      <c r="DKT2" s="13" t="s">
        <v>149</v>
      </c>
      <c r="DKU2" s="13" t="s">
        <v>144</v>
      </c>
      <c r="DKV2" s="13" t="s">
        <v>218</v>
      </c>
      <c r="DKW2" s="13" t="s">
        <v>145</v>
      </c>
      <c r="DKX2" s="13" t="s">
        <v>356</v>
      </c>
      <c r="DKY2" s="13" t="s">
        <v>359</v>
      </c>
      <c r="DKZ2" s="13" t="s">
        <v>370</v>
      </c>
      <c r="DLA2" s="13" t="s">
        <v>151</v>
      </c>
      <c r="DLB2" s="13" t="s">
        <v>147</v>
      </c>
      <c r="DLC2" s="13" t="s">
        <v>148</v>
      </c>
      <c r="DLD2" s="13" t="s">
        <v>149</v>
      </c>
      <c r="DLE2" s="13" t="s">
        <v>144</v>
      </c>
      <c r="DLF2" s="13" t="s">
        <v>218</v>
      </c>
      <c r="DLG2" s="13" t="s">
        <v>145</v>
      </c>
      <c r="DLH2" s="13" t="s">
        <v>356</v>
      </c>
      <c r="DLI2" s="13" t="s">
        <v>359</v>
      </c>
      <c r="DLJ2" s="13" t="s">
        <v>150</v>
      </c>
      <c r="DLK2" s="13" t="s">
        <v>151</v>
      </c>
      <c r="DLL2" s="13" t="s">
        <v>147</v>
      </c>
      <c r="DLM2" s="13" t="s">
        <v>148</v>
      </c>
      <c r="DLN2" s="13" t="s">
        <v>149</v>
      </c>
      <c r="DLO2" s="13" t="s">
        <v>144</v>
      </c>
      <c r="DLP2" s="13" t="s">
        <v>218</v>
      </c>
      <c r="DLQ2" s="13" t="s">
        <v>145</v>
      </c>
      <c r="DLR2" s="13" t="s">
        <v>356</v>
      </c>
      <c r="DLS2" s="13" t="s">
        <v>359</v>
      </c>
      <c r="DLT2" s="13" t="s">
        <v>363</v>
      </c>
      <c r="DLU2" s="13" t="s">
        <v>151</v>
      </c>
      <c r="DLV2" s="13" t="s">
        <v>147</v>
      </c>
      <c r="DLW2" s="13" t="s">
        <v>148</v>
      </c>
      <c r="DLX2" s="13" t="s">
        <v>149</v>
      </c>
      <c r="DLY2" s="13" t="s">
        <v>144</v>
      </c>
      <c r="DLZ2" s="13" t="s">
        <v>218</v>
      </c>
      <c r="DMA2" s="13" t="s">
        <v>145</v>
      </c>
      <c r="DMB2" s="13" t="s">
        <v>356</v>
      </c>
      <c r="DMC2" s="13" t="s">
        <v>359</v>
      </c>
      <c r="DMD2" s="13" t="s">
        <v>150</v>
      </c>
      <c r="DME2" s="13" t="s">
        <v>151</v>
      </c>
      <c r="DMF2" s="13" t="s">
        <v>147</v>
      </c>
      <c r="DMG2" s="13" t="s">
        <v>148</v>
      </c>
      <c r="DMH2" s="13" t="s">
        <v>149</v>
      </c>
      <c r="DMI2" s="13" t="s">
        <v>144</v>
      </c>
      <c r="DMJ2" s="13" t="s">
        <v>218</v>
      </c>
      <c r="DMK2" s="13" t="s">
        <v>145</v>
      </c>
      <c r="DML2" s="13" t="s">
        <v>356</v>
      </c>
      <c r="DMM2" s="13" t="s">
        <v>359</v>
      </c>
      <c r="DMN2" s="13" t="s">
        <v>150</v>
      </c>
      <c r="DMO2" s="13" t="s">
        <v>151</v>
      </c>
      <c r="DMP2" s="13" t="s">
        <v>147</v>
      </c>
      <c r="DMQ2" s="13" t="s">
        <v>148</v>
      </c>
      <c r="DMR2" s="13" t="s">
        <v>149</v>
      </c>
      <c r="DMS2" s="13" t="s">
        <v>144</v>
      </c>
      <c r="DMT2" s="13" t="s">
        <v>218</v>
      </c>
      <c r="DMU2" s="13" t="s">
        <v>145</v>
      </c>
      <c r="DMV2" s="13" t="s">
        <v>356</v>
      </c>
      <c r="DMW2" s="13" t="s">
        <v>359</v>
      </c>
      <c r="DMX2" s="13" t="s">
        <v>150</v>
      </c>
      <c r="DMY2" s="13" t="s">
        <v>151</v>
      </c>
      <c r="DMZ2" s="13" t="s">
        <v>147</v>
      </c>
      <c r="DNA2" s="13" t="s">
        <v>148</v>
      </c>
      <c r="DNB2" s="13" t="s">
        <v>149</v>
      </c>
      <c r="DNC2" s="13" t="s">
        <v>144</v>
      </c>
      <c r="DND2" s="13" t="s">
        <v>218</v>
      </c>
      <c r="DNE2" s="13" t="s">
        <v>145</v>
      </c>
      <c r="DNF2" s="13" t="s">
        <v>356</v>
      </c>
      <c r="DNG2" s="13" t="s">
        <v>359</v>
      </c>
      <c r="DNH2" s="13" t="s">
        <v>150</v>
      </c>
      <c r="DNI2" s="13" t="s">
        <v>151</v>
      </c>
      <c r="DNJ2" s="13" t="s">
        <v>147</v>
      </c>
      <c r="DNK2" s="13" t="s">
        <v>148</v>
      </c>
      <c r="DNL2" s="13" t="s">
        <v>149</v>
      </c>
      <c r="DNM2" s="13" t="s">
        <v>427</v>
      </c>
      <c r="DNN2" s="13" t="s">
        <v>144</v>
      </c>
      <c r="DNO2" s="13" t="s">
        <v>218</v>
      </c>
      <c r="DNP2" s="13" t="s">
        <v>145</v>
      </c>
      <c r="DNQ2" s="13" t="s">
        <v>356</v>
      </c>
      <c r="DNR2" s="13" t="s">
        <v>359</v>
      </c>
      <c r="DNS2" s="13" t="s">
        <v>212</v>
      </c>
      <c r="DNT2" s="13" t="s">
        <v>150</v>
      </c>
      <c r="DNU2" s="13" t="s">
        <v>151</v>
      </c>
      <c r="DNV2" s="13" t="s">
        <v>147</v>
      </c>
      <c r="DNW2" s="13" t="s">
        <v>148</v>
      </c>
      <c r="DNX2" s="13" t="s">
        <v>149</v>
      </c>
      <c r="DNY2" s="13" t="s">
        <v>144</v>
      </c>
      <c r="DNZ2" s="13" t="s">
        <v>218</v>
      </c>
      <c r="DOA2" s="13" t="s">
        <v>145</v>
      </c>
      <c r="DOB2" s="13" t="s">
        <v>356</v>
      </c>
      <c r="DOC2" s="13" t="s">
        <v>359</v>
      </c>
      <c r="DOD2" s="13" t="s">
        <v>150</v>
      </c>
      <c r="DOE2" s="13" t="s">
        <v>151</v>
      </c>
      <c r="DOF2" s="13" t="s">
        <v>147</v>
      </c>
      <c r="DOG2" s="13" t="s">
        <v>148</v>
      </c>
      <c r="DOH2" s="13" t="s">
        <v>149</v>
      </c>
      <c r="DOI2" s="13" t="s">
        <v>144</v>
      </c>
      <c r="DOJ2" s="13" t="s">
        <v>218</v>
      </c>
      <c r="DOK2" s="13" t="s">
        <v>145</v>
      </c>
      <c r="DOL2" s="13" t="s">
        <v>356</v>
      </c>
      <c r="DOM2" s="13" t="s">
        <v>359</v>
      </c>
      <c r="DON2" s="13" t="s">
        <v>150</v>
      </c>
      <c r="DOO2" s="13" t="s">
        <v>151</v>
      </c>
      <c r="DOP2" s="13" t="s">
        <v>147</v>
      </c>
      <c r="DOQ2" s="13" t="s">
        <v>148</v>
      </c>
      <c r="DOR2" s="13" t="s">
        <v>149</v>
      </c>
      <c r="DOS2" s="13" t="s">
        <v>144</v>
      </c>
      <c r="DOT2" s="13" t="s">
        <v>218</v>
      </c>
      <c r="DOU2" s="13" t="s">
        <v>145</v>
      </c>
      <c r="DOV2" s="13" t="s">
        <v>356</v>
      </c>
      <c r="DOW2" s="13" t="s">
        <v>359</v>
      </c>
      <c r="DOX2" s="13" t="s">
        <v>212</v>
      </c>
      <c r="DOY2" s="13" t="s">
        <v>150</v>
      </c>
      <c r="DOZ2" s="13" t="s">
        <v>151</v>
      </c>
      <c r="DPA2" s="13" t="s">
        <v>147</v>
      </c>
      <c r="DPB2" s="13" t="s">
        <v>148</v>
      </c>
      <c r="DPC2" s="13" t="s">
        <v>149</v>
      </c>
      <c r="DPD2" s="13" t="s">
        <v>144</v>
      </c>
      <c r="DPE2" s="13" t="s">
        <v>218</v>
      </c>
      <c r="DPF2" s="13" t="s">
        <v>145</v>
      </c>
      <c r="DPG2" s="13" t="s">
        <v>356</v>
      </c>
      <c r="DPH2" s="13" t="s">
        <v>359</v>
      </c>
      <c r="DPI2" s="13" t="s">
        <v>150</v>
      </c>
      <c r="DPJ2" s="13" t="s">
        <v>151</v>
      </c>
      <c r="DPK2" s="13" t="s">
        <v>147</v>
      </c>
      <c r="DPL2" s="13" t="s">
        <v>148</v>
      </c>
      <c r="DPM2" s="13" t="s">
        <v>149</v>
      </c>
      <c r="DPN2" s="13" t="s">
        <v>144</v>
      </c>
      <c r="DPO2" s="13" t="s">
        <v>218</v>
      </c>
      <c r="DPP2" s="13" t="s">
        <v>145</v>
      </c>
      <c r="DPQ2" s="13" t="s">
        <v>356</v>
      </c>
      <c r="DPR2" s="13" t="s">
        <v>359</v>
      </c>
      <c r="DPS2" s="13" t="s">
        <v>150</v>
      </c>
      <c r="DPT2" s="13" t="s">
        <v>151</v>
      </c>
      <c r="DPU2" s="13" t="s">
        <v>147</v>
      </c>
      <c r="DPV2" s="13" t="s">
        <v>148</v>
      </c>
      <c r="DPW2" s="13" t="s">
        <v>149</v>
      </c>
      <c r="DPX2" s="13" t="s">
        <v>144</v>
      </c>
      <c r="DPY2" s="13" t="s">
        <v>218</v>
      </c>
      <c r="DPZ2" s="13" t="s">
        <v>145</v>
      </c>
      <c r="DQA2" s="13" t="s">
        <v>356</v>
      </c>
      <c r="DQB2" s="13" t="s">
        <v>359</v>
      </c>
      <c r="DQC2" s="13" t="s">
        <v>150</v>
      </c>
      <c r="DQD2" s="13" t="s">
        <v>151</v>
      </c>
      <c r="DQE2" s="13" t="s">
        <v>147</v>
      </c>
      <c r="DQF2" s="13" t="s">
        <v>148</v>
      </c>
      <c r="DQG2" s="13" t="s">
        <v>149</v>
      </c>
      <c r="DQH2" s="13" t="s">
        <v>144</v>
      </c>
      <c r="DQI2" s="13" t="s">
        <v>218</v>
      </c>
      <c r="DQJ2" s="13" t="s">
        <v>145</v>
      </c>
      <c r="DQK2" s="13" t="s">
        <v>356</v>
      </c>
      <c r="DQL2" s="13" t="s">
        <v>359</v>
      </c>
      <c r="DQM2" s="13" t="s">
        <v>150</v>
      </c>
      <c r="DQN2" s="13" t="s">
        <v>151</v>
      </c>
      <c r="DQO2" s="13" t="s">
        <v>147</v>
      </c>
      <c r="DQP2" s="13" t="s">
        <v>148</v>
      </c>
      <c r="DQQ2" s="13" t="s">
        <v>149</v>
      </c>
      <c r="DQR2" s="13" t="s">
        <v>144</v>
      </c>
      <c r="DQS2" s="13" t="s">
        <v>218</v>
      </c>
      <c r="DQT2" s="13" t="s">
        <v>145</v>
      </c>
      <c r="DQU2" s="13" t="s">
        <v>356</v>
      </c>
      <c r="DQV2" s="13" t="s">
        <v>359</v>
      </c>
      <c r="DQW2" s="13" t="s">
        <v>325</v>
      </c>
      <c r="DQX2" s="13" t="s">
        <v>151</v>
      </c>
      <c r="DQY2" s="13" t="s">
        <v>427</v>
      </c>
      <c r="DQZ2" s="13" t="s">
        <v>144</v>
      </c>
      <c r="DRA2" s="13" t="s">
        <v>218</v>
      </c>
      <c r="DRB2" s="13" t="s">
        <v>145</v>
      </c>
      <c r="DRC2" s="13" t="s">
        <v>356</v>
      </c>
      <c r="DRD2" s="13" t="s">
        <v>359</v>
      </c>
      <c r="DRE2" s="13" t="s">
        <v>212</v>
      </c>
      <c r="DRF2" s="13" t="s">
        <v>150</v>
      </c>
      <c r="DRG2" s="13" t="s">
        <v>151</v>
      </c>
      <c r="DRH2" s="13" t="s">
        <v>147</v>
      </c>
      <c r="DRI2" s="13" t="s">
        <v>148</v>
      </c>
      <c r="DRJ2" s="13" t="s">
        <v>149</v>
      </c>
      <c r="DRK2" s="13" t="s">
        <v>144</v>
      </c>
      <c r="DRL2" s="13" t="s">
        <v>218</v>
      </c>
      <c r="DRM2" s="13" t="s">
        <v>145</v>
      </c>
      <c r="DRN2" s="13" t="s">
        <v>356</v>
      </c>
      <c r="DRO2" s="13" t="s">
        <v>359</v>
      </c>
      <c r="DRP2" s="13" t="s">
        <v>150</v>
      </c>
      <c r="DRQ2" s="13" t="s">
        <v>151</v>
      </c>
      <c r="DRR2" s="13" t="s">
        <v>147</v>
      </c>
      <c r="DRS2" s="13" t="s">
        <v>148</v>
      </c>
      <c r="DRT2" s="13" t="s">
        <v>149</v>
      </c>
      <c r="DRU2" s="13" t="s">
        <v>144</v>
      </c>
      <c r="DRV2" s="13" t="s">
        <v>218</v>
      </c>
      <c r="DRW2" s="13" t="s">
        <v>145</v>
      </c>
      <c r="DRX2" s="13" t="s">
        <v>356</v>
      </c>
      <c r="DRY2" s="13" t="s">
        <v>359</v>
      </c>
      <c r="DRZ2" s="13" t="s">
        <v>472</v>
      </c>
      <c r="DSA2" s="13" t="s">
        <v>232</v>
      </c>
      <c r="DSB2" s="13" t="s">
        <v>147</v>
      </c>
      <c r="DSC2" s="13" t="s">
        <v>148</v>
      </c>
      <c r="DSD2" s="13" t="s">
        <v>149</v>
      </c>
      <c r="DSE2" s="13" t="s">
        <v>144</v>
      </c>
      <c r="DSF2" s="13" t="s">
        <v>218</v>
      </c>
      <c r="DSG2" s="13" t="s">
        <v>145</v>
      </c>
      <c r="DSH2" s="13" t="s">
        <v>356</v>
      </c>
      <c r="DSI2" s="13" t="s">
        <v>359</v>
      </c>
      <c r="DSJ2" s="13" t="s">
        <v>150</v>
      </c>
      <c r="DSK2" s="13" t="s">
        <v>151</v>
      </c>
      <c r="DSL2" s="13" t="s">
        <v>147</v>
      </c>
      <c r="DSM2" s="13" t="s">
        <v>148</v>
      </c>
      <c r="DSN2" s="13" t="s">
        <v>1010</v>
      </c>
      <c r="DSO2" s="13" t="s">
        <v>149</v>
      </c>
      <c r="DSP2" s="13" t="s">
        <v>144</v>
      </c>
      <c r="DSQ2" s="13" t="s">
        <v>218</v>
      </c>
      <c r="DSR2" s="13" t="s">
        <v>145</v>
      </c>
      <c r="DSS2" s="13" t="s">
        <v>356</v>
      </c>
      <c r="DST2" s="13" t="s">
        <v>359</v>
      </c>
      <c r="DSU2" s="13" t="s">
        <v>150</v>
      </c>
      <c r="DSV2" s="13" t="s">
        <v>232</v>
      </c>
      <c r="DSW2" s="13" t="s">
        <v>147</v>
      </c>
      <c r="DSX2" s="13" t="s">
        <v>148</v>
      </c>
      <c r="DSY2" s="13" t="s">
        <v>149</v>
      </c>
      <c r="DSZ2" s="13" t="s">
        <v>144</v>
      </c>
      <c r="DTA2" s="13" t="s">
        <v>218</v>
      </c>
      <c r="DTB2" s="13" t="s">
        <v>145</v>
      </c>
      <c r="DTC2" s="13" t="s">
        <v>356</v>
      </c>
      <c r="DTD2" s="13" t="s">
        <v>359</v>
      </c>
      <c r="DTE2" s="13" t="s">
        <v>299</v>
      </c>
      <c r="DTF2" s="13" t="s">
        <v>232</v>
      </c>
      <c r="DTG2" s="13" t="s">
        <v>147</v>
      </c>
      <c r="DTH2" s="13" t="s">
        <v>148</v>
      </c>
      <c r="DTI2" s="13" t="s">
        <v>149</v>
      </c>
      <c r="DTJ2" s="13" t="s">
        <v>144</v>
      </c>
      <c r="DTK2" s="13" t="s">
        <v>218</v>
      </c>
      <c r="DTL2" s="13" t="s">
        <v>145</v>
      </c>
      <c r="DTM2" s="13" t="s">
        <v>356</v>
      </c>
      <c r="DTN2" s="13" t="s">
        <v>359</v>
      </c>
      <c r="DTO2" s="13" t="s">
        <v>385</v>
      </c>
      <c r="DTP2" s="13" t="s">
        <v>151</v>
      </c>
      <c r="DTQ2" s="13" t="s">
        <v>147</v>
      </c>
      <c r="DTR2" s="13" t="s">
        <v>148</v>
      </c>
      <c r="DTS2" s="13" t="s">
        <v>149</v>
      </c>
      <c r="DTT2" s="13" t="s">
        <v>144</v>
      </c>
      <c r="DTU2" s="13" t="s">
        <v>218</v>
      </c>
      <c r="DTV2" s="13" t="s">
        <v>145</v>
      </c>
      <c r="DTW2" s="13" t="s">
        <v>356</v>
      </c>
      <c r="DTX2" s="13" t="s">
        <v>359</v>
      </c>
      <c r="DTY2" s="13" t="s">
        <v>150</v>
      </c>
      <c r="DTZ2" s="13" t="s">
        <v>151</v>
      </c>
      <c r="DUA2" s="13" t="s">
        <v>147</v>
      </c>
      <c r="DUB2" s="13" t="s">
        <v>148</v>
      </c>
      <c r="DUC2" s="13" t="s">
        <v>149</v>
      </c>
      <c r="DUD2" s="13" t="s">
        <v>144</v>
      </c>
      <c r="DUE2" s="13" t="s">
        <v>218</v>
      </c>
      <c r="DUF2" s="13" t="s">
        <v>145</v>
      </c>
      <c r="DUG2" s="13" t="s">
        <v>356</v>
      </c>
      <c r="DUH2" s="13" t="s">
        <v>359</v>
      </c>
      <c r="DUI2" s="13" t="s">
        <v>150</v>
      </c>
      <c r="DUJ2" s="13" t="s">
        <v>151</v>
      </c>
      <c r="DUK2" s="13" t="s">
        <v>147</v>
      </c>
      <c r="DUL2" s="13" t="s">
        <v>148</v>
      </c>
      <c r="DUM2" s="13" t="s">
        <v>149</v>
      </c>
      <c r="DUN2" s="13" t="s">
        <v>144</v>
      </c>
      <c r="DUO2" s="13" t="s">
        <v>218</v>
      </c>
      <c r="DUP2" s="13" t="s">
        <v>145</v>
      </c>
      <c r="DUQ2" s="13" t="s">
        <v>356</v>
      </c>
      <c r="DUR2" s="13" t="s">
        <v>359</v>
      </c>
      <c r="DUS2" s="13" t="s">
        <v>212</v>
      </c>
      <c r="DUT2" s="13" t="s">
        <v>150</v>
      </c>
      <c r="DUU2" s="13" t="s">
        <v>151</v>
      </c>
      <c r="DUV2" s="13" t="s">
        <v>147</v>
      </c>
      <c r="DUW2" s="13" t="s">
        <v>148</v>
      </c>
      <c r="DUX2" s="13" t="s">
        <v>149</v>
      </c>
      <c r="DUY2" s="13" t="s">
        <v>144</v>
      </c>
      <c r="DUZ2" s="13" t="s">
        <v>218</v>
      </c>
      <c r="DVA2" s="13" t="s">
        <v>145</v>
      </c>
      <c r="DVB2" s="13" t="s">
        <v>356</v>
      </c>
      <c r="DVC2" s="13" t="s">
        <v>359</v>
      </c>
      <c r="DVD2" s="13" t="s">
        <v>212</v>
      </c>
      <c r="DVE2" s="13" t="s">
        <v>150</v>
      </c>
      <c r="DVF2" s="13" t="s">
        <v>151</v>
      </c>
      <c r="DVG2" s="13" t="s">
        <v>147</v>
      </c>
      <c r="DVH2" s="13" t="s">
        <v>148</v>
      </c>
      <c r="DVI2" s="13" t="s">
        <v>149</v>
      </c>
      <c r="DVJ2" s="13" t="s">
        <v>144</v>
      </c>
      <c r="DVK2" s="13" t="s">
        <v>218</v>
      </c>
      <c r="DVL2" s="13" t="s">
        <v>145</v>
      </c>
      <c r="DVM2" s="13" t="s">
        <v>356</v>
      </c>
      <c r="DVN2" s="13" t="s">
        <v>359</v>
      </c>
      <c r="DVO2" s="13" t="s">
        <v>739</v>
      </c>
      <c r="DVP2" s="13" t="s">
        <v>151</v>
      </c>
      <c r="DVQ2" s="13" t="s">
        <v>1662</v>
      </c>
      <c r="DVR2" s="13" t="s">
        <v>148</v>
      </c>
      <c r="DVS2" s="13" t="s">
        <v>149</v>
      </c>
      <c r="DVT2" s="13" t="s">
        <v>144</v>
      </c>
      <c r="DVU2" s="13" t="s">
        <v>218</v>
      </c>
      <c r="DVV2" s="13" t="s">
        <v>145</v>
      </c>
      <c r="DVW2" s="13" t="s">
        <v>356</v>
      </c>
      <c r="DVX2" s="13" t="s">
        <v>359</v>
      </c>
      <c r="DVY2" s="13" t="s">
        <v>304</v>
      </c>
      <c r="DVZ2" s="13" t="s">
        <v>151</v>
      </c>
      <c r="DWA2" s="13" t="s">
        <v>995</v>
      </c>
      <c r="DWB2" s="13" t="s">
        <v>148</v>
      </c>
      <c r="DWC2" s="13" t="s">
        <v>149</v>
      </c>
      <c r="DWD2" s="13" t="s">
        <v>144</v>
      </c>
      <c r="DWE2" s="13" t="s">
        <v>218</v>
      </c>
      <c r="DWF2" s="13" t="s">
        <v>145</v>
      </c>
      <c r="DWG2" s="13" t="s">
        <v>356</v>
      </c>
      <c r="DWH2" s="13" t="s">
        <v>359</v>
      </c>
      <c r="DWI2" s="13" t="s">
        <v>150</v>
      </c>
      <c r="DWJ2" s="13" t="s">
        <v>151</v>
      </c>
      <c r="DWK2" s="13" t="s">
        <v>995</v>
      </c>
      <c r="DWL2" s="13" t="s">
        <v>148</v>
      </c>
      <c r="DWM2" s="13" t="s">
        <v>149</v>
      </c>
      <c r="DWN2" s="13" t="s">
        <v>144</v>
      </c>
      <c r="DWO2" s="13" t="s">
        <v>218</v>
      </c>
      <c r="DWP2" s="13" t="s">
        <v>145</v>
      </c>
      <c r="DWQ2" s="13" t="s">
        <v>356</v>
      </c>
      <c r="DWR2" s="13" t="s">
        <v>359</v>
      </c>
      <c r="DWS2" s="13" t="s">
        <v>739</v>
      </c>
      <c r="DWT2" s="13" t="s">
        <v>151</v>
      </c>
      <c r="DWU2" s="13" t="s">
        <v>995</v>
      </c>
      <c r="DWV2" s="13" t="s">
        <v>148</v>
      </c>
      <c r="DWW2" s="13" t="s">
        <v>149</v>
      </c>
      <c r="DWX2" s="13" t="s">
        <v>144</v>
      </c>
      <c r="DWY2" s="13" t="s">
        <v>218</v>
      </c>
      <c r="DWZ2" s="13" t="s">
        <v>145</v>
      </c>
      <c r="DXA2" s="13" t="s">
        <v>356</v>
      </c>
      <c r="DXB2" s="13" t="s">
        <v>359</v>
      </c>
      <c r="DXC2" s="13" t="s">
        <v>304</v>
      </c>
      <c r="DXD2" s="13" t="s">
        <v>151</v>
      </c>
      <c r="DXE2" s="13" t="s">
        <v>995</v>
      </c>
      <c r="DXF2" s="13" t="s">
        <v>148</v>
      </c>
      <c r="DXG2" s="13" t="s">
        <v>149</v>
      </c>
      <c r="DXH2" s="13" t="s">
        <v>144</v>
      </c>
      <c r="DXI2" s="13" t="s">
        <v>218</v>
      </c>
      <c r="DXJ2" s="13" t="s">
        <v>145</v>
      </c>
      <c r="DXK2" s="13" t="s">
        <v>356</v>
      </c>
      <c r="DXL2" s="13" t="s">
        <v>359</v>
      </c>
      <c r="DXM2" s="13" t="s">
        <v>150</v>
      </c>
      <c r="DXN2" s="13" t="s">
        <v>151</v>
      </c>
      <c r="DXO2" s="13" t="s">
        <v>147</v>
      </c>
      <c r="DXP2" s="13" t="s">
        <v>148</v>
      </c>
      <c r="DXQ2" s="13" t="s">
        <v>149</v>
      </c>
      <c r="DXR2" s="13" t="s">
        <v>1662</v>
      </c>
      <c r="DXS2" s="13" t="s">
        <v>144</v>
      </c>
      <c r="DXT2" s="13" t="s">
        <v>218</v>
      </c>
      <c r="DXU2" s="13" t="s">
        <v>145</v>
      </c>
      <c r="DXV2" s="13" t="s">
        <v>356</v>
      </c>
      <c r="DXW2" s="13" t="s">
        <v>359</v>
      </c>
      <c r="DXX2" s="13" t="s">
        <v>304</v>
      </c>
      <c r="DXY2" s="13" t="s">
        <v>151</v>
      </c>
      <c r="DXZ2" s="13" t="s">
        <v>147</v>
      </c>
      <c r="DYA2" s="13" t="s">
        <v>148</v>
      </c>
      <c r="DYB2" s="13" t="s">
        <v>149</v>
      </c>
      <c r="DYC2" s="13" t="s">
        <v>144</v>
      </c>
      <c r="DYD2" s="13" t="s">
        <v>218</v>
      </c>
      <c r="DYE2" s="13" t="s">
        <v>145</v>
      </c>
      <c r="DYF2" s="13" t="s">
        <v>356</v>
      </c>
      <c r="DYG2" s="13" t="s">
        <v>359</v>
      </c>
      <c r="DYH2" s="13" t="s">
        <v>1684</v>
      </c>
      <c r="DYI2" s="13" t="s">
        <v>151</v>
      </c>
      <c r="DYJ2" s="13" t="s">
        <v>147</v>
      </c>
      <c r="DYK2" s="13" t="s">
        <v>148</v>
      </c>
      <c r="DYL2" s="13" t="s">
        <v>149</v>
      </c>
      <c r="DYM2" s="13" t="s">
        <v>144</v>
      </c>
      <c r="DYN2" s="13" t="s">
        <v>218</v>
      </c>
      <c r="DYO2" s="13" t="s">
        <v>145</v>
      </c>
      <c r="DYP2" s="13" t="s">
        <v>356</v>
      </c>
      <c r="DYQ2" s="13" t="s">
        <v>359</v>
      </c>
      <c r="DYR2" s="13" t="s">
        <v>365</v>
      </c>
      <c r="DYS2" s="13" t="s">
        <v>151</v>
      </c>
      <c r="DYT2" s="13" t="s">
        <v>147</v>
      </c>
      <c r="DYU2" s="13" t="s">
        <v>148</v>
      </c>
      <c r="DYV2" s="13" t="s">
        <v>149</v>
      </c>
      <c r="DYW2" s="13" t="s">
        <v>144</v>
      </c>
      <c r="DYX2" s="13" t="s">
        <v>218</v>
      </c>
      <c r="DYY2" s="13" t="s">
        <v>145</v>
      </c>
      <c r="DYZ2" s="13" t="s">
        <v>356</v>
      </c>
      <c r="DZA2" s="13" t="s">
        <v>359</v>
      </c>
      <c r="DZB2" s="13" t="s">
        <v>150</v>
      </c>
      <c r="DZC2" s="13" t="s">
        <v>151</v>
      </c>
      <c r="DZD2" s="13" t="s">
        <v>147</v>
      </c>
      <c r="DZE2" s="13" t="s">
        <v>148</v>
      </c>
      <c r="DZF2" s="13" t="s">
        <v>149</v>
      </c>
      <c r="DZG2" s="13" t="s">
        <v>144</v>
      </c>
      <c r="DZH2" s="13" t="s">
        <v>218</v>
      </c>
      <c r="DZI2" s="13" t="s">
        <v>145</v>
      </c>
      <c r="DZJ2" s="13" t="s">
        <v>356</v>
      </c>
      <c r="DZK2" s="13" t="s">
        <v>359</v>
      </c>
      <c r="DZL2" s="13" t="s">
        <v>212</v>
      </c>
      <c r="DZM2" s="13" t="s">
        <v>150</v>
      </c>
      <c r="DZN2" s="13" t="s">
        <v>151</v>
      </c>
      <c r="DZO2" s="13" t="s">
        <v>147</v>
      </c>
      <c r="DZP2" s="13" t="s">
        <v>148</v>
      </c>
      <c r="DZQ2" s="13" t="s">
        <v>149</v>
      </c>
      <c r="DZR2" s="13" t="s">
        <v>144</v>
      </c>
      <c r="DZS2" s="13" t="s">
        <v>218</v>
      </c>
      <c r="DZT2" s="13" t="s">
        <v>145</v>
      </c>
      <c r="DZU2" s="13" t="s">
        <v>356</v>
      </c>
      <c r="DZV2" s="13" t="s">
        <v>359</v>
      </c>
      <c r="DZW2" s="13" t="s">
        <v>150</v>
      </c>
      <c r="DZX2" s="13" t="s">
        <v>151</v>
      </c>
      <c r="DZY2" s="13" t="s">
        <v>147</v>
      </c>
      <c r="DZZ2" s="13" t="s">
        <v>148</v>
      </c>
      <c r="EAA2" s="13" t="s">
        <v>149</v>
      </c>
      <c r="EAB2" s="13" t="s">
        <v>144</v>
      </c>
      <c r="EAC2" s="13" t="s">
        <v>218</v>
      </c>
      <c r="EAD2" s="13" t="s">
        <v>145</v>
      </c>
      <c r="EAE2" s="13" t="s">
        <v>356</v>
      </c>
      <c r="EAF2" s="13" t="s">
        <v>359</v>
      </c>
      <c r="EAG2" s="13" t="s">
        <v>346</v>
      </c>
      <c r="EAH2" s="13" t="s">
        <v>151</v>
      </c>
      <c r="EAI2" s="13" t="s">
        <v>147</v>
      </c>
      <c r="EAJ2" s="13" t="s">
        <v>148</v>
      </c>
      <c r="EAK2" s="13" t="s">
        <v>149</v>
      </c>
      <c r="EAL2" s="13" t="s">
        <v>144</v>
      </c>
      <c r="EAM2" s="13" t="s">
        <v>218</v>
      </c>
      <c r="EAN2" s="13" t="s">
        <v>145</v>
      </c>
      <c r="EAO2" s="13" t="s">
        <v>356</v>
      </c>
      <c r="EAP2" s="13" t="s">
        <v>359</v>
      </c>
      <c r="EAQ2" s="13" t="s">
        <v>150</v>
      </c>
      <c r="EAR2" s="13" t="s">
        <v>151</v>
      </c>
      <c r="EAS2" s="13" t="s">
        <v>147</v>
      </c>
      <c r="EAT2" s="13" t="s">
        <v>148</v>
      </c>
      <c r="EAU2" s="13" t="s">
        <v>149</v>
      </c>
      <c r="EAV2" s="13" t="s">
        <v>144</v>
      </c>
      <c r="EAW2" s="13" t="s">
        <v>218</v>
      </c>
      <c r="EAX2" s="13" t="s">
        <v>145</v>
      </c>
      <c r="EAY2" s="13" t="s">
        <v>356</v>
      </c>
      <c r="EAZ2" s="13" t="s">
        <v>359</v>
      </c>
      <c r="EBA2" s="13" t="s">
        <v>150</v>
      </c>
      <c r="EBB2" s="13" t="s">
        <v>151</v>
      </c>
      <c r="EBC2" s="13" t="s">
        <v>147</v>
      </c>
      <c r="EBD2" s="13" t="s">
        <v>148</v>
      </c>
      <c r="EBE2" s="13" t="s">
        <v>149</v>
      </c>
      <c r="EBF2" s="13" t="s">
        <v>144</v>
      </c>
      <c r="EBG2" s="13" t="s">
        <v>218</v>
      </c>
      <c r="EBH2" s="13" t="s">
        <v>145</v>
      </c>
      <c r="EBI2" s="13" t="s">
        <v>356</v>
      </c>
      <c r="EBJ2" s="13" t="s">
        <v>359</v>
      </c>
      <c r="EBK2" s="13" t="s">
        <v>150</v>
      </c>
      <c r="EBL2" s="13" t="s">
        <v>151</v>
      </c>
      <c r="EBM2" s="13" t="s">
        <v>147</v>
      </c>
      <c r="EBN2" s="13" t="s">
        <v>148</v>
      </c>
      <c r="EBO2" s="13" t="s">
        <v>149</v>
      </c>
      <c r="EBP2" s="13" t="s">
        <v>144</v>
      </c>
      <c r="EBQ2" s="13" t="s">
        <v>218</v>
      </c>
      <c r="EBR2" s="13" t="s">
        <v>145</v>
      </c>
      <c r="EBS2" s="13" t="s">
        <v>356</v>
      </c>
      <c r="EBT2" s="13" t="s">
        <v>359</v>
      </c>
      <c r="EBU2" s="13" t="s">
        <v>150</v>
      </c>
      <c r="EBV2" s="13" t="s">
        <v>151</v>
      </c>
      <c r="EBW2" s="13" t="s">
        <v>147</v>
      </c>
      <c r="EBX2" s="13" t="s">
        <v>148</v>
      </c>
      <c r="EBY2" s="13" t="s">
        <v>149</v>
      </c>
      <c r="EBZ2" s="13" t="s">
        <v>144</v>
      </c>
      <c r="ECA2" s="13" t="s">
        <v>218</v>
      </c>
      <c r="ECB2" s="13" t="s">
        <v>145</v>
      </c>
      <c r="ECC2" s="13" t="s">
        <v>356</v>
      </c>
      <c r="ECD2" s="13" t="s">
        <v>359</v>
      </c>
      <c r="ECE2" s="13" t="s">
        <v>150</v>
      </c>
      <c r="ECF2" s="13" t="s">
        <v>151</v>
      </c>
      <c r="ECG2" s="13" t="s">
        <v>147</v>
      </c>
      <c r="ECH2" s="13" t="s">
        <v>148</v>
      </c>
      <c r="ECI2" s="13" t="s">
        <v>149</v>
      </c>
      <c r="ECJ2" s="13" t="s">
        <v>144</v>
      </c>
      <c r="ECK2" s="13" t="s">
        <v>218</v>
      </c>
      <c r="ECL2" s="13" t="s">
        <v>145</v>
      </c>
      <c r="ECM2" s="13" t="s">
        <v>356</v>
      </c>
      <c r="ECN2" s="13" t="s">
        <v>359</v>
      </c>
      <c r="ECO2" s="13" t="s">
        <v>739</v>
      </c>
      <c r="ECP2" s="13" t="s">
        <v>151</v>
      </c>
      <c r="ECQ2" s="13" t="s">
        <v>147</v>
      </c>
      <c r="ECR2" s="13" t="s">
        <v>148</v>
      </c>
      <c r="ECS2" s="13" t="s">
        <v>230</v>
      </c>
      <c r="ECT2" s="13" t="s">
        <v>149</v>
      </c>
      <c r="ECU2" s="13" t="s">
        <v>144</v>
      </c>
      <c r="ECV2" s="13" t="s">
        <v>218</v>
      </c>
      <c r="ECW2" s="13" t="s">
        <v>145</v>
      </c>
      <c r="ECX2" s="13" t="s">
        <v>356</v>
      </c>
      <c r="ECY2" s="13" t="s">
        <v>359</v>
      </c>
      <c r="ECZ2" s="13" t="s">
        <v>346</v>
      </c>
      <c r="EDA2" s="13" t="s">
        <v>151</v>
      </c>
      <c r="EDB2" s="13" t="s">
        <v>147</v>
      </c>
      <c r="EDC2" s="13" t="s">
        <v>148</v>
      </c>
      <c r="EDD2" s="13" t="s">
        <v>149</v>
      </c>
      <c r="EDE2" s="13" t="s">
        <v>144</v>
      </c>
      <c r="EDF2" s="13" t="s">
        <v>218</v>
      </c>
      <c r="EDG2" s="13" t="s">
        <v>145</v>
      </c>
      <c r="EDH2" s="13" t="s">
        <v>356</v>
      </c>
      <c r="EDI2" s="13" t="s">
        <v>359</v>
      </c>
      <c r="EDJ2" s="13" t="s">
        <v>346</v>
      </c>
      <c r="EDK2" s="13" t="s">
        <v>151</v>
      </c>
      <c r="EDL2" s="13" t="s">
        <v>147</v>
      </c>
      <c r="EDM2" s="13" t="s">
        <v>148</v>
      </c>
      <c r="EDN2" s="13" t="s">
        <v>149</v>
      </c>
      <c r="EDO2" s="13" t="s">
        <v>144</v>
      </c>
      <c r="EDP2" s="13" t="s">
        <v>218</v>
      </c>
      <c r="EDQ2" s="13" t="s">
        <v>145</v>
      </c>
      <c r="EDR2" s="13" t="s">
        <v>356</v>
      </c>
      <c r="EDS2" s="13" t="s">
        <v>359</v>
      </c>
      <c r="EDT2" s="13" t="s">
        <v>150</v>
      </c>
      <c r="EDU2" s="13" t="s">
        <v>151</v>
      </c>
      <c r="EDV2" s="13" t="s">
        <v>147</v>
      </c>
      <c r="EDW2" s="13" t="s">
        <v>148</v>
      </c>
      <c r="EDX2" s="13" t="s">
        <v>149</v>
      </c>
      <c r="EDY2" s="13" t="s">
        <v>144</v>
      </c>
      <c r="EDZ2" s="13" t="s">
        <v>218</v>
      </c>
      <c r="EEA2" s="13" t="s">
        <v>145</v>
      </c>
      <c r="EEB2" s="13" t="s">
        <v>356</v>
      </c>
      <c r="EEC2" s="13" t="s">
        <v>359</v>
      </c>
      <c r="EED2" s="13" t="s">
        <v>346</v>
      </c>
      <c r="EEE2" s="13" t="s">
        <v>151</v>
      </c>
      <c r="EEF2" s="13" t="s">
        <v>147</v>
      </c>
      <c r="EEG2" s="13" t="s">
        <v>148</v>
      </c>
      <c r="EEH2" s="13" t="s">
        <v>149</v>
      </c>
      <c r="EEI2" s="13" t="s">
        <v>144</v>
      </c>
      <c r="EEJ2" s="13" t="s">
        <v>218</v>
      </c>
      <c r="EEK2" s="13" t="s">
        <v>145</v>
      </c>
      <c r="EEL2" s="13" t="s">
        <v>356</v>
      </c>
      <c r="EEM2" s="13" t="s">
        <v>359</v>
      </c>
      <c r="EEN2" s="13" t="s">
        <v>150</v>
      </c>
      <c r="EEO2" s="13" t="s">
        <v>151</v>
      </c>
      <c r="EEP2" s="13" t="s">
        <v>147</v>
      </c>
      <c r="EEQ2" s="13" t="s">
        <v>148</v>
      </c>
      <c r="EER2" s="13" t="s">
        <v>149</v>
      </c>
      <c r="EES2" s="13" t="s">
        <v>144</v>
      </c>
      <c r="EET2" s="13" t="s">
        <v>218</v>
      </c>
      <c r="EEU2" s="13" t="s">
        <v>145</v>
      </c>
      <c r="EEV2" s="13" t="s">
        <v>356</v>
      </c>
      <c r="EEW2" s="13" t="s">
        <v>359</v>
      </c>
      <c r="EEX2" s="13" t="s">
        <v>212</v>
      </c>
      <c r="EEY2" s="13" t="s">
        <v>150</v>
      </c>
      <c r="EEZ2" s="13" t="s">
        <v>151</v>
      </c>
      <c r="EFA2" s="13" t="s">
        <v>147</v>
      </c>
      <c r="EFB2" s="13" t="s">
        <v>148</v>
      </c>
      <c r="EFC2" s="13" t="s">
        <v>149</v>
      </c>
      <c r="EFD2" s="13" t="s">
        <v>144</v>
      </c>
      <c r="EFE2" s="13" t="s">
        <v>218</v>
      </c>
      <c r="EFF2" s="13" t="s">
        <v>145</v>
      </c>
      <c r="EFG2" s="13" t="s">
        <v>356</v>
      </c>
      <c r="EFH2" s="13" t="s">
        <v>359</v>
      </c>
      <c r="EFI2" s="13" t="s">
        <v>150</v>
      </c>
      <c r="EFJ2" s="13" t="s">
        <v>151</v>
      </c>
      <c r="EFK2" s="13" t="s">
        <v>147</v>
      </c>
      <c r="EFL2" s="13" t="s">
        <v>148</v>
      </c>
      <c r="EFM2" s="13" t="s">
        <v>149</v>
      </c>
      <c r="EFN2" s="13" t="s">
        <v>144</v>
      </c>
      <c r="EFO2" s="13" t="s">
        <v>218</v>
      </c>
      <c r="EFP2" s="13" t="s">
        <v>145</v>
      </c>
      <c r="EFQ2" s="13" t="s">
        <v>356</v>
      </c>
      <c r="EFR2" s="13" t="s">
        <v>359</v>
      </c>
      <c r="EFS2" s="13" t="s">
        <v>150</v>
      </c>
      <c r="EFT2" s="13" t="s">
        <v>151</v>
      </c>
      <c r="EFU2" s="13" t="s">
        <v>147</v>
      </c>
      <c r="EFV2" s="13" t="s">
        <v>148</v>
      </c>
      <c r="EFW2" s="13" t="s">
        <v>149</v>
      </c>
      <c r="EFX2" s="13" t="s">
        <v>144</v>
      </c>
      <c r="EFY2" s="13" t="s">
        <v>218</v>
      </c>
      <c r="EFZ2" s="13" t="s">
        <v>145</v>
      </c>
      <c r="EGA2" s="13" t="s">
        <v>356</v>
      </c>
      <c r="EGB2" s="13" t="s">
        <v>359</v>
      </c>
      <c r="EGC2" s="13" t="s">
        <v>150</v>
      </c>
      <c r="EGD2" s="13" t="s">
        <v>151</v>
      </c>
      <c r="EGE2" s="13" t="s">
        <v>147</v>
      </c>
      <c r="EGF2" s="13" t="s">
        <v>148</v>
      </c>
      <c r="EGG2" s="13" t="s">
        <v>149</v>
      </c>
      <c r="EGH2" s="13" t="s">
        <v>144</v>
      </c>
      <c r="EGI2" s="13" t="s">
        <v>218</v>
      </c>
      <c r="EGJ2" s="13" t="s">
        <v>145</v>
      </c>
      <c r="EGK2" s="13" t="s">
        <v>356</v>
      </c>
      <c r="EGL2" s="13" t="s">
        <v>359</v>
      </c>
      <c r="EGM2" s="13" t="s">
        <v>150</v>
      </c>
      <c r="EGN2" s="13" t="s">
        <v>151</v>
      </c>
      <c r="EGO2" s="13" t="s">
        <v>147</v>
      </c>
      <c r="EGP2" s="13" t="s">
        <v>148</v>
      </c>
      <c r="EGQ2" s="13" t="s">
        <v>149</v>
      </c>
      <c r="EGR2" s="13" t="s">
        <v>144</v>
      </c>
      <c r="EGS2" s="13" t="s">
        <v>218</v>
      </c>
      <c r="EGT2" s="13" t="s">
        <v>145</v>
      </c>
      <c r="EGU2" s="13" t="s">
        <v>356</v>
      </c>
      <c r="EGV2" s="13" t="s">
        <v>359</v>
      </c>
      <c r="EGW2" s="13" t="s">
        <v>150</v>
      </c>
      <c r="EGX2" s="13" t="s">
        <v>151</v>
      </c>
      <c r="EGY2" s="13" t="s">
        <v>147</v>
      </c>
      <c r="EGZ2" s="13" t="s">
        <v>148</v>
      </c>
      <c r="EHA2" s="13" t="s">
        <v>149</v>
      </c>
      <c r="EHB2" s="13" t="s">
        <v>144</v>
      </c>
      <c r="EHC2" s="13" t="s">
        <v>218</v>
      </c>
      <c r="EHD2" s="13" t="s">
        <v>145</v>
      </c>
      <c r="EHE2" s="13" t="s">
        <v>356</v>
      </c>
      <c r="EHF2" s="13" t="s">
        <v>359</v>
      </c>
      <c r="EHG2" s="13" t="s">
        <v>212</v>
      </c>
      <c r="EHH2" s="13" t="s">
        <v>150</v>
      </c>
      <c r="EHI2" s="13" t="s">
        <v>151</v>
      </c>
      <c r="EHJ2" s="13" t="s">
        <v>147</v>
      </c>
      <c r="EHK2" s="13" t="s">
        <v>148</v>
      </c>
      <c r="EHL2" s="13" t="s">
        <v>149</v>
      </c>
      <c r="EHM2" s="13" t="s">
        <v>144</v>
      </c>
      <c r="EHN2" s="13" t="s">
        <v>218</v>
      </c>
      <c r="EHO2" s="13" t="s">
        <v>145</v>
      </c>
      <c r="EHP2" s="13" t="s">
        <v>356</v>
      </c>
      <c r="EHQ2" s="13" t="s">
        <v>359</v>
      </c>
      <c r="EHR2" s="13" t="s">
        <v>150</v>
      </c>
      <c r="EHS2" s="13" t="s">
        <v>151</v>
      </c>
      <c r="EHT2" s="13" t="s">
        <v>147</v>
      </c>
      <c r="EHU2" s="13" t="s">
        <v>148</v>
      </c>
      <c r="EHV2" s="13" t="s">
        <v>149</v>
      </c>
      <c r="EHW2" s="13" t="s">
        <v>144</v>
      </c>
      <c r="EHX2" s="13" t="s">
        <v>218</v>
      </c>
      <c r="EHY2" s="13" t="s">
        <v>145</v>
      </c>
      <c r="EHZ2" s="13" t="s">
        <v>356</v>
      </c>
      <c r="EIA2" s="13" t="s">
        <v>359</v>
      </c>
      <c r="EIB2" s="13" t="s">
        <v>150</v>
      </c>
      <c r="EIC2" s="13" t="s">
        <v>151</v>
      </c>
      <c r="EID2" s="13" t="s">
        <v>147</v>
      </c>
      <c r="EIE2" s="13" t="s">
        <v>148</v>
      </c>
      <c r="EIF2" s="13" t="s">
        <v>149</v>
      </c>
      <c r="EIG2" s="13" t="s">
        <v>144</v>
      </c>
      <c r="EIH2" s="13" t="s">
        <v>218</v>
      </c>
      <c r="EII2" s="13" t="s">
        <v>145</v>
      </c>
      <c r="EIJ2" s="13" t="s">
        <v>356</v>
      </c>
      <c r="EIK2" s="13" t="s">
        <v>359</v>
      </c>
      <c r="EIL2" s="13" t="s">
        <v>150</v>
      </c>
      <c r="EIM2" s="13" t="s">
        <v>151</v>
      </c>
      <c r="EIN2" s="13" t="s">
        <v>147</v>
      </c>
      <c r="EIO2" s="13" t="s">
        <v>148</v>
      </c>
      <c r="EIP2" s="13" t="s">
        <v>149</v>
      </c>
      <c r="EIQ2" s="13" t="s">
        <v>144</v>
      </c>
      <c r="EIR2" s="13" t="s">
        <v>218</v>
      </c>
      <c r="EIS2" s="13" t="s">
        <v>145</v>
      </c>
      <c r="EIT2" s="13" t="s">
        <v>356</v>
      </c>
      <c r="EIU2" s="13" t="s">
        <v>359</v>
      </c>
      <c r="EIV2" s="13" t="s">
        <v>150</v>
      </c>
      <c r="EIW2" s="13" t="s">
        <v>151</v>
      </c>
      <c r="EIX2" s="13" t="s">
        <v>147</v>
      </c>
      <c r="EIY2" s="13" t="s">
        <v>148</v>
      </c>
      <c r="EIZ2" s="13" t="s">
        <v>149</v>
      </c>
      <c r="EJA2" s="13" t="s">
        <v>144</v>
      </c>
      <c r="EJB2" s="13" t="s">
        <v>218</v>
      </c>
      <c r="EJC2" s="13" t="s">
        <v>145</v>
      </c>
      <c r="EJD2" s="13" t="s">
        <v>356</v>
      </c>
      <c r="EJE2" s="13" t="s">
        <v>359</v>
      </c>
      <c r="EJF2" s="13" t="s">
        <v>150</v>
      </c>
      <c r="EJG2" s="13" t="s">
        <v>151</v>
      </c>
      <c r="EJH2" s="13" t="s">
        <v>147</v>
      </c>
      <c r="EJI2" s="13" t="s">
        <v>148</v>
      </c>
      <c r="EJJ2" s="13" t="s">
        <v>149</v>
      </c>
      <c r="EJK2" s="13" t="s">
        <v>144</v>
      </c>
      <c r="EJL2" s="13" t="s">
        <v>218</v>
      </c>
      <c r="EJM2" s="13" t="s">
        <v>145</v>
      </c>
      <c r="EJN2" s="13" t="s">
        <v>356</v>
      </c>
      <c r="EJO2" s="13" t="s">
        <v>359</v>
      </c>
      <c r="EJP2" s="13" t="s">
        <v>150</v>
      </c>
      <c r="EJQ2" s="13" t="s">
        <v>151</v>
      </c>
      <c r="EJR2" s="13" t="s">
        <v>147</v>
      </c>
      <c r="EJS2" s="13" t="s">
        <v>148</v>
      </c>
      <c r="EJT2" s="13" t="s">
        <v>149</v>
      </c>
      <c r="EJU2" s="13" t="s">
        <v>144</v>
      </c>
      <c r="EJV2" s="13" t="s">
        <v>218</v>
      </c>
      <c r="EJW2" s="13" t="s">
        <v>145</v>
      </c>
      <c r="EJX2" s="13" t="s">
        <v>356</v>
      </c>
      <c r="EJY2" s="13" t="s">
        <v>359</v>
      </c>
      <c r="EJZ2" s="13" t="s">
        <v>150</v>
      </c>
      <c r="EKA2" s="13" t="s">
        <v>151</v>
      </c>
      <c r="EKB2" s="13" t="s">
        <v>147</v>
      </c>
      <c r="EKC2" s="13" t="s">
        <v>148</v>
      </c>
      <c r="EKD2" s="13" t="s">
        <v>149</v>
      </c>
      <c r="EKE2" s="13" t="s">
        <v>144</v>
      </c>
      <c r="EKF2" s="13" t="s">
        <v>218</v>
      </c>
      <c r="EKG2" s="13" t="s">
        <v>145</v>
      </c>
      <c r="EKH2" s="13" t="s">
        <v>356</v>
      </c>
      <c r="EKI2" s="13" t="s">
        <v>359</v>
      </c>
      <c r="EKJ2" s="13" t="s">
        <v>150</v>
      </c>
      <c r="EKK2" s="13" t="s">
        <v>151</v>
      </c>
      <c r="EKL2" s="13" t="s">
        <v>147</v>
      </c>
      <c r="EKM2" s="13" t="s">
        <v>148</v>
      </c>
      <c r="EKN2" s="13" t="s">
        <v>149</v>
      </c>
      <c r="EKO2" s="13" t="s">
        <v>144</v>
      </c>
      <c r="EKP2" s="13" t="s">
        <v>218</v>
      </c>
      <c r="EKQ2" s="13" t="s">
        <v>145</v>
      </c>
      <c r="EKR2" s="13" t="s">
        <v>356</v>
      </c>
      <c r="EKS2" s="13" t="s">
        <v>359</v>
      </c>
      <c r="EKT2" s="13" t="s">
        <v>212</v>
      </c>
      <c r="EKU2" s="13" t="s">
        <v>150</v>
      </c>
      <c r="EKV2" s="13" t="s">
        <v>151</v>
      </c>
      <c r="EKW2" s="13" t="s">
        <v>147</v>
      </c>
      <c r="EKX2" s="13" t="s">
        <v>148</v>
      </c>
      <c r="EKY2" s="13" t="s">
        <v>149</v>
      </c>
      <c r="EKZ2" s="13" t="s">
        <v>144</v>
      </c>
      <c r="ELA2" s="13" t="s">
        <v>218</v>
      </c>
      <c r="ELB2" s="13" t="s">
        <v>145</v>
      </c>
      <c r="ELC2" s="13" t="s">
        <v>356</v>
      </c>
      <c r="ELD2" s="13" t="s">
        <v>359</v>
      </c>
      <c r="ELE2" s="13" t="s">
        <v>150</v>
      </c>
      <c r="ELF2" s="13" t="s">
        <v>151</v>
      </c>
      <c r="ELG2" s="13" t="s">
        <v>147</v>
      </c>
      <c r="ELH2" s="13" t="s">
        <v>148</v>
      </c>
      <c r="ELI2" s="13" t="s">
        <v>149</v>
      </c>
      <c r="ELJ2" s="13" t="s">
        <v>144</v>
      </c>
      <c r="ELK2" s="13" t="s">
        <v>218</v>
      </c>
      <c r="ELL2" s="13" t="s">
        <v>145</v>
      </c>
      <c r="ELM2" s="13" t="s">
        <v>356</v>
      </c>
      <c r="ELN2" s="13" t="s">
        <v>359</v>
      </c>
      <c r="ELO2" s="13" t="s">
        <v>150</v>
      </c>
      <c r="ELP2" s="13" t="s">
        <v>151</v>
      </c>
      <c r="ELQ2" s="13" t="s">
        <v>147</v>
      </c>
      <c r="ELR2" s="13" t="s">
        <v>148</v>
      </c>
      <c r="ELS2" s="13" t="s">
        <v>149</v>
      </c>
      <c r="ELT2" s="13" t="s">
        <v>144</v>
      </c>
      <c r="ELU2" s="13" t="s">
        <v>218</v>
      </c>
      <c r="ELV2" s="13" t="s">
        <v>145</v>
      </c>
      <c r="ELW2" s="13" t="s">
        <v>356</v>
      </c>
      <c r="ELX2" s="13" t="s">
        <v>359</v>
      </c>
      <c r="ELY2" s="13" t="s">
        <v>150</v>
      </c>
      <c r="ELZ2" s="13" t="s">
        <v>151</v>
      </c>
      <c r="EMA2" s="13" t="s">
        <v>147</v>
      </c>
      <c r="EMB2" s="13" t="s">
        <v>148</v>
      </c>
      <c r="EMC2" s="13" t="s">
        <v>149</v>
      </c>
      <c r="EMD2" s="13" t="s">
        <v>144</v>
      </c>
      <c r="EME2" s="13" t="s">
        <v>218</v>
      </c>
      <c r="EMF2" s="13" t="s">
        <v>145</v>
      </c>
      <c r="EMG2" s="13" t="s">
        <v>356</v>
      </c>
      <c r="EMH2" s="13" t="s">
        <v>359</v>
      </c>
      <c r="EMI2" s="13" t="s">
        <v>150</v>
      </c>
      <c r="EMJ2" s="13" t="s">
        <v>151</v>
      </c>
      <c r="EMK2" s="13" t="s">
        <v>147</v>
      </c>
      <c r="EML2" s="13" t="s">
        <v>148</v>
      </c>
      <c r="EMM2" s="13" t="s">
        <v>149</v>
      </c>
      <c r="EMN2" s="13" t="s">
        <v>144</v>
      </c>
      <c r="EMO2" s="13" t="s">
        <v>218</v>
      </c>
      <c r="EMP2" s="13" t="s">
        <v>145</v>
      </c>
      <c r="EMQ2" s="13" t="s">
        <v>356</v>
      </c>
      <c r="EMR2" s="13" t="s">
        <v>359</v>
      </c>
      <c r="EMS2" s="13" t="s">
        <v>150</v>
      </c>
      <c r="EMT2" s="13" t="s">
        <v>151</v>
      </c>
      <c r="EMU2" s="13" t="s">
        <v>147</v>
      </c>
      <c r="EMV2" s="13" t="s">
        <v>148</v>
      </c>
      <c r="EMW2" s="13" t="s">
        <v>149</v>
      </c>
      <c r="EMX2" s="13" t="s">
        <v>144</v>
      </c>
      <c r="EMY2" s="13" t="s">
        <v>218</v>
      </c>
      <c r="EMZ2" s="13" t="s">
        <v>145</v>
      </c>
      <c r="ENA2" s="13" t="s">
        <v>356</v>
      </c>
      <c r="ENB2" s="13" t="s">
        <v>359</v>
      </c>
      <c r="ENC2" s="13" t="s">
        <v>150</v>
      </c>
      <c r="END2" s="13" t="s">
        <v>151</v>
      </c>
      <c r="ENE2" s="13" t="s">
        <v>147</v>
      </c>
      <c r="ENF2" s="13" t="s">
        <v>148</v>
      </c>
      <c r="ENG2" s="13" t="s">
        <v>149</v>
      </c>
      <c r="ENH2" s="13" t="s">
        <v>144</v>
      </c>
      <c r="ENI2" s="13" t="s">
        <v>218</v>
      </c>
      <c r="ENJ2" s="13" t="s">
        <v>145</v>
      </c>
      <c r="ENK2" s="13" t="s">
        <v>356</v>
      </c>
      <c r="ENL2" s="13" t="s">
        <v>359</v>
      </c>
      <c r="ENM2" s="13" t="s">
        <v>150</v>
      </c>
      <c r="ENN2" s="13" t="s">
        <v>151</v>
      </c>
      <c r="ENO2" s="13" t="s">
        <v>147</v>
      </c>
      <c r="ENP2" s="13" t="s">
        <v>148</v>
      </c>
      <c r="ENQ2" s="13" t="s">
        <v>149</v>
      </c>
      <c r="ENR2" s="13" t="s">
        <v>144</v>
      </c>
      <c r="ENS2" s="13" t="s">
        <v>218</v>
      </c>
      <c r="ENT2" s="13" t="s">
        <v>145</v>
      </c>
      <c r="ENU2" s="13" t="s">
        <v>356</v>
      </c>
      <c r="ENV2" s="13" t="s">
        <v>359</v>
      </c>
      <c r="ENW2" s="13" t="s">
        <v>150</v>
      </c>
      <c r="ENX2" s="13" t="s">
        <v>151</v>
      </c>
      <c r="ENY2" s="13" t="s">
        <v>147</v>
      </c>
      <c r="ENZ2" s="13" t="s">
        <v>148</v>
      </c>
      <c r="EOA2" s="13" t="s">
        <v>149</v>
      </c>
      <c r="EOB2" s="13" t="s">
        <v>144</v>
      </c>
      <c r="EOC2" s="13" t="s">
        <v>218</v>
      </c>
      <c r="EOD2" s="13" t="s">
        <v>145</v>
      </c>
      <c r="EOE2" s="13" t="s">
        <v>356</v>
      </c>
      <c r="EOF2" s="13" t="s">
        <v>359</v>
      </c>
      <c r="EOG2" s="13" t="s">
        <v>150</v>
      </c>
      <c r="EOH2" s="13" t="s">
        <v>151</v>
      </c>
      <c r="EOI2" s="13" t="s">
        <v>147</v>
      </c>
      <c r="EOJ2" s="13" t="s">
        <v>148</v>
      </c>
      <c r="EOK2" s="13" t="s">
        <v>149</v>
      </c>
      <c r="EOL2" s="13" t="s">
        <v>144</v>
      </c>
      <c r="EOM2" s="13" t="s">
        <v>218</v>
      </c>
      <c r="EON2" s="13" t="s">
        <v>145</v>
      </c>
      <c r="EOO2" s="13" t="s">
        <v>356</v>
      </c>
      <c r="EOP2" s="13" t="s">
        <v>359</v>
      </c>
      <c r="EOQ2" s="13" t="s">
        <v>367</v>
      </c>
      <c r="EOR2" s="13" t="s">
        <v>151</v>
      </c>
      <c r="EOS2" s="13" t="s">
        <v>147</v>
      </c>
      <c r="EOT2" s="13" t="s">
        <v>148</v>
      </c>
      <c r="EOU2" s="13" t="s">
        <v>149</v>
      </c>
      <c r="EOV2" s="13" t="s">
        <v>144</v>
      </c>
      <c r="EOW2" s="13" t="s">
        <v>218</v>
      </c>
      <c r="EOX2" s="13" t="s">
        <v>145</v>
      </c>
      <c r="EOY2" s="13" t="s">
        <v>356</v>
      </c>
      <c r="EOZ2" s="13" t="s">
        <v>359</v>
      </c>
      <c r="EPA2" s="13" t="s">
        <v>150</v>
      </c>
      <c r="EPB2" s="13" t="s">
        <v>151</v>
      </c>
      <c r="EPC2" s="13" t="s">
        <v>147</v>
      </c>
      <c r="EPD2" s="13" t="s">
        <v>148</v>
      </c>
      <c r="EPE2" s="13" t="s">
        <v>149</v>
      </c>
      <c r="EPF2" s="13" t="s">
        <v>144</v>
      </c>
      <c r="EPG2" s="13" t="s">
        <v>218</v>
      </c>
      <c r="EPH2" s="13" t="s">
        <v>145</v>
      </c>
      <c r="EPI2" s="13" t="s">
        <v>356</v>
      </c>
      <c r="EPJ2" s="13" t="s">
        <v>359</v>
      </c>
      <c r="EPK2" s="13" t="s">
        <v>150</v>
      </c>
      <c r="EPL2" s="13" t="s">
        <v>151</v>
      </c>
      <c r="EPM2" s="13" t="s">
        <v>147</v>
      </c>
      <c r="EPN2" s="13" t="s">
        <v>148</v>
      </c>
      <c r="EPO2" s="13" t="s">
        <v>149</v>
      </c>
      <c r="EPP2" s="13" t="s">
        <v>144</v>
      </c>
      <c r="EPQ2" s="13" t="s">
        <v>218</v>
      </c>
      <c r="EPR2" s="13" t="s">
        <v>145</v>
      </c>
      <c r="EPS2" s="13" t="s">
        <v>356</v>
      </c>
      <c r="EPT2" s="13" t="s">
        <v>359</v>
      </c>
      <c r="EPU2" s="13" t="s">
        <v>150</v>
      </c>
      <c r="EPV2" s="13" t="s">
        <v>151</v>
      </c>
      <c r="EPW2" s="13" t="s">
        <v>147</v>
      </c>
      <c r="EPX2" s="13" t="s">
        <v>148</v>
      </c>
      <c r="EPY2" s="13" t="s">
        <v>149</v>
      </c>
      <c r="EPZ2" s="13" t="s">
        <v>144</v>
      </c>
      <c r="EQA2" s="13" t="s">
        <v>218</v>
      </c>
      <c r="EQB2" s="13" t="s">
        <v>145</v>
      </c>
      <c r="EQC2" s="13" t="s">
        <v>356</v>
      </c>
      <c r="EQD2" s="13" t="s">
        <v>359</v>
      </c>
      <c r="EQE2" s="13" t="s">
        <v>150</v>
      </c>
      <c r="EQF2" s="13" t="s">
        <v>151</v>
      </c>
      <c r="EQG2" s="13" t="s">
        <v>147</v>
      </c>
      <c r="EQH2" s="13" t="s">
        <v>148</v>
      </c>
      <c r="EQI2" s="13" t="s">
        <v>149</v>
      </c>
      <c r="EQJ2" s="13" t="s">
        <v>144</v>
      </c>
      <c r="EQK2" s="13" t="s">
        <v>218</v>
      </c>
      <c r="EQL2" s="13" t="s">
        <v>145</v>
      </c>
      <c r="EQM2" s="13" t="s">
        <v>356</v>
      </c>
      <c r="EQN2" s="13" t="s">
        <v>359</v>
      </c>
      <c r="EQO2" s="13" t="s">
        <v>150</v>
      </c>
      <c r="EQP2" s="13" t="s">
        <v>151</v>
      </c>
      <c r="EQQ2" s="13" t="s">
        <v>147</v>
      </c>
      <c r="EQR2" s="13" t="s">
        <v>148</v>
      </c>
      <c r="EQS2" s="13" t="s">
        <v>149</v>
      </c>
      <c r="EQT2" s="13" t="s">
        <v>144</v>
      </c>
      <c r="EQU2" s="13" t="s">
        <v>218</v>
      </c>
      <c r="EQV2" s="13" t="s">
        <v>145</v>
      </c>
      <c r="EQW2" s="13" t="s">
        <v>356</v>
      </c>
      <c r="EQX2" s="13" t="s">
        <v>359</v>
      </c>
      <c r="EQY2" s="13" t="s">
        <v>406</v>
      </c>
      <c r="EQZ2" s="13" t="s">
        <v>151</v>
      </c>
      <c r="ERA2" s="13" t="s">
        <v>147</v>
      </c>
      <c r="ERB2" s="13" t="s">
        <v>148</v>
      </c>
      <c r="ERC2" s="13" t="s">
        <v>149</v>
      </c>
      <c r="ERD2" s="13" t="s">
        <v>144</v>
      </c>
      <c r="ERE2" s="13" t="s">
        <v>218</v>
      </c>
      <c r="ERF2" s="13" t="s">
        <v>145</v>
      </c>
      <c r="ERG2" s="13" t="s">
        <v>356</v>
      </c>
      <c r="ERH2" s="13" t="s">
        <v>359</v>
      </c>
      <c r="ERI2" s="13" t="s">
        <v>150</v>
      </c>
      <c r="ERJ2" s="13" t="s">
        <v>151</v>
      </c>
      <c r="ERK2" s="13" t="s">
        <v>147</v>
      </c>
      <c r="ERL2" s="13" t="s">
        <v>148</v>
      </c>
      <c r="ERM2" s="13" t="s">
        <v>149</v>
      </c>
      <c r="ERN2" s="13" t="s">
        <v>144</v>
      </c>
      <c r="ERO2" s="13" t="s">
        <v>218</v>
      </c>
      <c r="ERP2" s="13" t="s">
        <v>145</v>
      </c>
      <c r="ERQ2" s="13" t="s">
        <v>356</v>
      </c>
      <c r="ERR2" s="13" t="s">
        <v>359</v>
      </c>
      <c r="ERS2" s="13" t="s">
        <v>150</v>
      </c>
      <c r="ERT2" s="13" t="s">
        <v>151</v>
      </c>
      <c r="ERU2" s="13" t="s">
        <v>147</v>
      </c>
      <c r="ERV2" s="13" t="s">
        <v>148</v>
      </c>
      <c r="ERW2" s="13" t="s">
        <v>149</v>
      </c>
      <c r="ERX2" s="13" t="s">
        <v>144</v>
      </c>
      <c r="ERY2" s="13" t="s">
        <v>218</v>
      </c>
      <c r="ERZ2" s="13" t="s">
        <v>145</v>
      </c>
      <c r="ESA2" s="13" t="s">
        <v>356</v>
      </c>
      <c r="ESB2" s="13" t="s">
        <v>359</v>
      </c>
      <c r="ESC2" s="13" t="s">
        <v>150</v>
      </c>
      <c r="ESD2" s="13" t="s">
        <v>151</v>
      </c>
      <c r="ESE2" s="13" t="s">
        <v>147</v>
      </c>
      <c r="ESF2" s="13" t="s">
        <v>148</v>
      </c>
      <c r="ESG2" s="13" t="s">
        <v>149</v>
      </c>
      <c r="ESH2" s="13" t="s">
        <v>144</v>
      </c>
      <c r="ESI2" s="13" t="s">
        <v>218</v>
      </c>
      <c r="ESJ2" s="13" t="s">
        <v>145</v>
      </c>
      <c r="ESK2" s="13" t="s">
        <v>356</v>
      </c>
      <c r="ESL2" s="13" t="s">
        <v>359</v>
      </c>
      <c r="ESM2" s="13" t="s">
        <v>404</v>
      </c>
      <c r="ESN2" s="13" t="s">
        <v>151</v>
      </c>
      <c r="ESO2" s="13" t="s">
        <v>1010</v>
      </c>
      <c r="ESP2" s="13" t="s">
        <v>144</v>
      </c>
      <c r="ESQ2" s="13" t="s">
        <v>218</v>
      </c>
      <c r="ESR2" s="13" t="s">
        <v>145</v>
      </c>
      <c r="ESS2" s="13" t="s">
        <v>356</v>
      </c>
      <c r="EST2" s="13" t="s">
        <v>359</v>
      </c>
      <c r="ESU2" s="13" t="s">
        <v>363</v>
      </c>
      <c r="ESV2" s="13" t="s">
        <v>151</v>
      </c>
      <c r="ESW2" s="13" t="s">
        <v>147</v>
      </c>
      <c r="ESX2" s="13" t="s">
        <v>148</v>
      </c>
      <c r="ESY2" s="13" t="s">
        <v>149</v>
      </c>
      <c r="ESZ2" s="13" t="s">
        <v>144</v>
      </c>
      <c r="ETA2" s="13" t="s">
        <v>218</v>
      </c>
      <c r="ETB2" s="13" t="s">
        <v>145</v>
      </c>
      <c r="ETC2" s="13" t="s">
        <v>356</v>
      </c>
      <c r="ETD2" s="13" t="s">
        <v>359</v>
      </c>
      <c r="ETE2" s="13" t="s">
        <v>150</v>
      </c>
      <c r="ETF2" s="13" t="s">
        <v>151</v>
      </c>
      <c r="ETG2" s="13" t="s">
        <v>1010</v>
      </c>
      <c r="ETH2" s="13" t="s">
        <v>144</v>
      </c>
      <c r="ETI2" s="13" t="s">
        <v>218</v>
      </c>
      <c r="ETJ2" s="13" t="s">
        <v>145</v>
      </c>
      <c r="ETK2" s="13" t="s">
        <v>356</v>
      </c>
      <c r="ETL2" s="13" t="s">
        <v>359</v>
      </c>
      <c r="ETM2" s="13" t="s">
        <v>150</v>
      </c>
      <c r="ETN2" s="13" t="s">
        <v>151</v>
      </c>
      <c r="ETO2" s="13" t="s">
        <v>147</v>
      </c>
      <c r="ETP2" s="13" t="s">
        <v>148</v>
      </c>
      <c r="ETQ2" s="13" t="s">
        <v>149</v>
      </c>
      <c r="ETR2" s="13" t="s">
        <v>144</v>
      </c>
      <c r="ETS2" s="13" t="s">
        <v>218</v>
      </c>
      <c r="ETT2" s="13" t="s">
        <v>145</v>
      </c>
      <c r="ETU2" s="13" t="s">
        <v>356</v>
      </c>
      <c r="ETV2" s="13" t="s">
        <v>359</v>
      </c>
      <c r="ETW2" s="13" t="s">
        <v>150</v>
      </c>
      <c r="ETX2" s="13" t="s">
        <v>151</v>
      </c>
      <c r="ETY2" s="13" t="s">
        <v>147</v>
      </c>
      <c r="ETZ2" s="13" t="s">
        <v>148</v>
      </c>
      <c r="EUA2" s="13" t="s">
        <v>149</v>
      </c>
      <c r="EUB2" s="13" t="s">
        <v>144</v>
      </c>
      <c r="EUC2" s="13" t="s">
        <v>218</v>
      </c>
      <c r="EUD2" s="13" t="s">
        <v>145</v>
      </c>
      <c r="EUE2" s="13" t="s">
        <v>356</v>
      </c>
      <c r="EUF2" s="13" t="s">
        <v>359</v>
      </c>
      <c r="EUG2" s="13" t="s">
        <v>150</v>
      </c>
      <c r="EUH2" s="13" t="s">
        <v>151</v>
      </c>
      <c r="EUI2" s="13" t="s">
        <v>147</v>
      </c>
      <c r="EUJ2" s="13" t="s">
        <v>148</v>
      </c>
      <c r="EUK2" s="13" t="s">
        <v>149</v>
      </c>
      <c r="EUL2" s="13" t="s">
        <v>144</v>
      </c>
      <c r="EUM2" s="13" t="s">
        <v>218</v>
      </c>
      <c r="EUN2" s="13" t="s">
        <v>145</v>
      </c>
      <c r="EUO2" s="13" t="s">
        <v>356</v>
      </c>
      <c r="EUP2" s="13" t="s">
        <v>359</v>
      </c>
      <c r="EUQ2" s="13" t="s">
        <v>150</v>
      </c>
      <c r="EUR2" s="13" t="s">
        <v>151</v>
      </c>
      <c r="EUS2" s="13" t="s">
        <v>147</v>
      </c>
      <c r="EUT2" s="13" t="s">
        <v>148</v>
      </c>
      <c r="EUU2" s="13" t="s">
        <v>149</v>
      </c>
      <c r="EUV2" s="13" t="s">
        <v>144</v>
      </c>
      <c r="EUW2" s="13" t="s">
        <v>218</v>
      </c>
      <c r="EUX2" s="13" t="s">
        <v>145</v>
      </c>
      <c r="EUY2" s="13" t="s">
        <v>356</v>
      </c>
      <c r="EUZ2" s="13" t="s">
        <v>359</v>
      </c>
      <c r="EVA2" s="13" t="s">
        <v>385</v>
      </c>
      <c r="EVB2" s="13" t="s">
        <v>151</v>
      </c>
      <c r="EVC2" s="13" t="s">
        <v>147</v>
      </c>
      <c r="EVD2" s="13" t="s">
        <v>148</v>
      </c>
      <c r="EVE2" s="13" t="s">
        <v>149</v>
      </c>
      <c r="EVF2" s="13" t="s">
        <v>144</v>
      </c>
      <c r="EVG2" s="13" t="s">
        <v>218</v>
      </c>
      <c r="EVH2" s="13" t="s">
        <v>145</v>
      </c>
      <c r="EVI2" s="13" t="s">
        <v>356</v>
      </c>
      <c r="EVJ2" s="13" t="s">
        <v>359</v>
      </c>
      <c r="EVK2" s="13" t="s">
        <v>150</v>
      </c>
      <c r="EVL2" s="13" t="s">
        <v>151</v>
      </c>
      <c r="EVM2" s="13" t="s">
        <v>147</v>
      </c>
      <c r="EVN2" s="13" t="s">
        <v>148</v>
      </c>
      <c r="EVO2" s="13" t="s">
        <v>149</v>
      </c>
      <c r="EVP2" s="13" t="s">
        <v>1662</v>
      </c>
      <c r="EVQ2" s="13" t="s">
        <v>144</v>
      </c>
      <c r="EVR2" s="13" t="s">
        <v>218</v>
      </c>
      <c r="EVS2" s="13" t="s">
        <v>145</v>
      </c>
      <c r="EVT2" s="13" t="s">
        <v>356</v>
      </c>
      <c r="EVU2" s="13" t="s">
        <v>359</v>
      </c>
      <c r="EVV2" s="13" t="s">
        <v>363</v>
      </c>
      <c r="EVW2" s="13" t="s">
        <v>151</v>
      </c>
      <c r="EVX2" s="13" t="s">
        <v>147</v>
      </c>
      <c r="EVY2" s="13" t="s">
        <v>148</v>
      </c>
      <c r="EVZ2" s="13" t="s">
        <v>149</v>
      </c>
      <c r="EWA2" s="13" t="s">
        <v>144</v>
      </c>
      <c r="EWB2" s="13" t="s">
        <v>218</v>
      </c>
      <c r="EWC2" s="13" t="s">
        <v>145</v>
      </c>
      <c r="EWD2" s="13" t="s">
        <v>356</v>
      </c>
      <c r="EWE2" s="13" t="s">
        <v>359</v>
      </c>
      <c r="EWF2" s="13" t="s">
        <v>363</v>
      </c>
      <c r="EWG2" s="13" t="s">
        <v>151</v>
      </c>
      <c r="EWH2" s="13" t="s">
        <v>147</v>
      </c>
      <c r="EWI2" s="13" t="s">
        <v>148</v>
      </c>
      <c r="EWJ2" s="13" t="s">
        <v>149</v>
      </c>
      <c r="EWK2" s="13" t="s">
        <v>144</v>
      </c>
      <c r="EWL2" s="13" t="s">
        <v>218</v>
      </c>
      <c r="EWM2" s="13" t="s">
        <v>145</v>
      </c>
      <c r="EWN2" s="13" t="s">
        <v>356</v>
      </c>
      <c r="EWO2" s="13" t="s">
        <v>359</v>
      </c>
      <c r="EWP2" s="13" t="s">
        <v>150</v>
      </c>
      <c r="EWQ2" s="13" t="s">
        <v>151</v>
      </c>
      <c r="EWR2" s="13" t="s">
        <v>147</v>
      </c>
      <c r="EWS2" s="13" t="s">
        <v>148</v>
      </c>
      <c r="EWT2" s="13" t="s">
        <v>149</v>
      </c>
      <c r="EWU2" s="13" t="s">
        <v>144</v>
      </c>
      <c r="EWV2" s="13" t="s">
        <v>218</v>
      </c>
      <c r="EWW2" s="13" t="s">
        <v>145</v>
      </c>
      <c r="EWX2" s="13" t="s">
        <v>356</v>
      </c>
      <c r="EWY2" s="13" t="s">
        <v>359</v>
      </c>
      <c r="EWZ2" s="13" t="s">
        <v>739</v>
      </c>
      <c r="EXA2" s="13" t="s">
        <v>151</v>
      </c>
      <c r="EXB2" s="13" t="s">
        <v>147</v>
      </c>
      <c r="EXC2" s="13" t="s">
        <v>148</v>
      </c>
      <c r="EXD2" s="13" t="s">
        <v>149</v>
      </c>
      <c r="EXE2" s="13" t="s">
        <v>144</v>
      </c>
      <c r="EXF2" s="13" t="s">
        <v>218</v>
      </c>
      <c r="EXG2" s="13" t="s">
        <v>145</v>
      </c>
      <c r="EXH2" s="13" t="s">
        <v>356</v>
      </c>
      <c r="EXI2" s="13" t="s">
        <v>359</v>
      </c>
      <c r="EXJ2" s="13" t="s">
        <v>303</v>
      </c>
      <c r="EXK2" s="13" t="s">
        <v>151</v>
      </c>
      <c r="EXL2" s="13" t="s">
        <v>147</v>
      </c>
      <c r="EXM2" s="13" t="s">
        <v>148</v>
      </c>
      <c r="EXN2" s="13" t="s">
        <v>149</v>
      </c>
      <c r="EXO2" s="13" t="s">
        <v>144</v>
      </c>
      <c r="EXP2" s="13" t="s">
        <v>218</v>
      </c>
      <c r="EXQ2" s="13" t="s">
        <v>145</v>
      </c>
      <c r="EXR2" s="13" t="s">
        <v>356</v>
      </c>
      <c r="EXS2" s="13" t="s">
        <v>359</v>
      </c>
      <c r="EXT2" s="13" t="s">
        <v>303</v>
      </c>
      <c r="EXU2" s="13" t="s">
        <v>151</v>
      </c>
      <c r="EXV2" s="13" t="s">
        <v>147</v>
      </c>
      <c r="EXW2" s="13" t="s">
        <v>148</v>
      </c>
      <c r="EXX2" s="13" t="s">
        <v>149</v>
      </c>
      <c r="EXY2" s="13" t="s">
        <v>144</v>
      </c>
      <c r="EXZ2" s="13" t="s">
        <v>218</v>
      </c>
      <c r="EYA2" s="13" t="s">
        <v>145</v>
      </c>
      <c r="EYB2" s="13" t="s">
        <v>356</v>
      </c>
      <c r="EYC2" s="13" t="s">
        <v>359</v>
      </c>
      <c r="EYD2" s="13" t="s">
        <v>150</v>
      </c>
      <c r="EYE2" s="13" t="s">
        <v>151</v>
      </c>
      <c r="EYF2" s="13" t="s">
        <v>147</v>
      </c>
      <c r="EYG2" s="13" t="s">
        <v>148</v>
      </c>
      <c r="EYH2" s="13" t="s">
        <v>149</v>
      </c>
      <c r="EYI2" s="13" t="s">
        <v>144</v>
      </c>
      <c r="EYJ2" s="13" t="s">
        <v>218</v>
      </c>
      <c r="EYK2" s="13" t="s">
        <v>145</v>
      </c>
      <c r="EYL2" s="13" t="s">
        <v>356</v>
      </c>
      <c r="EYM2" s="13" t="s">
        <v>359</v>
      </c>
      <c r="EYN2" s="13" t="s">
        <v>212</v>
      </c>
      <c r="EYO2" s="13" t="s">
        <v>1684</v>
      </c>
      <c r="EYP2" s="13" t="s">
        <v>151</v>
      </c>
      <c r="EYQ2" s="13" t="s">
        <v>147</v>
      </c>
      <c r="EYR2" s="13" t="s">
        <v>148</v>
      </c>
      <c r="EYS2" s="13" t="s">
        <v>149</v>
      </c>
      <c r="EYT2" s="13" t="s">
        <v>144</v>
      </c>
      <c r="EYU2" s="13" t="s">
        <v>218</v>
      </c>
      <c r="EYV2" s="13" t="s">
        <v>145</v>
      </c>
      <c r="EYW2" s="13" t="s">
        <v>356</v>
      </c>
      <c r="EYX2" s="13" t="s">
        <v>359</v>
      </c>
      <c r="EYY2" s="13" t="s">
        <v>150</v>
      </c>
      <c r="EYZ2" s="13" t="s">
        <v>151</v>
      </c>
      <c r="EZA2" s="13" t="s">
        <v>147</v>
      </c>
      <c r="EZB2" s="13" t="s">
        <v>148</v>
      </c>
      <c r="EZC2" s="13" t="s">
        <v>149</v>
      </c>
      <c r="EZD2" s="13" t="s">
        <v>144</v>
      </c>
      <c r="EZE2" s="13" t="s">
        <v>218</v>
      </c>
      <c r="EZF2" s="13" t="s">
        <v>145</v>
      </c>
      <c r="EZG2" s="13" t="s">
        <v>356</v>
      </c>
      <c r="EZH2" s="13" t="s">
        <v>359</v>
      </c>
      <c r="EZI2" s="13" t="s">
        <v>150</v>
      </c>
      <c r="EZJ2" s="13" t="s">
        <v>151</v>
      </c>
      <c r="EZK2" s="13" t="s">
        <v>147</v>
      </c>
      <c r="EZL2" s="13" t="s">
        <v>148</v>
      </c>
      <c r="EZM2" s="13" t="s">
        <v>149</v>
      </c>
      <c r="EZN2" s="13" t="s">
        <v>144</v>
      </c>
      <c r="EZO2" s="13" t="s">
        <v>218</v>
      </c>
      <c r="EZP2" s="13" t="s">
        <v>145</v>
      </c>
      <c r="EZQ2" s="13" t="s">
        <v>356</v>
      </c>
      <c r="EZR2" s="13" t="s">
        <v>359</v>
      </c>
      <c r="EZS2" s="13" t="s">
        <v>150</v>
      </c>
      <c r="EZT2" s="13" t="s">
        <v>151</v>
      </c>
      <c r="EZU2" s="13" t="s">
        <v>147</v>
      </c>
      <c r="EZV2" s="13" t="s">
        <v>148</v>
      </c>
      <c r="EZW2" s="13" t="s">
        <v>149</v>
      </c>
      <c r="EZX2" s="13" t="s">
        <v>144</v>
      </c>
      <c r="EZY2" s="13" t="s">
        <v>218</v>
      </c>
      <c r="EZZ2" s="13" t="s">
        <v>145</v>
      </c>
      <c r="FAA2" s="13" t="s">
        <v>356</v>
      </c>
      <c r="FAB2" s="13" t="s">
        <v>359</v>
      </c>
      <c r="FAC2" s="13" t="s">
        <v>150</v>
      </c>
      <c r="FAD2" s="13" t="s">
        <v>151</v>
      </c>
      <c r="FAE2" s="13" t="s">
        <v>147</v>
      </c>
      <c r="FAF2" s="13" t="s">
        <v>148</v>
      </c>
      <c r="FAG2" s="13" t="s">
        <v>149</v>
      </c>
      <c r="FAH2" s="13" t="s">
        <v>144</v>
      </c>
      <c r="FAI2" s="13" t="s">
        <v>218</v>
      </c>
      <c r="FAJ2" s="13" t="s">
        <v>145</v>
      </c>
      <c r="FAK2" s="13" t="s">
        <v>356</v>
      </c>
      <c r="FAL2" s="13" t="s">
        <v>359</v>
      </c>
      <c r="FAM2" s="13" t="s">
        <v>150</v>
      </c>
      <c r="FAN2" s="13" t="s">
        <v>151</v>
      </c>
      <c r="FAO2" s="13" t="s">
        <v>147</v>
      </c>
      <c r="FAP2" s="13" t="s">
        <v>148</v>
      </c>
      <c r="FAQ2" s="13" t="s">
        <v>149</v>
      </c>
      <c r="FAR2" s="13" t="s">
        <v>144</v>
      </c>
      <c r="FAS2" s="13" t="s">
        <v>218</v>
      </c>
      <c r="FAT2" s="13" t="s">
        <v>145</v>
      </c>
      <c r="FAU2" s="13" t="s">
        <v>356</v>
      </c>
      <c r="FAV2" s="13" t="s">
        <v>359</v>
      </c>
      <c r="FAW2" s="13" t="s">
        <v>150</v>
      </c>
      <c r="FAX2" s="13" t="s">
        <v>151</v>
      </c>
      <c r="FAY2" s="13" t="s">
        <v>147</v>
      </c>
      <c r="FAZ2" s="13" t="s">
        <v>148</v>
      </c>
      <c r="FBA2" s="13" t="s">
        <v>149</v>
      </c>
      <c r="FBB2" s="13" t="s">
        <v>1010</v>
      </c>
      <c r="FBC2" s="13" t="s">
        <v>144</v>
      </c>
      <c r="FBD2" s="13" t="s">
        <v>218</v>
      </c>
      <c r="FBE2" s="13" t="s">
        <v>145</v>
      </c>
      <c r="FBF2" s="13" t="s">
        <v>356</v>
      </c>
      <c r="FBG2" s="13" t="s">
        <v>359</v>
      </c>
      <c r="FBH2" s="13" t="s">
        <v>303</v>
      </c>
      <c r="FBI2" s="13" t="s">
        <v>151</v>
      </c>
      <c r="FBJ2" s="13" t="s">
        <v>147</v>
      </c>
      <c r="FBK2" s="13" t="s">
        <v>148</v>
      </c>
      <c r="FBL2" s="13" t="s">
        <v>149</v>
      </c>
      <c r="FBM2" s="13" t="s">
        <v>144</v>
      </c>
      <c r="FBN2" s="13" t="s">
        <v>218</v>
      </c>
      <c r="FBO2" s="13" t="s">
        <v>145</v>
      </c>
      <c r="FBP2" s="13" t="s">
        <v>356</v>
      </c>
      <c r="FBQ2" s="13" t="s">
        <v>359</v>
      </c>
      <c r="FBR2" s="13" t="s">
        <v>303</v>
      </c>
      <c r="FBS2" s="13" t="s">
        <v>151</v>
      </c>
      <c r="FBT2" s="13" t="s">
        <v>147</v>
      </c>
      <c r="FBU2" s="13" t="s">
        <v>148</v>
      </c>
      <c r="FBV2" s="13" t="s">
        <v>149</v>
      </c>
      <c r="FBW2" s="13" t="s">
        <v>144</v>
      </c>
      <c r="FBX2" s="13" t="s">
        <v>218</v>
      </c>
      <c r="FBY2" s="13" t="s">
        <v>145</v>
      </c>
      <c r="FBZ2" s="13" t="s">
        <v>356</v>
      </c>
      <c r="FCA2" s="13" t="s">
        <v>359</v>
      </c>
      <c r="FCB2" s="13" t="s">
        <v>303</v>
      </c>
      <c r="FCC2" s="13" t="s">
        <v>151</v>
      </c>
      <c r="FCD2" s="13" t="s">
        <v>147</v>
      </c>
      <c r="FCE2" s="13" t="s">
        <v>148</v>
      </c>
      <c r="FCF2" s="13" t="s">
        <v>149</v>
      </c>
      <c r="FCG2" s="13" t="s">
        <v>1010</v>
      </c>
      <c r="FCH2" s="13" t="s">
        <v>144</v>
      </c>
      <c r="FCI2" s="13" t="s">
        <v>218</v>
      </c>
      <c r="FCJ2" s="13" t="s">
        <v>145</v>
      </c>
      <c r="FCK2" s="13" t="s">
        <v>356</v>
      </c>
      <c r="FCL2" s="13" t="s">
        <v>359</v>
      </c>
      <c r="FCM2" s="13" t="s">
        <v>150</v>
      </c>
      <c r="FCN2" s="13" t="s">
        <v>151</v>
      </c>
      <c r="FCO2" s="13" t="s">
        <v>147</v>
      </c>
      <c r="FCP2" s="13" t="s">
        <v>148</v>
      </c>
      <c r="FCQ2" s="13" t="s">
        <v>149</v>
      </c>
      <c r="FCR2" s="13" t="s">
        <v>473</v>
      </c>
      <c r="FCS2" s="13" t="s">
        <v>144</v>
      </c>
      <c r="FCT2" s="13" t="s">
        <v>218</v>
      </c>
      <c r="FCU2" s="13" t="s">
        <v>145</v>
      </c>
      <c r="FCV2" s="13" t="s">
        <v>356</v>
      </c>
      <c r="FCW2" s="13" t="s">
        <v>359</v>
      </c>
      <c r="FCX2" s="13" t="s">
        <v>739</v>
      </c>
      <c r="FCY2" s="13" t="s">
        <v>151</v>
      </c>
      <c r="FCZ2" s="13" t="s">
        <v>147</v>
      </c>
      <c r="FDA2" s="13" t="s">
        <v>148</v>
      </c>
      <c r="FDB2" s="13" t="s">
        <v>149</v>
      </c>
      <c r="FDC2" s="13" t="s">
        <v>2236</v>
      </c>
      <c r="FDD2" s="13" t="s">
        <v>144</v>
      </c>
      <c r="FDE2" s="13" t="s">
        <v>218</v>
      </c>
      <c r="FDF2" s="13" t="s">
        <v>145</v>
      </c>
      <c r="FDG2" s="13" t="s">
        <v>356</v>
      </c>
      <c r="FDH2" s="13" t="s">
        <v>359</v>
      </c>
      <c r="FDI2" s="13" t="s">
        <v>150</v>
      </c>
      <c r="FDJ2" s="13" t="s">
        <v>151</v>
      </c>
      <c r="FDK2" s="13" t="s">
        <v>147</v>
      </c>
      <c r="FDL2" s="13" t="s">
        <v>148</v>
      </c>
      <c r="FDM2" s="13" t="s">
        <v>149</v>
      </c>
      <c r="FDN2" s="13" t="s">
        <v>144</v>
      </c>
      <c r="FDO2" s="13" t="s">
        <v>218</v>
      </c>
      <c r="FDP2" s="13" t="s">
        <v>145</v>
      </c>
      <c r="FDQ2" s="13" t="s">
        <v>356</v>
      </c>
      <c r="FDR2" s="13" t="s">
        <v>359</v>
      </c>
      <c r="FDS2" s="13" t="s">
        <v>150</v>
      </c>
      <c r="FDT2" s="13" t="s">
        <v>151</v>
      </c>
      <c r="FDU2" s="13" t="s">
        <v>147</v>
      </c>
      <c r="FDV2" s="13" t="s">
        <v>148</v>
      </c>
      <c r="FDW2" s="13" t="s">
        <v>149</v>
      </c>
      <c r="FDX2" s="13" t="s">
        <v>144</v>
      </c>
      <c r="FDY2" s="13" t="s">
        <v>218</v>
      </c>
      <c r="FDZ2" s="13" t="s">
        <v>145</v>
      </c>
      <c r="FEA2" s="13" t="s">
        <v>356</v>
      </c>
      <c r="FEB2" s="13" t="s">
        <v>359</v>
      </c>
      <c r="FEC2" s="13" t="s">
        <v>150</v>
      </c>
      <c r="FED2" s="13" t="s">
        <v>151</v>
      </c>
      <c r="FEE2" s="13" t="s">
        <v>147</v>
      </c>
      <c r="FEF2" s="13" t="s">
        <v>148</v>
      </c>
      <c r="FEG2" s="13" t="s">
        <v>149</v>
      </c>
      <c r="FEH2" s="13" t="s">
        <v>144</v>
      </c>
      <c r="FEI2" s="13" t="s">
        <v>218</v>
      </c>
      <c r="FEJ2" s="13" t="s">
        <v>145</v>
      </c>
      <c r="FEK2" s="13" t="s">
        <v>356</v>
      </c>
      <c r="FEL2" s="13" t="s">
        <v>359</v>
      </c>
      <c r="FEM2" s="13" t="s">
        <v>150</v>
      </c>
      <c r="FEN2" s="13" t="s">
        <v>151</v>
      </c>
      <c r="FEO2" s="13" t="s">
        <v>147</v>
      </c>
      <c r="FEP2" s="13" t="s">
        <v>148</v>
      </c>
      <c r="FEQ2" s="13" t="s">
        <v>149</v>
      </c>
      <c r="FER2" s="13" t="s">
        <v>1662</v>
      </c>
      <c r="FES2" s="13" t="s">
        <v>144</v>
      </c>
      <c r="FET2" s="13" t="s">
        <v>218</v>
      </c>
      <c r="FEU2" s="13" t="s">
        <v>145</v>
      </c>
      <c r="FEV2" s="13" t="s">
        <v>356</v>
      </c>
      <c r="FEW2" s="13" t="s">
        <v>359</v>
      </c>
      <c r="FEX2" s="13" t="s">
        <v>150</v>
      </c>
      <c r="FEY2" s="13" t="s">
        <v>151</v>
      </c>
      <c r="FEZ2" s="13" t="s">
        <v>147</v>
      </c>
      <c r="FFA2" s="13" t="s">
        <v>148</v>
      </c>
      <c r="FFB2" s="13" t="s">
        <v>149</v>
      </c>
      <c r="FFC2" s="13" t="s">
        <v>144</v>
      </c>
      <c r="FFD2" s="13" t="s">
        <v>218</v>
      </c>
      <c r="FFE2" s="13" t="s">
        <v>145</v>
      </c>
      <c r="FFF2" s="13" t="s">
        <v>356</v>
      </c>
      <c r="FFG2" s="13" t="s">
        <v>359</v>
      </c>
      <c r="FFH2" s="13" t="s">
        <v>150</v>
      </c>
      <c r="FFI2" s="13" t="s">
        <v>151</v>
      </c>
      <c r="FFJ2" s="13" t="s">
        <v>147</v>
      </c>
      <c r="FFK2" s="13" t="s">
        <v>148</v>
      </c>
      <c r="FFL2" s="13" t="s">
        <v>149</v>
      </c>
      <c r="FFM2" s="13" t="s">
        <v>144</v>
      </c>
      <c r="FFN2" s="13" t="s">
        <v>218</v>
      </c>
      <c r="FFO2" s="13" t="s">
        <v>145</v>
      </c>
      <c r="FFP2" s="13" t="s">
        <v>356</v>
      </c>
      <c r="FFQ2" s="13" t="s">
        <v>359</v>
      </c>
      <c r="FFR2" s="13" t="s">
        <v>150</v>
      </c>
      <c r="FFS2" s="13" t="s">
        <v>151</v>
      </c>
      <c r="FFT2" s="13" t="s">
        <v>147</v>
      </c>
      <c r="FFU2" s="13" t="s">
        <v>148</v>
      </c>
      <c r="FFV2" s="13" t="s">
        <v>149</v>
      </c>
      <c r="FFW2" s="13" t="s">
        <v>144</v>
      </c>
      <c r="FFX2" s="13" t="s">
        <v>218</v>
      </c>
      <c r="FFY2" s="13" t="s">
        <v>145</v>
      </c>
      <c r="FFZ2" s="13" t="s">
        <v>356</v>
      </c>
      <c r="FGA2" s="13" t="s">
        <v>359</v>
      </c>
      <c r="FGB2" s="13" t="s">
        <v>150</v>
      </c>
      <c r="FGC2" s="13" t="s">
        <v>151</v>
      </c>
      <c r="FGD2" s="13" t="s">
        <v>147</v>
      </c>
      <c r="FGE2" s="13" t="s">
        <v>148</v>
      </c>
      <c r="FGF2" s="13" t="s">
        <v>149</v>
      </c>
      <c r="FGG2" s="13" t="s">
        <v>144</v>
      </c>
      <c r="FGH2" s="13" t="s">
        <v>218</v>
      </c>
      <c r="FGI2" s="13" t="s">
        <v>145</v>
      </c>
      <c r="FGJ2" s="13" t="s">
        <v>356</v>
      </c>
      <c r="FGK2" s="13" t="s">
        <v>359</v>
      </c>
      <c r="FGL2" s="13" t="s">
        <v>150</v>
      </c>
      <c r="FGM2" s="13" t="s">
        <v>151</v>
      </c>
      <c r="FGN2" s="13" t="s">
        <v>147</v>
      </c>
      <c r="FGO2" s="13" t="s">
        <v>148</v>
      </c>
      <c r="FGP2" s="13" t="s">
        <v>149</v>
      </c>
      <c r="FGQ2" s="13" t="s">
        <v>144</v>
      </c>
      <c r="FGR2" s="13" t="s">
        <v>218</v>
      </c>
      <c r="FGS2" s="13" t="s">
        <v>145</v>
      </c>
      <c r="FGT2" s="13" t="s">
        <v>356</v>
      </c>
      <c r="FGU2" s="13" t="s">
        <v>359</v>
      </c>
      <c r="FGV2" s="13" t="s">
        <v>368</v>
      </c>
      <c r="FGW2" s="13" t="s">
        <v>151</v>
      </c>
      <c r="FGX2" s="13" t="s">
        <v>147</v>
      </c>
      <c r="FGY2" s="13" t="s">
        <v>148</v>
      </c>
      <c r="FGZ2" s="13" t="s">
        <v>149</v>
      </c>
      <c r="FHA2" s="13" t="s">
        <v>144</v>
      </c>
      <c r="FHB2" s="13" t="s">
        <v>218</v>
      </c>
      <c r="FHC2" s="13" t="s">
        <v>145</v>
      </c>
      <c r="FHD2" s="13" t="s">
        <v>356</v>
      </c>
      <c r="FHE2" s="13" t="s">
        <v>359</v>
      </c>
      <c r="FHF2" s="13" t="s">
        <v>511</v>
      </c>
      <c r="FHG2" s="13" t="s">
        <v>151</v>
      </c>
      <c r="FHH2" s="13" t="s">
        <v>147</v>
      </c>
      <c r="FHI2" s="13" t="s">
        <v>148</v>
      </c>
      <c r="FHJ2" s="13" t="s">
        <v>149</v>
      </c>
      <c r="FHK2" s="13" t="s">
        <v>144</v>
      </c>
      <c r="FHL2" s="13" t="s">
        <v>218</v>
      </c>
      <c r="FHM2" s="13" t="s">
        <v>145</v>
      </c>
      <c r="FHN2" s="13" t="s">
        <v>356</v>
      </c>
      <c r="FHO2" s="13" t="s">
        <v>359</v>
      </c>
      <c r="FHP2" s="13" t="s">
        <v>511</v>
      </c>
      <c r="FHQ2" s="13" t="s">
        <v>151</v>
      </c>
      <c r="FHR2" s="13" t="s">
        <v>147</v>
      </c>
      <c r="FHS2" s="13" t="s">
        <v>148</v>
      </c>
      <c r="FHT2" s="13" t="s">
        <v>149</v>
      </c>
      <c r="FHU2" s="13" t="s">
        <v>144</v>
      </c>
      <c r="FHV2" s="13" t="s">
        <v>218</v>
      </c>
      <c r="FHW2" s="13" t="s">
        <v>145</v>
      </c>
      <c r="FHX2" s="13" t="s">
        <v>356</v>
      </c>
      <c r="FHY2" s="13" t="s">
        <v>359</v>
      </c>
      <c r="FHZ2" s="13" t="s">
        <v>511</v>
      </c>
      <c r="FIA2" s="13" t="s">
        <v>151</v>
      </c>
      <c r="FIB2" s="13" t="s">
        <v>147</v>
      </c>
      <c r="FIC2" s="13" t="s">
        <v>148</v>
      </c>
      <c r="FID2" s="13" t="s">
        <v>149</v>
      </c>
      <c r="FIE2" s="13" t="s">
        <v>144</v>
      </c>
      <c r="FIF2" s="13" t="s">
        <v>218</v>
      </c>
      <c r="FIG2" s="13" t="s">
        <v>145</v>
      </c>
      <c r="FIH2" s="13" t="s">
        <v>356</v>
      </c>
      <c r="FII2" s="13" t="s">
        <v>359</v>
      </c>
      <c r="FIJ2" s="13" t="s">
        <v>511</v>
      </c>
      <c r="FIK2" s="13" t="s">
        <v>151</v>
      </c>
      <c r="FIL2" s="13" t="s">
        <v>147</v>
      </c>
      <c r="FIM2" s="13" t="s">
        <v>148</v>
      </c>
      <c r="FIN2" s="13" t="s">
        <v>149</v>
      </c>
      <c r="FIO2" s="13" t="s">
        <v>144</v>
      </c>
      <c r="FIP2" s="13" t="s">
        <v>218</v>
      </c>
      <c r="FIQ2" s="13" t="s">
        <v>145</v>
      </c>
      <c r="FIR2" s="13" t="s">
        <v>356</v>
      </c>
      <c r="FIS2" s="13" t="s">
        <v>359</v>
      </c>
      <c r="FIT2" s="13" t="s">
        <v>511</v>
      </c>
      <c r="FIU2" s="13" t="s">
        <v>151</v>
      </c>
      <c r="FIV2" s="13" t="s">
        <v>147</v>
      </c>
      <c r="FIW2" s="13" t="s">
        <v>148</v>
      </c>
      <c r="FIX2" s="13" t="s">
        <v>149</v>
      </c>
      <c r="FIY2" s="13" t="s">
        <v>144</v>
      </c>
      <c r="FIZ2" s="13" t="s">
        <v>218</v>
      </c>
      <c r="FJA2" s="13" t="s">
        <v>145</v>
      </c>
      <c r="FJB2" s="13" t="s">
        <v>356</v>
      </c>
      <c r="FJC2" s="13" t="s">
        <v>359</v>
      </c>
      <c r="FJD2" s="13" t="s">
        <v>511</v>
      </c>
      <c r="FJE2" s="13" t="s">
        <v>151</v>
      </c>
      <c r="FJF2" s="13" t="s">
        <v>147</v>
      </c>
      <c r="FJG2" s="13" t="s">
        <v>148</v>
      </c>
      <c r="FJH2" s="13" t="s">
        <v>149</v>
      </c>
      <c r="FJI2" s="13" t="s">
        <v>144</v>
      </c>
      <c r="FJJ2" s="13" t="s">
        <v>218</v>
      </c>
      <c r="FJK2" s="13" t="s">
        <v>145</v>
      </c>
      <c r="FJL2" s="13" t="s">
        <v>356</v>
      </c>
      <c r="FJM2" s="13" t="s">
        <v>359</v>
      </c>
      <c r="FJN2" s="13" t="s">
        <v>511</v>
      </c>
      <c r="FJO2" s="13" t="s">
        <v>151</v>
      </c>
      <c r="FJP2" s="13" t="s">
        <v>147</v>
      </c>
      <c r="FJQ2" s="13" t="s">
        <v>148</v>
      </c>
      <c r="FJR2" s="13" t="s">
        <v>149</v>
      </c>
      <c r="FJS2" s="13" t="s">
        <v>144</v>
      </c>
      <c r="FJT2" s="13" t="s">
        <v>218</v>
      </c>
      <c r="FJU2" s="13" t="s">
        <v>145</v>
      </c>
      <c r="FJV2" s="13" t="s">
        <v>356</v>
      </c>
      <c r="FJW2" s="13" t="s">
        <v>359</v>
      </c>
      <c r="FJX2" s="13" t="s">
        <v>212</v>
      </c>
      <c r="FJY2" s="13" t="s">
        <v>511</v>
      </c>
      <c r="FJZ2" s="13" t="s">
        <v>151</v>
      </c>
      <c r="FKA2" s="13" t="s">
        <v>147</v>
      </c>
      <c r="FKB2" s="13" t="s">
        <v>148</v>
      </c>
      <c r="FKC2" s="13" t="s">
        <v>149</v>
      </c>
      <c r="FKD2" s="13" t="s">
        <v>144</v>
      </c>
      <c r="FKE2" s="13" t="s">
        <v>218</v>
      </c>
      <c r="FKF2" s="13" t="s">
        <v>145</v>
      </c>
      <c r="FKG2" s="13" t="s">
        <v>356</v>
      </c>
      <c r="FKH2" s="13" t="s">
        <v>359</v>
      </c>
      <c r="FKI2" s="13" t="s">
        <v>511</v>
      </c>
      <c r="FKJ2" s="13" t="s">
        <v>151</v>
      </c>
      <c r="FKK2" s="13" t="s">
        <v>147</v>
      </c>
      <c r="FKL2" s="13" t="s">
        <v>148</v>
      </c>
      <c r="FKM2" s="13" t="s">
        <v>149</v>
      </c>
      <c r="FKN2" s="13" t="s">
        <v>144</v>
      </c>
      <c r="FKO2" s="13" t="s">
        <v>218</v>
      </c>
      <c r="FKP2" s="13" t="s">
        <v>145</v>
      </c>
      <c r="FKQ2" s="13" t="s">
        <v>356</v>
      </c>
      <c r="FKR2" s="13" t="s">
        <v>359</v>
      </c>
      <c r="FKS2" s="13" t="s">
        <v>511</v>
      </c>
      <c r="FKT2" s="13" t="s">
        <v>151</v>
      </c>
      <c r="FKU2" s="13" t="s">
        <v>147</v>
      </c>
      <c r="FKV2" s="13" t="s">
        <v>148</v>
      </c>
      <c r="FKW2" s="13" t="s">
        <v>149</v>
      </c>
      <c r="FKX2" s="13" t="s">
        <v>144</v>
      </c>
      <c r="FKY2" s="13" t="s">
        <v>218</v>
      </c>
      <c r="FKZ2" s="13" t="s">
        <v>145</v>
      </c>
      <c r="FLA2" s="13" t="s">
        <v>356</v>
      </c>
      <c r="FLB2" s="13" t="s">
        <v>359</v>
      </c>
      <c r="FLC2" s="13" t="s">
        <v>511</v>
      </c>
      <c r="FLD2" s="13" t="s">
        <v>151</v>
      </c>
      <c r="FLE2" s="13" t="s">
        <v>147</v>
      </c>
      <c r="FLF2" s="13" t="s">
        <v>148</v>
      </c>
      <c r="FLG2" s="13" t="s">
        <v>149</v>
      </c>
      <c r="FLH2" s="13" t="s">
        <v>144</v>
      </c>
      <c r="FLI2" s="13" t="s">
        <v>218</v>
      </c>
      <c r="FLJ2" s="13" t="s">
        <v>145</v>
      </c>
      <c r="FLK2" s="13" t="s">
        <v>356</v>
      </c>
      <c r="FLL2" s="13" t="s">
        <v>359</v>
      </c>
      <c r="FLM2" s="13" t="s">
        <v>511</v>
      </c>
      <c r="FLN2" s="13" t="s">
        <v>151</v>
      </c>
      <c r="FLO2" s="13" t="s">
        <v>147</v>
      </c>
      <c r="FLP2" s="13" t="s">
        <v>148</v>
      </c>
      <c r="FLQ2" s="13" t="s">
        <v>149</v>
      </c>
      <c r="FLR2" s="13" t="s">
        <v>144</v>
      </c>
      <c r="FLS2" s="13" t="s">
        <v>218</v>
      </c>
      <c r="FLT2" s="13" t="s">
        <v>145</v>
      </c>
      <c r="FLU2" s="13" t="s">
        <v>356</v>
      </c>
      <c r="FLV2" s="13" t="s">
        <v>359</v>
      </c>
      <c r="FLW2" s="13" t="s">
        <v>212</v>
      </c>
      <c r="FLX2" s="13" t="s">
        <v>511</v>
      </c>
      <c r="FLY2" s="13" t="s">
        <v>151</v>
      </c>
      <c r="FLZ2" s="13" t="s">
        <v>147</v>
      </c>
      <c r="FMA2" s="13" t="s">
        <v>148</v>
      </c>
      <c r="FMB2" s="13" t="s">
        <v>149</v>
      </c>
      <c r="FMC2" s="13" t="s">
        <v>144</v>
      </c>
      <c r="FMD2" s="13" t="s">
        <v>218</v>
      </c>
      <c r="FME2" s="13" t="s">
        <v>145</v>
      </c>
      <c r="FMF2" s="13" t="s">
        <v>356</v>
      </c>
      <c r="FMG2" s="13" t="s">
        <v>359</v>
      </c>
      <c r="FMH2" s="13" t="s">
        <v>511</v>
      </c>
      <c r="FMI2" s="13" t="s">
        <v>151</v>
      </c>
      <c r="FMJ2" s="13" t="s">
        <v>147</v>
      </c>
      <c r="FMK2" s="13" t="s">
        <v>230</v>
      </c>
      <c r="FML2" s="13" t="s">
        <v>148</v>
      </c>
      <c r="FMM2" s="13" t="s">
        <v>149</v>
      </c>
      <c r="FMN2" s="13" t="s">
        <v>144</v>
      </c>
      <c r="FMO2" s="13" t="s">
        <v>218</v>
      </c>
      <c r="FMP2" s="13" t="s">
        <v>145</v>
      </c>
      <c r="FMQ2" s="13" t="s">
        <v>356</v>
      </c>
      <c r="FMR2" s="13" t="s">
        <v>359</v>
      </c>
      <c r="FMS2" s="13" t="s">
        <v>511</v>
      </c>
      <c r="FMT2" s="13" t="s">
        <v>151</v>
      </c>
      <c r="FMU2" s="13" t="s">
        <v>147</v>
      </c>
      <c r="FMV2" s="13" t="s">
        <v>148</v>
      </c>
      <c r="FMW2" s="13" t="s">
        <v>149</v>
      </c>
      <c r="FMX2" s="13" t="s">
        <v>144</v>
      </c>
      <c r="FMY2" s="13" t="s">
        <v>218</v>
      </c>
      <c r="FMZ2" s="13" t="s">
        <v>145</v>
      </c>
      <c r="FNA2" s="13" t="s">
        <v>356</v>
      </c>
      <c r="FNB2" s="13" t="s">
        <v>359</v>
      </c>
      <c r="FNC2" s="13" t="s">
        <v>212</v>
      </c>
      <c r="FND2" s="13" t="s">
        <v>511</v>
      </c>
      <c r="FNE2" s="13" t="s">
        <v>151</v>
      </c>
      <c r="FNF2" s="13" t="s">
        <v>147</v>
      </c>
      <c r="FNG2" s="13" t="s">
        <v>148</v>
      </c>
      <c r="FNH2" s="13" t="s">
        <v>149</v>
      </c>
      <c r="FNI2" s="13" t="s">
        <v>144</v>
      </c>
      <c r="FNJ2" s="13" t="s">
        <v>218</v>
      </c>
      <c r="FNK2" s="13" t="s">
        <v>145</v>
      </c>
      <c r="FNL2" s="13" t="s">
        <v>356</v>
      </c>
      <c r="FNM2" s="13" t="s">
        <v>359</v>
      </c>
      <c r="FNN2" s="13" t="s">
        <v>2473</v>
      </c>
      <c r="FNO2" s="13" t="s">
        <v>511</v>
      </c>
      <c r="FNP2" s="13" t="s">
        <v>151</v>
      </c>
      <c r="FNQ2" s="13" t="s">
        <v>147</v>
      </c>
      <c r="FNR2" s="13" t="s">
        <v>148</v>
      </c>
      <c r="FNS2" s="13" t="s">
        <v>149</v>
      </c>
      <c r="FNT2" s="13" t="s">
        <v>144</v>
      </c>
      <c r="FNU2" s="13" t="s">
        <v>218</v>
      </c>
      <c r="FNV2" s="13" t="s">
        <v>145</v>
      </c>
      <c r="FNW2" s="13" t="s">
        <v>356</v>
      </c>
      <c r="FNX2" s="13" t="s">
        <v>359</v>
      </c>
      <c r="FNY2" s="13" t="s">
        <v>368</v>
      </c>
      <c r="FNZ2" s="13" t="s">
        <v>151</v>
      </c>
      <c r="FOA2" s="13" t="s">
        <v>147</v>
      </c>
      <c r="FOB2" s="13" t="s">
        <v>148</v>
      </c>
      <c r="FOC2" s="13" t="s">
        <v>149</v>
      </c>
      <c r="FOD2" s="13" t="s">
        <v>144</v>
      </c>
      <c r="FOE2" s="13" t="s">
        <v>218</v>
      </c>
      <c r="FOF2" s="13" t="s">
        <v>145</v>
      </c>
      <c r="FOG2" s="13" t="s">
        <v>356</v>
      </c>
      <c r="FOH2" s="13" t="s">
        <v>359</v>
      </c>
      <c r="FOI2" s="13" t="s">
        <v>212</v>
      </c>
      <c r="FOJ2" s="13" t="s">
        <v>511</v>
      </c>
      <c r="FOK2" s="13" t="s">
        <v>151</v>
      </c>
      <c r="FOL2" s="13" t="s">
        <v>147</v>
      </c>
      <c r="FOM2" s="13" t="s">
        <v>148</v>
      </c>
      <c r="FON2" s="13" t="s">
        <v>149</v>
      </c>
      <c r="FOO2" s="13" t="s">
        <v>144</v>
      </c>
      <c r="FOP2" s="13" t="s">
        <v>218</v>
      </c>
      <c r="FOQ2" s="13" t="s">
        <v>145</v>
      </c>
      <c r="FOR2" s="13" t="s">
        <v>356</v>
      </c>
      <c r="FOS2" s="13" t="s">
        <v>359</v>
      </c>
      <c r="FOT2" s="13" t="s">
        <v>212</v>
      </c>
      <c r="FOU2" s="13" t="s">
        <v>511</v>
      </c>
      <c r="FOV2" s="13" t="s">
        <v>151</v>
      </c>
      <c r="FOW2" s="13" t="s">
        <v>147</v>
      </c>
      <c r="FOX2" s="13" t="s">
        <v>148</v>
      </c>
      <c r="FOY2" s="13" t="s">
        <v>149</v>
      </c>
      <c r="FOZ2" s="13" t="s">
        <v>144</v>
      </c>
      <c r="FPA2" s="13" t="s">
        <v>218</v>
      </c>
      <c r="FPB2" s="13" t="s">
        <v>145</v>
      </c>
      <c r="FPC2" s="13" t="s">
        <v>356</v>
      </c>
      <c r="FPD2" s="13" t="s">
        <v>359</v>
      </c>
      <c r="FPE2" s="13" t="s">
        <v>2012</v>
      </c>
      <c r="FPF2" s="13" t="s">
        <v>151</v>
      </c>
      <c r="FPG2" s="13" t="s">
        <v>147</v>
      </c>
      <c r="FPH2" s="13" t="s">
        <v>230</v>
      </c>
      <c r="FPI2" s="13" t="s">
        <v>148</v>
      </c>
      <c r="FPJ2" s="13" t="s">
        <v>149</v>
      </c>
      <c r="FPK2" s="13" t="s">
        <v>144</v>
      </c>
      <c r="FPL2" s="13" t="s">
        <v>218</v>
      </c>
      <c r="FPM2" s="13" t="s">
        <v>145</v>
      </c>
      <c r="FPN2" s="13" t="s">
        <v>356</v>
      </c>
      <c r="FPO2" s="13" t="s">
        <v>359</v>
      </c>
      <c r="FPP2" s="13" t="s">
        <v>511</v>
      </c>
      <c r="FPQ2" s="13" t="s">
        <v>151</v>
      </c>
      <c r="FPR2" s="13" t="s">
        <v>147</v>
      </c>
      <c r="FPS2" s="13" t="s">
        <v>148</v>
      </c>
      <c r="FPT2" s="13" t="s">
        <v>149</v>
      </c>
      <c r="FPU2" s="13" t="s">
        <v>144</v>
      </c>
      <c r="FPV2" s="13" t="s">
        <v>218</v>
      </c>
      <c r="FPW2" s="13" t="s">
        <v>145</v>
      </c>
      <c r="FPX2" s="13" t="s">
        <v>356</v>
      </c>
      <c r="FPY2" s="13" t="s">
        <v>359</v>
      </c>
      <c r="FPZ2" s="13" t="s">
        <v>271</v>
      </c>
      <c r="FQA2" s="13" t="s">
        <v>151</v>
      </c>
      <c r="FQB2" s="13" t="s">
        <v>147</v>
      </c>
      <c r="FQC2" s="13" t="s">
        <v>148</v>
      </c>
      <c r="FQD2" s="13" t="s">
        <v>149</v>
      </c>
      <c r="FQE2" s="13" t="s">
        <v>144</v>
      </c>
      <c r="FQF2" s="13" t="s">
        <v>218</v>
      </c>
      <c r="FQG2" s="13" t="s">
        <v>145</v>
      </c>
      <c r="FQH2" s="13" t="s">
        <v>356</v>
      </c>
      <c r="FQI2" s="13" t="s">
        <v>359</v>
      </c>
      <c r="FQJ2" s="13" t="s">
        <v>271</v>
      </c>
      <c r="FQK2" s="13" t="s">
        <v>151</v>
      </c>
      <c r="FQL2" s="13" t="s">
        <v>147</v>
      </c>
      <c r="FQM2" s="13" t="s">
        <v>148</v>
      </c>
      <c r="FQN2" s="13" t="s">
        <v>149</v>
      </c>
      <c r="FQO2" s="13" t="s">
        <v>144</v>
      </c>
      <c r="FQP2" s="13" t="s">
        <v>218</v>
      </c>
      <c r="FQQ2" s="13" t="s">
        <v>145</v>
      </c>
      <c r="FQR2" s="13" t="s">
        <v>356</v>
      </c>
      <c r="FQS2" s="13" t="s">
        <v>359</v>
      </c>
      <c r="FQT2" s="13" t="s">
        <v>150</v>
      </c>
      <c r="FQU2" s="13" t="s">
        <v>151</v>
      </c>
      <c r="FQV2" s="13" t="s">
        <v>147</v>
      </c>
      <c r="FQW2" s="13" t="s">
        <v>148</v>
      </c>
      <c r="FQX2" s="13" t="s">
        <v>149</v>
      </c>
      <c r="FQY2" s="13" t="s">
        <v>144</v>
      </c>
      <c r="FQZ2" s="13" t="s">
        <v>218</v>
      </c>
      <c r="FRA2" s="13" t="s">
        <v>145</v>
      </c>
      <c r="FRB2" s="13" t="s">
        <v>356</v>
      </c>
      <c r="FRC2" s="13" t="s">
        <v>359</v>
      </c>
      <c r="FRD2" s="13" t="s">
        <v>150</v>
      </c>
      <c r="FRE2" s="13" t="s">
        <v>151</v>
      </c>
      <c r="FRF2" s="13" t="s">
        <v>147</v>
      </c>
      <c r="FRG2" s="13" t="s">
        <v>148</v>
      </c>
      <c r="FRH2" s="13" t="s">
        <v>149</v>
      </c>
      <c r="FRI2" s="13" t="s">
        <v>144</v>
      </c>
      <c r="FRJ2" s="13" t="s">
        <v>218</v>
      </c>
      <c r="FRK2" s="13" t="s">
        <v>145</v>
      </c>
      <c r="FRL2" s="13" t="s">
        <v>356</v>
      </c>
      <c r="FRM2" s="13" t="s">
        <v>359</v>
      </c>
      <c r="FRN2" s="13" t="s">
        <v>150</v>
      </c>
      <c r="FRO2" s="13" t="s">
        <v>151</v>
      </c>
      <c r="FRP2" s="13" t="s">
        <v>147</v>
      </c>
      <c r="FRQ2" s="13" t="s">
        <v>148</v>
      </c>
      <c r="FRR2" s="13" t="s">
        <v>149</v>
      </c>
      <c r="FRS2" s="13" t="s">
        <v>2247</v>
      </c>
      <c r="FRT2" s="13" t="s">
        <v>144</v>
      </c>
      <c r="FRU2" s="13" t="s">
        <v>218</v>
      </c>
      <c r="FRV2" s="13" t="s">
        <v>145</v>
      </c>
      <c r="FRW2" s="13" t="s">
        <v>356</v>
      </c>
      <c r="FRX2" s="13" t="s">
        <v>359</v>
      </c>
      <c r="FRY2" s="13" t="s">
        <v>385</v>
      </c>
      <c r="FRZ2" s="13" t="s">
        <v>151</v>
      </c>
      <c r="FSA2" s="13" t="s">
        <v>147</v>
      </c>
      <c r="FSB2" s="13" t="s">
        <v>148</v>
      </c>
      <c r="FSC2" s="13" t="s">
        <v>149</v>
      </c>
      <c r="FSD2" s="13" t="s">
        <v>144</v>
      </c>
      <c r="FSE2" s="13" t="s">
        <v>218</v>
      </c>
      <c r="FSF2" s="13" t="s">
        <v>145</v>
      </c>
      <c r="FSG2" s="13" t="s">
        <v>356</v>
      </c>
      <c r="FSH2" s="13" t="s">
        <v>359</v>
      </c>
      <c r="FSI2" s="13" t="s">
        <v>343</v>
      </c>
      <c r="FSJ2" s="13" t="s">
        <v>151</v>
      </c>
      <c r="FSK2" s="13" t="s">
        <v>147</v>
      </c>
      <c r="FSL2" s="13" t="s">
        <v>148</v>
      </c>
      <c r="FSM2" s="13" t="s">
        <v>149</v>
      </c>
      <c r="FSN2" s="13" t="s">
        <v>144</v>
      </c>
      <c r="FSO2" s="13" t="s">
        <v>218</v>
      </c>
      <c r="FSP2" s="13" t="s">
        <v>145</v>
      </c>
      <c r="FSQ2" s="13" t="s">
        <v>356</v>
      </c>
      <c r="FSR2" s="13" t="s">
        <v>359</v>
      </c>
      <c r="FSS2" s="13" t="s">
        <v>212</v>
      </c>
      <c r="FST2" s="13" t="s">
        <v>150</v>
      </c>
      <c r="FSU2" s="13" t="s">
        <v>151</v>
      </c>
      <c r="FSV2" s="13" t="s">
        <v>147</v>
      </c>
      <c r="FSW2" s="13" t="s">
        <v>148</v>
      </c>
      <c r="FSX2" s="13" t="s">
        <v>149</v>
      </c>
      <c r="FSY2" s="13" t="s">
        <v>144</v>
      </c>
      <c r="FSZ2" s="13" t="s">
        <v>218</v>
      </c>
      <c r="FTA2" s="13" t="s">
        <v>145</v>
      </c>
      <c r="FTB2" s="13" t="s">
        <v>356</v>
      </c>
      <c r="FTC2" s="13" t="s">
        <v>359</v>
      </c>
      <c r="FTD2" s="13" t="s">
        <v>212</v>
      </c>
      <c r="FTE2" s="13" t="s">
        <v>150</v>
      </c>
      <c r="FTF2" s="13" t="s">
        <v>151</v>
      </c>
      <c r="FTG2" s="13" t="s">
        <v>147</v>
      </c>
      <c r="FTH2" s="13" t="s">
        <v>148</v>
      </c>
      <c r="FTI2" s="13" t="s">
        <v>149</v>
      </c>
      <c r="FTJ2" s="13" t="s">
        <v>144</v>
      </c>
      <c r="FTK2" s="13" t="s">
        <v>218</v>
      </c>
      <c r="FTL2" s="13" t="s">
        <v>145</v>
      </c>
      <c r="FTM2" s="13" t="s">
        <v>356</v>
      </c>
      <c r="FTN2" s="13" t="s">
        <v>359</v>
      </c>
      <c r="FTO2" s="13" t="s">
        <v>150</v>
      </c>
      <c r="FTP2" s="13" t="s">
        <v>151</v>
      </c>
      <c r="FTQ2" s="13" t="s">
        <v>147</v>
      </c>
      <c r="FTR2" s="13" t="s">
        <v>148</v>
      </c>
      <c r="FTS2" s="13" t="s">
        <v>149</v>
      </c>
      <c r="FTT2" s="13" t="s">
        <v>144</v>
      </c>
      <c r="FTU2" s="13" t="s">
        <v>218</v>
      </c>
      <c r="FTV2" s="13" t="s">
        <v>145</v>
      </c>
      <c r="FTW2" s="13" t="s">
        <v>356</v>
      </c>
      <c r="FTX2" s="13" t="s">
        <v>359</v>
      </c>
      <c r="FTY2" s="13" t="s">
        <v>358</v>
      </c>
      <c r="FTZ2" s="13" t="s">
        <v>151</v>
      </c>
      <c r="FUA2" s="13" t="s">
        <v>147</v>
      </c>
      <c r="FUB2" s="13" t="s">
        <v>148</v>
      </c>
      <c r="FUC2" s="13" t="s">
        <v>149</v>
      </c>
      <c r="FUD2" s="13" t="s">
        <v>144</v>
      </c>
      <c r="FUE2" s="13" t="s">
        <v>218</v>
      </c>
      <c r="FUF2" s="13" t="s">
        <v>145</v>
      </c>
      <c r="FUG2" s="13" t="s">
        <v>356</v>
      </c>
      <c r="FUH2" s="13" t="s">
        <v>359</v>
      </c>
      <c r="FUI2" s="13" t="s">
        <v>212</v>
      </c>
      <c r="FUJ2" s="13" t="s">
        <v>212</v>
      </c>
      <c r="FUK2" s="13" t="s">
        <v>212</v>
      </c>
      <c r="FUL2" s="13" t="s">
        <v>212</v>
      </c>
      <c r="FUM2" s="13" t="s">
        <v>212</v>
      </c>
      <c r="FUN2" s="13" t="s">
        <v>540</v>
      </c>
      <c r="FUO2" s="13" t="s">
        <v>212</v>
      </c>
      <c r="FUP2" s="13" t="s">
        <v>212</v>
      </c>
      <c r="FUQ2" s="13" t="s">
        <v>212</v>
      </c>
      <c r="FUR2" s="13" t="s">
        <v>212</v>
      </c>
      <c r="FUS2" s="13" t="s">
        <v>212</v>
      </c>
      <c r="FUT2" s="19" t="s">
        <v>1727</v>
      </c>
      <c r="FUU2" s="19" t="s">
        <v>124</v>
      </c>
      <c r="FUV2" s="19" t="s">
        <v>2257</v>
      </c>
      <c r="FUW2" s="19" t="s">
        <v>762</v>
      </c>
      <c r="FUX2" s="19" t="s">
        <v>821</v>
      </c>
      <c r="FUY2" s="19" t="s">
        <v>2260</v>
      </c>
      <c r="FUZ2" s="19" t="s">
        <v>2032</v>
      </c>
      <c r="FVA2" s="19" t="s">
        <v>202</v>
      </c>
      <c r="FVB2" s="19" t="s">
        <v>820</v>
      </c>
      <c r="FVC2" s="19" t="s">
        <v>1692</v>
      </c>
      <c r="FVD2" s="19" t="s">
        <v>461</v>
      </c>
      <c r="FVE2" s="19" t="s">
        <v>2300</v>
      </c>
      <c r="FVF2" s="19" t="s">
        <v>2304</v>
      </c>
      <c r="FVG2" s="19" t="s">
        <v>837</v>
      </c>
      <c r="FVH2" s="19" t="s">
        <v>2496</v>
      </c>
      <c r="FVI2" s="19" t="s">
        <v>2264</v>
      </c>
      <c r="FVJ2" s="19" t="s">
        <v>674</v>
      </c>
      <c r="FVK2" s="19" t="s">
        <v>458</v>
      </c>
      <c r="FVL2" s="19" t="s">
        <v>1666</v>
      </c>
      <c r="FVM2" s="19" t="s">
        <v>2261</v>
      </c>
      <c r="FVN2" s="19" t="s">
        <v>1669</v>
      </c>
      <c r="FVO2" s="19" t="s">
        <v>460</v>
      </c>
      <c r="FVP2" s="19" t="s">
        <v>1735</v>
      </c>
      <c r="FVQ2" s="19" t="s">
        <v>670</v>
      </c>
      <c r="FVR2" s="19" t="s">
        <v>840</v>
      </c>
      <c r="FVS2" s="19" t="s">
        <v>2305</v>
      </c>
      <c r="FVT2" s="19" t="s">
        <v>2031</v>
      </c>
      <c r="FVU2" s="19" t="s">
        <v>842</v>
      </c>
      <c r="FVV2" s="19" t="s">
        <v>841</v>
      </c>
      <c r="FVW2" s="19" t="s">
        <v>468</v>
      </c>
      <c r="FVX2" s="19" t="s">
        <v>1690</v>
      </c>
      <c r="FVY2" s="19" t="s">
        <v>1695</v>
      </c>
      <c r="FVZ2" s="19" t="s">
        <v>308</v>
      </c>
      <c r="FWA2" s="19" t="s">
        <v>1687</v>
      </c>
      <c r="FWB2" s="19" t="s">
        <v>2049</v>
      </c>
      <c r="FWC2" s="19" t="s">
        <v>699</v>
      </c>
      <c r="FWD2" s="19" t="s">
        <v>676</v>
      </c>
      <c r="FWE2" s="19" t="s">
        <v>719</v>
      </c>
      <c r="FWF2" s="19" t="s">
        <v>2038</v>
      </c>
      <c r="FWG2" s="19" t="s">
        <v>1754</v>
      </c>
      <c r="FWH2" s="19" t="s">
        <v>761</v>
      </c>
      <c r="FWI2" s="19" t="s">
        <v>493</v>
      </c>
      <c r="FWJ2" s="19" t="s">
        <v>459</v>
      </c>
      <c r="FWK2" s="19" t="s">
        <v>695</v>
      </c>
      <c r="FWL2" s="19" t="s">
        <v>749</v>
      </c>
      <c r="FWM2" s="19" t="s">
        <v>1670</v>
      </c>
      <c r="FWN2" s="19" t="s">
        <v>154</v>
      </c>
      <c r="FWO2" s="19" t="s">
        <v>156</v>
      </c>
      <c r="FWP2" s="19" t="s">
        <v>527</v>
      </c>
      <c r="FWQ2" s="19" t="s">
        <v>2259</v>
      </c>
      <c r="FWR2" s="19" t="s">
        <v>2263</v>
      </c>
      <c r="FWS2" s="19" t="s">
        <v>2262</v>
      </c>
      <c r="FWT2" s="19" t="s">
        <v>201</v>
      </c>
      <c r="FWU2" s="19" t="s">
        <v>430</v>
      </c>
      <c r="FWV2" s="19" t="s">
        <v>2303</v>
      </c>
      <c r="FWW2" s="19" t="s">
        <v>140</v>
      </c>
      <c r="FWX2" s="19" t="s">
        <v>52</v>
      </c>
      <c r="FWY2" s="19" t="s">
        <v>2258</v>
      </c>
      <c r="FWZ2" s="19" t="s">
        <v>336</v>
      </c>
      <c r="FXA2" s="19" t="s">
        <v>334</v>
      </c>
      <c r="FXB2" s="19" t="s">
        <v>667</v>
      </c>
      <c r="FXC2" s="19" t="s">
        <v>709</v>
      </c>
      <c r="FXD2" s="19" t="s">
        <v>250</v>
      </c>
      <c r="FXE2" s="19" t="s">
        <v>2278</v>
      </c>
      <c r="FXF2" s="19" t="s">
        <v>2039</v>
      </c>
      <c r="FXG2" s="19" t="s">
        <v>1743</v>
      </c>
      <c r="FXH2" s="19" t="s">
        <v>1693</v>
      </c>
      <c r="FXI2" s="19" t="s">
        <v>711</v>
      </c>
      <c r="FXJ2" s="19" t="s">
        <v>838</v>
      </c>
      <c r="FXK2" s="19" t="s">
        <v>830</v>
      </c>
      <c r="FXL2" s="19" t="s">
        <v>200</v>
      </c>
      <c r="FXM2" s="19" t="s">
        <v>697</v>
      </c>
      <c r="FXN2" s="19" t="s">
        <v>204</v>
      </c>
      <c r="FXO2" s="19" t="s">
        <v>1741</v>
      </c>
      <c r="FXP2" s="19" t="s">
        <v>444</v>
      </c>
      <c r="FXQ2" s="19" t="s">
        <v>392</v>
      </c>
      <c r="FXR2" s="19" t="s">
        <v>2041</v>
      </c>
      <c r="FXS2" s="19" t="s">
        <v>492</v>
      </c>
      <c r="FXT2" s="19" t="s">
        <v>2265</v>
      </c>
      <c r="FXU2" s="19" t="s">
        <v>1667</v>
      </c>
      <c r="FXV2" s="19" t="s">
        <v>839</v>
      </c>
      <c r="FXW2" s="19" t="s">
        <v>469</v>
      </c>
      <c r="FXX2" s="19" t="s">
        <v>2480</v>
      </c>
      <c r="FXY2" s="19" t="s">
        <v>476</v>
      </c>
      <c r="FXZ2" s="19" t="s">
        <v>760</v>
      </c>
      <c r="FYA2" s="19" t="s">
        <v>1698</v>
      </c>
      <c r="FYB2" s="19" t="s">
        <v>2479</v>
      </c>
      <c r="FYC2" s="19" t="s">
        <v>397</v>
      </c>
      <c r="FYD2" s="19" t="s">
        <v>679</v>
      </c>
      <c r="FYE2" s="19" t="s">
        <v>1730</v>
      </c>
      <c r="FYF2" s="19" t="s">
        <v>673</v>
      </c>
      <c r="FYG2" s="19" t="s">
        <v>671</v>
      </c>
      <c r="FYH2" s="19" t="s">
        <v>2047</v>
      </c>
      <c r="FYI2" s="19" t="s">
        <v>2048</v>
      </c>
      <c r="FYJ2" s="19" t="s">
        <v>122</v>
      </c>
      <c r="FYK2" s="19" t="s">
        <v>445</v>
      </c>
      <c r="FYL2" s="19" t="s">
        <v>1737</v>
      </c>
      <c r="FYM2" s="19" t="s">
        <v>449</v>
      </c>
      <c r="FYN2" s="19" t="s">
        <v>669</v>
      </c>
      <c r="FYO2" s="19" t="s">
        <v>672</v>
      </c>
      <c r="FYP2" s="19" t="s">
        <v>1728</v>
      </c>
      <c r="FYQ2" s="19" t="s">
        <v>1664</v>
      </c>
      <c r="FYR2" s="19" t="s">
        <v>2478</v>
      </c>
      <c r="FYS2" s="19" t="s">
        <v>1729</v>
      </c>
      <c r="FYT2" s="19" t="s">
        <v>2050</v>
      </c>
      <c r="FYU2" s="19" t="s">
        <v>1665</v>
      </c>
      <c r="FYV2" s="19" t="s">
        <v>1738</v>
      </c>
      <c r="FYW2" s="19" t="s">
        <v>675</v>
      </c>
      <c r="FYX2" s="19" t="s">
        <v>2061</v>
      </c>
      <c r="FYY2" s="19" t="s">
        <v>1736</v>
      </c>
      <c r="FYZ2" s="19" t="s">
        <v>748</v>
      </c>
      <c r="FZA2" s="19" t="s">
        <v>1697</v>
      </c>
      <c r="FZB2" s="19" t="s">
        <v>2276</v>
      </c>
      <c r="FZC2" s="19" t="s">
        <v>776</v>
      </c>
      <c r="FZD2" s="19" t="s">
        <v>668</v>
      </c>
      <c r="FZE2" s="19" t="s">
        <v>680</v>
      </c>
      <c r="FZF2" s="19" t="s">
        <v>2494</v>
      </c>
      <c r="FZG2" s="19" t="s">
        <v>843</v>
      </c>
      <c r="FZH2" s="19" t="s">
        <v>206</v>
      </c>
      <c r="FZI2" s="19" t="s">
        <v>536</v>
      </c>
      <c r="FZJ2" s="19" t="s">
        <v>125</v>
      </c>
      <c r="FZK2" s="19" t="s">
        <v>123</v>
      </c>
      <c r="FZL2" s="19" t="s">
        <v>717</v>
      </c>
      <c r="FZM2" s="19" t="s">
        <v>833</v>
      </c>
      <c r="FZN2" s="19" t="s">
        <v>778</v>
      </c>
      <c r="FZO2" s="19" t="s">
        <v>2042</v>
      </c>
      <c r="FZP2" s="19" t="s">
        <v>836</v>
      </c>
      <c r="FZQ2" s="19" t="s">
        <v>2057</v>
      </c>
      <c r="FZR2" s="19" t="s">
        <v>1668</v>
      </c>
      <c r="FZS2" s="19" t="s">
        <v>126</v>
      </c>
      <c r="FZT2" s="19" t="s">
        <v>2223</v>
      </c>
      <c r="FZU2" s="19" t="s">
        <v>716</v>
      </c>
      <c r="FZV2" s="19" t="s">
        <v>477</v>
      </c>
      <c r="FZW2" s="19" t="s">
        <v>478</v>
      </c>
      <c r="FZX2" s="19" t="s">
        <v>187</v>
      </c>
      <c r="FZY2" s="19" t="s">
        <v>185</v>
      </c>
      <c r="FZZ2" s="19" t="s">
        <v>184</v>
      </c>
      <c r="GAA2" s="19" t="s">
        <v>186</v>
      </c>
      <c r="GAB2" s="19" t="s">
        <v>189</v>
      </c>
      <c r="GAC2" s="19" t="s">
        <v>183</v>
      </c>
      <c r="GAD2" s="19" t="s">
        <v>174</v>
      </c>
      <c r="GAE2" s="19" t="s">
        <v>2046</v>
      </c>
      <c r="GAF2" s="19" t="s">
        <v>782</v>
      </c>
      <c r="GAG2" s="19" t="s">
        <v>524</v>
      </c>
      <c r="GAH2" s="19" t="s">
        <v>2477</v>
      </c>
      <c r="GAI2" s="19" t="s">
        <v>773</v>
      </c>
      <c r="GAJ2" s="19" t="s">
        <v>764</v>
      </c>
      <c r="GAK2" s="19" t="s">
        <v>2294</v>
      </c>
      <c r="GAL2" s="19" t="s">
        <v>817</v>
      </c>
      <c r="GAM2" s="19" t="s">
        <v>2476</v>
      </c>
      <c r="GAN2" s="19" t="s">
        <v>1732</v>
      </c>
      <c r="GAO2" s="19" t="s">
        <v>2275</v>
      </c>
      <c r="GAP2" s="19" t="s">
        <v>529</v>
      </c>
      <c r="GAQ2" s="19" t="s">
        <v>1757</v>
      </c>
      <c r="GAR2" s="19" t="s">
        <v>819</v>
      </c>
      <c r="GAS2" s="19" t="s">
        <v>2288</v>
      </c>
      <c r="GAT2" s="19" t="s">
        <v>1731</v>
      </c>
      <c r="GAU2" s="19" t="s">
        <v>1749</v>
      </c>
      <c r="GAV2" s="19" t="s">
        <v>535</v>
      </c>
      <c r="GAW2" s="19" t="s">
        <v>2481</v>
      </c>
      <c r="GAX2" s="19" t="s">
        <v>2482</v>
      </c>
      <c r="GAY2" s="19" t="s">
        <v>831</v>
      </c>
      <c r="GAZ2" s="19" t="s">
        <v>678</v>
      </c>
      <c r="GBA2" s="19" t="s">
        <v>844</v>
      </c>
      <c r="GBB2" s="19" t="s">
        <v>2277</v>
      </c>
      <c r="GBC2" s="19" t="s">
        <v>465</v>
      </c>
      <c r="GBD2" s="19" t="s">
        <v>751</v>
      </c>
      <c r="GBE2" s="19" t="s">
        <v>1740</v>
      </c>
      <c r="GBF2" s="19" t="s">
        <v>765</v>
      </c>
      <c r="GBG2" s="19" t="s">
        <v>1761</v>
      </c>
      <c r="GBH2" s="19" t="s">
        <v>774</v>
      </c>
      <c r="GBI2" s="19" t="s">
        <v>818</v>
      </c>
      <c r="GBJ2" s="19" t="s">
        <v>832</v>
      </c>
      <c r="GBK2" s="19" t="s">
        <v>763</v>
      </c>
      <c r="GBL2" s="19" t="s">
        <v>720</v>
      </c>
      <c r="GBM2" s="19" t="s">
        <v>181</v>
      </c>
      <c r="GBN2" s="19" t="s">
        <v>267</v>
      </c>
      <c r="GBO2" s="19" t="s">
        <v>2289</v>
      </c>
      <c r="GBP2" s="19" t="s">
        <v>775</v>
      </c>
      <c r="GBQ2" s="19" t="s">
        <v>677</v>
      </c>
      <c r="GBR2" s="19" t="s">
        <v>834</v>
      </c>
      <c r="GBS2" s="19" t="s">
        <v>835</v>
      </c>
      <c r="GBT2" s="19" t="s">
        <v>2273</v>
      </c>
      <c r="GBU2" s="19" t="s">
        <v>824</v>
      </c>
      <c r="GBV2" s="44" t="s">
        <v>689</v>
      </c>
      <c r="GBW2" s="44" t="s">
        <v>690</v>
      </c>
      <c r="GBX2" s="19" t="s">
        <v>555</v>
      </c>
      <c r="GBY2" s="19" t="s">
        <v>141</v>
      </c>
      <c r="GBZ2" s="19" t="s">
        <v>338</v>
      </c>
      <c r="GCA2" s="19"/>
      <c r="GCB2" s="19"/>
      <c r="GCC2" s="20" t="s">
        <v>139</v>
      </c>
      <c r="GCD2" s="20" t="s">
        <v>129</v>
      </c>
      <c r="GCE2" s="20" t="s">
        <v>191</v>
      </c>
      <c r="GCF2" s="20" t="s">
        <v>698</v>
      </c>
      <c r="GCG2" s="20" t="s">
        <v>701</v>
      </c>
      <c r="GCH2" s="20" t="s">
        <v>188</v>
      </c>
      <c r="GCI2" s="20" t="s">
        <v>194</v>
      </c>
      <c r="GCJ2" s="20" t="s">
        <v>172</v>
      </c>
      <c r="GCK2" s="20" t="s">
        <v>195</v>
      </c>
      <c r="GCL2" s="20" t="s">
        <v>171</v>
      </c>
      <c r="GCM2" s="20" t="s">
        <v>341</v>
      </c>
      <c r="GCN2" s="20" t="s">
        <v>205</v>
      </c>
      <c r="GCO2" s="20" t="s">
        <v>726</v>
      </c>
      <c r="GCP2" s="20" t="s">
        <v>211</v>
      </c>
      <c r="GCQ2" s="31" t="s">
        <v>450</v>
      </c>
      <c r="GCR2" s="20" t="s">
        <v>772</v>
      </c>
      <c r="GCS2" s="31" t="s">
        <v>681</v>
      </c>
      <c r="GCT2" s="31" t="s">
        <v>742</v>
      </c>
      <c r="GCU2" s="31" t="s">
        <v>730</v>
      </c>
      <c r="GCV2" s="20" t="s">
        <v>685</v>
      </c>
      <c r="GCW2" s="20" t="s">
        <v>686</v>
      </c>
      <c r="GCX2" s="20" t="s">
        <v>710</v>
      </c>
      <c r="GCY2" s="20" t="s">
        <v>207</v>
      </c>
      <c r="GCZ2" s="20" t="s">
        <v>687</v>
      </c>
      <c r="GDA2" s="20" t="s">
        <v>718</v>
      </c>
      <c r="GDB2" s="20" t="s">
        <v>688</v>
      </c>
      <c r="GDC2" s="20" t="s">
        <v>2301</v>
      </c>
      <c r="GDD2" s="20" t="s">
        <v>712</v>
      </c>
      <c r="GDE2" s="20" t="s">
        <v>704</v>
      </c>
      <c r="GDF2" s="20" t="s">
        <v>743</v>
      </c>
      <c r="GDG2" s="20" t="s">
        <v>713</v>
      </c>
      <c r="GDH2" s="20" t="s">
        <v>727</v>
      </c>
      <c r="GDI2" s="20" t="s">
        <v>140</v>
      </c>
      <c r="GDJ2" s="20" t="s">
        <v>135</v>
      </c>
      <c r="GDK2" s="31" t="s">
        <v>134</v>
      </c>
      <c r="GDL2" s="31" t="s">
        <v>446</v>
      </c>
      <c r="GDM2" s="20" t="s">
        <v>447</v>
      </c>
      <c r="GDN2" s="20" t="s">
        <v>451</v>
      </c>
      <c r="GDO2" s="20" t="s">
        <v>452</v>
      </c>
      <c r="GDP2" s="20" t="s">
        <v>453</v>
      </c>
      <c r="GDQ2" s="20" t="s">
        <v>784</v>
      </c>
      <c r="GDR2" s="20" t="s">
        <v>448</v>
      </c>
      <c r="GDS2" s="20" t="s">
        <v>140</v>
      </c>
      <c r="GDT2" s="20" t="s">
        <v>244</v>
      </c>
      <c r="GDU2" s="20" t="s">
        <v>134</v>
      </c>
      <c r="GDV2" s="20" t="s">
        <v>448</v>
      </c>
      <c r="GDW2" s="20" t="s">
        <v>332</v>
      </c>
      <c r="GDX2" s="20" t="s">
        <v>700</v>
      </c>
      <c r="GDY2" s="20" t="s">
        <v>138</v>
      </c>
      <c r="GDZ2" s="20" t="s">
        <v>333</v>
      </c>
      <c r="GEA2" s="20" t="s">
        <v>141</v>
      </c>
      <c r="GEB2" s="20"/>
      <c r="GEC2" s="20" t="s">
        <v>140</v>
      </c>
      <c r="GED2" s="20" t="s">
        <v>700</v>
      </c>
      <c r="GEE2" s="20"/>
      <c r="GEF2" s="20"/>
      <c r="GEG2" s="20"/>
      <c r="GEH2" s="20"/>
      <c r="GEI2" s="20"/>
      <c r="GEJ2" s="20"/>
      <c r="GEK2" s="20" t="s">
        <v>198</v>
      </c>
      <c r="GEL2" s="20" t="s">
        <v>141</v>
      </c>
      <c r="GEM2" s="20" t="s">
        <v>338</v>
      </c>
      <c r="GEN2" s="20" t="s">
        <v>265</v>
      </c>
      <c r="GEO2" s="20" t="s">
        <v>451</v>
      </c>
      <c r="GEP2" s="20" t="s">
        <v>331</v>
      </c>
      <c r="GEQ2" s="20" t="s">
        <v>549</v>
      </c>
      <c r="GER2" s="20" t="s">
        <v>525</v>
      </c>
      <c r="GES2" s="20" t="s">
        <v>135</v>
      </c>
      <c r="GET2" s="20" t="s">
        <v>138</v>
      </c>
      <c r="GEU2" s="20" t="s">
        <v>193</v>
      </c>
      <c r="GEV2" s="20" t="s">
        <v>244</v>
      </c>
      <c r="GEW2" s="20" t="s">
        <v>332</v>
      </c>
      <c r="GEX2" s="20" t="s">
        <v>245</v>
      </c>
      <c r="GEY2" s="20" t="s">
        <v>140</v>
      </c>
      <c r="GEZ2" s="20" t="s">
        <v>134</v>
      </c>
      <c r="GFA2" s="20" t="s">
        <v>137</v>
      </c>
      <c r="GFB2" s="20" t="s">
        <v>142</v>
      </c>
      <c r="GFC2" s="20" t="s">
        <v>138</v>
      </c>
      <c r="GFD2" s="20" t="s">
        <v>525</v>
      </c>
      <c r="GFE2" s="20" t="s">
        <v>135</v>
      </c>
      <c r="GFF2" s="20" t="s">
        <v>526</v>
      </c>
      <c r="GFG2" s="20" t="s">
        <v>244</v>
      </c>
      <c r="GFH2" s="20" t="s">
        <v>193</v>
      </c>
      <c r="GFI2" s="20" t="s">
        <v>157</v>
      </c>
      <c r="GFJ2" s="20" t="s">
        <v>203</v>
      </c>
      <c r="GFK2" s="20" t="s">
        <v>338</v>
      </c>
      <c r="GFL2" s="20" t="s">
        <v>140</v>
      </c>
      <c r="GFM2" s="20" t="s">
        <v>244</v>
      </c>
      <c r="GFN2" s="20" t="s">
        <v>724</v>
      </c>
      <c r="GFO2" s="20" t="s">
        <v>725</v>
      </c>
      <c r="GFP2" s="20" t="s">
        <v>140</v>
      </c>
      <c r="GFQ2" s="20" t="s">
        <v>135</v>
      </c>
      <c r="GFR2" s="20" t="s">
        <v>141</v>
      </c>
      <c r="GFS2" s="20" t="s">
        <v>338</v>
      </c>
      <c r="GFT2" s="20" t="s">
        <v>451</v>
      </c>
      <c r="GFU2" s="20" t="s">
        <v>140</v>
      </c>
      <c r="GFV2" s="20" t="s">
        <v>451</v>
      </c>
      <c r="GFW2" s="20"/>
      <c r="GFX2" s="20"/>
      <c r="GFY2" s="20"/>
      <c r="GFZ2" s="20" t="s">
        <v>135</v>
      </c>
      <c r="GGA2" s="20" t="s">
        <v>728</v>
      </c>
      <c r="GGB2" s="20" t="s">
        <v>729</v>
      </c>
      <c r="GGC2" s="20" t="s">
        <v>244</v>
      </c>
      <c r="GGD2" s="20"/>
      <c r="GGE2" s="20" t="s">
        <v>140</v>
      </c>
      <c r="GGF2" s="20"/>
      <c r="GGG2" s="20" t="s">
        <v>140</v>
      </c>
      <c r="GGH2" s="20" t="s">
        <v>138</v>
      </c>
      <c r="GGI2" s="20"/>
      <c r="GGJ2" s="20" t="s">
        <v>140</v>
      </c>
      <c r="GGK2" s="20" t="s">
        <v>244</v>
      </c>
      <c r="GGL2" s="20" t="s">
        <v>135</v>
      </c>
      <c r="GGM2" s="20" t="s">
        <v>134</v>
      </c>
      <c r="GGN2" s="20" t="s">
        <v>331</v>
      </c>
      <c r="GGO2" s="20" t="s">
        <v>455</v>
      </c>
      <c r="GGP2" s="20" t="s">
        <v>140</v>
      </c>
      <c r="GGQ2" s="20" t="s">
        <v>453</v>
      </c>
      <c r="GGR2" s="20" t="s">
        <v>700</v>
      </c>
      <c r="GGS2" s="20" t="s">
        <v>2040</v>
      </c>
      <c r="GGT2" s="20"/>
      <c r="GGU2" s="20" t="s">
        <v>140</v>
      </c>
      <c r="GGV2" s="20" t="s">
        <v>135</v>
      </c>
      <c r="GGW2" s="20" t="s">
        <v>134</v>
      </c>
      <c r="GGX2" s="20" t="s">
        <v>331</v>
      </c>
      <c r="GGY2" s="20" t="s">
        <v>455</v>
      </c>
      <c r="GGZ2" s="20"/>
      <c r="GHA2" s="20" t="s">
        <v>140</v>
      </c>
      <c r="GHB2" s="20" t="s">
        <v>131</v>
      </c>
      <c r="GHC2" s="20" t="s">
        <v>132</v>
      </c>
      <c r="GHD2" s="20" t="s">
        <v>138</v>
      </c>
      <c r="GHE2" s="20" t="s">
        <v>135</v>
      </c>
      <c r="GHF2" s="20" t="s">
        <v>131</v>
      </c>
      <c r="GHG2" s="20" t="s">
        <v>132</v>
      </c>
      <c r="GHH2" s="20"/>
      <c r="GHI2" s="20" t="s">
        <v>140</v>
      </c>
      <c r="GHJ2" s="20" t="s">
        <v>244</v>
      </c>
      <c r="GHK2" s="20" t="s">
        <v>134</v>
      </c>
      <c r="GHL2" s="31" t="s">
        <v>694</v>
      </c>
      <c r="GHM2" s="20" t="s">
        <v>332</v>
      </c>
      <c r="GHN2" s="20" t="s">
        <v>700</v>
      </c>
      <c r="GHO2" s="31" t="s">
        <v>135</v>
      </c>
      <c r="GHP2" s="31" t="s">
        <v>138</v>
      </c>
      <c r="GHQ2" s="31" t="s">
        <v>141</v>
      </c>
      <c r="GHR2" s="31" t="s">
        <v>140</v>
      </c>
      <c r="GHS2" s="31" t="s">
        <v>700</v>
      </c>
      <c r="GHT2" s="31"/>
      <c r="GHU2" s="31"/>
      <c r="GHV2" s="31"/>
      <c r="GHW2" s="31"/>
      <c r="GHX2" s="20" t="s">
        <v>702</v>
      </c>
      <c r="GHY2" s="20" t="s">
        <v>2274</v>
      </c>
      <c r="GHZ2" s="20" t="s">
        <v>135</v>
      </c>
      <c r="GIA2" s="20" t="s">
        <v>193</v>
      </c>
      <c r="GIB2" s="20" t="s">
        <v>441</v>
      </c>
      <c r="GIC2" s="20" t="s">
        <v>442</v>
      </c>
      <c r="GID2" s="20" t="s">
        <v>140</v>
      </c>
      <c r="GIE2" s="20" t="s">
        <v>196</v>
      </c>
      <c r="GIF2" s="20" t="s">
        <v>135</v>
      </c>
      <c r="GIG2" s="20" t="s">
        <v>703</v>
      </c>
      <c r="GIH2" s="20" t="s">
        <v>140</v>
      </c>
      <c r="GII2" s="20" t="s">
        <v>457</v>
      </c>
      <c r="GIJ2" s="20"/>
      <c r="GIK2" s="20" t="s">
        <v>130</v>
      </c>
      <c r="GIL2" s="20" t="s">
        <v>715</v>
      </c>
      <c r="GIM2" s="20"/>
      <c r="GIN2" s="20"/>
      <c r="GIO2" s="20"/>
      <c r="GIP2" s="20" t="s">
        <v>452</v>
      </c>
      <c r="GIQ2" s="20"/>
      <c r="GIR2" s="20"/>
      <c r="GIS2" s="20"/>
      <c r="GIT2" s="20" t="s">
        <v>127</v>
      </c>
      <c r="GIU2" s="20" t="s">
        <v>199</v>
      </c>
      <c r="GIV2" s="20"/>
      <c r="GIW2" s="20"/>
      <c r="GIX2" s="20"/>
      <c r="GIY2" s="20"/>
      <c r="GIZ2" s="20"/>
      <c r="GJA2" s="20"/>
      <c r="GJB2" s="20"/>
      <c r="GJC2" s="20"/>
      <c r="GJD2" s="20"/>
      <c r="GJE2" s="20"/>
      <c r="GJF2" s="20"/>
      <c r="GJG2" s="20"/>
      <c r="GJH2" s="20"/>
      <c r="GJI2" s="20"/>
      <c r="GJJ2" s="20"/>
      <c r="GJK2" s="20"/>
      <c r="GJL2" s="20"/>
      <c r="GJM2" s="20"/>
      <c r="GJN2" s="20"/>
      <c r="GJO2" s="20"/>
      <c r="GJP2" s="20"/>
      <c r="GJQ2" s="20"/>
      <c r="GJR2" s="20"/>
      <c r="GJS2" s="20"/>
      <c r="GJT2" s="20"/>
      <c r="GJU2" s="20"/>
      <c r="GJV2" s="20"/>
      <c r="GJW2" s="20"/>
      <c r="GJX2" s="20"/>
      <c r="GJY2" s="20"/>
      <c r="GJZ2" s="20"/>
      <c r="GKA2" s="20"/>
      <c r="GKB2" s="20"/>
      <c r="GKC2" s="20"/>
      <c r="GKD2" s="20"/>
      <c r="GKE2" s="20"/>
      <c r="GKF2" s="20"/>
      <c r="GKG2" s="20"/>
      <c r="GKH2" s="20"/>
      <c r="GKI2" s="20"/>
      <c r="GKJ2" s="20"/>
      <c r="GKK2" s="20"/>
      <c r="GKL2" s="20"/>
      <c r="GKM2" s="20"/>
      <c r="GKN2" s="20"/>
      <c r="GKO2" s="20"/>
      <c r="GKP2" s="20"/>
      <c r="GKQ2" s="20"/>
      <c r="GKR2" s="34" t="s">
        <v>355</v>
      </c>
      <c r="GKS2" s="34" t="s">
        <v>530</v>
      </c>
      <c r="GKT2" s="34" t="s">
        <v>537</v>
      </c>
      <c r="GKU2" s="34" t="s">
        <v>2296</v>
      </c>
      <c r="GKV2" s="34" t="s">
        <v>720</v>
      </c>
      <c r="GKW2" s="34" t="s">
        <v>531</v>
      </c>
      <c r="GKX2" s="34" t="s">
        <v>532</v>
      </c>
      <c r="GKY2" s="34" t="s">
        <v>782</v>
      </c>
      <c r="GKZ2" s="34" t="s">
        <v>2289</v>
      </c>
      <c r="GLA2" s="34" t="s">
        <v>2293</v>
      </c>
      <c r="GLB2" s="34" t="s">
        <v>181</v>
      </c>
      <c r="GLC2" s="34" t="s">
        <v>533</v>
      </c>
      <c r="GLD2" s="34" t="s">
        <v>534</v>
      </c>
      <c r="GLE2" s="34"/>
      <c r="GLF2" s="34"/>
      <c r="GLG2" s="34"/>
      <c r="GLH2" s="34"/>
      <c r="GLI2" s="34"/>
      <c r="GLJ2" s="34"/>
      <c r="GLK2" s="34"/>
      <c r="GLL2" s="34"/>
      <c r="GLM2" s="33" t="s">
        <v>352</v>
      </c>
      <c r="GLN2" s="33" t="s">
        <v>349</v>
      </c>
      <c r="GLO2" s="33" t="s">
        <v>350</v>
      </c>
      <c r="GLP2" s="33" t="s">
        <v>351</v>
      </c>
      <c r="GLQ2" s="33" t="s">
        <v>347</v>
      </c>
      <c r="GLR2" s="33" t="s">
        <v>258</v>
      </c>
      <c r="GLS2" s="33" t="s">
        <v>259</v>
      </c>
      <c r="GLT2" s="33" t="s">
        <v>260</v>
      </c>
      <c r="GLU2" s="33" t="s">
        <v>666</v>
      </c>
      <c r="GLV2" s="33" t="s">
        <v>261</v>
      </c>
      <c r="GLW2" s="33" t="s">
        <v>348</v>
      </c>
      <c r="GLX2" s="33" t="s">
        <v>262</v>
      </c>
      <c r="GLY2" s="33" t="s">
        <v>746</v>
      </c>
      <c r="GLZ2" s="33" t="s">
        <v>747</v>
      </c>
      <c r="GMA2" s="33" t="s">
        <v>211</v>
      </c>
      <c r="GMB2" s="33" t="s">
        <v>354</v>
      </c>
      <c r="GMC2" s="33" t="s">
        <v>353</v>
      </c>
      <c r="GMD2" s="33" t="s">
        <v>693</v>
      </c>
      <c r="GME2" s="33" t="s">
        <v>745</v>
      </c>
      <c r="GMF2" s="33" t="s">
        <v>2284</v>
      </c>
      <c r="GMG2" s="33"/>
      <c r="GMH2" s="33"/>
      <c r="GMI2" s="33"/>
      <c r="GMJ2" s="33"/>
      <c r="GMK2" s="33"/>
      <c r="GML2" s="33"/>
      <c r="GMM2" s="33"/>
      <c r="GMN2" s="33"/>
      <c r="GMO2" s="33"/>
      <c r="GMQ2" t="s">
        <v>3468</v>
      </c>
      <c r="GMR2" t="s">
        <v>3469</v>
      </c>
    </row>
    <row r="3" spans="1:5088" x14ac:dyDescent="0.25">
      <c r="A3" s="40" t="s">
        <v>561</v>
      </c>
      <c r="LX3" s="50"/>
      <c r="LY3" s="50"/>
      <c r="LZ3" s="50"/>
      <c r="MA3" s="50"/>
      <c r="MB3" s="50"/>
      <c r="MC3" s="50"/>
      <c r="MD3" s="50"/>
    </row>
    <row r="4" spans="1:5088" x14ac:dyDescent="0.25">
      <c r="A4" s="10" t="s">
        <v>2519</v>
      </c>
      <c r="B4" s="7"/>
      <c r="C4" s="7"/>
      <c r="D4" s="7"/>
      <c r="E4" s="7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  <c r="BM4" s="6"/>
      <c r="BN4" s="6"/>
      <c r="BO4" s="6"/>
      <c r="BP4" s="6"/>
      <c r="BQ4" s="6"/>
      <c r="BR4" s="6"/>
      <c r="BS4" s="6"/>
      <c r="BT4" s="6"/>
      <c r="BU4" s="6"/>
      <c r="BV4" s="6"/>
      <c r="BW4" s="6"/>
      <c r="BX4" s="6"/>
      <c r="BY4" s="6"/>
      <c r="BZ4" s="6"/>
      <c r="CA4" s="6"/>
      <c r="CB4" s="6"/>
      <c r="CC4" s="6"/>
      <c r="CD4" s="6"/>
      <c r="CE4" s="6"/>
      <c r="CF4" s="6"/>
      <c r="CG4" s="6"/>
      <c r="CH4" s="6"/>
      <c r="CI4" s="6"/>
      <c r="CJ4" s="6"/>
      <c r="CK4" s="6"/>
      <c r="CL4" s="6"/>
      <c r="CM4" s="6"/>
      <c r="CN4" s="6"/>
      <c r="CO4" s="6"/>
      <c r="CP4" s="6"/>
      <c r="CQ4" s="6"/>
      <c r="CR4" s="6"/>
      <c r="CS4" s="6"/>
      <c r="CT4" s="6"/>
      <c r="CU4" s="6"/>
      <c r="CV4" s="6"/>
      <c r="CW4" s="6"/>
      <c r="CX4" s="6"/>
      <c r="CY4" s="6"/>
      <c r="CZ4" s="6"/>
      <c r="DA4" s="6"/>
      <c r="DB4" s="6"/>
      <c r="DC4" s="6"/>
      <c r="DD4" s="6"/>
      <c r="DE4" s="6"/>
      <c r="DF4" s="6"/>
      <c r="DG4" s="6"/>
      <c r="DH4" s="6"/>
      <c r="DI4" s="6"/>
      <c r="DJ4" s="6"/>
      <c r="DK4" s="6"/>
      <c r="DL4" s="6"/>
      <c r="DM4" s="6"/>
      <c r="DN4" s="6"/>
      <c r="DO4" s="7"/>
      <c r="DP4" s="7"/>
      <c r="DQ4" s="7"/>
      <c r="DR4" s="7"/>
      <c r="DS4" s="7"/>
      <c r="DT4" s="7"/>
      <c r="DU4" s="7"/>
      <c r="DV4" s="7"/>
      <c r="DW4" s="7"/>
      <c r="DX4" s="7"/>
      <c r="DY4" s="7"/>
      <c r="DZ4" s="7"/>
      <c r="EA4" s="7"/>
      <c r="EB4" s="7"/>
      <c r="EC4" s="7"/>
      <c r="ED4" s="7"/>
      <c r="EE4" s="7"/>
      <c r="EF4" s="7"/>
      <c r="EG4" s="7"/>
      <c r="EH4" s="7"/>
      <c r="EI4" s="7"/>
      <c r="EJ4" s="7"/>
      <c r="EK4" s="7"/>
      <c r="EL4" s="7"/>
      <c r="EM4" s="7"/>
      <c r="EN4" s="7"/>
      <c r="EO4" s="7"/>
      <c r="EP4" s="7"/>
      <c r="EQ4" s="7"/>
      <c r="ER4" s="7"/>
      <c r="ES4" s="7"/>
      <c r="ET4" s="7"/>
      <c r="EU4" s="7"/>
      <c r="EV4" s="7"/>
      <c r="EW4" s="7"/>
      <c r="EX4" s="7"/>
      <c r="EY4" s="6"/>
      <c r="EZ4" s="6"/>
      <c r="FA4" s="6"/>
      <c r="FB4" s="6"/>
      <c r="FC4" s="6"/>
      <c r="FD4" s="6"/>
      <c r="FE4" s="6"/>
      <c r="FF4" s="6"/>
      <c r="FG4" s="6"/>
      <c r="FH4" s="6"/>
      <c r="FI4" s="6"/>
      <c r="FJ4" s="6"/>
      <c r="FK4" s="6"/>
      <c r="FL4" s="6"/>
      <c r="FM4" s="6"/>
      <c r="FN4" s="6"/>
      <c r="FO4" s="6"/>
      <c r="FP4" s="6"/>
      <c r="FQ4" s="6"/>
      <c r="FR4" s="6"/>
      <c r="FS4" s="6"/>
      <c r="FT4" s="6"/>
      <c r="FU4" s="6"/>
      <c r="FV4" s="6"/>
      <c r="FW4" s="6"/>
      <c r="FX4" s="6"/>
      <c r="FY4" s="6"/>
      <c r="FZ4" s="6"/>
      <c r="GA4" s="6"/>
      <c r="GB4" s="6"/>
      <c r="GC4" s="6"/>
      <c r="GD4" s="6"/>
      <c r="GE4" s="6"/>
      <c r="GF4" s="6"/>
      <c r="GG4" s="6"/>
      <c r="GH4" s="6"/>
      <c r="GI4" s="6"/>
      <c r="GJ4" s="6"/>
      <c r="GK4" s="6"/>
      <c r="GL4" s="6"/>
      <c r="GM4" s="6"/>
      <c r="GN4" s="6"/>
      <c r="GO4" s="6"/>
      <c r="GP4" s="6"/>
      <c r="GQ4" s="6"/>
      <c r="GR4" s="6"/>
      <c r="GS4" s="6"/>
      <c r="GT4" s="6"/>
      <c r="GU4" s="6"/>
      <c r="GV4" s="6"/>
      <c r="GW4" s="6"/>
      <c r="GX4" s="6"/>
      <c r="GY4" s="6"/>
      <c r="GZ4" s="6"/>
      <c r="HA4" s="7"/>
      <c r="HB4" s="7"/>
      <c r="HC4" s="7"/>
      <c r="HD4" s="6"/>
      <c r="HE4" s="6"/>
      <c r="HF4" s="6"/>
      <c r="HG4" s="6"/>
      <c r="HH4" s="6"/>
      <c r="HI4" s="6"/>
      <c r="HJ4" s="6"/>
      <c r="HK4" s="6"/>
      <c r="HL4" s="6"/>
      <c r="HM4" s="6"/>
      <c r="HN4" s="6"/>
      <c r="HO4" s="6"/>
      <c r="HP4" s="6"/>
      <c r="HQ4" s="6"/>
      <c r="HR4" s="6"/>
      <c r="HS4" s="6"/>
      <c r="HT4" s="6"/>
      <c r="HU4" s="6"/>
      <c r="HV4" s="6"/>
      <c r="HW4" s="6"/>
      <c r="HX4" s="6"/>
      <c r="HY4" s="6"/>
      <c r="HZ4" s="6"/>
      <c r="IA4" s="6"/>
      <c r="IB4" s="6"/>
      <c r="IC4" s="6"/>
      <c r="ID4" s="6"/>
      <c r="IE4" s="6"/>
      <c r="IF4" s="6"/>
      <c r="IG4" s="6"/>
      <c r="IH4" s="7"/>
      <c r="II4" s="7"/>
      <c r="IJ4" s="7"/>
      <c r="IK4" s="6"/>
      <c r="IL4" s="6"/>
      <c r="IM4" s="6"/>
      <c r="IN4" s="6"/>
      <c r="IO4" s="6"/>
      <c r="IP4" s="6"/>
      <c r="IQ4" s="6"/>
      <c r="IR4" s="6"/>
      <c r="IS4" s="6"/>
      <c r="IT4" s="6"/>
      <c r="IU4" s="6"/>
      <c r="IV4" s="6"/>
      <c r="IW4" s="6"/>
      <c r="IX4" s="6"/>
      <c r="IY4" s="6"/>
      <c r="IZ4" s="6"/>
      <c r="JA4" s="6"/>
      <c r="JB4" s="6"/>
      <c r="JC4" s="6"/>
      <c r="JD4" s="6"/>
      <c r="JE4" s="6"/>
      <c r="JF4" s="6"/>
      <c r="JG4" s="6"/>
      <c r="JH4" s="6"/>
      <c r="JI4" s="6"/>
      <c r="JJ4" s="6"/>
      <c r="JK4" s="6"/>
      <c r="JL4" s="6"/>
      <c r="JM4" s="6"/>
      <c r="JN4" s="6"/>
      <c r="JO4" s="6"/>
      <c r="JP4" s="6"/>
      <c r="JQ4" s="6"/>
      <c r="JR4" s="7"/>
      <c r="JS4" s="7"/>
      <c r="JT4" s="6"/>
      <c r="JU4" s="6"/>
      <c r="JV4" s="6"/>
      <c r="JW4" s="6"/>
      <c r="JX4" s="6"/>
      <c r="JY4" s="6"/>
      <c r="JZ4" s="6"/>
      <c r="KA4" s="6"/>
      <c r="KB4" s="6"/>
      <c r="KC4" s="6"/>
      <c r="KD4" s="6"/>
      <c r="KE4" s="6"/>
      <c r="KF4" s="6"/>
      <c r="KG4" s="6"/>
      <c r="KH4" s="6"/>
      <c r="KI4" s="6"/>
      <c r="KJ4" s="6"/>
      <c r="KK4" s="6"/>
      <c r="KL4" s="6"/>
      <c r="KM4" s="6"/>
      <c r="KN4" s="6"/>
      <c r="KO4" s="6"/>
      <c r="KP4" s="6"/>
      <c r="KQ4" s="6"/>
      <c r="KR4" s="6"/>
      <c r="KS4" s="6"/>
      <c r="KT4" s="6"/>
      <c r="KU4" s="6"/>
      <c r="KV4" s="6"/>
      <c r="KW4" s="6"/>
      <c r="KX4" s="6"/>
      <c r="KY4" s="6"/>
      <c r="KZ4" s="6"/>
      <c r="LA4" s="6"/>
      <c r="LB4" s="6"/>
      <c r="LC4" s="6"/>
      <c r="LD4" s="6"/>
      <c r="LE4" s="6"/>
      <c r="LF4" s="6"/>
      <c r="LG4" s="6"/>
      <c r="LH4" s="6"/>
      <c r="LI4" s="6"/>
      <c r="LJ4" s="6"/>
      <c r="LK4" s="6"/>
      <c r="LL4" s="6"/>
      <c r="LM4" s="6"/>
      <c r="LN4" s="6"/>
      <c r="LO4" s="6"/>
      <c r="LP4" s="6"/>
      <c r="LQ4" s="6"/>
      <c r="LR4" s="6"/>
      <c r="LS4" s="6"/>
      <c r="LT4" s="6"/>
      <c r="LU4" s="6"/>
      <c r="LV4" s="6"/>
      <c r="LW4" s="6"/>
      <c r="LX4" s="51"/>
      <c r="LY4" s="51"/>
      <c r="LZ4" s="51"/>
      <c r="MA4" s="51"/>
      <c r="MB4" s="51"/>
      <c r="MC4" s="51"/>
      <c r="MD4" s="51"/>
      <c r="ME4" s="6"/>
      <c r="MF4" s="6"/>
      <c r="MG4" s="6"/>
      <c r="MH4" s="6"/>
      <c r="MI4" s="6"/>
      <c r="MJ4" s="6"/>
      <c r="MK4" s="6"/>
      <c r="ML4" s="6"/>
      <c r="MM4" s="6"/>
      <c r="MN4" s="6"/>
      <c r="MO4" s="6"/>
      <c r="MP4" s="6"/>
      <c r="MQ4" s="6"/>
      <c r="MR4" s="6"/>
      <c r="MS4" s="6"/>
      <c r="MT4" s="6"/>
      <c r="MU4" s="6"/>
      <c r="MV4" s="6"/>
      <c r="MW4" s="6"/>
      <c r="MX4" s="6"/>
      <c r="MY4" s="6"/>
      <c r="MZ4" s="6"/>
      <c r="NA4" s="6"/>
      <c r="NB4" s="6"/>
      <c r="NC4" s="6"/>
      <c r="ND4" s="6"/>
      <c r="NE4" s="6"/>
      <c r="NF4" s="6"/>
      <c r="NG4" s="6"/>
      <c r="NH4" s="6"/>
      <c r="NI4" s="6"/>
      <c r="NJ4" s="6"/>
      <c r="NK4" s="6"/>
      <c r="NL4" s="6"/>
      <c r="NM4" s="6"/>
      <c r="NN4" s="6"/>
      <c r="NO4" s="6"/>
      <c r="NP4" s="6"/>
      <c r="NQ4" s="6"/>
      <c r="NR4" s="6"/>
      <c r="NS4" s="6"/>
      <c r="NT4" s="6"/>
      <c r="NU4" s="6"/>
      <c r="NV4" s="6"/>
      <c r="NW4" s="6"/>
      <c r="NX4" s="6"/>
      <c r="NY4" s="6"/>
      <c r="NZ4" s="6"/>
      <c r="OA4" s="6"/>
      <c r="OB4" s="6"/>
      <c r="OC4" s="6"/>
      <c r="OD4" s="6"/>
      <c r="OE4" s="6"/>
      <c r="OF4" s="6"/>
      <c r="OG4" s="6"/>
      <c r="OH4" s="6"/>
      <c r="OI4" s="6"/>
      <c r="OJ4" s="6"/>
      <c r="OK4" s="6"/>
      <c r="OL4" s="6"/>
      <c r="OM4" s="6"/>
      <c r="ON4" s="6"/>
      <c r="OO4" s="6"/>
      <c r="OP4" s="6"/>
      <c r="OQ4" s="6"/>
      <c r="OR4" s="6"/>
      <c r="OS4" s="6"/>
      <c r="OT4" s="6"/>
      <c r="OU4" s="6"/>
      <c r="OV4" s="6"/>
      <c r="OW4" s="6"/>
      <c r="OX4" s="6"/>
      <c r="OY4" s="6"/>
      <c r="OZ4" s="6"/>
      <c r="QQ4" s="8"/>
      <c r="QR4" s="8"/>
      <c r="QS4" s="8"/>
      <c r="QT4" s="8"/>
      <c r="QU4" s="8"/>
      <c r="QV4" s="8"/>
      <c r="QW4" s="8"/>
      <c r="QX4" s="8"/>
      <c r="QY4" s="6"/>
      <c r="QZ4" s="6"/>
      <c r="RA4" s="6"/>
      <c r="RB4" s="6"/>
      <c r="RC4" s="6"/>
      <c r="RD4" s="6"/>
      <c r="RE4" s="6"/>
      <c r="RF4" s="6"/>
      <c r="RG4" s="6"/>
      <c r="RH4" s="6"/>
      <c r="RI4" s="6"/>
      <c r="RJ4" s="6"/>
      <c r="RK4" s="6"/>
      <c r="RL4" s="6"/>
      <c r="RM4" s="6"/>
      <c r="RN4" s="6"/>
      <c r="RO4" s="6"/>
      <c r="RP4" s="6"/>
      <c r="RQ4" s="6"/>
      <c r="RR4" s="6"/>
      <c r="RS4" s="6"/>
      <c r="RT4" s="6"/>
      <c r="RU4" s="6"/>
      <c r="RV4" s="6"/>
      <c r="RW4" s="6"/>
      <c r="RX4" s="6"/>
      <c r="RY4" s="6"/>
      <c r="RZ4" s="6"/>
      <c r="SA4" s="6"/>
      <c r="SB4" s="6"/>
      <c r="SC4" s="6"/>
      <c r="SD4" s="6"/>
      <c r="SE4" s="6"/>
      <c r="SF4" s="6"/>
      <c r="SG4" s="6"/>
      <c r="SH4" s="6"/>
      <c r="SI4" s="6"/>
      <c r="SJ4" s="6"/>
      <c r="SK4" s="6"/>
      <c r="SL4" s="6"/>
      <c r="SM4" s="7"/>
      <c r="SN4" s="7"/>
      <c r="SO4" s="7"/>
      <c r="SP4" s="7"/>
      <c r="SQ4" s="7"/>
      <c r="SR4" s="6"/>
      <c r="SS4" s="6"/>
      <c r="ST4" s="6"/>
      <c r="SU4" s="6"/>
      <c r="SV4" s="6"/>
      <c r="SW4" s="6"/>
      <c r="SX4" s="6"/>
      <c r="SY4" s="6"/>
      <c r="SZ4" s="6"/>
      <c r="TA4" s="6"/>
      <c r="TB4" s="6"/>
      <c r="TC4" s="6"/>
      <c r="TD4" s="6"/>
      <c r="TE4" s="6"/>
      <c r="TF4" s="6"/>
      <c r="TG4" s="6"/>
      <c r="TH4" s="6"/>
      <c r="TI4" s="6"/>
      <c r="TJ4" s="6"/>
      <c r="TK4" s="6"/>
      <c r="TL4" s="6"/>
      <c r="TM4" s="6"/>
      <c r="TN4" s="6"/>
      <c r="TO4" s="6"/>
      <c r="TP4" s="6"/>
      <c r="TQ4" s="6"/>
      <c r="TR4" s="6"/>
      <c r="TS4" s="6"/>
      <c r="TT4" s="6"/>
      <c r="TU4" s="6"/>
      <c r="TV4" s="6"/>
      <c r="TW4" s="6"/>
      <c r="TX4" s="6"/>
      <c r="TY4" s="6"/>
      <c r="TZ4" s="6"/>
      <c r="UA4" s="6"/>
      <c r="UB4" s="6"/>
      <c r="UC4" s="6"/>
      <c r="UD4" s="6"/>
      <c r="UE4" s="6"/>
      <c r="UF4" s="6"/>
      <c r="UG4" s="6"/>
      <c r="UH4" s="6"/>
      <c r="UI4" s="6"/>
      <c r="UJ4" s="6"/>
      <c r="UK4" s="6"/>
      <c r="UL4" s="6"/>
      <c r="UM4" s="6"/>
      <c r="UN4" s="6"/>
      <c r="UO4" s="6"/>
      <c r="UP4" s="6"/>
      <c r="UQ4" s="6"/>
      <c r="UR4" s="6"/>
      <c r="US4" s="6"/>
      <c r="UT4" s="6"/>
      <c r="UU4" s="6"/>
      <c r="UV4" s="6"/>
      <c r="UW4" s="6"/>
      <c r="UX4" s="6"/>
      <c r="UY4" s="6"/>
      <c r="UZ4" s="6"/>
      <c r="VA4" s="6"/>
      <c r="VB4" s="6"/>
      <c r="VC4" s="6"/>
      <c r="VD4" s="6"/>
      <c r="VE4" s="6"/>
      <c r="VF4" s="6"/>
      <c r="VG4" s="6"/>
      <c r="VH4" s="6"/>
      <c r="VI4" s="6"/>
      <c r="VJ4" s="6"/>
      <c r="VK4" s="6"/>
      <c r="VL4" s="6"/>
      <c r="VM4" s="6"/>
      <c r="VN4" s="6"/>
      <c r="VO4" s="6"/>
      <c r="VP4" s="6"/>
      <c r="VQ4" s="6"/>
      <c r="VR4" s="6"/>
      <c r="VS4" s="6"/>
      <c r="VT4" s="6"/>
      <c r="VU4" s="6"/>
      <c r="VV4" s="6"/>
      <c r="VW4" s="6"/>
      <c r="VX4" s="6"/>
      <c r="VY4" s="6"/>
      <c r="VZ4" s="6"/>
      <c r="WA4" s="6"/>
      <c r="WB4" s="6"/>
      <c r="WC4" s="6"/>
      <c r="WD4" s="6"/>
      <c r="WE4" s="6"/>
      <c r="WF4" s="6"/>
      <c r="WG4" s="6"/>
      <c r="WH4" s="6"/>
      <c r="WI4" s="6"/>
      <c r="WJ4" s="6"/>
      <c r="WK4" s="6"/>
      <c r="WL4" s="6"/>
      <c r="WM4" s="6"/>
      <c r="WN4" s="6"/>
      <c r="WO4" s="6"/>
      <c r="WP4" s="6"/>
      <c r="WQ4" s="6"/>
      <c r="WR4" s="6"/>
      <c r="WS4" s="6"/>
      <c r="WT4" s="6"/>
      <c r="WU4" s="6"/>
      <c r="WV4" s="6"/>
      <c r="WW4" s="6"/>
      <c r="WX4" s="6"/>
      <c r="WY4" s="6"/>
      <c r="WZ4" s="6"/>
      <c r="XA4" s="6"/>
      <c r="XB4" s="6"/>
      <c r="XC4" s="6"/>
      <c r="XD4" s="6"/>
      <c r="XE4" s="6"/>
      <c r="XF4" s="6"/>
      <c r="XG4" s="6"/>
      <c r="XH4" s="6"/>
      <c r="XI4" s="6"/>
      <c r="XJ4" s="6"/>
      <c r="XK4" s="6"/>
      <c r="XL4" s="6"/>
      <c r="XM4" s="6"/>
      <c r="XN4" s="6"/>
      <c r="XO4" s="6"/>
      <c r="XP4" s="6"/>
      <c r="XQ4" s="6"/>
      <c r="XR4" s="6"/>
      <c r="XS4" s="6"/>
      <c r="XT4" s="6"/>
      <c r="XU4" s="6"/>
      <c r="XV4" s="6"/>
      <c r="XW4" s="6"/>
      <c r="XX4" s="6"/>
      <c r="XY4" s="6"/>
      <c r="XZ4" s="6"/>
      <c r="YA4" s="6"/>
      <c r="YB4" s="6"/>
      <c r="YC4" s="6"/>
      <c r="YD4" s="6"/>
      <c r="YE4" s="6"/>
      <c r="YF4" s="6"/>
      <c r="YG4" s="6"/>
      <c r="YH4" s="6"/>
      <c r="YI4" s="6"/>
      <c r="YJ4" s="6"/>
      <c r="YK4" s="6"/>
      <c r="YL4" s="6"/>
      <c r="YM4" s="6"/>
      <c r="YN4" s="6"/>
      <c r="YO4" s="6"/>
      <c r="YP4" s="6"/>
      <c r="YQ4" s="6"/>
      <c r="YR4" s="6"/>
      <c r="YS4" s="6"/>
      <c r="YT4" s="6"/>
      <c r="YU4" s="6"/>
      <c r="YV4" s="6"/>
      <c r="YW4" s="6"/>
      <c r="YX4" s="6"/>
      <c r="YY4" s="6"/>
      <c r="YZ4" s="6"/>
      <c r="ZA4" s="6"/>
      <c r="ZB4" s="6"/>
      <c r="ZC4" s="6"/>
      <c r="ZD4" s="6"/>
      <c r="ZE4" s="6"/>
      <c r="ZF4" s="6"/>
      <c r="ZG4" s="6"/>
      <c r="ZH4" s="6"/>
      <c r="ZI4" s="6"/>
      <c r="ZJ4" s="6"/>
      <c r="ZK4" s="6"/>
      <c r="ZL4" s="6"/>
      <c r="ZM4" s="6"/>
      <c r="ZN4" s="6"/>
      <c r="ZO4" s="6"/>
      <c r="ZP4" s="6"/>
      <c r="ZQ4" s="6"/>
      <c r="ZR4" s="6"/>
      <c r="ZS4" s="6"/>
      <c r="ZT4" s="6"/>
      <c r="ZU4" s="6"/>
      <c r="ZV4" s="6"/>
      <c r="ZW4" s="6"/>
      <c r="ZX4" s="6"/>
      <c r="ZY4" s="6"/>
      <c r="ZZ4" s="6"/>
      <c r="AAA4" s="6"/>
      <c r="AAB4" s="6"/>
      <c r="AAC4" s="6"/>
      <c r="AAD4" s="6"/>
      <c r="AAE4" s="6"/>
      <c r="AAF4" s="6"/>
      <c r="AAG4" s="6"/>
      <c r="AAH4" s="6"/>
      <c r="AAI4" s="6"/>
      <c r="AAJ4" s="6"/>
      <c r="AAK4" s="6"/>
      <c r="AAL4" s="6"/>
      <c r="AAM4" s="6"/>
      <c r="AAN4" s="6"/>
      <c r="AAO4" s="6"/>
      <c r="AAP4" s="6"/>
      <c r="AAQ4" s="6"/>
      <c r="AAR4" s="6"/>
      <c r="AAS4" s="6"/>
      <c r="AAT4" s="6"/>
      <c r="AAU4" s="6"/>
      <c r="AAV4" s="6"/>
      <c r="AAW4" s="6"/>
      <c r="AAX4" s="6"/>
      <c r="AAY4" s="6"/>
      <c r="AAZ4" s="6"/>
      <c r="ABA4" s="6"/>
      <c r="ABB4" s="6"/>
      <c r="ABC4" s="6"/>
      <c r="ABD4" s="6"/>
      <c r="ABE4" s="6"/>
      <c r="ABF4" s="6"/>
      <c r="ABG4" s="6"/>
      <c r="ABH4" s="6"/>
      <c r="ABI4" s="6"/>
      <c r="ABJ4" s="6"/>
      <c r="ABK4" s="6"/>
      <c r="ABL4" s="6"/>
      <c r="ABM4" s="6"/>
      <c r="ABN4" s="6"/>
      <c r="ABO4" s="6"/>
      <c r="ABP4" s="6"/>
      <c r="ABQ4" s="6"/>
      <c r="ABR4" s="6"/>
      <c r="ABS4" s="6"/>
      <c r="ABT4" s="6"/>
      <c r="ABU4" s="6"/>
      <c r="ABV4" s="6"/>
      <c r="ABW4" s="6"/>
      <c r="ABX4" s="6"/>
      <c r="ABY4" s="6"/>
      <c r="ABZ4" s="6"/>
      <c r="ACA4" s="6"/>
      <c r="ACB4" s="6"/>
      <c r="ACC4" s="6"/>
      <c r="ACD4" s="6"/>
      <c r="ACE4" s="6"/>
      <c r="ACF4" s="6"/>
      <c r="ACG4" s="6"/>
      <c r="ACH4" s="6"/>
      <c r="ACI4" s="6"/>
      <c r="ACJ4" s="6"/>
      <c r="ACK4" s="6"/>
      <c r="ACL4" s="6"/>
      <c r="ACM4" s="6"/>
      <c r="ACN4" s="6"/>
      <c r="ACO4" s="6"/>
      <c r="ACP4" s="6"/>
      <c r="ACQ4" s="6"/>
      <c r="ACR4" s="6"/>
      <c r="ACS4" s="6"/>
      <c r="ACT4" s="6"/>
      <c r="ACU4" s="6"/>
      <c r="ACV4" s="6"/>
      <c r="ACW4" s="6"/>
      <c r="ACX4" s="6"/>
      <c r="ACY4" s="6"/>
      <c r="ACZ4" s="6"/>
      <c r="ADA4" s="6"/>
      <c r="ADB4" s="6"/>
      <c r="ADC4" s="6"/>
      <c r="ADD4" s="6"/>
      <c r="ADE4" s="6"/>
      <c r="ADF4" s="6"/>
      <c r="ADG4" s="6"/>
      <c r="ADH4" s="6"/>
      <c r="ADI4" s="6"/>
      <c r="ADJ4" s="6"/>
      <c r="ADK4" s="6"/>
      <c r="ADL4" s="6"/>
      <c r="ADM4" s="6"/>
      <c r="ADN4" s="6"/>
      <c r="FCN4">
        <v>1</v>
      </c>
      <c r="FCS4">
        <v>29</v>
      </c>
      <c r="FCT4">
        <v>999</v>
      </c>
      <c r="FCU4">
        <v>0</v>
      </c>
      <c r="FCV4">
        <v>999</v>
      </c>
      <c r="FCW4">
        <v>6</v>
      </c>
      <c r="FYF4">
        <v>1</v>
      </c>
      <c r="FYJ4">
        <v>1</v>
      </c>
    </row>
    <row r="5" spans="1:5088" x14ac:dyDescent="0.25">
      <c r="A5" s="50">
        <v>7072184</v>
      </c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6"/>
      <c r="BL5" s="6"/>
      <c r="BM5" s="6"/>
      <c r="BN5" s="6"/>
      <c r="BO5" s="6"/>
      <c r="BP5" s="6"/>
      <c r="BQ5" s="6"/>
      <c r="BR5" s="6"/>
      <c r="BS5" s="6"/>
      <c r="BT5" s="6"/>
      <c r="BU5" s="6"/>
      <c r="BV5" s="6"/>
      <c r="BW5" s="6"/>
      <c r="BX5" s="6"/>
      <c r="BY5" s="6"/>
      <c r="BZ5" s="6"/>
      <c r="CA5" s="6"/>
      <c r="CB5" s="6"/>
      <c r="CC5" s="6"/>
      <c r="CD5" s="6"/>
      <c r="CE5" s="6"/>
      <c r="CF5" s="6"/>
      <c r="CG5" s="6"/>
      <c r="CH5" s="6"/>
      <c r="CI5" s="6"/>
      <c r="CJ5" s="6"/>
      <c r="CK5" s="6"/>
      <c r="CL5" s="6"/>
      <c r="CM5" s="6"/>
      <c r="CN5" s="6"/>
      <c r="CO5" s="6"/>
      <c r="CP5" s="6"/>
      <c r="CQ5" s="6"/>
      <c r="CR5" s="6"/>
      <c r="CS5" s="6"/>
      <c r="CT5" s="6"/>
      <c r="CU5" s="6"/>
      <c r="CV5" s="6"/>
      <c r="CW5" s="6"/>
      <c r="CX5" s="6"/>
      <c r="CY5" s="6"/>
      <c r="CZ5" s="6"/>
      <c r="DA5" s="6"/>
      <c r="DB5" s="6"/>
      <c r="DC5" s="6"/>
      <c r="DD5" s="6"/>
      <c r="DE5" s="6"/>
      <c r="DF5" s="6"/>
      <c r="DG5" s="6"/>
      <c r="DH5" s="6"/>
      <c r="DI5" s="6"/>
      <c r="DJ5" s="6"/>
      <c r="DK5" s="6"/>
      <c r="DL5" s="6"/>
      <c r="DM5" s="6"/>
      <c r="DN5" s="6"/>
      <c r="DO5">
        <v>3.3</v>
      </c>
      <c r="EY5" s="6"/>
      <c r="EZ5" s="6"/>
      <c r="FA5" s="6"/>
      <c r="FB5" s="6"/>
      <c r="FC5" s="6"/>
      <c r="FD5" s="6"/>
      <c r="FE5" s="6"/>
      <c r="FF5" s="6"/>
      <c r="FG5" s="6"/>
      <c r="FH5" s="6"/>
      <c r="FI5" s="6"/>
      <c r="FJ5" s="6"/>
      <c r="FK5" s="6"/>
      <c r="FL5" s="6"/>
      <c r="FM5" s="6"/>
      <c r="FN5" s="6"/>
      <c r="FO5" s="6"/>
      <c r="FP5" s="6"/>
      <c r="FQ5" s="6"/>
      <c r="FR5" s="6"/>
      <c r="FS5" s="6"/>
      <c r="FT5" s="6"/>
      <c r="FU5" s="6"/>
      <c r="FV5" s="6"/>
      <c r="FW5" s="6"/>
      <c r="FX5" s="6"/>
      <c r="FY5" s="6"/>
      <c r="FZ5" s="6"/>
      <c r="GA5" s="6"/>
      <c r="GB5" s="6"/>
      <c r="GC5" s="6"/>
      <c r="GD5" s="6"/>
      <c r="GE5" s="6"/>
      <c r="GF5" s="6"/>
      <c r="GG5" s="6"/>
      <c r="GH5" s="6"/>
      <c r="GI5" s="6"/>
      <c r="GJ5" s="6"/>
      <c r="GK5" s="6"/>
      <c r="GL5" s="6"/>
      <c r="GM5" s="6"/>
      <c r="GN5" s="6"/>
      <c r="GO5" s="6"/>
      <c r="GP5" s="6"/>
      <c r="GQ5" s="6"/>
      <c r="GR5" s="6"/>
      <c r="GS5" s="6"/>
      <c r="GT5" s="6"/>
      <c r="GU5" s="6"/>
      <c r="GV5" s="6"/>
      <c r="GW5" s="6"/>
      <c r="GX5" s="6"/>
      <c r="GY5" s="6"/>
      <c r="GZ5" s="6"/>
      <c r="HA5" s="7"/>
      <c r="HB5" s="7"/>
      <c r="HC5" s="7"/>
      <c r="HD5" s="6"/>
      <c r="HE5" s="6"/>
      <c r="HF5" s="6"/>
      <c r="HG5" s="6"/>
      <c r="HH5" s="6"/>
      <c r="HI5" s="6"/>
      <c r="HJ5" s="6"/>
      <c r="HK5" s="6"/>
      <c r="HL5" s="6"/>
      <c r="HM5" s="6"/>
      <c r="HN5" s="6"/>
      <c r="HO5" s="6"/>
      <c r="HP5" s="6"/>
      <c r="HQ5" s="6"/>
      <c r="HR5" s="6"/>
      <c r="HS5" s="6"/>
      <c r="HT5" s="6"/>
      <c r="HU5" s="6"/>
      <c r="HV5" s="6"/>
      <c r="HW5" s="6"/>
      <c r="HX5" s="6"/>
      <c r="HY5" s="6"/>
      <c r="HZ5" s="6"/>
      <c r="IA5" s="6"/>
      <c r="IB5" s="6"/>
      <c r="IC5" s="6"/>
      <c r="ID5" s="6"/>
      <c r="IE5" s="6"/>
      <c r="IF5" s="6"/>
      <c r="IG5" s="6"/>
      <c r="IH5">
        <v>2.4</v>
      </c>
      <c r="IK5" s="6"/>
      <c r="IL5" s="6"/>
      <c r="IM5" s="6"/>
      <c r="IN5" s="6"/>
      <c r="IO5" s="6"/>
      <c r="IP5" s="6"/>
      <c r="IQ5" s="6"/>
      <c r="IR5" s="6"/>
      <c r="IS5" s="6"/>
      <c r="IT5" s="6"/>
      <c r="IU5" s="6"/>
      <c r="IV5" s="6"/>
      <c r="IW5" s="6"/>
      <c r="IX5" s="6"/>
      <c r="IY5" s="6"/>
      <c r="IZ5" s="6"/>
      <c r="JA5" s="6"/>
      <c r="JB5" s="6"/>
      <c r="JC5" s="6"/>
      <c r="JD5" s="6"/>
      <c r="JE5" s="6"/>
      <c r="JF5" s="6"/>
      <c r="JG5" s="6"/>
      <c r="JH5" s="6"/>
      <c r="JI5" s="6"/>
      <c r="JJ5" s="6"/>
      <c r="JK5" s="6"/>
      <c r="JL5" s="6"/>
      <c r="JM5" s="6"/>
      <c r="JN5" s="6"/>
      <c r="JO5" s="6"/>
      <c r="JP5" s="6"/>
      <c r="JQ5" s="6"/>
      <c r="JR5" s="7"/>
      <c r="JS5" s="7"/>
      <c r="JT5" s="6"/>
      <c r="JU5" s="6"/>
      <c r="JV5" s="6"/>
      <c r="JW5" s="6"/>
      <c r="JX5" s="6"/>
      <c r="JY5" s="6"/>
      <c r="JZ5" s="6"/>
      <c r="KA5" s="6"/>
      <c r="KB5" s="6"/>
      <c r="KC5" s="6"/>
      <c r="KD5" s="6"/>
      <c r="KE5" s="6"/>
      <c r="KF5" s="6"/>
      <c r="KG5" s="6"/>
      <c r="KH5" s="6"/>
      <c r="KI5" s="6"/>
      <c r="KJ5" s="6"/>
      <c r="KK5" s="6"/>
      <c r="KL5" s="6"/>
      <c r="KM5" s="6"/>
      <c r="KN5" s="6"/>
      <c r="KO5" s="6"/>
      <c r="KP5" s="6"/>
      <c r="KQ5" s="6"/>
      <c r="KR5" s="6"/>
      <c r="KS5" s="6"/>
      <c r="KT5" s="6"/>
      <c r="KU5" s="6"/>
      <c r="KV5" s="6"/>
      <c r="KW5" s="6"/>
      <c r="KX5" s="6"/>
      <c r="KY5" s="6"/>
      <c r="KZ5" s="6"/>
      <c r="LA5" s="6"/>
      <c r="LB5" s="6"/>
      <c r="LC5" s="6"/>
      <c r="LD5" s="6"/>
      <c r="LE5" s="6"/>
      <c r="LF5" s="6"/>
      <c r="LG5" s="6"/>
      <c r="LH5" s="6"/>
      <c r="LI5" s="6"/>
      <c r="LJ5" s="6"/>
      <c r="LK5" s="6"/>
      <c r="LL5" s="6"/>
      <c r="LM5" s="6"/>
      <c r="LN5" s="6"/>
      <c r="LO5" s="6"/>
      <c r="LP5" s="6"/>
      <c r="LQ5" s="6"/>
      <c r="LR5" s="6"/>
      <c r="LS5" s="6"/>
      <c r="LT5" s="6"/>
      <c r="LU5" s="6"/>
      <c r="LV5" s="6"/>
      <c r="LW5" s="6"/>
      <c r="LX5" s="51"/>
      <c r="LY5" s="51"/>
      <c r="LZ5" s="51"/>
      <c r="MA5" s="51">
        <v>537</v>
      </c>
      <c r="MB5" s="51"/>
      <c r="MC5" s="51"/>
      <c r="MD5" s="51"/>
      <c r="ME5" s="6"/>
      <c r="MF5" s="6"/>
      <c r="MG5" s="6"/>
      <c r="MH5" s="6"/>
      <c r="MI5" s="6"/>
      <c r="MJ5" s="6"/>
      <c r="MK5" s="6"/>
      <c r="ML5" s="6"/>
      <c r="MM5" s="6"/>
      <c r="MN5" s="6"/>
      <c r="MO5" s="6"/>
      <c r="MP5" s="6"/>
      <c r="MQ5" s="6"/>
      <c r="MR5" s="6"/>
      <c r="MS5" s="6"/>
      <c r="MT5" s="6"/>
      <c r="MU5" s="6"/>
      <c r="MV5" s="6"/>
      <c r="MW5" s="6"/>
      <c r="MX5" s="6"/>
      <c r="MY5" s="6"/>
      <c r="MZ5" s="6"/>
      <c r="NA5" s="6"/>
      <c r="NB5" s="6"/>
      <c r="NC5" s="6"/>
      <c r="ND5" s="6"/>
      <c r="NE5" s="6"/>
      <c r="NF5" s="6"/>
      <c r="NG5" s="6"/>
      <c r="NH5" s="6"/>
      <c r="NI5" s="6"/>
      <c r="NJ5" s="6"/>
      <c r="NK5" s="6"/>
      <c r="NL5" s="6"/>
      <c r="NM5" s="6"/>
      <c r="NN5" s="6"/>
      <c r="NO5" s="6"/>
      <c r="NP5" s="6"/>
      <c r="NQ5" s="6"/>
      <c r="NR5" s="6"/>
      <c r="NS5" s="6"/>
      <c r="NT5" s="6"/>
      <c r="NU5" s="6"/>
      <c r="NV5" s="6"/>
      <c r="NW5" s="6"/>
      <c r="NX5" s="6"/>
      <c r="NY5" s="6"/>
      <c r="NZ5" s="6"/>
      <c r="OA5" s="6"/>
      <c r="OB5" s="6"/>
      <c r="OC5" s="6"/>
      <c r="OD5" s="6"/>
      <c r="OE5" s="6"/>
      <c r="OF5" s="6"/>
      <c r="OG5" s="6"/>
      <c r="OH5" s="6"/>
      <c r="OI5" s="6"/>
      <c r="OJ5" s="6"/>
      <c r="OK5" s="6"/>
      <c r="OL5" s="6"/>
      <c r="OM5" s="6"/>
      <c r="ON5" s="6"/>
      <c r="OO5" s="6"/>
      <c r="OP5" s="6"/>
      <c r="OQ5" s="6"/>
      <c r="OR5" s="6"/>
      <c r="OS5" s="6"/>
      <c r="OT5" s="6"/>
      <c r="OU5" s="6"/>
      <c r="OV5" s="6"/>
      <c r="OW5" s="6"/>
      <c r="OX5" s="6"/>
      <c r="OY5" s="6"/>
      <c r="OZ5" s="6"/>
      <c r="QX5">
        <v>23000</v>
      </c>
      <c r="QY5" s="6"/>
      <c r="QZ5" s="6"/>
      <c r="RA5" s="6"/>
      <c r="RB5" s="6"/>
      <c r="RC5" s="6"/>
      <c r="RD5" s="6"/>
      <c r="RE5" s="6"/>
      <c r="RF5" s="6"/>
      <c r="RG5" s="6"/>
      <c r="RH5" s="6"/>
      <c r="RI5" s="6"/>
      <c r="RJ5" s="6"/>
      <c r="RK5" s="6"/>
      <c r="RL5" s="6"/>
      <c r="RM5" s="6"/>
      <c r="RN5" s="6"/>
      <c r="RO5" s="6"/>
      <c r="RP5" s="6"/>
      <c r="RQ5" s="6"/>
      <c r="RR5" s="6"/>
      <c r="RS5" s="6"/>
      <c r="RT5" s="6"/>
      <c r="RU5" s="6"/>
      <c r="RV5" s="6"/>
      <c r="RW5" s="6"/>
      <c r="RX5" s="6"/>
      <c r="RY5" s="6"/>
      <c r="RZ5" s="6"/>
      <c r="SA5" s="6"/>
      <c r="SB5" s="6"/>
      <c r="SC5" s="6"/>
      <c r="SD5" s="6"/>
      <c r="SE5" s="6"/>
      <c r="SF5" s="6"/>
      <c r="SG5" s="6"/>
      <c r="SH5" s="6"/>
      <c r="SI5" s="6"/>
      <c r="SJ5" s="6"/>
      <c r="SK5" s="6"/>
      <c r="SL5" s="6"/>
      <c r="SM5" s="7"/>
      <c r="SN5" s="7"/>
      <c r="SO5" s="7"/>
      <c r="SP5" s="7"/>
      <c r="SQ5" s="7"/>
      <c r="SR5" s="6"/>
      <c r="SS5" s="6"/>
      <c r="ST5" s="6"/>
      <c r="SU5" s="6"/>
      <c r="SV5" s="6"/>
      <c r="SW5" s="6"/>
      <c r="SX5" s="6"/>
      <c r="SY5" s="6"/>
      <c r="SZ5" s="6"/>
      <c r="TA5" s="6"/>
      <c r="TB5" s="6"/>
      <c r="TC5" s="6"/>
      <c r="TD5" s="6"/>
      <c r="TE5" s="6"/>
      <c r="TF5" s="6"/>
      <c r="TG5" s="6"/>
      <c r="TH5" s="6"/>
      <c r="TI5" s="6"/>
      <c r="TJ5" s="6"/>
      <c r="TK5" s="6"/>
      <c r="TL5" s="6"/>
      <c r="TM5" s="6"/>
      <c r="TN5" s="6"/>
      <c r="TO5" s="6"/>
      <c r="TP5" s="6"/>
      <c r="TQ5" s="6"/>
      <c r="TR5" s="6"/>
      <c r="TS5" s="6"/>
      <c r="TT5" s="6"/>
      <c r="TU5" s="6"/>
      <c r="TV5" s="6"/>
      <c r="TW5" s="6"/>
      <c r="TX5" s="6"/>
      <c r="TY5">
        <v>80</v>
      </c>
      <c r="VJ5" s="6"/>
      <c r="VK5" s="6"/>
      <c r="VL5" s="6"/>
      <c r="VM5" s="6"/>
      <c r="VN5" s="6"/>
      <c r="VO5" s="6"/>
      <c r="VP5" s="6"/>
      <c r="VQ5" s="6"/>
      <c r="VR5" s="6"/>
      <c r="VS5" s="6"/>
      <c r="VT5" s="6"/>
      <c r="VU5" s="6"/>
      <c r="VV5" s="6"/>
      <c r="VW5" s="6"/>
      <c r="VX5" s="6"/>
      <c r="VY5" s="6"/>
      <c r="VZ5" s="6"/>
      <c r="WA5" s="6"/>
      <c r="WB5" s="6"/>
      <c r="WC5" s="6"/>
      <c r="WD5" s="6"/>
      <c r="WE5" s="6"/>
      <c r="WF5" s="6"/>
      <c r="WG5" s="6"/>
      <c r="WH5" s="6"/>
      <c r="WI5" s="6"/>
      <c r="WJ5" s="6"/>
      <c r="WK5" s="6"/>
      <c r="WL5" s="6"/>
      <c r="WM5" s="6"/>
      <c r="WN5" s="6"/>
      <c r="WO5" s="6"/>
      <c r="WP5" s="6"/>
      <c r="WQ5" s="6"/>
      <c r="WR5" s="6"/>
      <c r="WS5" s="6"/>
      <c r="WT5" s="6"/>
      <c r="WU5" s="6"/>
      <c r="WV5" s="6"/>
      <c r="WW5" s="6"/>
      <c r="WX5" s="6"/>
      <c r="WY5" s="6"/>
      <c r="WZ5" s="6"/>
      <c r="XA5" s="6"/>
      <c r="XB5" s="6"/>
      <c r="XC5" s="6"/>
      <c r="XD5" s="6"/>
      <c r="XE5" s="6"/>
      <c r="XF5" s="6"/>
      <c r="XG5" s="6"/>
      <c r="XH5" s="6"/>
      <c r="XI5" s="6"/>
      <c r="XJ5" s="6"/>
      <c r="XK5" s="6"/>
      <c r="XL5" s="6"/>
      <c r="XM5" s="6"/>
      <c r="XN5" s="6"/>
      <c r="XO5" s="6"/>
      <c r="XP5" s="6"/>
      <c r="XQ5" s="6"/>
      <c r="XR5" s="6"/>
      <c r="XS5" s="6"/>
      <c r="XT5" s="6"/>
      <c r="XU5" s="6"/>
      <c r="XV5" s="6"/>
      <c r="XW5" s="6"/>
      <c r="XX5" s="6"/>
      <c r="XY5" s="6"/>
      <c r="XZ5" s="6"/>
      <c r="YA5" s="6"/>
      <c r="YB5" s="6"/>
      <c r="YC5" s="6"/>
      <c r="YD5" s="6"/>
      <c r="YE5" s="6"/>
      <c r="YF5" s="6"/>
      <c r="YG5" s="6"/>
      <c r="YH5" s="6"/>
      <c r="YI5" s="6"/>
      <c r="YJ5" s="6"/>
      <c r="YK5" s="6"/>
      <c r="YL5" s="6"/>
      <c r="YM5" s="6"/>
      <c r="YN5" s="6"/>
      <c r="YO5" s="6"/>
      <c r="YP5" s="6"/>
      <c r="YQ5" s="6"/>
      <c r="YR5" s="6"/>
      <c r="YS5" s="6"/>
      <c r="YT5" s="6"/>
      <c r="YU5" s="6"/>
      <c r="YV5" s="6"/>
      <c r="YW5" s="6"/>
      <c r="YX5" s="6"/>
      <c r="YY5" s="6"/>
      <c r="YZ5" s="6"/>
      <c r="ZA5" s="6"/>
      <c r="ZB5" s="6"/>
      <c r="ZC5" s="6"/>
      <c r="ZD5" s="6"/>
      <c r="ZE5" s="6"/>
      <c r="ZF5" s="6"/>
      <c r="ZG5" s="6"/>
      <c r="ZH5" s="6"/>
      <c r="ZI5" s="6"/>
      <c r="ZJ5" s="6"/>
      <c r="ZK5" s="6"/>
      <c r="ZL5" s="6"/>
      <c r="ZM5" s="6"/>
      <c r="ZN5" s="6"/>
      <c r="ZO5" s="6"/>
      <c r="ZP5" s="6"/>
      <c r="ZQ5" s="6"/>
      <c r="ZR5" s="6"/>
      <c r="ZS5" s="6"/>
      <c r="ZT5" s="6"/>
      <c r="ZU5" s="6"/>
      <c r="ZV5" s="6"/>
      <c r="ZW5" s="6"/>
      <c r="ZX5" s="6"/>
      <c r="ZY5" s="6"/>
      <c r="ZZ5" s="6"/>
      <c r="AAA5" s="6"/>
      <c r="AAB5" s="6"/>
      <c r="AAC5" s="6"/>
      <c r="AAD5" s="6"/>
      <c r="AAE5" s="6"/>
      <c r="AAF5" s="6"/>
      <c r="AAG5" s="6"/>
      <c r="AAH5" s="6"/>
      <c r="AAI5" s="6"/>
      <c r="AAJ5" s="6"/>
      <c r="AAK5" s="6"/>
      <c r="AAL5" s="6"/>
      <c r="AAM5" s="6"/>
      <c r="AAN5" s="6"/>
      <c r="AAO5" s="6"/>
      <c r="AAP5" s="6"/>
      <c r="AAQ5" s="6"/>
      <c r="AAR5" s="6"/>
      <c r="AAS5" s="6"/>
      <c r="AAT5" s="6"/>
      <c r="AAU5" s="6"/>
      <c r="AAV5" s="6"/>
      <c r="AAW5" s="6"/>
      <c r="AAX5" s="6"/>
      <c r="AAY5" s="6"/>
      <c r="AAZ5" s="6"/>
      <c r="ABA5" s="6"/>
      <c r="ABB5" s="6"/>
      <c r="ABC5" s="6"/>
      <c r="ABD5" s="6"/>
      <c r="ABE5" s="6"/>
      <c r="ABF5" s="6"/>
      <c r="ABG5" s="6"/>
      <c r="ABH5" s="6"/>
      <c r="ABI5" s="6"/>
      <c r="ABJ5" s="6"/>
      <c r="ABK5" s="6"/>
      <c r="ABL5" s="6"/>
      <c r="ABM5" s="6"/>
      <c r="ABN5" s="6"/>
      <c r="ABO5" s="6"/>
      <c r="ABP5" s="6"/>
      <c r="ABQ5" s="6"/>
      <c r="ABR5" s="6"/>
      <c r="ABS5" s="6"/>
      <c r="ABT5" s="6"/>
      <c r="ABU5" s="6"/>
      <c r="ABV5" s="6"/>
      <c r="ABW5" s="6"/>
      <c r="ABX5" s="6"/>
      <c r="ABY5" s="6"/>
      <c r="ABZ5" s="6"/>
      <c r="ACA5" s="6"/>
      <c r="ACB5" s="6"/>
      <c r="ACC5" s="6"/>
      <c r="ACD5" s="6"/>
      <c r="ACE5" s="6"/>
      <c r="ACF5" s="6"/>
      <c r="ACG5" s="6"/>
      <c r="ACH5" s="6"/>
      <c r="ACI5" s="6"/>
      <c r="ACJ5" s="6"/>
      <c r="ACK5" s="6"/>
      <c r="ACL5" s="6"/>
      <c r="ACM5" s="6"/>
      <c r="ACN5" s="6"/>
      <c r="ACO5" s="6"/>
      <c r="ACP5" s="6"/>
      <c r="ACQ5" s="6"/>
      <c r="ACR5" s="6"/>
      <c r="ACS5" s="6"/>
      <c r="ACT5" s="6"/>
      <c r="ACU5" s="6"/>
      <c r="ACV5" s="6"/>
      <c r="ACW5" s="6"/>
      <c r="ACX5" s="6"/>
      <c r="ACY5" s="6"/>
      <c r="ACZ5" s="6"/>
      <c r="ADA5" s="6"/>
      <c r="ADB5" s="6"/>
      <c r="ADC5" s="6"/>
      <c r="ADD5" s="6"/>
      <c r="ADE5" s="6"/>
      <c r="ADF5" s="6"/>
      <c r="ADG5" s="6"/>
      <c r="ADH5" s="6"/>
      <c r="ADI5" s="6"/>
      <c r="ADJ5" s="6"/>
      <c r="ADK5" s="6"/>
      <c r="ADL5" s="6"/>
      <c r="ADM5" s="6"/>
      <c r="ADN5" s="6"/>
      <c r="ANH5">
        <v>39</v>
      </c>
      <c r="ANI5">
        <v>1</v>
      </c>
      <c r="ANL5">
        <v>1</v>
      </c>
      <c r="ANS5">
        <v>1</v>
      </c>
      <c r="AWU5">
        <v>75</v>
      </c>
      <c r="AWV5">
        <v>1</v>
      </c>
      <c r="AWX5">
        <v>1</v>
      </c>
      <c r="AXB5">
        <v>1</v>
      </c>
      <c r="AXD5">
        <v>0</v>
      </c>
      <c r="FUU5">
        <v>1</v>
      </c>
      <c r="FYJ5">
        <v>1</v>
      </c>
      <c r="FZJ5">
        <v>1</v>
      </c>
      <c r="FZK5">
        <v>1</v>
      </c>
      <c r="FZS5">
        <v>1</v>
      </c>
      <c r="GCC5">
        <v>45</v>
      </c>
      <c r="GCD5">
        <v>1</v>
      </c>
      <c r="GDS5">
        <v>1</v>
      </c>
      <c r="GEL5">
        <v>1</v>
      </c>
      <c r="GEZ5">
        <v>1</v>
      </c>
      <c r="GFA5">
        <v>1</v>
      </c>
      <c r="GFB5">
        <v>1</v>
      </c>
      <c r="GFC5">
        <v>1</v>
      </c>
      <c r="GFE5">
        <v>1</v>
      </c>
      <c r="GFG5">
        <v>1</v>
      </c>
      <c r="GHB5">
        <v>1</v>
      </c>
      <c r="GHC5">
        <v>1</v>
      </c>
      <c r="GHF5">
        <v>1</v>
      </c>
      <c r="GHG5">
        <v>1</v>
      </c>
      <c r="GIK5">
        <v>1</v>
      </c>
      <c r="GIT5">
        <v>1</v>
      </c>
      <c r="GKR5">
        <v>1</v>
      </c>
      <c r="GLM5">
        <v>1</v>
      </c>
      <c r="GLO5">
        <v>1</v>
      </c>
      <c r="GLV5">
        <v>1</v>
      </c>
      <c r="GMB5">
        <v>1</v>
      </c>
      <c r="GMC5">
        <v>1</v>
      </c>
    </row>
    <row r="6" spans="1:5088" x14ac:dyDescent="0.25">
      <c r="A6" s="50">
        <v>9108231</v>
      </c>
      <c r="B6" s="7"/>
      <c r="C6" s="7"/>
      <c r="D6" s="7"/>
      <c r="E6" s="7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6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6"/>
      <c r="CK6" s="6"/>
      <c r="CL6" s="6"/>
      <c r="CM6" s="6"/>
      <c r="CN6" s="6"/>
      <c r="CO6" s="6"/>
      <c r="CP6" s="6"/>
      <c r="CQ6" s="6"/>
      <c r="CR6" s="6"/>
      <c r="CS6" s="6"/>
      <c r="CT6" s="6"/>
      <c r="CU6" s="6"/>
      <c r="CV6" s="6"/>
      <c r="CW6" s="6"/>
      <c r="CX6" s="6"/>
      <c r="CY6" s="6"/>
      <c r="CZ6" s="6"/>
      <c r="DA6" s="6"/>
      <c r="DB6" s="6"/>
      <c r="DC6" s="6"/>
      <c r="DD6" s="6"/>
      <c r="DE6" s="6"/>
      <c r="DF6" s="6"/>
      <c r="DG6" s="6"/>
      <c r="DH6" s="6"/>
      <c r="DI6" s="6"/>
      <c r="DJ6" s="6"/>
      <c r="DK6" s="6"/>
      <c r="DL6" s="6"/>
      <c r="DM6" s="6"/>
      <c r="DN6" s="6"/>
      <c r="DO6" s="7"/>
      <c r="DP6" s="7"/>
      <c r="DQ6" s="7"/>
      <c r="DR6" s="7"/>
      <c r="DS6" s="7"/>
      <c r="DT6" s="7"/>
      <c r="DU6" s="7"/>
      <c r="DV6" s="7"/>
      <c r="DW6" s="7"/>
      <c r="DX6" s="7"/>
      <c r="DY6" s="7"/>
      <c r="DZ6" s="7"/>
      <c r="EA6" s="7"/>
      <c r="EB6" s="7"/>
      <c r="EC6" s="7"/>
      <c r="ED6" s="7"/>
      <c r="EE6" s="7"/>
      <c r="EF6" s="7"/>
      <c r="EG6" s="7"/>
      <c r="EH6" s="7"/>
      <c r="EI6" s="7"/>
      <c r="EJ6" s="7"/>
      <c r="EK6" s="7"/>
      <c r="EL6" s="7"/>
      <c r="EM6" s="7"/>
      <c r="EN6" s="7"/>
      <c r="EO6" s="7"/>
      <c r="EP6" s="7"/>
      <c r="EQ6" s="7"/>
      <c r="ER6" s="7"/>
      <c r="ES6" s="7"/>
      <c r="ET6" s="7"/>
      <c r="EU6" s="7"/>
      <c r="EV6" s="7"/>
      <c r="EW6" s="7"/>
      <c r="EX6" s="7"/>
      <c r="EY6" s="6"/>
      <c r="EZ6" s="6"/>
      <c r="FA6" s="6"/>
      <c r="FB6" s="6"/>
      <c r="FC6" s="6"/>
      <c r="FD6" s="6"/>
      <c r="FE6" s="6"/>
      <c r="FF6" s="6"/>
      <c r="FG6" s="6"/>
      <c r="FH6" s="6"/>
      <c r="FI6" s="6"/>
      <c r="FJ6" s="6"/>
      <c r="FK6" s="6"/>
      <c r="FL6" s="6"/>
      <c r="FM6" s="6"/>
      <c r="FN6" s="6"/>
      <c r="FO6" s="6"/>
      <c r="FP6" s="6"/>
      <c r="FQ6" s="6"/>
      <c r="FR6" s="6"/>
      <c r="FS6" s="6"/>
      <c r="FT6" s="6"/>
      <c r="FU6" s="6"/>
      <c r="FV6" s="6"/>
      <c r="FW6" s="6"/>
      <c r="FX6" s="6"/>
      <c r="FY6" s="6"/>
      <c r="FZ6" s="6"/>
      <c r="GA6" s="6"/>
      <c r="GB6" s="6"/>
      <c r="GC6" s="6"/>
      <c r="GD6" s="6"/>
      <c r="GE6" s="6"/>
      <c r="GF6" s="6"/>
      <c r="GG6" s="6"/>
      <c r="GH6" s="6"/>
      <c r="GI6" s="6"/>
      <c r="GJ6" s="6"/>
      <c r="GK6" s="6"/>
      <c r="GL6" s="6"/>
      <c r="GM6" s="6"/>
      <c r="GN6" s="6"/>
      <c r="GO6" s="6"/>
      <c r="GP6" s="6"/>
      <c r="GQ6" s="6"/>
      <c r="GR6" s="6"/>
      <c r="GS6" s="6"/>
      <c r="GT6" s="6"/>
      <c r="GU6" s="6"/>
      <c r="GV6" s="6"/>
      <c r="GW6" s="6"/>
      <c r="GX6" s="6"/>
      <c r="GY6" s="6"/>
      <c r="GZ6" s="6"/>
      <c r="HA6" s="7"/>
      <c r="HB6" s="7"/>
      <c r="HC6" s="7"/>
      <c r="HD6" s="6"/>
      <c r="HE6" s="6"/>
      <c r="HF6" s="6"/>
      <c r="HG6" s="6"/>
      <c r="HH6" s="6"/>
      <c r="HI6" s="6"/>
      <c r="HJ6" s="6"/>
      <c r="HK6" s="6"/>
      <c r="HL6" s="6"/>
      <c r="HM6" s="6"/>
      <c r="HN6" s="6"/>
      <c r="HO6" s="6"/>
      <c r="HP6" s="6"/>
      <c r="HQ6" s="6"/>
      <c r="HR6" s="6"/>
      <c r="HS6" s="6"/>
      <c r="HT6" s="6"/>
      <c r="HU6" s="6"/>
      <c r="HV6" s="6"/>
      <c r="HW6" s="6"/>
      <c r="HX6" s="6"/>
      <c r="HY6" s="6"/>
      <c r="HZ6" s="6"/>
      <c r="IA6" s="6"/>
      <c r="IB6" s="6"/>
      <c r="IC6" s="6"/>
      <c r="ID6" s="6"/>
      <c r="IE6" s="6"/>
      <c r="IF6" s="6"/>
      <c r="IG6" s="6"/>
      <c r="IH6" s="7"/>
      <c r="II6" s="7"/>
      <c r="IJ6" s="7"/>
      <c r="IK6" s="6"/>
      <c r="IL6" s="6"/>
      <c r="IM6" s="6"/>
      <c r="IN6" s="6"/>
      <c r="IO6" s="6"/>
      <c r="IP6" s="6"/>
      <c r="IQ6" s="6"/>
      <c r="IR6" s="6"/>
      <c r="IS6" s="6"/>
      <c r="IT6" s="6"/>
      <c r="IU6" s="6"/>
      <c r="IV6" s="6"/>
      <c r="IW6" s="6"/>
      <c r="IX6" s="6"/>
      <c r="IY6" s="6"/>
      <c r="IZ6" s="6"/>
      <c r="JA6" s="6"/>
      <c r="JB6" s="6"/>
      <c r="JC6" s="6"/>
      <c r="JD6" s="6"/>
      <c r="JE6" s="6"/>
      <c r="JF6" s="6"/>
      <c r="JG6" s="6"/>
      <c r="JH6" s="6"/>
      <c r="JI6" s="6"/>
      <c r="JJ6" s="6"/>
      <c r="JK6" s="6"/>
      <c r="JL6" s="6"/>
      <c r="JM6" s="6"/>
      <c r="JN6" s="6"/>
      <c r="JO6" s="6"/>
      <c r="JP6" s="6"/>
      <c r="JQ6" s="6"/>
      <c r="JR6" s="7"/>
      <c r="JS6" s="7"/>
      <c r="JT6" s="6"/>
      <c r="JU6" s="6"/>
      <c r="JV6" s="6"/>
      <c r="JW6" s="6"/>
      <c r="JX6" s="6"/>
      <c r="JY6" s="6"/>
      <c r="JZ6" s="6"/>
      <c r="KA6" s="6"/>
      <c r="KB6" s="6"/>
      <c r="KC6" s="6"/>
      <c r="KD6" s="6"/>
      <c r="KE6" s="6"/>
      <c r="KF6" s="6"/>
      <c r="KG6" s="6"/>
      <c r="KH6" s="6"/>
      <c r="KI6" s="6"/>
      <c r="KJ6" s="6"/>
      <c r="KK6" s="6"/>
      <c r="KL6" s="6"/>
      <c r="KM6" s="6"/>
      <c r="KN6" s="6"/>
      <c r="KO6" s="6"/>
      <c r="KP6" s="6"/>
      <c r="KQ6" s="6"/>
      <c r="KR6" s="6"/>
      <c r="KS6" s="6"/>
      <c r="KT6" s="6"/>
      <c r="KU6" s="6"/>
      <c r="KV6" s="6"/>
      <c r="KW6" s="6"/>
      <c r="KX6" s="6"/>
      <c r="KY6" s="6"/>
      <c r="KZ6" s="6"/>
      <c r="LA6" s="6"/>
      <c r="LB6" s="6"/>
      <c r="LC6" s="6"/>
      <c r="LD6" s="6"/>
      <c r="LE6" s="6"/>
      <c r="LF6" s="6"/>
      <c r="LG6" s="6"/>
      <c r="LH6" s="6"/>
      <c r="LI6" s="6"/>
      <c r="LJ6" s="6"/>
      <c r="LK6" s="6"/>
      <c r="LL6" s="6"/>
      <c r="LM6" s="6"/>
      <c r="LN6" s="6"/>
      <c r="LO6" s="6"/>
      <c r="LP6" s="6"/>
      <c r="LQ6" s="6"/>
      <c r="LR6" s="6"/>
      <c r="LS6" s="6"/>
      <c r="LT6" s="6"/>
      <c r="LX6" s="50"/>
      <c r="LY6" s="50"/>
      <c r="LZ6" s="50"/>
      <c r="MA6" s="50">
        <v>193</v>
      </c>
      <c r="MB6" s="50"/>
      <c r="MC6" s="50"/>
      <c r="MD6" s="50"/>
      <c r="ME6" s="6"/>
      <c r="MF6" s="6"/>
      <c r="MG6" s="6"/>
      <c r="MH6" s="6"/>
      <c r="MI6" s="6"/>
      <c r="MJ6" s="6"/>
      <c r="MK6" s="6"/>
      <c r="ML6" s="6"/>
      <c r="MM6" s="6"/>
      <c r="MN6" s="6"/>
      <c r="MO6" s="6"/>
      <c r="MP6" s="6"/>
      <c r="MQ6" s="6"/>
      <c r="MR6" s="6"/>
      <c r="MS6" s="6"/>
      <c r="MT6" s="6"/>
      <c r="MU6" s="6"/>
      <c r="MV6" s="6"/>
      <c r="MW6" s="6"/>
      <c r="MX6" s="6"/>
      <c r="MY6" s="6"/>
      <c r="MZ6" s="6"/>
      <c r="NA6" s="6"/>
      <c r="NB6" s="6"/>
      <c r="NC6" s="6"/>
      <c r="ND6" s="6"/>
      <c r="NE6" s="6"/>
      <c r="NF6" s="6"/>
      <c r="NG6" s="6"/>
      <c r="NH6" s="6"/>
      <c r="NI6" s="6"/>
      <c r="NJ6" s="6"/>
      <c r="NK6" s="6"/>
      <c r="NL6" s="6"/>
      <c r="NM6" s="6"/>
      <c r="NN6" s="6"/>
      <c r="NO6" s="6"/>
      <c r="NP6" s="6"/>
      <c r="NQ6" s="6"/>
      <c r="NR6" s="6"/>
      <c r="NS6" s="6"/>
      <c r="NT6" s="6"/>
      <c r="NU6" s="6"/>
      <c r="NV6" s="6"/>
      <c r="NW6" s="6"/>
      <c r="NX6" s="6"/>
      <c r="NY6" s="6"/>
      <c r="NZ6" s="6"/>
      <c r="OA6" s="6"/>
      <c r="OB6" s="6"/>
      <c r="OC6" s="6"/>
      <c r="OD6" s="6"/>
      <c r="OE6" s="6"/>
      <c r="OF6" s="6"/>
      <c r="OG6" s="6"/>
      <c r="OH6" s="6"/>
      <c r="OI6" s="6"/>
      <c r="OJ6" s="6"/>
      <c r="OK6" s="6"/>
      <c r="OL6" s="6"/>
      <c r="OM6" s="6"/>
      <c r="ON6" s="6"/>
      <c r="OO6" s="6"/>
      <c r="OP6" s="6"/>
      <c r="OQ6" s="6"/>
      <c r="OR6" s="6"/>
      <c r="OS6" s="6"/>
      <c r="OT6" s="6"/>
      <c r="OU6" s="6"/>
      <c r="OV6" s="6"/>
      <c r="OW6" s="6"/>
      <c r="OX6" s="6"/>
      <c r="OY6" s="6"/>
      <c r="OZ6" s="6"/>
      <c r="QQ6" s="8"/>
      <c r="QR6" s="8"/>
      <c r="QS6" s="8"/>
      <c r="QT6" s="8"/>
      <c r="QU6" s="8"/>
      <c r="QV6" s="8"/>
      <c r="QW6" s="8"/>
      <c r="QX6" s="8"/>
      <c r="QY6" s="6"/>
      <c r="QZ6" s="6"/>
      <c r="RA6" s="6"/>
      <c r="RB6" s="6"/>
      <c r="RC6" s="6"/>
      <c r="RD6" s="6"/>
      <c r="RE6" s="6"/>
      <c r="RF6" s="6"/>
      <c r="RG6" s="6"/>
      <c r="RH6" s="6"/>
      <c r="RI6" s="6"/>
      <c r="RJ6" s="6"/>
      <c r="RK6" s="6"/>
      <c r="RL6" s="6"/>
      <c r="RM6" s="6"/>
      <c r="RN6" s="6"/>
      <c r="RO6" s="6"/>
      <c r="RP6" s="6"/>
      <c r="RQ6" s="6"/>
      <c r="RR6" s="6"/>
      <c r="RS6" s="6"/>
      <c r="RT6" s="6"/>
      <c r="RU6" s="6"/>
      <c r="RV6" s="6"/>
      <c r="RW6" s="6"/>
      <c r="RX6" s="6"/>
      <c r="RY6" s="6"/>
      <c r="RZ6" s="6"/>
      <c r="SA6" s="6"/>
      <c r="SB6" s="6"/>
      <c r="SC6" s="6"/>
      <c r="SD6" s="6"/>
      <c r="SE6" s="6"/>
      <c r="SF6" s="6"/>
      <c r="SG6" s="6"/>
      <c r="SH6" s="6"/>
      <c r="SI6" s="6"/>
      <c r="SJ6" s="6"/>
      <c r="SK6" s="6"/>
      <c r="SL6" s="6"/>
      <c r="SM6" s="7"/>
      <c r="SN6" s="7"/>
      <c r="SO6" s="7"/>
      <c r="SP6" s="7"/>
      <c r="SQ6" s="7"/>
      <c r="SR6" s="6"/>
      <c r="SS6" s="6"/>
      <c r="ST6" s="6"/>
      <c r="SU6" s="6"/>
      <c r="SV6" s="6"/>
      <c r="SW6" s="6"/>
      <c r="SX6" s="6"/>
      <c r="SY6" s="6"/>
      <c r="SZ6" s="6"/>
      <c r="TA6" s="6"/>
      <c r="TB6" s="6"/>
      <c r="TC6" s="6"/>
      <c r="TD6" s="6"/>
      <c r="TE6" s="6"/>
      <c r="TF6" s="6"/>
      <c r="TG6" s="6"/>
      <c r="TH6" s="6"/>
      <c r="TI6" s="6"/>
      <c r="TJ6" s="6"/>
      <c r="TK6" s="6"/>
      <c r="TL6" s="6"/>
      <c r="TM6" s="6"/>
      <c r="TN6" s="6"/>
      <c r="TO6" s="6"/>
      <c r="TP6" s="6"/>
      <c r="TQ6" s="6"/>
      <c r="TR6" s="6"/>
      <c r="TS6" s="6"/>
      <c r="TT6" s="6"/>
      <c r="TU6" s="6"/>
      <c r="TV6" s="6"/>
      <c r="TW6" s="6"/>
      <c r="TX6" s="6"/>
      <c r="TY6" s="6"/>
      <c r="TZ6" s="6"/>
      <c r="UA6" s="6"/>
      <c r="UB6" s="6"/>
      <c r="UC6" s="6"/>
      <c r="UD6" s="6"/>
      <c r="UE6" s="6"/>
      <c r="UF6" s="6"/>
      <c r="UG6" s="6"/>
      <c r="UH6" s="6"/>
      <c r="UI6" s="6"/>
      <c r="UJ6" s="6"/>
      <c r="UK6" s="6"/>
      <c r="UL6" s="6"/>
      <c r="UM6" s="6"/>
      <c r="UN6" s="6"/>
      <c r="UO6" s="6"/>
      <c r="UP6" s="6"/>
      <c r="UQ6" s="6"/>
      <c r="UR6" s="6"/>
      <c r="US6" s="6"/>
      <c r="UT6" s="6"/>
      <c r="UU6" s="6"/>
      <c r="UV6" s="6"/>
      <c r="UW6" s="6"/>
      <c r="UX6" s="6"/>
      <c r="UY6" s="6"/>
      <c r="UZ6" s="6"/>
      <c r="VA6" s="6"/>
      <c r="VB6" s="6"/>
      <c r="VC6" s="6"/>
      <c r="VD6" s="6"/>
      <c r="VE6" s="6"/>
      <c r="VF6" s="6"/>
      <c r="VG6" s="6"/>
      <c r="VH6" s="6"/>
      <c r="VI6" s="6"/>
      <c r="VJ6" s="6"/>
      <c r="VK6" s="6"/>
      <c r="VL6" s="6"/>
      <c r="VM6" s="6"/>
      <c r="VN6" s="6"/>
      <c r="VO6" s="6"/>
      <c r="VP6" s="6"/>
      <c r="VQ6" s="6"/>
      <c r="VR6" s="6"/>
      <c r="VS6" s="6"/>
      <c r="VT6" s="6"/>
      <c r="VU6" s="6"/>
      <c r="VV6" s="6"/>
      <c r="VW6" s="6"/>
      <c r="VX6" s="6"/>
      <c r="VY6" s="6"/>
      <c r="VZ6" s="6"/>
      <c r="WA6" s="6"/>
      <c r="WB6" s="6"/>
      <c r="WC6" s="6"/>
      <c r="WD6" s="6"/>
      <c r="WE6" s="6"/>
      <c r="WF6" s="6"/>
      <c r="WG6" s="6"/>
      <c r="WH6" s="6"/>
      <c r="WI6" s="6"/>
      <c r="WJ6" s="6"/>
      <c r="WK6" s="6"/>
      <c r="WL6" s="6"/>
      <c r="WM6" s="6"/>
      <c r="WN6" s="6"/>
      <c r="WO6" s="6"/>
      <c r="WP6" s="6"/>
      <c r="WQ6" s="6"/>
      <c r="WR6" s="6"/>
      <c r="WS6" s="6"/>
      <c r="WT6" s="6"/>
      <c r="WU6" s="6"/>
      <c r="WV6" s="6"/>
      <c r="WW6" s="6"/>
      <c r="WX6" s="6"/>
      <c r="WY6" s="6"/>
      <c r="WZ6" s="6"/>
      <c r="XA6" s="6"/>
      <c r="XB6" s="6"/>
      <c r="XC6" s="6"/>
      <c r="XD6" s="6"/>
      <c r="XE6" s="6"/>
      <c r="XF6" s="6"/>
      <c r="XG6" s="6"/>
      <c r="XH6" s="6"/>
      <c r="XI6" s="6"/>
      <c r="XJ6" s="6"/>
      <c r="XK6" s="6"/>
      <c r="XL6" s="6"/>
      <c r="XM6" s="6"/>
      <c r="XN6" s="6"/>
      <c r="XO6" s="6"/>
      <c r="XP6" s="6"/>
      <c r="XQ6" s="6"/>
      <c r="XR6" s="6"/>
      <c r="XS6" s="6"/>
      <c r="XT6" s="6"/>
      <c r="XU6" s="6"/>
      <c r="XV6" s="6"/>
      <c r="XW6" s="6"/>
      <c r="XX6" s="6"/>
      <c r="XY6" s="6"/>
      <c r="XZ6" s="6"/>
      <c r="YA6" s="6"/>
      <c r="YB6" s="6"/>
      <c r="YC6" s="6"/>
      <c r="YD6" s="6"/>
      <c r="YE6" s="6"/>
      <c r="YF6" s="6"/>
      <c r="YG6" s="6"/>
      <c r="YH6" s="6"/>
      <c r="YI6" s="6"/>
      <c r="YJ6" s="6"/>
      <c r="YK6" s="6"/>
      <c r="YL6" s="6"/>
      <c r="YM6" s="6"/>
      <c r="YN6" s="6"/>
      <c r="YO6" s="6"/>
      <c r="YP6" s="6"/>
      <c r="YQ6" s="6"/>
      <c r="YR6" s="6"/>
      <c r="YS6" s="6"/>
      <c r="YT6" s="6"/>
      <c r="YU6" s="6"/>
      <c r="YV6" s="6"/>
      <c r="YW6" s="6"/>
      <c r="YX6" s="6"/>
      <c r="YY6" s="6"/>
      <c r="YZ6" s="6"/>
      <c r="ZA6" s="6"/>
      <c r="ZB6" s="6"/>
      <c r="ZC6" s="6"/>
      <c r="ZD6" s="6"/>
      <c r="ZE6" s="6"/>
      <c r="ZF6" s="6"/>
      <c r="ZG6" s="6"/>
      <c r="ZH6" s="6"/>
      <c r="ZI6" s="6"/>
      <c r="ZJ6" s="6"/>
      <c r="ZK6" s="6"/>
      <c r="ZL6" s="6"/>
      <c r="ZM6" s="6"/>
      <c r="ZN6" s="6"/>
      <c r="ZO6" s="6"/>
      <c r="ZP6" s="6"/>
      <c r="ZQ6" s="6"/>
      <c r="ZR6" s="6"/>
      <c r="ZS6" s="6"/>
      <c r="ZT6" s="6"/>
      <c r="ZU6" s="6"/>
      <c r="ZV6" s="6"/>
      <c r="ZW6" s="6"/>
      <c r="ZX6" s="6"/>
      <c r="ZY6" s="6"/>
      <c r="ZZ6" s="6"/>
      <c r="AAA6" s="6"/>
      <c r="AAB6" s="6"/>
      <c r="AAC6" s="6"/>
      <c r="AAD6" s="6"/>
      <c r="AAE6" s="6"/>
      <c r="AAF6" s="6"/>
      <c r="AAG6" s="6"/>
      <c r="AAH6" s="6"/>
      <c r="AAI6" s="6"/>
      <c r="AAJ6" s="6"/>
      <c r="AAK6" s="6"/>
      <c r="AAL6" s="6"/>
      <c r="AAM6" s="6"/>
      <c r="AAN6" s="6"/>
      <c r="AAO6" s="6"/>
      <c r="AAP6" s="6"/>
      <c r="AAQ6" s="6"/>
      <c r="AAR6" s="6"/>
      <c r="AAS6" s="6"/>
      <c r="AAT6" s="6"/>
      <c r="AAU6" s="6"/>
      <c r="AAV6" s="6"/>
      <c r="AAW6" s="6"/>
      <c r="AAX6" s="6"/>
      <c r="AAY6" s="6"/>
      <c r="AAZ6" s="6"/>
      <c r="ABA6" s="6"/>
      <c r="ABB6" s="6"/>
      <c r="ABC6" s="6"/>
      <c r="ABD6" s="6"/>
      <c r="ABE6" s="6"/>
      <c r="ABF6" s="6"/>
      <c r="ABG6" s="6"/>
      <c r="ABH6" s="6"/>
      <c r="ABI6" s="6"/>
      <c r="ABJ6" s="6"/>
      <c r="ABK6" s="6"/>
      <c r="ABL6" s="6"/>
      <c r="ABM6" s="6"/>
      <c r="ABN6" s="6"/>
      <c r="ABO6" s="6"/>
      <c r="ABP6" s="6"/>
      <c r="ABQ6" s="6"/>
      <c r="ABR6" s="6"/>
      <c r="ABS6" s="6"/>
      <c r="ABT6" s="6"/>
      <c r="ABU6" s="6"/>
      <c r="ABV6" s="6"/>
      <c r="ABW6" s="6"/>
      <c r="ABX6" s="6"/>
      <c r="ABY6" s="6"/>
      <c r="ABZ6" s="6"/>
      <c r="ACA6" s="6"/>
      <c r="ACB6" s="6"/>
      <c r="ACC6" s="6"/>
      <c r="ACD6" s="6"/>
      <c r="ACE6" s="6"/>
      <c r="ACF6" s="6"/>
      <c r="ACG6" s="6"/>
      <c r="ACH6" s="6"/>
      <c r="ACI6" s="6"/>
      <c r="ACJ6" s="6"/>
      <c r="ACK6" s="6"/>
      <c r="ACL6" s="6"/>
      <c r="ACM6" s="6"/>
      <c r="ACN6" s="6"/>
      <c r="ACO6" s="6"/>
      <c r="ACP6" s="6"/>
      <c r="ACQ6" s="6"/>
      <c r="ACR6" s="6"/>
      <c r="ACS6" s="6"/>
      <c r="ACT6" s="6"/>
      <c r="ACU6" s="6"/>
      <c r="ACV6" s="6"/>
      <c r="ACW6" s="6"/>
      <c r="ACX6" s="6"/>
      <c r="ACY6" s="6"/>
      <c r="ACZ6" s="6"/>
      <c r="ADA6" s="6"/>
      <c r="ADB6" s="6"/>
      <c r="ADC6" s="6"/>
      <c r="ADD6" s="6"/>
      <c r="ADE6" s="6"/>
      <c r="ADF6" s="6"/>
      <c r="ADG6" s="6"/>
      <c r="ADH6" s="6"/>
      <c r="ADI6" s="6"/>
      <c r="ADJ6" s="6"/>
      <c r="ADK6" s="6"/>
      <c r="ADL6" s="6"/>
      <c r="ADM6" s="6"/>
      <c r="ADN6" s="6"/>
      <c r="ANH6">
        <v>24</v>
      </c>
      <c r="ANJ6">
        <v>1</v>
      </c>
      <c r="ANM6">
        <v>1</v>
      </c>
      <c r="ANS6">
        <v>1</v>
      </c>
      <c r="AOP6">
        <v>1</v>
      </c>
      <c r="AST6">
        <v>1</v>
      </c>
      <c r="ASW6">
        <v>1</v>
      </c>
      <c r="AWU6">
        <v>50</v>
      </c>
      <c r="AWV6">
        <v>3</v>
      </c>
      <c r="AWY6">
        <v>1</v>
      </c>
      <c r="AXL6">
        <v>1</v>
      </c>
      <c r="AXN6">
        <v>3</v>
      </c>
      <c r="AXX6">
        <v>1</v>
      </c>
      <c r="AXZ6">
        <v>3</v>
      </c>
      <c r="AYJ6">
        <v>1</v>
      </c>
      <c r="AYK6">
        <v>3</v>
      </c>
      <c r="BKN6">
        <v>1000</v>
      </c>
      <c r="BKO6">
        <v>3</v>
      </c>
      <c r="BKR6">
        <v>1</v>
      </c>
      <c r="FWH6">
        <v>1</v>
      </c>
      <c r="FWN6">
        <v>1</v>
      </c>
      <c r="FWO6">
        <v>1</v>
      </c>
      <c r="FXN6">
        <v>1</v>
      </c>
      <c r="GCL6">
        <v>1</v>
      </c>
      <c r="GCN6">
        <v>1</v>
      </c>
      <c r="GDY6">
        <v>1</v>
      </c>
      <c r="GFE6">
        <v>1</v>
      </c>
      <c r="GFI6">
        <v>1</v>
      </c>
      <c r="GFJ6">
        <v>1</v>
      </c>
      <c r="GHD6">
        <v>1</v>
      </c>
    </row>
    <row r="7" spans="1:5088" x14ac:dyDescent="0.25">
      <c r="A7" s="50">
        <v>12061933</v>
      </c>
      <c r="B7" s="7"/>
      <c r="C7" s="7"/>
      <c r="D7" s="7"/>
      <c r="E7" s="7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  <c r="CG7" s="6"/>
      <c r="CH7" s="6"/>
      <c r="CI7" s="6"/>
      <c r="CJ7" s="6"/>
      <c r="CK7" s="6"/>
      <c r="CL7" s="6"/>
      <c r="CM7" s="6"/>
      <c r="CN7" s="6"/>
      <c r="CO7" s="6"/>
      <c r="CP7" s="6"/>
      <c r="CQ7" s="6"/>
      <c r="CR7" s="6"/>
      <c r="CS7" s="6"/>
      <c r="CT7" s="6"/>
      <c r="CU7" s="6"/>
      <c r="CV7" s="6"/>
      <c r="CW7" s="6"/>
      <c r="CX7" s="6"/>
      <c r="CY7" s="6"/>
      <c r="CZ7" s="6"/>
      <c r="DA7" s="6"/>
      <c r="DB7" s="6"/>
      <c r="DC7" s="6"/>
      <c r="DD7" s="6"/>
      <c r="DE7" s="6"/>
      <c r="DF7" s="6"/>
      <c r="DG7" s="6"/>
      <c r="DH7" s="6"/>
      <c r="DI7" s="6"/>
      <c r="DJ7" s="6"/>
      <c r="DK7" s="6"/>
      <c r="DL7" s="6"/>
      <c r="DM7" s="6"/>
      <c r="DN7" s="6"/>
      <c r="DO7" s="7"/>
      <c r="DP7" s="7"/>
      <c r="DQ7" s="7"/>
      <c r="DR7" s="7"/>
      <c r="DS7" s="7"/>
      <c r="DT7" s="7"/>
      <c r="DU7" s="7"/>
      <c r="DV7" s="7"/>
      <c r="DW7" s="7"/>
      <c r="DX7" s="7"/>
      <c r="DY7" s="7"/>
      <c r="DZ7" s="7"/>
      <c r="EA7" s="7"/>
      <c r="EB7" s="7"/>
      <c r="EC7" s="7"/>
      <c r="ED7" s="7"/>
      <c r="EE7" s="7"/>
      <c r="EF7" s="7"/>
      <c r="EG7" s="7"/>
      <c r="EH7" s="7"/>
      <c r="EI7" s="7"/>
      <c r="EJ7" s="7"/>
      <c r="EK7" s="7"/>
      <c r="EL7" s="7"/>
      <c r="EM7" s="7"/>
      <c r="EN7" s="7"/>
      <c r="EO7" s="7"/>
      <c r="EP7" s="7"/>
      <c r="EQ7" s="7"/>
      <c r="ER7" s="7"/>
      <c r="ES7" s="7"/>
      <c r="ET7" s="7"/>
      <c r="EU7" s="7"/>
      <c r="EV7" s="7"/>
      <c r="EW7" s="7"/>
      <c r="EX7" s="7"/>
      <c r="EY7" s="6"/>
      <c r="EZ7" s="6"/>
      <c r="FA7" s="6"/>
      <c r="FB7" s="6"/>
      <c r="FC7" s="6"/>
      <c r="FD7" s="6"/>
      <c r="FE7" s="6"/>
      <c r="FF7" s="6"/>
      <c r="FG7" s="6"/>
      <c r="FH7" s="6"/>
      <c r="FI7" s="6"/>
      <c r="FJ7" s="6"/>
      <c r="FK7" s="6"/>
      <c r="FL7" s="6"/>
      <c r="FM7" s="6"/>
      <c r="FN7" s="6"/>
      <c r="FO7" s="6"/>
      <c r="FP7" s="6"/>
      <c r="FQ7" s="6"/>
      <c r="FR7" s="6"/>
      <c r="FS7" s="6"/>
      <c r="FT7" s="6"/>
      <c r="FU7" s="6"/>
      <c r="FV7" s="6"/>
      <c r="FW7" s="6"/>
      <c r="FX7" s="6"/>
      <c r="FY7" s="6"/>
      <c r="FZ7" s="6"/>
      <c r="GA7" s="6"/>
      <c r="GB7" s="6"/>
      <c r="GC7" s="6"/>
      <c r="GD7" s="6"/>
      <c r="GE7" s="6"/>
      <c r="GF7" s="6"/>
      <c r="GG7" s="6"/>
      <c r="GH7" s="6"/>
      <c r="GI7" s="6"/>
      <c r="GJ7" s="6"/>
      <c r="GK7" s="6"/>
      <c r="GL7" s="6"/>
      <c r="GM7" s="6"/>
      <c r="GN7" s="6"/>
      <c r="GO7" s="6"/>
      <c r="GP7" s="6"/>
      <c r="GQ7" s="6"/>
      <c r="GR7" s="6"/>
      <c r="GS7" s="6"/>
      <c r="GT7" s="6"/>
      <c r="GU7" s="6"/>
      <c r="GV7" s="6"/>
      <c r="GW7" s="6"/>
      <c r="GX7" s="6"/>
      <c r="GY7" s="6"/>
      <c r="GZ7" s="6"/>
      <c r="HA7" s="7"/>
      <c r="HB7" s="7"/>
      <c r="HC7" s="7"/>
      <c r="HD7" s="6"/>
      <c r="HE7" s="6"/>
      <c r="HF7" s="6"/>
      <c r="HG7" s="6"/>
      <c r="HH7" s="6"/>
      <c r="HI7" s="6"/>
      <c r="HJ7" s="6"/>
      <c r="HK7" s="6"/>
      <c r="HL7" s="6"/>
      <c r="HM7" s="6"/>
      <c r="HN7" s="6"/>
      <c r="HO7" s="6"/>
      <c r="HP7" s="6"/>
      <c r="HQ7" s="6"/>
      <c r="HR7" s="6"/>
      <c r="HS7" s="6"/>
      <c r="HT7" s="6"/>
      <c r="HU7" s="6"/>
      <c r="HV7" s="6"/>
      <c r="HW7" s="6"/>
      <c r="HX7" s="6"/>
      <c r="HY7" s="6"/>
      <c r="HZ7" s="6"/>
      <c r="IA7" s="6"/>
      <c r="IB7" s="6"/>
      <c r="IC7" s="6"/>
      <c r="ID7" s="6"/>
      <c r="IE7" s="6"/>
      <c r="IF7" s="6"/>
      <c r="IG7" s="6"/>
      <c r="IH7" s="7"/>
      <c r="II7" s="7"/>
      <c r="IJ7" s="7"/>
      <c r="IK7" s="6"/>
      <c r="IL7" s="6"/>
      <c r="IM7" s="6"/>
      <c r="IN7" s="6"/>
      <c r="IO7" s="6"/>
      <c r="IP7" s="6"/>
      <c r="IQ7" s="6"/>
      <c r="IR7" s="6"/>
      <c r="IS7" s="6"/>
      <c r="IT7" s="6"/>
      <c r="IU7" s="6"/>
      <c r="IV7" s="6"/>
      <c r="IW7" s="6"/>
      <c r="IX7" s="6"/>
      <c r="IY7" s="6"/>
      <c r="IZ7" s="6"/>
      <c r="JA7" s="6"/>
      <c r="JB7" s="6"/>
      <c r="JC7" s="6"/>
      <c r="JD7" s="6"/>
      <c r="JE7" s="6"/>
      <c r="JF7" s="6"/>
      <c r="JG7" s="6"/>
      <c r="JH7" s="6"/>
      <c r="JI7" s="6"/>
      <c r="JJ7" s="6"/>
      <c r="JK7" s="6"/>
      <c r="JL7" s="6"/>
      <c r="JM7" s="6"/>
      <c r="JN7" s="6"/>
      <c r="JO7" s="6"/>
      <c r="JP7" s="6"/>
      <c r="JQ7" s="6"/>
      <c r="JR7" s="7"/>
      <c r="JS7" s="7"/>
      <c r="JT7" s="6"/>
      <c r="JU7" s="6"/>
      <c r="JV7" s="6"/>
      <c r="JW7" s="6"/>
      <c r="JX7" s="6"/>
      <c r="JY7" s="6"/>
      <c r="JZ7" s="6"/>
      <c r="KA7" s="6"/>
      <c r="KB7" s="6"/>
      <c r="KC7" s="6"/>
      <c r="KD7" s="6"/>
      <c r="KE7" s="6"/>
      <c r="KF7" s="6"/>
      <c r="KG7" s="6"/>
      <c r="KH7" s="6"/>
      <c r="KI7" s="6"/>
      <c r="KJ7" s="6"/>
      <c r="KK7" s="6"/>
      <c r="KL7" s="6"/>
      <c r="KM7" s="6"/>
      <c r="KN7" s="6"/>
      <c r="KO7" s="6"/>
      <c r="KP7" s="6"/>
      <c r="KQ7" s="6"/>
      <c r="KR7" s="6"/>
      <c r="KS7" s="6"/>
      <c r="KT7" s="6"/>
      <c r="KU7" s="6"/>
      <c r="KV7" s="6"/>
      <c r="KW7" s="6"/>
      <c r="KX7" s="6"/>
      <c r="KY7" s="6"/>
      <c r="KZ7" s="6"/>
      <c r="LA7" s="6"/>
      <c r="LB7" s="6"/>
      <c r="LC7" s="6"/>
      <c r="LD7" s="6"/>
      <c r="LE7" s="6"/>
      <c r="LF7" s="6"/>
      <c r="LG7" s="6"/>
      <c r="LH7" s="6"/>
      <c r="LI7" s="6"/>
      <c r="LJ7" s="6"/>
      <c r="LK7" s="6"/>
      <c r="LL7" s="6"/>
      <c r="LM7" s="6"/>
      <c r="LN7" s="6"/>
      <c r="LO7" s="6"/>
      <c r="LP7" s="6"/>
      <c r="LQ7" s="6"/>
      <c r="LR7" s="6"/>
      <c r="LS7" s="6"/>
      <c r="LT7" s="6"/>
      <c r="LU7" s="6"/>
      <c r="LV7" s="6"/>
      <c r="LW7" s="6"/>
      <c r="LX7" s="51"/>
      <c r="LY7" s="51"/>
      <c r="LZ7" s="51"/>
      <c r="MA7" s="51"/>
      <c r="MB7" s="51"/>
      <c r="MC7" s="51"/>
      <c r="MD7" s="51"/>
      <c r="ME7" s="6"/>
      <c r="MF7" s="6"/>
      <c r="MG7" s="6"/>
      <c r="MH7" s="6"/>
      <c r="MI7" s="6"/>
      <c r="MJ7" s="6"/>
      <c r="MK7" s="6"/>
      <c r="ML7" s="6"/>
      <c r="MM7" s="6"/>
      <c r="MN7" s="6"/>
      <c r="MO7" s="6"/>
      <c r="MP7" s="6"/>
      <c r="MQ7" s="6"/>
      <c r="MR7" s="6"/>
      <c r="MS7" s="6"/>
      <c r="MT7" s="6"/>
      <c r="MU7" s="6"/>
      <c r="MV7" s="6"/>
      <c r="MW7" s="6"/>
      <c r="MX7" s="6"/>
      <c r="MY7" s="6"/>
      <c r="MZ7" s="6"/>
      <c r="NA7" s="6"/>
      <c r="NB7" s="6"/>
      <c r="NC7" s="6"/>
      <c r="ND7" s="6"/>
      <c r="NE7" s="6"/>
      <c r="NF7" s="6"/>
      <c r="NG7" s="6"/>
      <c r="NH7" s="6"/>
      <c r="NI7" s="6"/>
      <c r="NJ7" s="6"/>
      <c r="NK7" s="6"/>
      <c r="NL7" s="6"/>
      <c r="NM7" s="6"/>
      <c r="NN7" s="6"/>
      <c r="NO7" s="6"/>
      <c r="NP7" s="6"/>
      <c r="NQ7" s="6"/>
      <c r="NR7" s="6"/>
      <c r="NS7" s="6"/>
      <c r="NT7" s="6"/>
      <c r="NU7" s="6"/>
      <c r="NV7" s="6"/>
      <c r="NW7" s="6"/>
      <c r="NX7" s="6"/>
      <c r="NY7" s="6"/>
      <c r="NZ7" s="6"/>
      <c r="OA7" s="6"/>
      <c r="OB7" s="6"/>
      <c r="OC7" s="6"/>
      <c r="OD7" s="6"/>
      <c r="OE7" s="6"/>
      <c r="OF7" s="6"/>
      <c r="OG7" s="6"/>
      <c r="OH7" s="6"/>
      <c r="OI7" s="6"/>
      <c r="OJ7" s="6"/>
      <c r="OK7" s="6"/>
      <c r="OL7" s="6"/>
      <c r="OM7" s="6"/>
      <c r="ON7" s="6"/>
      <c r="OO7" s="6"/>
      <c r="OP7" s="6"/>
      <c r="OQ7" s="6"/>
      <c r="OR7" s="6"/>
      <c r="OS7" s="6"/>
      <c r="OT7" s="6"/>
      <c r="OU7" s="6"/>
      <c r="OV7" s="6"/>
      <c r="OW7" s="6"/>
      <c r="OX7" s="6"/>
      <c r="OY7" s="6"/>
      <c r="OZ7" s="6"/>
      <c r="QQ7" s="8"/>
      <c r="QR7" s="8"/>
      <c r="QS7" s="8"/>
      <c r="QT7" s="8"/>
      <c r="QU7" s="8"/>
      <c r="QV7" s="8"/>
      <c r="QW7" s="8"/>
      <c r="QX7" s="8"/>
      <c r="QY7" s="6"/>
      <c r="QZ7" s="6"/>
      <c r="RA7" s="6"/>
      <c r="RB7" s="6"/>
      <c r="RC7" s="6"/>
      <c r="RD7" s="6"/>
      <c r="RE7" s="6"/>
      <c r="RF7" s="6"/>
      <c r="RG7" s="6"/>
      <c r="RH7" s="6"/>
      <c r="RI7" s="6"/>
      <c r="RJ7" s="6"/>
      <c r="RK7" s="6"/>
      <c r="RL7" s="6"/>
      <c r="RM7" s="6"/>
      <c r="RN7" s="6"/>
      <c r="RO7" s="6"/>
      <c r="RP7" s="6"/>
      <c r="RQ7" s="6"/>
      <c r="RR7" s="6"/>
      <c r="RS7" s="6"/>
      <c r="RT7" s="6"/>
      <c r="RU7" s="6"/>
      <c r="RV7" s="6"/>
      <c r="RW7" s="6"/>
      <c r="RX7" s="6"/>
      <c r="RY7" s="6"/>
      <c r="RZ7" s="6"/>
      <c r="SA7" s="6"/>
      <c r="SB7" s="6"/>
      <c r="SC7" s="6"/>
      <c r="SD7" s="6"/>
      <c r="SE7" s="6"/>
      <c r="SF7" s="6"/>
      <c r="SG7" s="6"/>
      <c r="SH7" s="6"/>
      <c r="SI7" s="6"/>
      <c r="SJ7" s="6"/>
      <c r="SK7" s="6"/>
      <c r="SL7" s="6"/>
      <c r="SM7" s="7"/>
      <c r="SN7" s="7"/>
      <c r="SO7" s="7"/>
      <c r="SP7" s="7"/>
      <c r="SQ7" s="7"/>
      <c r="SR7" s="6"/>
      <c r="SS7" s="6"/>
      <c r="ST7" s="6"/>
      <c r="SU7" s="6"/>
      <c r="SV7" s="6"/>
      <c r="SW7" s="6"/>
      <c r="SX7" s="6"/>
      <c r="SY7" s="6"/>
      <c r="SZ7" s="6"/>
      <c r="TA7" s="6"/>
      <c r="TB7" s="6"/>
      <c r="TC7" s="6"/>
      <c r="TD7" s="6"/>
      <c r="TE7" s="6"/>
      <c r="TF7" s="6"/>
      <c r="TG7" s="6"/>
      <c r="TH7" s="6"/>
      <c r="TI7" s="6"/>
      <c r="TJ7" s="6"/>
      <c r="TK7" s="6"/>
      <c r="TL7" s="6"/>
      <c r="TM7" s="6"/>
      <c r="TN7" s="6"/>
      <c r="TO7" s="6"/>
      <c r="TP7" s="6"/>
      <c r="TQ7" s="6"/>
      <c r="TR7" s="6"/>
      <c r="TS7" s="6"/>
      <c r="TT7" s="6"/>
      <c r="TU7" s="6"/>
      <c r="TV7" s="6"/>
      <c r="TW7" s="6"/>
      <c r="TX7" s="6"/>
      <c r="TY7" s="6"/>
      <c r="TZ7" s="6"/>
      <c r="UA7" s="6"/>
      <c r="UB7" s="6"/>
      <c r="UC7" s="6"/>
      <c r="UD7" s="6"/>
      <c r="UE7" s="6"/>
      <c r="UF7" s="6"/>
      <c r="UG7" s="6"/>
      <c r="UH7" s="6"/>
      <c r="UI7" s="6"/>
      <c r="UJ7" s="6"/>
      <c r="UK7" s="6"/>
      <c r="UL7" s="6"/>
      <c r="UM7" s="6"/>
      <c r="UN7" s="6"/>
      <c r="UO7" s="6"/>
      <c r="UP7" s="6"/>
      <c r="UQ7" s="6"/>
      <c r="UR7" s="6"/>
      <c r="US7" s="6"/>
      <c r="UT7" s="6"/>
      <c r="UU7" s="6"/>
      <c r="UV7" s="6"/>
      <c r="UW7" s="6"/>
      <c r="UX7" s="6"/>
      <c r="UY7" s="6"/>
      <c r="UZ7" s="6"/>
      <c r="VA7" s="6"/>
      <c r="VB7" s="6"/>
      <c r="VC7" s="6"/>
      <c r="VD7" s="6"/>
      <c r="VE7" s="6"/>
      <c r="VF7" s="6"/>
      <c r="VG7" s="6"/>
      <c r="VH7" s="6"/>
      <c r="VI7" s="6"/>
      <c r="VJ7" s="6"/>
      <c r="VK7" s="6"/>
      <c r="VL7" s="6"/>
      <c r="VM7" s="6"/>
      <c r="VN7" s="6"/>
      <c r="VO7" s="6"/>
      <c r="VP7" s="6"/>
      <c r="VQ7" s="6"/>
      <c r="VR7" s="6"/>
      <c r="VS7" s="6"/>
      <c r="VT7" s="6"/>
      <c r="VU7" s="6"/>
      <c r="VV7" s="6"/>
      <c r="VW7" s="6"/>
      <c r="VX7" s="6"/>
      <c r="VY7" s="6"/>
      <c r="VZ7" s="6"/>
      <c r="WA7" s="6"/>
      <c r="WB7" s="6"/>
      <c r="WC7" s="6"/>
      <c r="WD7" s="6"/>
      <c r="WE7" s="6"/>
      <c r="WF7" s="6"/>
      <c r="WG7" s="6"/>
      <c r="WH7" s="6"/>
      <c r="WI7" s="6"/>
      <c r="WJ7" s="6"/>
      <c r="WK7" s="6"/>
      <c r="WL7" s="6"/>
      <c r="WM7" s="6"/>
      <c r="WN7" s="6"/>
      <c r="WO7" s="6"/>
      <c r="WP7" s="6"/>
      <c r="WQ7" s="6"/>
      <c r="WR7" s="6"/>
      <c r="WS7" s="6"/>
      <c r="WT7" s="6"/>
      <c r="WU7" s="6"/>
      <c r="WV7" s="6"/>
      <c r="WW7" s="6"/>
      <c r="WX7" s="6"/>
      <c r="WY7" s="6"/>
      <c r="WZ7" s="6"/>
      <c r="XA7" s="6"/>
      <c r="XB7" s="6"/>
      <c r="XC7" s="6"/>
      <c r="XD7" s="6"/>
      <c r="XE7" s="6"/>
      <c r="XF7" s="6"/>
      <c r="XG7" s="6"/>
      <c r="XH7" s="6"/>
      <c r="XI7" s="6"/>
      <c r="XJ7" s="6"/>
      <c r="XK7" s="6"/>
      <c r="XL7" s="6"/>
      <c r="XM7" s="6"/>
      <c r="XN7" s="6"/>
      <c r="XO7" s="6"/>
      <c r="XP7" s="6"/>
      <c r="XQ7" s="6"/>
      <c r="XR7" s="6"/>
      <c r="XS7" s="6"/>
      <c r="XT7" s="6"/>
      <c r="XU7" s="6"/>
      <c r="XV7" s="6"/>
      <c r="XW7" s="6"/>
      <c r="XX7" s="6"/>
      <c r="XY7" s="6"/>
      <c r="XZ7" s="6"/>
      <c r="YA7" s="6"/>
      <c r="YB7" s="6"/>
      <c r="YC7" s="6"/>
      <c r="YD7" s="6"/>
      <c r="YE7" s="6"/>
      <c r="YF7" s="6"/>
      <c r="YG7" s="6"/>
      <c r="YH7" s="6"/>
      <c r="YI7" s="6"/>
      <c r="YJ7" s="6"/>
      <c r="YK7" s="6"/>
      <c r="YL7" s="6"/>
      <c r="YM7" s="6"/>
      <c r="YN7" s="6"/>
      <c r="YO7" s="6"/>
      <c r="YP7" s="6"/>
      <c r="YQ7" s="6"/>
      <c r="YR7" s="6"/>
      <c r="YS7" s="6"/>
      <c r="YT7" s="6"/>
      <c r="YU7" s="6"/>
      <c r="YV7" s="6"/>
      <c r="YW7" s="6"/>
      <c r="YX7" s="6"/>
      <c r="YY7" s="6"/>
      <c r="YZ7" s="6"/>
      <c r="ZA7" s="6"/>
      <c r="ZB7" s="6"/>
      <c r="ZC7" s="6"/>
      <c r="ZD7" s="6"/>
      <c r="ZE7" s="6"/>
      <c r="ZF7" s="6"/>
      <c r="ZG7" s="6"/>
      <c r="ZH7" s="6"/>
      <c r="ZI7" s="6"/>
      <c r="ZJ7" s="6"/>
      <c r="ZK7" s="6"/>
      <c r="ZL7" s="6"/>
      <c r="ZM7" s="6"/>
      <c r="ZN7" s="6"/>
      <c r="ZO7" s="6"/>
      <c r="ZP7" s="6"/>
      <c r="ZQ7" s="6"/>
      <c r="ZR7" s="6"/>
      <c r="ZS7" s="6"/>
      <c r="ZT7" s="6"/>
      <c r="ZU7" s="6"/>
      <c r="ZV7" s="6"/>
      <c r="ZW7" s="6"/>
      <c r="ZX7" s="6"/>
      <c r="ZY7" s="6"/>
      <c r="ZZ7" s="6"/>
      <c r="AAA7" s="6"/>
      <c r="AAB7" s="6"/>
      <c r="AAC7" s="6"/>
      <c r="AAD7" s="6"/>
      <c r="AAE7" s="6"/>
      <c r="AAF7" s="6"/>
      <c r="AAG7" s="6"/>
      <c r="AAH7" s="6"/>
      <c r="AAI7" s="6"/>
      <c r="AAJ7" s="6"/>
      <c r="AAK7" s="6"/>
      <c r="AAL7" s="6"/>
      <c r="AAM7" s="6"/>
      <c r="AAN7" s="6"/>
      <c r="AAO7" s="6"/>
      <c r="AAP7" s="6"/>
      <c r="AAQ7" s="6"/>
      <c r="AAR7" s="6"/>
      <c r="AAS7" s="6"/>
      <c r="AAT7" s="6"/>
      <c r="AAU7" s="6"/>
      <c r="AAV7" s="6"/>
      <c r="AAW7" s="6"/>
      <c r="AAX7" s="6"/>
      <c r="AAY7" s="6"/>
      <c r="AAZ7" s="6"/>
      <c r="ABA7" s="6"/>
      <c r="ABB7" s="6"/>
      <c r="ABC7" s="6"/>
      <c r="ABD7" s="6"/>
      <c r="ABE7" s="6"/>
      <c r="ABF7" s="6"/>
      <c r="ABG7" s="6"/>
      <c r="ABH7" s="6"/>
      <c r="ABI7" s="6"/>
      <c r="ABJ7" s="6"/>
      <c r="ABK7" s="6"/>
      <c r="ABL7" s="6"/>
      <c r="ABM7" s="6"/>
      <c r="ABN7" s="6"/>
      <c r="ABO7" s="6"/>
      <c r="ABP7" s="6"/>
      <c r="ABQ7" s="6"/>
      <c r="ABR7" s="6"/>
      <c r="ABS7" s="6"/>
      <c r="ABT7" s="6"/>
      <c r="ABU7" s="6"/>
      <c r="ABV7" s="6"/>
      <c r="ABW7" s="6"/>
      <c r="ABX7" s="6"/>
      <c r="ABY7" s="6"/>
      <c r="ABZ7" s="6"/>
      <c r="ACA7" s="6"/>
      <c r="ACB7" s="6"/>
      <c r="ACC7" s="6"/>
      <c r="ACD7" s="6"/>
      <c r="ACE7" s="6"/>
      <c r="ACF7" s="6"/>
      <c r="ACG7" s="6"/>
      <c r="ACH7" s="6"/>
      <c r="ACI7" s="6"/>
      <c r="ACJ7" s="6"/>
      <c r="ACK7" s="6"/>
      <c r="ACL7" s="6"/>
      <c r="ACM7" s="6"/>
      <c r="ACN7" s="6"/>
      <c r="ACO7" s="6"/>
      <c r="ACP7" s="6"/>
      <c r="ACQ7" s="6"/>
      <c r="ACR7" s="6"/>
      <c r="ACS7" s="6"/>
      <c r="ACT7" s="6"/>
      <c r="ACU7" s="6"/>
      <c r="ACV7" s="6"/>
      <c r="ACW7" s="6"/>
      <c r="ACX7" s="6"/>
      <c r="ACY7" s="6"/>
      <c r="ACZ7" s="6"/>
      <c r="ADA7" s="6"/>
      <c r="ADB7" s="6"/>
      <c r="ADC7" s="6"/>
      <c r="ADD7" s="6"/>
      <c r="ADE7" s="6"/>
      <c r="ADF7" s="6"/>
      <c r="ADG7" s="6"/>
      <c r="ADH7" s="6"/>
      <c r="ADI7" s="6"/>
      <c r="ADJ7" s="6"/>
      <c r="ADK7" s="6"/>
      <c r="ADL7" s="6"/>
      <c r="ADM7" s="6"/>
      <c r="ADN7" s="6"/>
      <c r="ADQ7" t="s">
        <v>0</v>
      </c>
      <c r="ADR7">
        <v>1</v>
      </c>
      <c r="ADS7">
        <v>0</v>
      </c>
      <c r="ADT7">
        <v>1</v>
      </c>
      <c r="ADU7">
        <v>1</v>
      </c>
      <c r="ANH7">
        <v>31</v>
      </c>
      <c r="ANJ7">
        <v>1</v>
      </c>
      <c r="ANM7">
        <v>1</v>
      </c>
      <c r="ASC7">
        <v>1</v>
      </c>
      <c r="ASF7">
        <v>1</v>
      </c>
      <c r="ASJ7">
        <v>1</v>
      </c>
      <c r="ASL7">
        <v>1</v>
      </c>
      <c r="ASS7">
        <v>1</v>
      </c>
      <c r="AWT7">
        <v>1</v>
      </c>
      <c r="BAZ7">
        <v>1</v>
      </c>
      <c r="DCG7">
        <v>1</v>
      </c>
      <c r="DCR7">
        <v>1</v>
      </c>
      <c r="GCE7">
        <v>1</v>
      </c>
      <c r="GCI7">
        <v>1</v>
      </c>
      <c r="GCK7">
        <v>1</v>
      </c>
      <c r="GCP7">
        <v>1</v>
      </c>
      <c r="GDS7">
        <v>1</v>
      </c>
      <c r="GEK7">
        <v>1</v>
      </c>
      <c r="GER7">
        <v>1</v>
      </c>
      <c r="GES7">
        <v>1</v>
      </c>
      <c r="GET7">
        <v>1</v>
      </c>
      <c r="GEU7">
        <v>1</v>
      </c>
      <c r="GEY7">
        <v>1</v>
      </c>
      <c r="GFC7">
        <v>1</v>
      </c>
      <c r="GFD7">
        <v>1</v>
      </c>
      <c r="GFH7">
        <v>1</v>
      </c>
      <c r="GHZ7">
        <v>1</v>
      </c>
      <c r="GIA7">
        <v>1</v>
      </c>
      <c r="GIE7">
        <v>1</v>
      </c>
      <c r="GIU7">
        <v>1</v>
      </c>
      <c r="GLM7">
        <v>1</v>
      </c>
      <c r="GLO7">
        <v>1</v>
      </c>
      <c r="GLP7">
        <v>1</v>
      </c>
      <c r="GMA7">
        <v>1</v>
      </c>
    </row>
    <row r="8" spans="1:5088" x14ac:dyDescent="0.25">
      <c r="A8" s="50">
        <v>95005911</v>
      </c>
      <c r="LX8" s="50"/>
      <c r="LY8" s="50"/>
      <c r="LZ8" s="50"/>
      <c r="MA8" s="50">
        <v>5.3</v>
      </c>
      <c r="MB8" s="50"/>
      <c r="MC8" s="50"/>
      <c r="MD8" s="50"/>
      <c r="ANH8">
        <v>56</v>
      </c>
      <c r="ANJ8">
        <v>1</v>
      </c>
      <c r="ANK8">
        <v>26</v>
      </c>
      <c r="ANN8">
        <v>26</v>
      </c>
      <c r="ANO8">
        <v>1</v>
      </c>
      <c r="AQU8">
        <v>1</v>
      </c>
      <c r="ARK8">
        <v>1</v>
      </c>
      <c r="ATN8">
        <v>1</v>
      </c>
      <c r="AWT8">
        <v>1</v>
      </c>
      <c r="AWW8">
        <v>1</v>
      </c>
      <c r="AXB8">
        <v>3</v>
      </c>
      <c r="AXC8">
        <v>18</v>
      </c>
      <c r="AXD8">
        <v>15</v>
      </c>
      <c r="AXE8">
        <v>0</v>
      </c>
      <c r="AXF8">
        <v>3</v>
      </c>
      <c r="AYF8">
        <v>100</v>
      </c>
      <c r="AYJ8">
        <v>1</v>
      </c>
      <c r="AYK8">
        <v>22</v>
      </c>
      <c r="AYL8">
        <v>18</v>
      </c>
      <c r="AYM8">
        <v>0</v>
      </c>
      <c r="AYN8">
        <v>3</v>
      </c>
      <c r="AYO8">
        <v>4</v>
      </c>
      <c r="AYP8">
        <v>1</v>
      </c>
      <c r="AYS8">
        <v>1</v>
      </c>
      <c r="AYV8">
        <v>3</v>
      </c>
      <c r="AYW8">
        <v>18</v>
      </c>
      <c r="AYX8">
        <v>15</v>
      </c>
      <c r="AYY8">
        <v>0</v>
      </c>
      <c r="AYZ8">
        <v>5</v>
      </c>
      <c r="BFK8">
        <v>1</v>
      </c>
      <c r="BFN8">
        <v>1</v>
      </c>
      <c r="BFQ8">
        <v>3</v>
      </c>
      <c r="BFR8">
        <v>18</v>
      </c>
      <c r="BFS8">
        <v>15</v>
      </c>
      <c r="BFT8">
        <v>0</v>
      </c>
      <c r="BFU8">
        <v>5</v>
      </c>
      <c r="BXL8">
        <v>1</v>
      </c>
      <c r="BXQ8">
        <v>1</v>
      </c>
      <c r="BXR8" s="15">
        <v>27</v>
      </c>
      <c r="BXS8">
        <v>999</v>
      </c>
      <c r="BXT8">
        <v>0</v>
      </c>
      <c r="BXU8">
        <v>2</v>
      </c>
      <c r="BXV8">
        <v>5</v>
      </c>
      <c r="DRE8">
        <v>1</v>
      </c>
      <c r="DRH8">
        <v>1</v>
      </c>
      <c r="DVD8">
        <v>1</v>
      </c>
      <c r="DVI8">
        <v>1</v>
      </c>
      <c r="DVJ8" s="35">
        <v>24</v>
      </c>
      <c r="DVK8">
        <v>18</v>
      </c>
      <c r="DVL8">
        <v>0</v>
      </c>
      <c r="DVM8">
        <v>999</v>
      </c>
      <c r="DVN8">
        <v>6</v>
      </c>
      <c r="EEX8">
        <v>1</v>
      </c>
      <c r="EFC8">
        <v>1</v>
      </c>
      <c r="EFD8">
        <v>22</v>
      </c>
      <c r="EFE8">
        <v>18</v>
      </c>
      <c r="EFF8">
        <v>0</v>
      </c>
      <c r="EFG8">
        <v>3</v>
      </c>
      <c r="EFH8">
        <v>4</v>
      </c>
      <c r="FSS8">
        <v>1</v>
      </c>
      <c r="FSX8">
        <v>1</v>
      </c>
      <c r="FSY8" s="15">
        <v>29</v>
      </c>
      <c r="FSZ8">
        <v>999</v>
      </c>
      <c r="FTA8">
        <v>0</v>
      </c>
      <c r="FTB8">
        <v>999</v>
      </c>
      <c r="FTC8">
        <v>6</v>
      </c>
      <c r="FTD8">
        <v>1</v>
      </c>
      <c r="FTG8">
        <v>1</v>
      </c>
      <c r="FTJ8">
        <v>3</v>
      </c>
      <c r="FTK8">
        <v>18</v>
      </c>
      <c r="FTL8">
        <v>15</v>
      </c>
      <c r="FTM8">
        <v>0</v>
      </c>
      <c r="FTN8">
        <v>6</v>
      </c>
    </row>
    <row r="9" spans="1:5088" x14ac:dyDescent="0.25">
      <c r="A9" s="50">
        <v>99001908</v>
      </c>
      <c r="LX9" s="50"/>
      <c r="LY9" s="50"/>
      <c r="LZ9" s="50"/>
      <c r="MA9" s="50"/>
      <c r="MB9" s="50"/>
      <c r="MC9" s="50"/>
      <c r="MD9" s="50"/>
      <c r="ANH9">
        <v>81</v>
      </c>
      <c r="ANJ9">
        <v>1</v>
      </c>
      <c r="ANK9">
        <v>24.6</v>
      </c>
      <c r="ANM9">
        <v>1</v>
      </c>
      <c r="ANN9">
        <v>46</v>
      </c>
      <c r="AOG9">
        <v>1</v>
      </c>
      <c r="AOL9">
        <v>1</v>
      </c>
      <c r="APB9">
        <v>1</v>
      </c>
      <c r="ATK9">
        <v>1</v>
      </c>
      <c r="ATL9">
        <v>1</v>
      </c>
      <c r="AWV9">
        <v>1</v>
      </c>
      <c r="AWY9">
        <v>1</v>
      </c>
      <c r="AXB9" s="15">
        <v>19</v>
      </c>
      <c r="AXC9">
        <v>999</v>
      </c>
      <c r="AXD9">
        <v>9</v>
      </c>
      <c r="AXE9">
        <v>0</v>
      </c>
      <c r="AXF9">
        <v>4</v>
      </c>
      <c r="BJM9">
        <v>1</v>
      </c>
      <c r="BJO9">
        <v>4</v>
      </c>
      <c r="BJP9">
        <v>19</v>
      </c>
      <c r="BJQ9">
        <v>11</v>
      </c>
      <c r="BJR9">
        <v>0</v>
      </c>
      <c r="BJS9">
        <v>5</v>
      </c>
      <c r="CBC9">
        <v>1</v>
      </c>
      <c r="CBF9">
        <v>1</v>
      </c>
      <c r="CBG9" s="36">
        <v>29</v>
      </c>
      <c r="CBH9">
        <v>999</v>
      </c>
      <c r="CBI9">
        <v>0</v>
      </c>
      <c r="CBJ9">
        <v>999</v>
      </c>
      <c r="CBK9">
        <v>5</v>
      </c>
      <c r="CEE9">
        <v>5</v>
      </c>
      <c r="CEF9">
        <v>2</v>
      </c>
      <c r="CEI9">
        <v>1</v>
      </c>
      <c r="CEJ9" s="36">
        <v>29</v>
      </c>
      <c r="CEK9">
        <v>999</v>
      </c>
      <c r="CEL9">
        <v>0</v>
      </c>
      <c r="CEM9">
        <v>999</v>
      </c>
      <c r="CEN9">
        <v>6</v>
      </c>
      <c r="FGF9">
        <v>1</v>
      </c>
      <c r="FGG9" s="35">
        <v>9</v>
      </c>
      <c r="FGH9">
        <v>7</v>
      </c>
      <c r="FGI9">
        <v>0</v>
      </c>
      <c r="FGJ9">
        <v>999</v>
      </c>
      <c r="FGK9">
        <v>6</v>
      </c>
      <c r="FTP9">
        <v>2</v>
      </c>
      <c r="FTS9">
        <v>1</v>
      </c>
      <c r="FTT9" s="35">
        <v>9</v>
      </c>
      <c r="FTU9">
        <v>7</v>
      </c>
      <c r="FTV9">
        <v>0</v>
      </c>
      <c r="FTW9">
        <v>999</v>
      </c>
      <c r="FTX9">
        <v>6</v>
      </c>
      <c r="FTY9">
        <v>1</v>
      </c>
      <c r="FTZ9">
        <v>2</v>
      </c>
      <c r="FUD9" s="36">
        <v>29</v>
      </c>
      <c r="FUE9">
        <v>999</v>
      </c>
      <c r="FUF9">
        <v>0</v>
      </c>
      <c r="FUG9">
        <v>999</v>
      </c>
      <c r="FUH9">
        <v>6</v>
      </c>
      <c r="FWH9">
        <v>1</v>
      </c>
      <c r="FWO9">
        <v>1</v>
      </c>
      <c r="FXS9">
        <v>1</v>
      </c>
      <c r="GDI9">
        <v>1</v>
      </c>
      <c r="GFG9">
        <v>1</v>
      </c>
      <c r="GFH9">
        <v>1</v>
      </c>
    </row>
    <row r="10" spans="1:5088" x14ac:dyDescent="0.25">
      <c r="A10" s="50">
        <v>99004067</v>
      </c>
      <c r="IH10">
        <v>1.45</v>
      </c>
      <c r="LX10" s="50"/>
      <c r="LY10" s="50"/>
      <c r="LZ10" s="50"/>
      <c r="MA10" s="50"/>
      <c r="MB10" s="50"/>
      <c r="MC10" s="50"/>
      <c r="MD10" s="50"/>
      <c r="NN10">
        <v>114.2</v>
      </c>
      <c r="ANH10">
        <v>68</v>
      </c>
      <c r="ANJ10">
        <v>1</v>
      </c>
      <c r="ANK10">
        <v>25.1</v>
      </c>
      <c r="ANM10">
        <v>1</v>
      </c>
      <c r="ANN10">
        <v>24</v>
      </c>
      <c r="ANS10">
        <v>1</v>
      </c>
      <c r="ANV10">
        <v>1</v>
      </c>
      <c r="AOK10">
        <v>1</v>
      </c>
      <c r="APB10">
        <v>1</v>
      </c>
      <c r="ARD10">
        <v>1</v>
      </c>
      <c r="ARV10">
        <v>1</v>
      </c>
      <c r="AWU10">
        <v>46.5</v>
      </c>
      <c r="AWV10" t="s">
        <v>228</v>
      </c>
      <c r="AWY10">
        <v>1</v>
      </c>
      <c r="AXB10" s="36">
        <v>29</v>
      </c>
      <c r="AXC10">
        <v>999</v>
      </c>
      <c r="AXD10">
        <v>0</v>
      </c>
      <c r="AXE10">
        <v>999</v>
      </c>
      <c r="AXF10">
        <v>4</v>
      </c>
      <c r="AYF10">
        <v>500</v>
      </c>
      <c r="AYG10">
        <v>0.25</v>
      </c>
      <c r="AYJ10">
        <v>1</v>
      </c>
      <c r="AYK10">
        <v>29</v>
      </c>
      <c r="AYL10">
        <v>999</v>
      </c>
      <c r="AYM10">
        <v>0</v>
      </c>
      <c r="AYN10">
        <v>999</v>
      </c>
      <c r="AYO10">
        <v>5</v>
      </c>
      <c r="BOK10">
        <v>500</v>
      </c>
      <c r="BOL10">
        <v>2</v>
      </c>
      <c r="BOO10">
        <v>1</v>
      </c>
      <c r="BOP10">
        <v>14</v>
      </c>
      <c r="BOQ10">
        <v>11</v>
      </c>
      <c r="BOR10">
        <v>0</v>
      </c>
      <c r="BOS10">
        <v>2</v>
      </c>
      <c r="BOT10">
        <v>4</v>
      </c>
      <c r="BXB10">
        <v>10</v>
      </c>
      <c r="BXC10">
        <v>1</v>
      </c>
      <c r="BXF10">
        <v>1</v>
      </c>
      <c r="BXG10">
        <v>29</v>
      </c>
      <c r="BXH10">
        <v>999</v>
      </c>
      <c r="BXI10">
        <v>0</v>
      </c>
      <c r="BXJ10">
        <v>999</v>
      </c>
      <c r="BXK10">
        <v>5</v>
      </c>
      <c r="CBM10">
        <v>60</v>
      </c>
      <c r="CBN10">
        <v>1</v>
      </c>
      <c r="CBQ10">
        <v>1</v>
      </c>
      <c r="CBR10" s="36">
        <v>29</v>
      </c>
      <c r="CBS10">
        <v>999</v>
      </c>
      <c r="CBT10">
        <v>0</v>
      </c>
      <c r="CBU10">
        <v>999</v>
      </c>
      <c r="CBV10">
        <v>5</v>
      </c>
      <c r="CNC10">
        <v>3</v>
      </c>
      <c r="CNF10">
        <v>1</v>
      </c>
      <c r="CNH10" s="35">
        <v>15</v>
      </c>
      <c r="CNI10">
        <v>11</v>
      </c>
      <c r="CNJ10">
        <v>0</v>
      </c>
      <c r="CNK10">
        <v>999</v>
      </c>
      <c r="CNL10">
        <v>5</v>
      </c>
      <c r="CRL10">
        <v>1</v>
      </c>
      <c r="CRO10">
        <v>1</v>
      </c>
      <c r="CRP10" s="36">
        <v>29</v>
      </c>
      <c r="CRQ10">
        <v>999</v>
      </c>
      <c r="CRR10">
        <v>0</v>
      </c>
      <c r="CRS10">
        <v>999</v>
      </c>
      <c r="CRT10">
        <v>6</v>
      </c>
      <c r="DDP10">
        <v>96</v>
      </c>
      <c r="DDT10">
        <v>1</v>
      </c>
      <c r="DDV10" s="36">
        <v>29</v>
      </c>
      <c r="DDW10">
        <v>999</v>
      </c>
      <c r="DDX10">
        <v>0</v>
      </c>
      <c r="DDY10">
        <v>999</v>
      </c>
      <c r="DDZ10">
        <v>6</v>
      </c>
      <c r="DEA10">
        <v>2</v>
      </c>
      <c r="DEB10">
        <v>1</v>
      </c>
      <c r="DEE10">
        <v>1</v>
      </c>
      <c r="DEF10" s="36">
        <v>29</v>
      </c>
      <c r="DEG10">
        <v>999</v>
      </c>
      <c r="DEH10">
        <v>0</v>
      </c>
      <c r="DEI10">
        <v>999</v>
      </c>
      <c r="DEJ10">
        <v>6</v>
      </c>
      <c r="DFE10">
        <v>1.25</v>
      </c>
      <c r="DFF10">
        <v>3</v>
      </c>
      <c r="DFI10">
        <v>1</v>
      </c>
      <c r="DFJ10" s="35">
        <v>15</v>
      </c>
      <c r="DFK10">
        <v>11</v>
      </c>
      <c r="DFL10">
        <v>0</v>
      </c>
      <c r="DFM10">
        <v>999</v>
      </c>
      <c r="DFN10">
        <v>5</v>
      </c>
      <c r="DSU10">
        <v>200</v>
      </c>
      <c r="DSV10">
        <v>3</v>
      </c>
      <c r="DSY10">
        <v>1</v>
      </c>
      <c r="DSZ10">
        <v>14</v>
      </c>
      <c r="DTA10">
        <v>11</v>
      </c>
      <c r="DTB10">
        <v>0</v>
      </c>
      <c r="DTC10">
        <v>2</v>
      </c>
      <c r="DTD10">
        <v>5</v>
      </c>
      <c r="ESD10" s="2">
        <v>3</v>
      </c>
      <c r="ESG10">
        <v>1</v>
      </c>
      <c r="ESH10" s="35">
        <v>15</v>
      </c>
      <c r="ESI10">
        <v>11</v>
      </c>
      <c r="ESJ10">
        <v>0</v>
      </c>
      <c r="ESK10">
        <v>999</v>
      </c>
      <c r="ESL10">
        <v>5</v>
      </c>
      <c r="GDI10">
        <v>1</v>
      </c>
      <c r="GFE10">
        <v>1</v>
      </c>
    </row>
    <row r="11" spans="1:5088" x14ac:dyDescent="0.25">
      <c r="A11" s="50">
        <v>97002136</v>
      </c>
      <c r="LX11" s="50"/>
      <c r="LY11" s="50"/>
      <c r="LZ11" s="50"/>
      <c r="MA11" s="50"/>
      <c r="MB11" s="50"/>
      <c r="MC11" s="50"/>
      <c r="MD11" s="50"/>
      <c r="ADM11">
        <v>1</v>
      </c>
      <c r="ADN11">
        <v>1</v>
      </c>
      <c r="ANH11">
        <v>71</v>
      </c>
      <c r="ANJ11">
        <v>1</v>
      </c>
      <c r="ANK11">
        <v>24.4</v>
      </c>
      <c r="ANN11">
        <v>45</v>
      </c>
      <c r="ANS11">
        <v>1</v>
      </c>
      <c r="AQV11">
        <v>1</v>
      </c>
      <c r="AUA11">
        <v>1</v>
      </c>
      <c r="AXA11">
        <v>1</v>
      </c>
      <c r="AXB11" s="35">
        <v>22</v>
      </c>
      <c r="AXC11">
        <v>17</v>
      </c>
      <c r="AXD11">
        <v>0</v>
      </c>
      <c r="AXE11">
        <v>999</v>
      </c>
      <c r="AXF11">
        <v>6</v>
      </c>
      <c r="CCG11">
        <v>1</v>
      </c>
      <c r="CCH11">
        <v>1</v>
      </c>
      <c r="CCK11">
        <v>1</v>
      </c>
      <c r="CCL11" s="15">
        <v>28</v>
      </c>
      <c r="CCM11">
        <v>24</v>
      </c>
      <c r="CCN11">
        <v>0</v>
      </c>
      <c r="CCO11">
        <v>3</v>
      </c>
      <c r="CCP11">
        <v>6</v>
      </c>
      <c r="CDL11">
        <v>1</v>
      </c>
      <c r="CDO11">
        <v>1</v>
      </c>
      <c r="CDP11" s="35">
        <v>21</v>
      </c>
      <c r="CDQ11">
        <v>17</v>
      </c>
      <c r="CDR11">
        <v>0</v>
      </c>
      <c r="CDS11">
        <v>999</v>
      </c>
      <c r="CDT11">
        <v>2</v>
      </c>
      <c r="FWO11">
        <v>1</v>
      </c>
      <c r="GES11">
        <v>1</v>
      </c>
      <c r="GFE11">
        <v>1</v>
      </c>
      <c r="GFP11">
        <v>1</v>
      </c>
      <c r="GGE11">
        <v>1</v>
      </c>
    </row>
    <row r="12" spans="1:5088" x14ac:dyDescent="0.25">
      <c r="A12" s="50">
        <v>1502</v>
      </c>
      <c r="B12" s="7"/>
      <c r="C12" s="7"/>
      <c r="D12" s="7"/>
      <c r="E12" s="7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  <c r="CZ12" s="6"/>
      <c r="DA12" s="6"/>
      <c r="DB12" s="6"/>
      <c r="DC12" s="6"/>
      <c r="DD12" s="6"/>
      <c r="DE12" s="6"/>
      <c r="DF12" s="6"/>
      <c r="DG12" s="6"/>
      <c r="DH12" s="6"/>
      <c r="DI12" s="6"/>
      <c r="DJ12" s="6"/>
      <c r="DK12" s="6"/>
      <c r="DL12" s="6"/>
      <c r="DM12" s="6"/>
      <c r="DN12" s="6"/>
      <c r="DO12" s="7"/>
      <c r="DP12" s="7"/>
      <c r="DQ12" s="7"/>
      <c r="DR12" s="7"/>
      <c r="DS12" s="7"/>
      <c r="DT12" s="7"/>
      <c r="DU12" s="7"/>
      <c r="DV12" s="7"/>
      <c r="DW12" s="7"/>
      <c r="DX12" s="7"/>
      <c r="DY12" s="7"/>
      <c r="DZ12" s="7"/>
      <c r="EA12" s="7"/>
      <c r="EB12" s="7"/>
      <c r="EC12" s="7"/>
      <c r="ED12" s="7"/>
      <c r="EE12" s="7"/>
      <c r="EF12" s="7"/>
      <c r="EG12" s="7"/>
      <c r="EH12" s="7"/>
      <c r="EI12" s="7"/>
      <c r="EJ12" s="7"/>
      <c r="EK12" s="7"/>
      <c r="EL12" s="7"/>
      <c r="EM12" s="7"/>
      <c r="EN12" s="7"/>
      <c r="EO12" s="7"/>
      <c r="EP12" s="7"/>
      <c r="EQ12" s="7"/>
      <c r="ER12" s="7"/>
      <c r="ES12" s="7"/>
      <c r="ET12" s="7"/>
      <c r="EU12" s="7"/>
      <c r="EV12" s="7"/>
      <c r="EW12" s="7"/>
      <c r="EX12" s="7"/>
      <c r="EY12" s="6"/>
      <c r="EZ12" s="6"/>
      <c r="FA12" s="6"/>
      <c r="FB12" s="6"/>
      <c r="FC12" s="6"/>
      <c r="FD12" s="6"/>
      <c r="FE12" s="6"/>
      <c r="FF12" s="6"/>
      <c r="FG12" s="6"/>
      <c r="FH12" s="6"/>
      <c r="FI12" s="6"/>
      <c r="FJ12" s="6"/>
      <c r="FK12" s="6"/>
      <c r="FL12" s="6"/>
      <c r="FM12" s="6"/>
      <c r="FN12" s="6"/>
      <c r="FO12" s="6"/>
      <c r="FP12" s="6"/>
      <c r="FQ12" s="6"/>
      <c r="FR12" s="6"/>
      <c r="FS12" s="6"/>
      <c r="FT12" s="6"/>
      <c r="FU12" s="6"/>
      <c r="FV12" s="6"/>
      <c r="FW12" s="6"/>
      <c r="FX12" s="6"/>
      <c r="FY12" s="6"/>
      <c r="FZ12" s="6"/>
      <c r="GA12" s="6"/>
      <c r="GB12" s="6"/>
      <c r="GC12" s="6"/>
      <c r="GD12" s="6"/>
      <c r="GE12" s="6"/>
      <c r="GF12" s="6"/>
      <c r="GG12" s="6"/>
      <c r="GH12" s="6"/>
      <c r="GI12" s="6"/>
      <c r="GJ12" s="6"/>
      <c r="GK12" s="6"/>
      <c r="GL12" s="6"/>
      <c r="GM12" s="6"/>
      <c r="GN12" s="6"/>
      <c r="GO12" s="6"/>
      <c r="GP12" s="6"/>
      <c r="GQ12" s="6"/>
      <c r="GR12" s="6"/>
      <c r="GS12" s="6"/>
      <c r="GT12" s="6"/>
      <c r="GU12" s="6"/>
      <c r="GV12" s="6"/>
      <c r="GW12" s="6"/>
      <c r="GX12" s="6"/>
      <c r="GY12" s="6"/>
      <c r="GZ12" s="6"/>
      <c r="HA12" s="7"/>
      <c r="HB12" s="7"/>
      <c r="HC12" s="7"/>
      <c r="HD12" s="6"/>
      <c r="HE12" s="6"/>
      <c r="HF12" s="6"/>
      <c r="HG12" s="6"/>
      <c r="HH12" s="6"/>
      <c r="HI12" s="6"/>
      <c r="HJ12" s="6"/>
      <c r="HK12" s="6"/>
      <c r="HL12" s="6"/>
      <c r="HM12" s="6"/>
      <c r="HN12" s="6"/>
      <c r="HO12" s="6"/>
      <c r="HP12" s="6"/>
      <c r="HQ12" s="6"/>
      <c r="HR12" s="6"/>
      <c r="HS12" s="6"/>
      <c r="HT12" s="6"/>
      <c r="HU12" s="6"/>
      <c r="HV12" s="6"/>
      <c r="HW12" s="6"/>
      <c r="HX12" s="6"/>
      <c r="HY12" s="6"/>
      <c r="HZ12" s="6"/>
      <c r="IA12" s="6"/>
      <c r="IB12" s="6"/>
      <c r="IC12" s="6"/>
      <c r="ID12" s="6"/>
      <c r="IE12" s="6"/>
      <c r="IF12" s="6"/>
      <c r="IG12" s="6"/>
      <c r="IH12" s="7"/>
      <c r="II12" s="7"/>
      <c r="IJ12" s="7"/>
      <c r="IK12" s="6"/>
      <c r="IL12" s="6"/>
      <c r="IM12">
        <v>0.9</v>
      </c>
      <c r="IN12" s="6"/>
      <c r="IO12" s="6"/>
      <c r="IP12" s="6"/>
      <c r="IQ12" s="6"/>
      <c r="IR12" s="6"/>
      <c r="IS12" s="6"/>
      <c r="IT12" s="6"/>
      <c r="IU12" s="6"/>
      <c r="IV12" s="6"/>
      <c r="IW12" s="6"/>
      <c r="IX12" s="6"/>
      <c r="IY12" s="6"/>
      <c r="IZ12" s="6"/>
      <c r="JA12" s="6"/>
      <c r="JB12" s="6"/>
      <c r="JC12" s="6"/>
      <c r="JD12" s="6"/>
      <c r="JE12" s="6"/>
      <c r="JF12" s="6"/>
      <c r="JG12" s="6"/>
      <c r="JH12" s="6"/>
      <c r="JI12" s="6"/>
      <c r="JJ12" s="6"/>
      <c r="JK12" s="6"/>
      <c r="JL12" s="6"/>
      <c r="JM12" s="6"/>
      <c r="JN12" s="6"/>
      <c r="JO12" s="6"/>
      <c r="JP12" s="6"/>
      <c r="JQ12" s="6"/>
      <c r="JR12" s="7"/>
      <c r="JS12" s="7"/>
      <c r="JT12" s="6"/>
      <c r="JU12" s="6"/>
      <c r="JV12" s="6"/>
      <c r="JW12" s="6"/>
      <c r="JX12" s="6"/>
      <c r="JY12" s="6"/>
      <c r="JZ12" s="6"/>
      <c r="KA12" s="6"/>
      <c r="KB12" s="6"/>
      <c r="KC12" s="6"/>
      <c r="KD12" s="6"/>
      <c r="KE12" s="6"/>
      <c r="KF12" s="6"/>
      <c r="KG12" s="6"/>
      <c r="KH12" s="6"/>
      <c r="KI12" s="6"/>
      <c r="KJ12" s="6"/>
      <c r="KK12" s="6"/>
      <c r="KL12" s="6"/>
      <c r="KM12" s="6"/>
      <c r="KN12" s="6"/>
      <c r="KO12" s="6"/>
      <c r="KP12" s="6"/>
      <c r="KQ12" s="6"/>
      <c r="KR12" s="6"/>
      <c r="KS12" s="6"/>
      <c r="KT12" s="6"/>
      <c r="KU12" s="6"/>
      <c r="KV12" s="6"/>
      <c r="KW12" s="6"/>
      <c r="KX12" s="6"/>
      <c r="KY12" s="6"/>
      <c r="KZ12" s="6"/>
      <c r="LA12" s="6"/>
      <c r="LB12" s="6"/>
      <c r="LC12" s="6"/>
      <c r="LD12" s="6"/>
      <c r="LE12" s="6"/>
      <c r="LF12" s="6"/>
      <c r="LG12" s="6"/>
      <c r="LH12" s="6"/>
      <c r="LI12" s="6"/>
      <c r="LJ12" s="6"/>
      <c r="LK12" s="6"/>
      <c r="LL12" s="6"/>
      <c r="LM12" s="6"/>
      <c r="LN12" s="6"/>
      <c r="LO12" s="6"/>
      <c r="LP12" s="6"/>
      <c r="LQ12" s="6"/>
      <c r="LR12" s="6"/>
      <c r="LS12" s="6"/>
      <c r="LT12" s="6"/>
      <c r="LU12" s="6"/>
      <c r="LV12" s="6"/>
      <c r="LW12" s="6"/>
      <c r="LX12" s="51"/>
      <c r="LY12" s="51"/>
      <c r="LZ12" s="51"/>
      <c r="MA12" s="51"/>
      <c r="MB12" s="51"/>
      <c r="MC12" s="51"/>
      <c r="MD12" s="51"/>
      <c r="ME12" s="6"/>
      <c r="MF12" s="6"/>
      <c r="MG12" s="6"/>
      <c r="MH12" s="6"/>
      <c r="MI12" s="6"/>
      <c r="MJ12" s="6"/>
      <c r="MK12" s="6"/>
      <c r="ML12" s="6"/>
      <c r="MM12" s="6"/>
      <c r="MN12" s="6"/>
      <c r="MO12" s="6"/>
      <c r="MP12" s="6"/>
      <c r="MQ12" s="6"/>
      <c r="MR12" s="6"/>
      <c r="MS12" s="6"/>
      <c r="MT12" s="6"/>
      <c r="MU12" s="6"/>
      <c r="MV12" s="6"/>
      <c r="MW12" s="6"/>
      <c r="MX12" s="6"/>
      <c r="MY12" s="6"/>
      <c r="MZ12" s="6"/>
      <c r="NA12" s="6"/>
      <c r="NB12" s="6"/>
      <c r="NC12" s="6"/>
      <c r="ND12" s="6"/>
      <c r="NE12" s="6"/>
      <c r="NF12" s="6"/>
      <c r="NG12" s="6"/>
      <c r="NH12" s="6"/>
      <c r="NI12" s="6"/>
      <c r="NJ12" s="6"/>
      <c r="NK12" s="6"/>
      <c r="NL12" s="6"/>
      <c r="NM12" s="6"/>
      <c r="NN12" s="6"/>
      <c r="NO12" s="6"/>
      <c r="NP12" s="6"/>
      <c r="NQ12" s="6"/>
      <c r="NR12" s="6"/>
      <c r="NS12" s="6"/>
      <c r="NT12" s="6"/>
      <c r="NU12" s="6"/>
      <c r="NV12" s="6"/>
      <c r="NW12" s="6"/>
      <c r="NX12" s="6"/>
      <c r="NY12" s="6"/>
      <c r="NZ12" s="6"/>
      <c r="OA12" s="6"/>
      <c r="OB12" s="6"/>
      <c r="OC12" s="6"/>
      <c r="OD12" s="6"/>
      <c r="OE12" s="6"/>
      <c r="OF12" s="6"/>
      <c r="OG12" s="6"/>
      <c r="OH12" s="6"/>
      <c r="OI12" s="6"/>
      <c r="OJ12" s="6"/>
      <c r="OK12" s="6"/>
      <c r="OL12" s="6"/>
      <c r="OM12" s="6"/>
      <c r="ON12" s="6"/>
      <c r="OO12" s="6"/>
      <c r="OP12" s="6"/>
      <c r="OQ12" s="6"/>
      <c r="OR12" s="6"/>
      <c r="OS12" s="6"/>
      <c r="OT12" s="6"/>
      <c r="OU12" s="6"/>
      <c r="OV12" s="6"/>
      <c r="OW12" s="6"/>
      <c r="OX12" s="6"/>
      <c r="OY12" s="6"/>
      <c r="OZ12" s="6"/>
      <c r="QQ12" s="8"/>
      <c r="QR12" s="8"/>
      <c r="QS12" s="8"/>
      <c r="QT12" s="8"/>
      <c r="QU12" s="8"/>
      <c r="QV12" s="8"/>
      <c r="QW12" s="8"/>
      <c r="QX12" s="8"/>
      <c r="QY12" s="6"/>
      <c r="QZ12" s="6"/>
      <c r="RA12" s="6"/>
      <c r="RB12" s="6"/>
      <c r="RC12" s="6"/>
      <c r="RD12" s="6"/>
      <c r="RE12" s="6"/>
      <c r="RF12" s="6"/>
      <c r="RG12" s="6"/>
      <c r="RH12" s="6"/>
      <c r="RI12" s="6"/>
      <c r="RJ12" s="6"/>
      <c r="RK12" s="6"/>
      <c r="RL12" s="6"/>
      <c r="RM12" s="6"/>
      <c r="RN12" s="6"/>
      <c r="RO12" s="6"/>
      <c r="RP12" s="6"/>
      <c r="RQ12" s="6"/>
      <c r="RR12" s="6"/>
      <c r="RS12" s="6"/>
      <c r="RT12" s="6"/>
      <c r="RU12" s="6"/>
      <c r="RV12" s="6"/>
      <c r="RW12" s="6"/>
      <c r="RX12" s="6"/>
      <c r="RY12" s="6"/>
      <c r="RZ12" s="6"/>
      <c r="SA12" s="6"/>
      <c r="SB12" s="6"/>
      <c r="SC12" s="6"/>
      <c r="SD12" s="6"/>
      <c r="SE12" s="6"/>
      <c r="SF12" s="6"/>
      <c r="SG12" s="6"/>
      <c r="SH12" s="6"/>
      <c r="SI12" s="6"/>
      <c r="SJ12" s="6"/>
      <c r="SK12" s="6"/>
      <c r="SL12" s="6"/>
      <c r="SM12" s="7"/>
      <c r="SN12" s="7"/>
      <c r="SO12" s="7"/>
      <c r="SP12" s="7"/>
      <c r="SQ12" s="7"/>
      <c r="SR12" s="6"/>
      <c r="SS12" s="6"/>
      <c r="ST12" s="6"/>
      <c r="SU12" s="6"/>
      <c r="SV12" s="6"/>
      <c r="SW12" s="6"/>
      <c r="SX12" s="6"/>
      <c r="SY12" s="6"/>
      <c r="SZ12" s="6"/>
      <c r="TA12" s="6"/>
      <c r="TB12" s="6"/>
      <c r="TC12" s="6"/>
      <c r="TD12" s="6"/>
      <c r="TE12" s="6"/>
      <c r="TF12" s="6"/>
      <c r="TG12" s="6"/>
      <c r="TH12" s="6"/>
      <c r="TI12" s="6"/>
      <c r="TJ12" s="6"/>
      <c r="TK12" s="6"/>
      <c r="TL12" s="6"/>
      <c r="TM12" s="6"/>
      <c r="TN12" s="6"/>
      <c r="TO12" s="6"/>
      <c r="TP12" s="6"/>
      <c r="TQ12" s="6"/>
      <c r="TR12" s="6"/>
      <c r="TS12" s="6"/>
      <c r="TT12" s="6"/>
      <c r="TU12" s="6"/>
      <c r="TV12" s="6"/>
      <c r="TW12" s="6"/>
      <c r="TX12" s="6"/>
      <c r="TY12" s="6"/>
      <c r="TZ12" s="6"/>
      <c r="UA12" s="6"/>
      <c r="UB12" s="6"/>
      <c r="UC12" s="6"/>
      <c r="UD12" s="6"/>
      <c r="UE12" s="6"/>
      <c r="UF12" s="6"/>
      <c r="UG12" s="6"/>
      <c r="UH12" s="6"/>
      <c r="UI12" s="6"/>
      <c r="UJ12" s="6"/>
      <c r="UK12" s="6"/>
      <c r="UL12" s="6"/>
      <c r="UM12" s="6"/>
      <c r="UN12" s="6"/>
      <c r="UO12" s="6"/>
      <c r="UP12" s="6"/>
      <c r="UQ12" s="6"/>
      <c r="UR12" s="6"/>
      <c r="US12" s="6"/>
      <c r="UT12" s="6"/>
      <c r="UU12" s="6"/>
      <c r="UV12" s="6"/>
      <c r="UW12" s="6"/>
      <c r="UX12" s="6"/>
      <c r="UY12" s="6"/>
      <c r="UZ12" s="6"/>
      <c r="VA12" s="6"/>
      <c r="VB12" s="6"/>
      <c r="VC12" s="6"/>
      <c r="VD12" s="6"/>
      <c r="VE12" s="6"/>
      <c r="VF12" s="6"/>
      <c r="VG12" s="6"/>
      <c r="VH12" s="6"/>
      <c r="VI12" s="6"/>
      <c r="VJ12" s="6"/>
      <c r="VK12" s="6"/>
      <c r="VL12" s="6"/>
      <c r="VM12" s="6"/>
      <c r="VN12" s="6"/>
      <c r="VO12" s="6"/>
      <c r="VP12" s="6"/>
      <c r="VQ12" s="6"/>
      <c r="VR12" s="6"/>
      <c r="VS12" s="6"/>
      <c r="VT12" s="6"/>
      <c r="VU12" s="6"/>
      <c r="VV12" s="6"/>
      <c r="VW12" s="6"/>
      <c r="VX12" s="6"/>
      <c r="VY12" s="6"/>
      <c r="VZ12" s="6"/>
      <c r="WA12" s="6"/>
      <c r="WB12" s="6"/>
      <c r="WC12" s="6"/>
      <c r="WD12" s="6"/>
      <c r="WE12" s="6"/>
      <c r="WF12" s="6"/>
      <c r="WG12" s="6"/>
      <c r="WH12" s="6"/>
      <c r="WI12" s="6"/>
      <c r="WJ12" s="6"/>
      <c r="WK12" s="6"/>
      <c r="WL12" s="6"/>
      <c r="WM12" s="6"/>
      <c r="WN12" s="6"/>
      <c r="WO12" s="6"/>
      <c r="WP12" s="6"/>
      <c r="WQ12" s="6"/>
      <c r="WR12" s="6"/>
      <c r="WS12" s="6"/>
      <c r="WT12" s="6"/>
      <c r="WU12" s="6"/>
      <c r="WV12" s="6"/>
      <c r="WW12" s="6"/>
      <c r="WX12" s="6"/>
      <c r="WY12" s="6"/>
      <c r="WZ12" s="6"/>
      <c r="XA12" s="6"/>
      <c r="XB12" s="6"/>
      <c r="XC12" s="6"/>
      <c r="XD12" s="6"/>
      <c r="XE12" s="6"/>
      <c r="XF12" s="6"/>
      <c r="XG12" s="6"/>
      <c r="XH12" s="6"/>
      <c r="XI12" s="6"/>
      <c r="XJ12" s="6"/>
      <c r="XK12" s="6"/>
      <c r="XL12" s="6"/>
      <c r="XM12" s="6"/>
      <c r="XN12" s="6"/>
      <c r="XO12" s="6"/>
      <c r="XP12" s="6"/>
      <c r="XQ12" s="6"/>
      <c r="XR12" s="6"/>
      <c r="XS12" s="6"/>
      <c r="XT12" s="6"/>
      <c r="XU12" s="6"/>
      <c r="XV12" s="6"/>
      <c r="XW12" s="6"/>
      <c r="XX12" s="6"/>
      <c r="XY12" s="6"/>
      <c r="XZ12" s="6"/>
      <c r="YA12" s="6"/>
      <c r="YB12" s="6"/>
      <c r="YC12" s="6"/>
      <c r="YD12" s="6"/>
      <c r="YE12" s="6"/>
      <c r="YF12" s="6"/>
      <c r="YG12" s="6"/>
      <c r="YH12" s="6"/>
      <c r="YI12" s="6"/>
      <c r="YJ12" s="6"/>
      <c r="YK12" s="6"/>
      <c r="YL12" s="6"/>
      <c r="YM12" s="6"/>
      <c r="YN12" s="6"/>
      <c r="YO12" s="6"/>
      <c r="YP12" s="6"/>
      <c r="YQ12" s="6"/>
      <c r="YR12" s="6"/>
      <c r="YS12" s="6"/>
      <c r="YT12" s="6"/>
      <c r="YU12" s="6"/>
      <c r="YV12" s="6"/>
      <c r="YW12" s="6"/>
      <c r="YX12" s="6"/>
      <c r="YY12" s="6"/>
      <c r="YZ12" s="6"/>
      <c r="ZA12" s="6"/>
      <c r="ZB12" s="6"/>
      <c r="ZC12" s="6"/>
      <c r="ZD12" s="6"/>
      <c r="ZE12" s="6"/>
      <c r="ZF12" s="6"/>
      <c r="ZG12" s="6"/>
      <c r="ZH12" s="6"/>
      <c r="ZI12" s="6"/>
      <c r="ZJ12" s="6"/>
      <c r="ZK12" s="6"/>
      <c r="ZL12" s="6"/>
      <c r="ZM12" s="6"/>
      <c r="ZN12" s="6"/>
      <c r="ZO12" s="6"/>
      <c r="ZP12" s="6"/>
      <c r="ZQ12" s="6"/>
      <c r="ZR12" s="6"/>
      <c r="ZS12" s="6"/>
      <c r="ZT12" s="6"/>
      <c r="ZU12" s="6"/>
      <c r="ZV12" s="6"/>
      <c r="ZW12" s="6"/>
      <c r="ZX12" s="6"/>
      <c r="ZY12" s="6"/>
      <c r="ZZ12" s="6"/>
      <c r="AAA12" s="6"/>
      <c r="AAB12" s="6"/>
      <c r="AAC12" s="6"/>
      <c r="AAD12" s="6"/>
      <c r="AAE12" s="6"/>
      <c r="AAF12" s="6"/>
      <c r="AAG12" s="6"/>
      <c r="AAH12" s="6"/>
      <c r="AAI12" s="6"/>
      <c r="AAJ12" s="6"/>
      <c r="AAK12" s="6"/>
      <c r="AAL12" s="6"/>
      <c r="AAM12" s="6"/>
      <c r="AAN12" s="6"/>
      <c r="AAO12" s="6"/>
      <c r="AAP12" s="6"/>
      <c r="AAQ12" s="6"/>
      <c r="AAR12" s="6"/>
      <c r="AAS12" s="6"/>
      <c r="AAT12" s="6"/>
      <c r="AAU12" s="6"/>
      <c r="AAV12" s="6"/>
      <c r="AAW12" s="6"/>
      <c r="AAX12" s="6"/>
      <c r="AAY12" s="6"/>
      <c r="AAZ12" s="6"/>
      <c r="ABA12" s="6"/>
      <c r="ABB12" s="6"/>
      <c r="ABC12" s="6"/>
      <c r="ABD12" s="6"/>
      <c r="ABE12" s="6"/>
      <c r="ABF12" s="6"/>
      <c r="ABG12" s="6"/>
      <c r="ABH12" s="6"/>
      <c r="ABI12" s="6"/>
      <c r="ABJ12" s="6"/>
      <c r="ABK12" s="6"/>
      <c r="ABL12" s="6"/>
      <c r="ABM12" s="6"/>
      <c r="ABN12" s="6"/>
      <c r="ABO12" s="6"/>
      <c r="ABP12" s="6"/>
      <c r="ABQ12" s="6"/>
      <c r="ABR12" s="6"/>
      <c r="ABS12" s="6"/>
      <c r="ABT12" s="6"/>
      <c r="ABU12" s="6"/>
      <c r="ABV12" s="6"/>
      <c r="ABW12" s="6"/>
      <c r="ABX12" s="6"/>
      <c r="ABY12" s="6"/>
      <c r="ABZ12" s="6"/>
      <c r="ACA12" s="6"/>
      <c r="ACB12" s="6"/>
      <c r="ACC12" s="6"/>
      <c r="ACD12" s="6"/>
      <c r="ACE12" s="6"/>
      <c r="ACF12" s="6"/>
      <c r="ACG12" s="6"/>
      <c r="ACH12" s="6"/>
      <c r="ACI12" s="6"/>
      <c r="ACJ12" s="6"/>
      <c r="ACK12" s="6"/>
      <c r="ACL12" s="6"/>
      <c r="ACM12" s="6"/>
      <c r="ACN12" s="6"/>
      <c r="ACO12" s="6"/>
      <c r="ACP12" s="6"/>
      <c r="ACQ12" s="6"/>
      <c r="ACR12" s="6"/>
      <c r="ACS12" s="6"/>
      <c r="ACT12" s="6"/>
      <c r="ACU12" s="6"/>
      <c r="ACV12" s="6"/>
      <c r="ACW12" s="6"/>
      <c r="ACX12" s="6"/>
      <c r="ACY12" s="6"/>
      <c r="ACZ12" s="6"/>
      <c r="ADA12" s="6"/>
      <c r="ADB12" s="6"/>
      <c r="ADC12" s="6"/>
      <c r="ADD12" s="6"/>
      <c r="ADE12" s="6"/>
      <c r="ADF12" s="6"/>
      <c r="ADG12" s="6"/>
      <c r="ADH12" s="6"/>
      <c r="ADI12" s="6"/>
      <c r="ADJ12" s="6"/>
      <c r="ADK12" s="6"/>
      <c r="ADL12" s="6"/>
      <c r="ADM12" s="6"/>
      <c r="ADN12" s="6"/>
      <c r="ANH12">
        <v>79</v>
      </c>
      <c r="ANJ12">
        <v>1</v>
      </c>
      <c r="ANK12">
        <v>25.9</v>
      </c>
      <c r="ANN12">
        <v>48</v>
      </c>
      <c r="ARC12">
        <v>1</v>
      </c>
      <c r="ARD12">
        <v>1</v>
      </c>
      <c r="ASP12">
        <v>1</v>
      </c>
      <c r="AUK12">
        <v>1</v>
      </c>
      <c r="AWV12">
        <v>2</v>
      </c>
      <c r="AWY12">
        <v>1</v>
      </c>
      <c r="AXB12">
        <v>10</v>
      </c>
      <c r="AXC12">
        <v>21</v>
      </c>
      <c r="AXD12">
        <v>12</v>
      </c>
      <c r="AXE12" s="2">
        <v>0</v>
      </c>
      <c r="AXF12">
        <v>3</v>
      </c>
      <c r="AZL12">
        <v>40</v>
      </c>
      <c r="AZM12">
        <v>4</v>
      </c>
      <c r="AZP12">
        <v>1</v>
      </c>
      <c r="AZQ12">
        <v>22</v>
      </c>
      <c r="AZR12">
        <v>21</v>
      </c>
      <c r="AZS12">
        <v>0</v>
      </c>
      <c r="AZT12" s="2">
        <v>0</v>
      </c>
      <c r="AZU12">
        <v>3</v>
      </c>
      <c r="BFA12">
        <v>30</v>
      </c>
      <c r="BFB12">
        <v>2</v>
      </c>
      <c r="BFE12">
        <v>1</v>
      </c>
      <c r="BFF12">
        <v>7</v>
      </c>
      <c r="BFG12">
        <v>14</v>
      </c>
      <c r="BFH12">
        <v>8</v>
      </c>
      <c r="BFI12" s="2">
        <v>0</v>
      </c>
      <c r="BFJ12">
        <v>5</v>
      </c>
      <c r="BHE12">
        <v>1</v>
      </c>
      <c r="BHF12">
        <v>8</v>
      </c>
      <c r="BHG12">
        <v>21</v>
      </c>
      <c r="BHH12">
        <v>14</v>
      </c>
      <c r="BHI12" s="2">
        <v>0</v>
      </c>
      <c r="BHJ12">
        <v>6</v>
      </c>
      <c r="BQS12">
        <v>200</v>
      </c>
      <c r="BQT12">
        <v>2</v>
      </c>
      <c r="BQW12">
        <v>1</v>
      </c>
      <c r="BQX12" s="35">
        <v>7</v>
      </c>
      <c r="BQY12">
        <v>27</v>
      </c>
      <c r="BQZ12">
        <v>23</v>
      </c>
      <c r="BRB12">
        <v>4</v>
      </c>
      <c r="BRH12">
        <v>1</v>
      </c>
      <c r="BRI12">
        <v>4</v>
      </c>
      <c r="BRJ12">
        <v>24</v>
      </c>
      <c r="BRK12">
        <v>21</v>
      </c>
      <c r="BRM12">
        <v>7</v>
      </c>
      <c r="BRO12">
        <v>2000</v>
      </c>
      <c r="BRP12">
        <v>2</v>
      </c>
      <c r="BRQ12">
        <v>1</v>
      </c>
      <c r="BRT12">
        <v>3</v>
      </c>
      <c r="BRU12">
        <v>3</v>
      </c>
      <c r="BRV12">
        <v>1</v>
      </c>
      <c r="BRX12">
        <v>4</v>
      </c>
      <c r="BRY12">
        <v>500</v>
      </c>
      <c r="BRZ12">
        <v>2</v>
      </c>
      <c r="BSA12">
        <v>1</v>
      </c>
      <c r="BSD12">
        <v>1</v>
      </c>
      <c r="BSE12">
        <v>0</v>
      </c>
      <c r="BSF12">
        <v>0</v>
      </c>
      <c r="BSG12" s="2">
        <v>0</v>
      </c>
      <c r="BSH12">
        <v>7</v>
      </c>
      <c r="CCK12">
        <v>1</v>
      </c>
      <c r="CCL12">
        <v>29</v>
      </c>
      <c r="CCM12">
        <v>28</v>
      </c>
      <c r="CCN12">
        <v>0</v>
      </c>
      <c r="CCO12" s="2">
        <v>0</v>
      </c>
      <c r="CCP12">
        <v>6</v>
      </c>
      <c r="CLE12">
        <v>1</v>
      </c>
      <c r="CLH12">
        <v>1</v>
      </c>
      <c r="CLI12" s="35">
        <v>22</v>
      </c>
      <c r="CLJ12">
        <v>21</v>
      </c>
      <c r="CLK12">
        <v>0</v>
      </c>
      <c r="CLM12">
        <v>5</v>
      </c>
      <c r="CPW12">
        <v>0.2</v>
      </c>
      <c r="CQA12">
        <v>1</v>
      </c>
      <c r="CQB12">
        <v>29</v>
      </c>
      <c r="CQC12">
        <v>28</v>
      </c>
      <c r="CQD12">
        <v>0</v>
      </c>
      <c r="CQE12" s="2">
        <v>0</v>
      </c>
      <c r="CQF12">
        <v>6</v>
      </c>
      <c r="CQU12">
        <v>1</v>
      </c>
      <c r="CQV12">
        <v>29</v>
      </c>
      <c r="CQW12">
        <v>28</v>
      </c>
      <c r="CQX12">
        <v>0</v>
      </c>
      <c r="CQY12" s="2">
        <v>0</v>
      </c>
      <c r="CQZ12">
        <v>6</v>
      </c>
      <c r="CRF12">
        <v>29</v>
      </c>
      <c r="CRG12">
        <v>28</v>
      </c>
      <c r="CRH12">
        <v>0</v>
      </c>
      <c r="CRI12" s="2">
        <v>0</v>
      </c>
      <c r="CRJ12">
        <v>5</v>
      </c>
      <c r="EFS12">
        <v>200</v>
      </c>
      <c r="EFT12">
        <v>2</v>
      </c>
      <c r="EFW12">
        <v>1</v>
      </c>
      <c r="EFX12">
        <v>21</v>
      </c>
      <c r="EFY12">
        <v>20</v>
      </c>
      <c r="EFZ12">
        <v>0</v>
      </c>
      <c r="EGA12" s="2">
        <v>0</v>
      </c>
      <c r="EGB12">
        <v>3</v>
      </c>
      <c r="ERI12" t="s">
        <v>482</v>
      </c>
      <c r="ERJ12">
        <v>1</v>
      </c>
      <c r="ERM12">
        <v>1</v>
      </c>
      <c r="ERN12">
        <v>4</v>
      </c>
      <c r="ERO12">
        <v>24</v>
      </c>
      <c r="ERP12">
        <v>21</v>
      </c>
      <c r="ERQ12" s="2">
        <v>0</v>
      </c>
      <c r="ERR12">
        <v>7</v>
      </c>
      <c r="EWF12">
        <v>2</v>
      </c>
      <c r="EWG12">
        <v>3</v>
      </c>
      <c r="EWJ12">
        <v>1</v>
      </c>
      <c r="EWK12">
        <v>1</v>
      </c>
      <c r="EWL12">
        <v>0</v>
      </c>
      <c r="EWM12">
        <v>0</v>
      </c>
      <c r="EWN12" s="2">
        <v>0</v>
      </c>
      <c r="EWO12">
        <v>7</v>
      </c>
      <c r="FFI12">
        <v>2</v>
      </c>
      <c r="FFJ12">
        <v>1</v>
      </c>
      <c r="FFM12">
        <v>22</v>
      </c>
      <c r="FFN12">
        <v>21</v>
      </c>
      <c r="FFO12">
        <v>0</v>
      </c>
      <c r="FFP12" s="2">
        <v>0</v>
      </c>
      <c r="FFQ12">
        <v>5</v>
      </c>
      <c r="FUR12">
        <v>1</v>
      </c>
      <c r="FWH12">
        <v>1</v>
      </c>
      <c r="FXS12">
        <v>1</v>
      </c>
      <c r="GDI12">
        <v>1</v>
      </c>
      <c r="GEA12">
        <v>1</v>
      </c>
      <c r="GEK12">
        <v>1</v>
      </c>
      <c r="GFE12">
        <v>1</v>
      </c>
      <c r="GFG12">
        <v>1</v>
      </c>
      <c r="GHQ12">
        <v>1</v>
      </c>
    </row>
    <row r="13" spans="1:5088" x14ac:dyDescent="0.25">
      <c r="A13" s="50">
        <v>4003543</v>
      </c>
      <c r="B13" s="7"/>
      <c r="C13" s="7"/>
      <c r="D13" s="7"/>
      <c r="E13" s="7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  <c r="CZ13" s="6"/>
      <c r="DA13" s="6"/>
      <c r="DB13" s="6"/>
      <c r="DC13" s="6"/>
      <c r="DD13" s="6"/>
      <c r="DE13" s="6"/>
      <c r="DF13" s="6"/>
      <c r="DG13" s="6"/>
      <c r="DH13" s="6"/>
      <c r="DI13" s="6"/>
      <c r="DJ13" s="6"/>
      <c r="DK13" s="6"/>
      <c r="DL13" s="6"/>
      <c r="DM13" s="6"/>
      <c r="DN13" s="6"/>
      <c r="DO13" s="7"/>
      <c r="DP13" s="7"/>
      <c r="DQ13" s="7"/>
      <c r="DR13" s="7"/>
      <c r="DS13" s="7"/>
      <c r="DT13" s="7"/>
      <c r="DU13" s="7"/>
      <c r="DV13" s="7"/>
      <c r="DW13" s="7"/>
      <c r="DX13" s="7"/>
      <c r="DY13" s="7"/>
      <c r="DZ13" s="7"/>
      <c r="EA13" s="7"/>
      <c r="EB13" s="7"/>
      <c r="EC13" s="7"/>
      <c r="ED13" s="7"/>
      <c r="EE13" s="7"/>
      <c r="EF13" s="7"/>
      <c r="EG13" s="7"/>
      <c r="EH13" s="7"/>
      <c r="EI13" s="7"/>
      <c r="EJ13" s="7"/>
      <c r="EK13" s="7"/>
      <c r="EL13" s="7"/>
      <c r="EM13" s="7"/>
      <c r="EN13" s="7"/>
      <c r="EO13" s="7"/>
      <c r="EP13" s="7"/>
      <c r="EQ13" s="7"/>
      <c r="ER13" s="7"/>
      <c r="ES13" s="7"/>
      <c r="ET13" s="7"/>
      <c r="EU13" s="7"/>
      <c r="EV13" s="7"/>
      <c r="EW13" s="7"/>
      <c r="EX13" s="7"/>
      <c r="EY13" s="6"/>
      <c r="EZ13" s="6"/>
      <c r="FA13" s="6"/>
      <c r="FB13" s="6"/>
      <c r="FC13" s="6"/>
      <c r="FD13" s="6"/>
      <c r="FE13" s="6"/>
      <c r="FF13" s="6"/>
      <c r="FG13" s="6"/>
      <c r="FH13" s="6"/>
      <c r="FI13" s="6"/>
      <c r="FJ13" s="6"/>
      <c r="FK13" s="6"/>
      <c r="FL13" s="6"/>
      <c r="FM13" s="6"/>
      <c r="FN13" s="6"/>
      <c r="FO13" s="6"/>
      <c r="FP13" s="6"/>
      <c r="FQ13" s="6"/>
      <c r="FR13" s="6"/>
      <c r="FS13" s="6"/>
      <c r="FT13" s="6"/>
      <c r="FU13" s="6"/>
      <c r="FV13" s="6"/>
      <c r="FW13" s="6"/>
      <c r="FX13" s="6"/>
      <c r="FY13" s="6"/>
      <c r="FZ13" s="6"/>
      <c r="GA13" s="6"/>
      <c r="GB13" s="6"/>
      <c r="GC13" s="6"/>
      <c r="GD13" s="6"/>
      <c r="GE13" s="6"/>
      <c r="GF13" s="6"/>
      <c r="GG13" s="6"/>
      <c r="GH13" s="6"/>
      <c r="GI13" s="6"/>
      <c r="GJ13" s="6"/>
      <c r="GK13" s="6"/>
      <c r="GL13" s="6"/>
      <c r="GM13" s="6"/>
      <c r="GN13" s="6"/>
      <c r="GO13" s="6"/>
      <c r="GP13" s="6"/>
      <c r="GQ13" s="6"/>
      <c r="GR13" s="6"/>
      <c r="GS13" s="6"/>
      <c r="GT13" s="6"/>
      <c r="GU13" s="6"/>
      <c r="GV13" s="6"/>
      <c r="GW13" s="6"/>
      <c r="GX13" s="6"/>
      <c r="GY13" s="6"/>
      <c r="GZ13" s="6"/>
      <c r="HA13" s="7"/>
      <c r="HB13" s="7"/>
      <c r="HC13" s="7"/>
      <c r="HD13" s="6"/>
      <c r="HE13" s="6"/>
      <c r="HF13" s="6"/>
      <c r="HG13" s="6"/>
      <c r="HH13" s="6"/>
      <c r="HI13" s="6"/>
      <c r="HJ13" s="6"/>
      <c r="HK13" s="6"/>
      <c r="HL13" s="6"/>
      <c r="HM13" s="6"/>
      <c r="HN13" s="6"/>
      <c r="HO13" s="6"/>
      <c r="HP13" s="6"/>
      <c r="HQ13" s="6"/>
      <c r="HR13" s="6"/>
      <c r="HS13" s="6"/>
      <c r="HT13" s="6"/>
      <c r="HU13" s="6"/>
      <c r="HV13" s="6"/>
      <c r="HW13" s="6"/>
      <c r="HX13" s="6"/>
      <c r="HY13" s="6"/>
      <c r="HZ13" s="6"/>
      <c r="IA13" s="6"/>
      <c r="IB13" s="6"/>
      <c r="IC13" s="6"/>
      <c r="ID13" s="6"/>
      <c r="IE13" s="6"/>
      <c r="IF13" s="6"/>
      <c r="IG13" s="6"/>
      <c r="IH13" s="7"/>
      <c r="II13" s="7"/>
      <c r="IJ13" s="7"/>
      <c r="IK13" s="6"/>
      <c r="IL13" s="6"/>
      <c r="IN13" s="6"/>
      <c r="IO13" s="6"/>
      <c r="IP13">
        <v>1.2</v>
      </c>
      <c r="IS13" s="6"/>
      <c r="IT13">
        <v>0.9</v>
      </c>
      <c r="IW13" s="6"/>
      <c r="IX13" s="6"/>
      <c r="IY13" s="6"/>
      <c r="IZ13" s="6"/>
      <c r="JA13" s="6"/>
      <c r="JB13" s="6"/>
      <c r="JC13" s="6"/>
      <c r="JD13" s="6"/>
      <c r="JE13" s="6"/>
      <c r="JF13" s="6"/>
      <c r="JG13" s="6"/>
      <c r="JH13" s="6"/>
      <c r="JI13" s="6"/>
      <c r="JJ13" s="6"/>
      <c r="JK13" s="6"/>
      <c r="JL13" s="6"/>
      <c r="JM13" s="6"/>
      <c r="JN13" s="6"/>
      <c r="JO13" s="6"/>
      <c r="JP13" s="6"/>
      <c r="JQ13" s="6"/>
      <c r="JR13" s="7"/>
      <c r="JS13" s="7"/>
      <c r="JT13" s="6"/>
      <c r="JU13" s="6"/>
      <c r="JV13" s="6"/>
      <c r="JW13" s="6"/>
      <c r="JX13" s="6"/>
      <c r="JY13" s="6"/>
      <c r="JZ13" s="6"/>
      <c r="KA13" s="6"/>
      <c r="KB13" s="6"/>
      <c r="KC13" s="6"/>
      <c r="KD13" s="6"/>
      <c r="KE13" s="6"/>
      <c r="KF13" s="6"/>
      <c r="KG13" s="6"/>
      <c r="KH13" s="6"/>
      <c r="KI13" s="6"/>
      <c r="KJ13" s="6"/>
      <c r="KK13" s="6"/>
      <c r="KL13" s="6"/>
      <c r="KM13" s="6"/>
      <c r="KN13" s="6"/>
      <c r="KO13" s="6"/>
      <c r="KP13" s="6"/>
      <c r="KQ13" s="6"/>
      <c r="KR13" s="6"/>
      <c r="KS13" s="6"/>
      <c r="KT13" s="6"/>
      <c r="KU13" s="6"/>
      <c r="KV13" s="6"/>
      <c r="KW13" s="6"/>
      <c r="KX13" s="6"/>
      <c r="KY13" s="6"/>
      <c r="KZ13" s="6"/>
      <c r="LA13" s="6"/>
      <c r="LB13" s="6"/>
      <c r="LC13" s="6"/>
      <c r="LD13" s="6"/>
      <c r="LE13" s="6"/>
      <c r="LF13" s="6"/>
      <c r="LG13" s="6"/>
      <c r="LH13" s="6"/>
      <c r="LI13" s="6"/>
      <c r="LJ13" s="6"/>
      <c r="LK13" s="6"/>
      <c r="LL13" s="6"/>
      <c r="LM13" s="6"/>
      <c r="LN13" s="6"/>
      <c r="LO13" s="6"/>
      <c r="LP13" s="6"/>
      <c r="LQ13" s="6"/>
      <c r="LR13" s="6"/>
      <c r="LS13" s="6"/>
      <c r="LT13" s="6"/>
      <c r="LU13" s="6"/>
      <c r="LV13" s="6"/>
      <c r="LW13" s="6"/>
      <c r="LX13" s="51"/>
      <c r="LY13" s="51"/>
      <c r="LZ13" s="51"/>
      <c r="MA13" s="51"/>
      <c r="MB13" s="51"/>
      <c r="MC13" s="51"/>
      <c r="MD13" s="51"/>
      <c r="ME13" s="6"/>
      <c r="MF13" s="6"/>
      <c r="MG13" s="6"/>
      <c r="MH13" s="6"/>
      <c r="MI13" s="6">
        <v>71.2</v>
      </c>
      <c r="MJ13" s="6"/>
      <c r="MK13" s="6"/>
      <c r="ML13" s="6"/>
      <c r="MM13" s="6">
        <v>10.3</v>
      </c>
      <c r="MN13" s="6"/>
      <c r="MO13" s="6"/>
      <c r="MP13" s="6"/>
      <c r="MQ13" s="6"/>
      <c r="MR13" s="6"/>
      <c r="MS13" s="6"/>
      <c r="MT13" s="6"/>
      <c r="MU13" s="6"/>
      <c r="MV13" s="6"/>
      <c r="MW13" s="6"/>
      <c r="MX13" s="6"/>
      <c r="MY13" s="6"/>
      <c r="MZ13" s="6"/>
      <c r="NA13" s="6"/>
      <c r="NB13" s="6"/>
      <c r="NC13" s="6"/>
      <c r="ND13" s="6"/>
      <c r="NE13" s="6"/>
      <c r="NF13" s="6"/>
      <c r="NG13" s="6"/>
      <c r="NH13" s="6"/>
      <c r="NI13" s="6"/>
      <c r="NJ13" s="6"/>
      <c r="NK13" s="6"/>
      <c r="NL13" s="6"/>
      <c r="NM13" s="6"/>
      <c r="NN13" s="6"/>
      <c r="NO13" s="6"/>
      <c r="NP13" s="6"/>
      <c r="NQ13" s="6"/>
      <c r="NR13" s="6"/>
      <c r="NS13" s="6"/>
      <c r="NT13" s="6"/>
      <c r="NU13" s="6"/>
      <c r="NV13" s="6"/>
      <c r="NW13" s="6"/>
      <c r="NX13" s="6"/>
      <c r="NY13" s="6"/>
      <c r="NZ13" s="6"/>
      <c r="OA13" s="6"/>
      <c r="OB13" s="6"/>
      <c r="OC13" s="6"/>
      <c r="OD13" s="6"/>
      <c r="OE13" s="6"/>
      <c r="OF13" s="6"/>
      <c r="OG13" s="6"/>
      <c r="OH13" s="6"/>
      <c r="OI13" s="6"/>
      <c r="OJ13" s="6"/>
      <c r="OK13" s="6"/>
      <c r="OL13" s="6"/>
      <c r="OM13" s="6"/>
      <c r="ON13" s="6"/>
      <c r="OO13" s="6"/>
      <c r="OP13" s="6"/>
      <c r="OQ13" s="6"/>
      <c r="OR13" s="6"/>
      <c r="OS13" s="6"/>
      <c r="OT13" s="6"/>
      <c r="OU13" s="6"/>
      <c r="OV13" s="6"/>
      <c r="OW13" s="6"/>
      <c r="OX13" s="6"/>
      <c r="OY13" s="6"/>
      <c r="OZ13" s="6"/>
      <c r="QQ13" s="8"/>
      <c r="QR13" s="8"/>
      <c r="QS13" s="8"/>
      <c r="QT13" s="8"/>
      <c r="QU13" s="8"/>
      <c r="QV13" s="8"/>
      <c r="QW13" s="8"/>
      <c r="QX13" s="8"/>
      <c r="QY13" s="6"/>
      <c r="QZ13" s="6"/>
      <c r="RA13" s="6"/>
      <c r="RB13" s="6"/>
      <c r="RC13" s="6"/>
      <c r="RD13" s="6"/>
      <c r="RE13" s="6"/>
      <c r="RF13" s="6"/>
      <c r="RG13" s="6"/>
      <c r="RH13" s="6"/>
      <c r="RI13" s="6"/>
      <c r="RJ13" s="6"/>
      <c r="RK13" s="6"/>
      <c r="RL13" s="6"/>
      <c r="RM13" s="6"/>
      <c r="RN13" s="6"/>
      <c r="RO13" s="6"/>
      <c r="RP13" s="6"/>
      <c r="RQ13" s="6"/>
      <c r="RR13" s="6"/>
      <c r="RS13" s="6"/>
      <c r="RT13" s="6"/>
      <c r="RU13" s="6"/>
      <c r="RV13" s="6"/>
      <c r="RW13" s="6"/>
      <c r="RX13" s="6"/>
      <c r="RY13" s="6"/>
      <c r="RZ13" s="6"/>
      <c r="SA13" s="6"/>
      <c r="SB13" s="6"/>
      <c r="SC13" s="6"/>
      <c r="SD13" s="6"/>
      <c r="SE13" s="6"/>
      <c r="SF13" s="6"/>
      <c r="SG13" s="6"/>
      <c r="SH13" s="6"/>
      <c r="SI13" s="6"/>
      <c r="SJ13" s="6"/>
      <c r="SK13" s="6"/>
      <c r="SL13" s="6"/>
      <c r="SM13" s="7"/>
      <c r="SN13" s="7"/>
      <c r="SO13" s="7"/>
      <c r="SP13" s="7"/>
      <c r="SQ13" s="7"/>
      <c r="SR13">
        <v>67</v>
      </c>
      <c r="ST13" s="6"/>
      <c r="SU13" s="6"/>
      <c r="SV13" s="6"/>
      <c r="SW13" s="6"/>
      <c r="SX13" s="6"/>
      <c r="SY13" s="6"/>
      <c r="SZ13" s="6"/>
      <c r="TA13" s="6"/>
      <c r="TB13" s="6"/>
      <c r="TC13" s="6"/>
      <c r="TD13" s="6"/>
      <c r="TE13" s="6"/>
      <c r="TF13" s="6"/>
      <c r="TG13" s="6"/>
      <c r="TH13" s="6"/>
      <c r="TI13" s="6"/>
      <c r="TJ13" s="6"/>
      <c r="TK13" s="6"/>
      <c r="TL13" s="6"/>
      <c r="TM13" s="6"/>
      <c r="TN13" s="6"/>
      <c r="TO13" s="6"/>
      <c r="TP13" s="6"/>
      <c r="TQ13" s="6"/>
      <c r="TR13" s="6"/>
      <c r="TS13" s="6"/>
      <c r="TT13" s="6"/>
      <c r="TU13" s="6"/>
      <c r="TV13" s="6"/>
      <c r="TW13" s="6"/>
      <c r="TX13" s="6"/>
      <c r="TY13" s="6"/>
      <c r="TZ13" s="6"/>
      <c r="UA13" s="6"/>
      <c r="UB13" s="6"/>
      <c r="UC13" s="6"/>
      <c r="UD13" s="6"/>
      <c r="UE13" s="6"/>
      <c r="UF13" s="6"/>
      <c r="UG13" s="6"/>
      <c r="UH13" s="6"/>
      <c r="UI13" s="6"/>
      <c r="UJ13" s="6"/>
      <c r="UK13" s="6"/>
      <c r="UL13" s="6"/>
      <c r="UM13" s="6"/>
      <c r="UN13" s="6"/>
      <c r="UO13" s="6"/>
      <c r="UP13" s="6"/>
      <c r="UQ13" s="6"/>
      <c r="UR13" s="6"/>
      <c r="US13" s="6"/>
      <c r="UT13" s="6"/>
      <c r="UU13" s="6"/>
      <c r="UV13" s="6"/>
      <c r="UW13" s="6"/>
      <c r="UX13" s="6"/>
      <c r="UY13" s="6"/>
      <c r="UZ13" s="6"/>
      <c r="VA13" s="6"/>
      <c r="VB13" s="6"/>
      <c r="VC13" s="6"/>
      <c r="VD13" s="6"/>
      <c r="VE13" s="6"/>
      <c r="VF13" s="6"/>
      <c r="VG13" s="6"/>
      <c r="VH13" s="6"/>
      <c r="VI13" s="6"/>
      <c r="VJ13" s="6"/>
      <c r="VK13" s="6"/>
      <c r="VL13" s="6"/>
      <c r="VM13" s="6"/>
      <c r="VN13" s="6"/>
      <c r="VO13" s="6"/>
      <c r="VP13" s="6"/>
      <c r="VQ13" s="6"/>
      <c r="VR13" s="6"/>
      <c r="VS13" s="6"/>
      <c r="VT13" s="6"/>
      <c r="VU13" s="6"/>
      <c r="VV13" s="6"/>
      <c r="VW13" s="6"/>
      <c r="VX13" s="6"/>
      <c r="VY13" s="6"/>
      <c r="VZ13" s="6"/>
      <c r="WA13" s="6"/>
      <c r="WB13" s="6"/>
      <c r="WC13" s="6"/>
      <c r="WD13" s="6"/>
      <c r="WE13" s="6"/>
      <c r="WF13" s="6"/>
      <c r="WG13" s="6"/>
      <c r="WH13" s="6"/>
      <c r="WI13" s="6"/>
      <c r="WJ13" s="6"/>
      <c r="WK13" s="6"/>
      <c r="WL13" s="6"/>
      <c r="WM13" s="6"/>
      <c r="WN13" s="6"/>
      <c r="WO13" s="6"/>
      <c r="WP13" s="6"/>
      <c r="WQ13" s="6"/>
      <c r="WR13" s="6"/>
      <c r="WS13" s="6"/>
      <c r="WT13" s="6"/>
      <c r="WU13" s="6"/>
      <c r="WV13" s="6"/>
      <c r="WW13" s="6"/>
      <c r="WX13" s="6"/>
      <c r="WY13" s="6"/>
      <c r="WZ13" s="6"/>
      <c r="XA13" s="6"/>
      <c r="XB13" s="6"/>
      <c r="XC13" s="6"/>
      <c r="XD13" s="6"/>
      <c r="XE13" s="6"/>
      <c r="XF13" s="6"/>
      <c r="XG13" s="6"/>
      <c r="XH13" s="6"/>
      <c r="XI13" s="6"/>
      <c r="XJ13" s="6"/>
      <c r="XK13" s="6"/>
      <c r="XL13" s="6"/>
      <c r="XM13" s="6"/>
      <c r="XN13" s="6"/>
      <c r="XO13" s="6"/>
      <c r="XP13" s="6"/>
      <c r="XQ13" s="6"/>
      <c r="XR13" s="6"/>
      <c r="XS13" s="6"/>
      <c r="XT13" s="6"/>
      <c r="XU13" s="6"/>
      <c r="XV13" s="6"/>
      <c r="XW13" s="6"/>
      <c r="XX13" s="6"/>
      <c r="XY13" s="6"/>
      <c r="XZ13" s="6"/>
      <c r="YA13" s="6"/>
      <c r="YB13" s="6"/>
      <c r="YC13" s="6"/>
      <c r="YD13" s="6"/>
      <c r="YE13" s="6"/>
      <c r="YF13" s="6"/>
      <c r="YG13" s="6"/>
      <c r="YH13" s="6"/>
      <c r="YI13" s="6"/>
      <c r="YJ13" s="6"/>
      <c r="YK13" s="6"/>
      <c r="YL13" s="6"/>
      <c r="YM13" s="6"/>
      <c r="YN13" s="6"/>
      <c r="YO13" s="6"/>
      <c r="YP13" s="6"/>
      <c r="YQ13" s="6"/>
      <c r="YR13" s="6"/>
      <c r="YS13" s="6"/>
      <c r="YT13" s="6"/>
      <c r="YU13" s="6"/>
      <c r="YV13" s="6"/>
      <c r="YW13" s="6"/>
      <c r="YX13" s="6"/>
      <c r="YY13" s="6"/>
      <c r="YZ13" s="6"/>
      <c r="ZA13" s="6"/>
      <c r="ZB13" s="6"/>
      <c r="ZC13" s="6"/>
      <c r="ZD13" s="6"/>
      <c r="ZE13" s="6"/>
      <c r="ZF13" s="6"/>
      <c r="ZG13" s="6"/>
      <c r="ZH13" s="6"/>
      <c r="ZI13" s="6"/>
      <c r="ZJ13" s="6"/>
      <c r="ZK13" s="6"/>
      <c r="ZL13" s="6"/>
      <c r="ZM13" s="6"/>
      <c r="ZN13" s="6"/>
      <c r="ZO13" s="6"/>
      <c r="ZP13" s="6"/>
      <c r="ZQ13" s="6"/>
      <c r="ZR13" s="6"/>
      <c r="ZS13" s="6"/>
      <c r="ZT13" s="6"/>
      <c r="ZU13" s="6"/>
      <c r="ZV13" s="6"/>
      <c r="ZW13" s="6"/>
      <c r="ZX13" s="6"/>
      <c r="ZY13" s="6"/>
      <c r="ZZ13" s="6"/>
      <c r="AAA13" s="6"/>
      <c r="AAB13" s="6"/>
      <c r="AAC13" s="6"/>
      <c r="AAD13" s="6"/>
      <c r="AAE13" s="6"/>
      <c r="AAF13" s="6"/>
      <c r="AAG13" s="6"/>
      <c r="AAH13" s="6"/>
      <c r="AAI13" s="6"/>
      <c r="AAJ13" s="6"/>
      <c r="AAK13" s="6"/>
      <c r="AAL13" s="6"/>
      <c r="AAM13" s="6"/>
      <c r="AAN13" s="6"/>
      <c r="AAO13" s="6"/>
      <c r="AAP13" s="6"/>
      <c r="AAQ13" s="6"/>
      <c r="AAR13" s="6"/>
      <c r="AAS13" s="6"/>
      <c r="AAT13" s="6"/>
      <c r="AAU13" s="6"/>
      <c r="AAV13" s="6"/>
      <c r="AAW13" s="6"/>
      <c r="AAX13" s="6"/>
      <c r="AAY13" s="6"/>
      <c r="AAZ13" s="6"/>
      <c r="ABA13" s="6"/>
      <c r="ABB13" s="6"/>
      <c r="ABC13" s="6"/>
      <c r="ABD13" s="6"/>
      <c r="ABE13" s="6"/>
      <c r="ABF13" s="6"/>
      <c r="ABG13" s="6"/>
      <c r="ABH13" s="6"/>
      <c r="ABI13" s="6"/>
      <c r="ABJ13" s="6"/>
      <c r="ABK13" s="6"/>
      <c r="ABL13" s="6"/>
      <c r="ABM13" s="6"/>
      <c r="ABN13" s="6"/>
      <c r="ABO13" s="6"/>
      <c r="ABP13" s="6"/>
      <c r="ABQ13" s="6"/>
      <c r="ABR13" s="6"/>
      <c r="ABS13" s="6"/>
      <c r="ABT13" s="6"/>
      <c r="ABU13" s="6"/>
      <c r="ABV13" s="6"/>
      <c r="ABW13" s="6"/>
      <c r="ABX13" s="6"/>
      <c r="ABY13" s="6"/>
      <c r="ABZ13" s="6"/>
      <c r="ACA13" s="6"/>
      <c r="ACB13" s="6"/>
      <c r="ACC13" s="6"/>
      <c r="ACD13" s="6"/>
      <c r="ACE13" s="6"/>
      <c r="ACF13" s="6"/>
      <c r="ACG13" s="6"/>
      <c r="ACH13" s="6"/>
      <c r="ACI13" s="6"/>
      <c r="ACJ13" s="6"/>
      <c r="ACK13" s="6"/>
      <c r="ACL13" s="6"/>
      <c r="ACM13" s="6"/>
      <c r="ACN13" s="6"/>
      <c r="ACO13" s="6"/>
      <c r="ACP13" s="6"/>
      <c r="ACQ13" s="6"/>
      <c r="ACR13" s="6"/>
      <c r="ACS13" s="6"/>
      <c r="ACT13" s="6"/>
      <c r="ACU13" s="6"/>
      <c r="ACV13" s="6"/>
      <c r="ACW13" s="6"/>
      <c r="ACX13" s="6"/>
      <c r="ACY13" s="6"/>
      <c r="ACZ13" s="6"/>
      <c r="ADA13" s="6"/>
      <c r="ADB13" s="6"/>
      <c r="ADC13" s="6"/>
      <c r="ADD13" s="6"/>
      <c r="ADE13" s="6"/>
      <c r="ADF13" s="6"/>
      <c r="ADG13" s="6"/>
      <c r="ADH13" s="6"/>
      <c r="ADI13" s="6"/>
      <c r="ADJ13" s="6"/>
      <c r="ADK13" s="6"/>
      <c r="ADL13" s="6"/>
      <c r="ADM13" s="6"/>
      <c r="ADN13" s="6"/>
      <c r="ANH13">
        <v>62</v>
      </c>
      <c r="ANJ13">
        <v>1</v>
      </c>
      <c r="ANM13">
        <v>1</v>
      </c>
      <c r="ANN13">
        <v>14</v>
      </c>
      <c r="ARC13">
        <v>1</v>
      </c>
      <c r="ASI13">
        <v>1</v>
      </c>
      <c r="ATE13">
        <v>1</v>
      </c>
      <c r="AWV13">
        <v>2</v>
      </c>
      <c r="AWY13">
        <v>1</v>
      </c>
      <c r="AXB13">
        <v>1</v>
      </c>
      <c r="AXC13">
        <v>10</v>
      </c>
      <c r="AXD13">
        <v>10</v>
      </c>
      <c r="AXE13">
        <v>0</v>
      </c>
      <c r="AXX13">
        <v>1</v>
      </c>
      <c r="AXZ13">
        <v>4</v>
      </c>
      <c r="AYA13">
        <v>11</v>
      </c>
      <c r="AYB13">
        <v>5</v>
      </c>
      <c r="AYC13" s="2">
        <v>0</v>
      </c>
      <c r="CHQ13">
        <v>1</v>
      </c>
      <c r="DCS13" s="2">
        <v>250</v>
      </c>
      <c r="DCT13">
        <v>1</v>
      </c>
      <c r="DCW13">
        <v>1</v>
      </c>
      <c r="DCX13">
        <v>12</v>
      </c>
      <c r="DCY13">
        <v>7</v>
      </c>
      <c r="DCZ13">
        <v>0</v>
      </c>
      <c r="DDA13">
        <v>4</v>
      </c>
      <c r="EWQ13">
        <v>1</v>
      </c>
      <c r="EWR13">
        <v>1</v>
      </c>
      <c r="EWU13">
        <v>1</v>
      </c>
      <c r="EWV13">
        <v>7</v>
      </c>
      <c r="EWW13">
        <v>7</v>
      </c>
      <c r="EWX13">
        <v>0</v>
      </c>
      <c r="FWH13">
        <v>1</v>
      </c>
      <c r="FWI13">
        <v>1</v>
      </c>
      <c r="FWN13">
        <v>1</v>
      </c>
      <c r="FWO13">
        <v>1</v>
      </c>
      <c r="FXS13">
        <v>1</v>
      </c>
      <c r="GDI13">
        <v>1</v>
      </c>
      <c r="GFE13">
        <v>1</v>
      </c>
      <c r="GGJ13">
        <v>1</v>
      </c>
      <c r="GHP13">
        <v>1</v>
      </c>
      <c r="GID13">
        <v>1</v>
      </c>
    </row>
    <row r="14" spans="1:5088" x14ac:dyDescent="0.25">
      <c r="A14" s="50">
        <v>4900261</v>
      </c>
      <c r="B14" s="7"/>
      <c r="C14" s="7"/>
      <c r="D14" s="7"/>
      <c r="E14" s="7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  <c r="CT14" s="6"/>
      <c r="CU14" s="6"/>
      <c r="CV14" s="6"/>
      <c r="CW14" s="6"/>
      <c r="CX14" s="6"/>
      <c r="CY14" s="6"/>
      <c r="CZ14" s="6"/>
      <c r="DA14" s="6"/>
      <c r="DB14" s="6"/>
      <c r="DC14" s="6"/>
      <c r="DD14" s="6"/>
      <c r="DE14" s="6"/>
      <c r="DF14" s="6"/>
      <c r="DG14" s="6"/>
      <c r="DH14" s="6"/>
      <c r="DI14" s="6"/>
      <c r="DJ14" s="6"/>
      <c r="DK14" s="6"/>
      <c r="DL14" s="6"/>
      <c r="DM14" s="6"/>
      <c r="DN14" s="6"/>
      <c r="DO14" s="7"/>
      <c r="DP14" s="7"/>
      <c r="DQ14" s="7"/>
      <c r="DR14" s="7"/>
      <c r="DS14" s="7"/>
      <c r="DT14" s="7"/>
      <c r="DU14" s="7"/>
      <c r="DV14" s="7"/>
      <c r="DW14" s="7"/>
      <c r="DX14" s="7"/>
      <c r="DY14" s="7"/>
      <c r="DZ14" s="7"/>
      <c r="EA14" s="7"/>
      <c r="EB14" s="7"/>
      <c r="EC14" s="7"/>
      <c r="ED14" s="7"/>
      <c r="EE14" s="7"/>
      <c r="EF14" s="7"/>
      <c r="EG14" s="7"/>
      <c r="EH14" s="7"/>
      <c r="EI14" s="7"/>
      <c r="EJ14" s="7"/>
      <c r="EK14" s="7"/>
      <c r="EL14" s="7"/>
      <c r="EM14" s="7"/>
      <c r="EN14" s="7"/>
      <c r="EO14" s="7"/>
      <c r="EP14" s="7"/>
      <c r="EQ14" s="7"/>
      <c r="ER14" s="7"/>
      <c r="ES14" s="7"/>
      <c r="ET14" s="7"/>
      <c r="EU14" s="7"/>
      <c r="EV14" s="7"/>
      <c r="EW14" s="7"/>
      <c r="EX14" s="7"/>
      <c r="EY14" s="6"/>
      <c r="EZ14" s="6"/>
      <c r="FA14" s="6"/>
      <c r="FB14" s="6"/>
      <c r="FC14" s="6"/>
      <c r="FD14" s="6"/>
      <c r="FE14" s="6"/>
      <c r="FF14" s="6"/>
      <c r="FG14" s="6"/>
      <c r="FH14" s="6"/>
      <c r="FI14" s="6"/>
      <c r="FJ14" s="6"/>
      <c r="FK14" s="6"/>
      <c r="FL14" s="6"/>
      <c r="FM14" s="6"/>
      <c r="FN14" s="6"/>
      <c r="FO14" s="6"/>
      <c r="FP14" s="6"/>
      <c r="FQ14" s="6"/>
      <c r="FR14" s="6"/>
      <c r="FS14" s="6"/>
      <c r="FT14" s="6"/>
      <c r="FU14" s="6"/>
      <c r="FV14" s="6"/>
      <c r="FW14" s="6"/>
      <c r="FX14" s="6"/>
      <c r="FY14" s="6"/>
      <c r="FZ14" s="6"/>
      <c r="GA14" s="6"/>
      <c r="GB14" s="6"/>
      <c r="GC14" s="6"/>
      <c r="GD14" s="6"/>
      <c r="GE14" s="6"/>
      <c r="GF14" s="6"/>
      <c r="GG14" s="6"/>
      <c r="GH14" s="6"/>
      <c r="GI14" s="6"/>
      <c r="GJ14" s="6"/>
      <c r="GK14" s="6"/>
      <c r="GL14" s="6"/>
      <c r="GM14" s="6"/>
      <c r="GN14" s="6"/>
      <c r="GO14" s="6"/>
      <c r="GP14" s="6"/>
      <c r="GQ14" s="6"/>
      <c r="GR14" s="6"/>
      <c r="GS14" s="6"/>
      <c r="GT14" s="6"/>
      <c r="GU14" s="6"/>
      <c r="GV14" s="6"/>
      <c r="GW14" s="6"/>
      <c r="GX14" s="6"/>
      <c r="GY14" s="6"/>
      <c r="GZ14" s="6"/>
      <c r="HA14" s="7"/>
      <c r="HB14" s="7"/>
      <c r="HC14" s="7"/>
      <c r="HD14" s="6"/>
      <c r="HE14" s="6"/>
      <c r="HF14" s="6"/>
      <c r="HG14" s="6"/>
      <c r="HH14" s="6"/>
      <c r="HI14" s="6"/>
      <c r="HJ14" s="6"/>
      <c r="HK14" s="6"/>
      <c r="HL14" s="6"/>
      <c r="HM14" s="6"/>
      <c r="HN14" s="6"/>
      <c r="HO14" s="6"/>
      <c r="HP14" s="6"/>
      <c r="HQ14" s="6"/>
      <c r="HR14" s="6"/>
      <c r="HS14" s="6"/>
      <c r="HT14" s="6"/>
      <c r="HU14" s="6"/>
      <c r="HV14" s="6"/>
      <c r="HW14" s="6"/>
      <c r="HX14" s="6"/>
      <c r="HY14" s="6"/>
      <c r="HZ14" s="6"/>
      <c r="IA14" s="6"/>
      <c r="IB14" s="6"/>
      <c r="IC14" s="6"/>
      <c r="ID14">
        <v>0.76</v>
      </c>
      <c r="IE14">
        <v>0.53</v>
      </c>
      <c r="IF14">
        <v>0.86</v>
      </c>
      <c r="IH14" s="7"/>
      <c r="II14">
        <v>0.71</v>
      </c>
      <c r="IN14" s="6"/>
      <c r="IO14">
        <v>0.79</v>
      </c>
      <c r="IS14" s="6"/>
      <c r="IT14" s="6"/>
      <c r="IW14" s="6"/>
      <c r="IX14" s="6"/>
      <c r="IY14">
        <v>0.69</v>
      </c>
      <c r="JE14" s="6"/>
      <c r="JF14" s="6"/>
      <c r="JG14" s="6"/>
      <c r="JH14" s="6"/>
      <c r="JI14" s="6"/>
      <c r="JJ14" s="6"/>
      <c r="JK14" s="6"/>
      <c r="JL14" s="6"/>
      <c r="JM14" s="6"/>
      <c r="JN14" s="6"/>
      <c r="JO14" s="6"/>
      <c r="JP14" s="6"/>
      <c r="JQ14" s="6"/>
      <c r="JR14" s="7"/>
      <c r="JS14" s="7"/>
      <c r="JT14" s="6"/>
      <c r="JU14" s="6"/>
      <c r="JV14" s="6"/>
      <c r="JW14" s="6"/>
      <c r="JX14" s="6"/>
      <c r="JY14" s="6"/>
      <c r="JZ14" s="6"/>
      <c r="KA14" s="6"/>
      <c r="KB14" s="6"/>
      <c r="KC14" s="6"/>
      <c r="KD14" s="6"/>
      <c r="KE14" s="6"/>
      <c r="KF14" s="6"/>
      <c r="KG14" s="6"/>
      <c r="KH14" s="6"/>
      <c r="KI14" s="6"/>
      <c r="KJ14" s="6"/>
      <c r="KK14" s="6"/>
      <c r="KL14" s="6"/>
      <c r="KM14" s="6"/>
      <c r="KN14" s="6"/>
      <c r="KO14" s="6"/>
      <c r="KP14" s="6"/>
      <c r="KQ14" s="6"/>
      <c r="KR14" s="6"/>
      <c r="KS14" s="6"/>
      <c r="KT14" s="6"/>
      <c r="KU14" s="6"/>
      <c r="KV14" s="6"/>
      <c r="KW14" s="6"/>
      <c r="KX14" s="6"/>
      <c r="KY14" s="6"/>
      <c r="KZ14" s="6"/>
      <c r="LA14" s="6"/>
      <c r="LB14" s="6"/>
      <c r="LC14" s="6"/>
      <c r="LD14" s="6"/>
      <c r="LE14" s="6"/>
      <c r="LF14" s="6"/>
      <c r="LG14" s="6"/>
      <c r="LH14" s="6"/>
      <c r="LI14" s="6"/>
      <c r="LJ14" s="6"/>
      <c r="LK14" s="6"/>
      <c r="LL14" s="6"/>
      <c r="LM14" s="6"/>
      <c r="LN14" s="6"/>
      <c r="LO14" s="6"/>
      <c r="LP14" s="6"/>
      <c r="LQ14" s="6"/>
      <c r="LR14" s="6"/>
      <c r="LS14" s="6"/>
      <c r="LT14" s="6"/>
      <c r="LU14" s="6"/>
      <c r="LV14" s="6"/>
      <c r="LW14" s="6"/>
      <c r="LX14" s="51"/>
      <c r="LY14" s="51"/>
      <c r="LZ14" s="51"/>
      <c r="MA14" s="51"/>
      <c r="MB14" s="51"/>
      <c r="MC14" s="51"/>
      <c r="MD14" s="51"/>
      <c r="ME14" s="6"/>
      <c r="MF14" s="6"/>
      <c r="MG14" s="6"/>
      <c r="MH14" s="6"/>
      <c r="MI14" s="6"/>
      <c r="MJ14" s="6"/>
      <c r="MK14" s="6"/>
      <c r="ML14" s="6"/>
      <c r="MM14" s="6"/>
      <c r="MN14" s="6"/>
      <c r="MO14" s="6"/>
      <c r="MP14" s="6"/>
      <c r="MQ14" s="6"/>
      <c r="MR14" s="6"/>
      <c r="MS14" s="6"/>
      <c r="MT14" s="6"/>
      <c r="MU14" s="6"/>
      <c r="MV14" s="6"/>
      <c r="MW14" s="6"/>
      <c r="MX14" s="6"/>
      <c r="MY14" s="6"/>
      <c r="MZ14" s="6"/>
      <c r="NA14" s="6"/>
      <c r="NB14" s="6"/>
      <c r="NC14" s="6"/>
      <c r="ND14" s="6"/>
      <c r="NE14" s="6"/>
      <c r="NF14" s="6"/>
      <c r="NG14" s="6"/>
      <c r="NH14" s="6"/>
      <c r="NI14" s="6"/>
      <c r="NJ14" s="6"/>
      <c r="NK14" s="6"/>
      <c r="NL14" s="6"/>
      <c r="NM14" s="6"/>
      <c r="NN14" s="6"/>
      <c r="NO14" s="6"/>
      <c r="NP14" s="6"/>
      <c r="NQ14" s="6"/>
      <c r="NR14" s="6"/>
      <c r="NS14" s="6"/>
      <c r="NT14" s="6"/>
      <c r="NU14" s="6"/>
      <c r="NV14" s="6"/>
      <c r="NW14" s="6"/>
      <c r="NX14" s="6"/>
      <c r="NY14" s="6"/>
      <c r="NZ14" s="6"/>
      <c r="OA14" s="6"/>
      <c r="OB14" s="6"/>
      <c r="OC14" s="6"/>
      <c r="OD14" s="6"/>
      <c r="OE14" s="6"/>
      <c r="OF14" s="6"/>
      <c r="OG14" s="6"/>
      <c r="OH14" s="6"/>
      <c r="OI14" s="6"/>
      <c r="OJ14" s="6"/>
      <c r="OK14" s="6"/>
      <c r="OL14" s="6"/>
      <c r="OM14" s="6"/>
      <c r="ON14" s="6"/>
      <c r="OO14" s="6"/>
      <c r="OP14" s="6"/>
      <c r="OQ14" s="6"/>
      <c r="OR14" s="6"/>
      <c r="OS14" s="6"/>
      <c r="OT14" s="6"/>
      <c r="OU14" s="6"/>
      <c r="OV14" s="6"/>
      <c r="OW14" s="6"/>
      <c r="OX14" s="6"/>
      <c r="OY14" s="6"/>
      <c r="OZ14" s="6"/>
      <c r="QQ14" s="8"/>
      <c r="QR14" s="8"/>
      <c r="QS14" s="8"/>
      <c r="QT14" s="8"/>
      <c r="QU14" s="8"/>
      <c r="QV14" s="8"/>
      <c r="QW14" s="8"/>
      <c r="QX14" s="8"/>
      <c r="QY14" s="6"/>
      <c r="QZ14" s="6"/>
      <c r="RA14" s="6"/>
      <c r="RB14" s="6"/>
      <c r="RC14" s="6"/>
      <c r="RD14" s="6"/>
      <c r="RE14" s="6"/>
      <c r="RF14" s="6"/>
      <c r="RG14" s="6"/>
      <c r="RH14" s="6"/>
      <c r="RI14" s="6"/>
      <c r="RJ14" s="6"/>
      <c r="RK14" s="6"/>
      <c r="RL14" s="6"/>
      <c r="RM14" s="6"/>
      <c r="RN14" s="6"/>
      <c r="RO14" s="6"/>
      <c r="RP14" s="6"/>
      <c r="RQ14" s="6"/>
      <c r="RR14" s="6"/>
      <c r="RS14" s="6"/>
      <c r="RT14" s="6"/>
      <c r="RU14" s="6"/>
      <c r="RV14" s="6"/>
      <c r="RW14" s="6"/>
      <c r="RX14" s="6"/>
      <c r="RY14" s="6"/>
      <c r="RZ14" s="6"/>
      <c r="SA14" s="6"/>
      <c r="SB14" s="6"/>
      <c r="SC14" s="6"/>
      <c r="SD14" s="6"/>
      <c r="SE14" s="6"/>
      <c r="SF14" s="6"/>
      <c r="SG14" s="6"/>
      <c r="SH14" s="6"/>
      <c r="SI14" s="6"/>
      <c r="SJ14" s="6"/>
      <c r="SK14" s="6"/>
      <c r="SL14" s="6"/>
      <c r="SM14" s="7"/>
      <c r="SN14" s="7"/>
      <c r="SO14" s="7"/>
      <c r="SP14" s="7"/>
      <c r="SQ14" s="7"/>
      <c r="SR14" s="6"/>
      <c r="SS14" s="6"/>
      <c r="ST14" s="6"/>
      <c r="SU14" s="6"/>
      <c r="SV14" s="6"/>
      <c r="SW14" s="6"/>
      <c r="SX14" s="6"/>
      <c r="SY14" s="6"/>
      <c r="SZ14" s="6"/>
      <c r="TA14" s="6"/>
      <c r="TB14" s="6"/>
      <c r="TC14" s="6"/>
      <c r="TD14" s="6"/>
      <c r="TE14" s="6"/>
      <c r="TF14" s="6"/>
      <c r="TG14" s="6"/>
      <c r="TH14" s="6"/>
      <c r="TI14" s="6"/>
      <c r="TJ14" s="6"/>
      <c r="TK14" s="6"/>
      <c r="TL14" s="6"/>
      <c r="TM14" s="6"/>
      <c r="TN14" s="6"/>
      <c r="TO14" s="6"/>
      <c r="TP14" s="6"/>
      <c r="TQ14" s="6"/>
      <c r="TR14" s="6"/>
      <c r="TS14" s="6"/>
      <c r="TT14" s="6"/>
      <c r="TU14" s="6"/>
      <c r="TV14" s="6"/>
      <c r="TW14" s="6"/>
      <c r="TX14" s="6"/>
      <c r="TY14" s="6"/>
      <c r="TZ14" s="6"/>
      <c r="UA14" s="6"/>
      <c r="UB14" s="6"/>
      <c r="UC14" s="6"/>
      <c r="UD14" s="6"/>
      <c r="UE14" s="6"/>
      <c r="UF14" s="6"/>
      <c r="UG14" s="6"/>
      <c r="UH14" s="6"/>
      <c r="UI14" s="6"/>
      <c r="UJ14" s="6"/>
      <c r="UK14" s="6"/>
      <c r="UL14" s="6"/>
      <c r="UM14" s="6"/>
      <c r="UN14" s="6"/>
      <c r="UO14" s="6"/>
      <c r="UP14" s="6"/>
      <c r="UQ14" s="6"/>
      <c r="UR14" s="6"/>
      <c r="US14" s="6"/>
      <c r="UT14" s="6"/>
      <c r="UU14" s="6"/>
      <c r="UV14" s="6"/>
      <c r="UW14" s="6"/>
      <c r="UX14" s="6"/>
      <c r="UY14" s="6"/>
      <c r="UZ14" s="6"/>
      <c r="VA14" s="6"/>
      <c r="VB14" s="6"/>
      <c r="VC14" s="6"/>
      <c r="VD14" s="6"/>
      <c r="VE14" s="6"/>
      <c r="VF14" s="6"/>
      <c r="VG14" s="6"/>
      <c r="VH14" s="6"/>
      <c r="VI14" s="6"/>
      <c r="VJ14" s="6"/>
      <c r="VK14" s="6"/>
      <c r="VL14" s="6"/>
      <c r="VM14" s="6"/>
      <c r="VN14" s="6"/>
      <c r="VO14" s="6"/>
      <c r="VP14" s="6"/>
      <c r="VQ14" s="6"/>
      <c r="VR14" s="6"/>
      <c r="VS14" s="6"/>
      <c r="VT14" s="6"/>
      <c r="VU14" s="6"/>
      <c r="VV14" s="6"/>
      <c r="VW14" s="6"/>
      <c r="VX14" s="6"/>
      <c r="VY14" s="6"/>
      <c r="VZ14" s="6"/>
      <c r="WA14" s="6"/>
      <c r="WB14" s="6"/>
      <c r="WC14" s="6"/>
      <c r="WD14" s="6"/>
      <c r="WE14" s="6"/>
      <c r="WF14" s="6"/>
      <c r="WG14" s="6"/>
      <c r="WH14" s="6"/>
      <c r="WI14" s="6"/>
      <c r="WJ14" s="6"/>
      <c r="WK14" s="6"/>
      <c r="WL14" s="6"/>
      <c r="WM14" s="6"/>
      <c r="WN14" s="6"/>
      <c r="WO14" s="6"/>
      <c r="WP14" s="6"/>
      <c r="WQ14" s="6"/>
      <c r="WR14" s="6"/>
      <c r="WS14" s="6"/>
      <c r="WT14" s="6"/>
      <c r="WU14" s="6"/>
      <c r="WV14" s="6"/>
      <c r="WW14" s="6"/>
      <c r="WX14" s="6"/>
      <c r="WY14" s="6"/>
      <c r="WZ14" s="6"/>
      <c r="XA14" s="6"/>
      <c r="XB14" s="6"/>
      <c r="XC14" s="6"/>
      <c r="XD14" s="6"/>
      <c r="XE14" s="6"/>
      <c r="XF14" s="6"/>
      <c r="XG14" s="6"/>
      <c r="XH14" s="6"/>
      <c r="XI14" s="6"/>
      <c r="XJ14" s="6"/>
      <c r="XK14" s="6"/>
      <c r="XL14" s="6"/>
      <c r="XM14" s="6"/>
      <c r="XN14" s="6"/>
      <c r="XO14" s="6"/>
      <c r="XP14" s="6"/>
      <c r="XQ14" s="6"/>
      <c r="XR14" s="6"/>
      <c r="XS14" s="6"/>
      <c r="XT14" s="6"/>
      <c r="XU14" s="6"/>
      <c r="XV14" s="6"/>
      <c r="XW14" s="6"/>
      <c r="XX14" s="6"/>
      <c r="XY14" s="6"/>
      <c r="XZ14" s="6"/>
      <c r="YA14" s="6"/>
      <c r="YB14" s="6"/>
      <c r="YC14" s="6"/>
      <c r="YD14" s="6"/>
      <c r="YE14" s="6"/>
      <c r="YF14" s="6"/>
      <c r="YG14" s="6"/>
      <c r="YH14" s="6"/>
      <c r="YI14" s="6"/>
      <c r="YJ14" s="6"/>
      <c r="YK14" s="6"/>
      <c r="YL14" s="6"/>
      <c r="YM14" s="6"/>
      <c r="YN14" s="6"/>
      <c r="YO14" s="6"/>
      <c r="YP14" s="6"/>
      <c r="YQ14" s="6"/>
      <c r="YR14" s="6"/>
      <c r="YS14" s="6"/>
      <c r="YT14" s="6"/>
      <c r="YU14" s="6"/>
      <c r="YV14" s="6"/>
      <c r="YW14" s="6"/>
      <c r="YX14" s="6"/>
      <c r="YY14" s="6"/>
      <c r="YZ14" s="6"/>
      <c r="ZA14" s="6"/>
      <c r="ZB14" s="6"/>
      <c r="ZC14" s="6"/>
      <c r="ZD14" s="6"/>
      <c r="ZE14" s="6"/>
      <c r="ZF14" s="6"/>
      <c r="ZG14" s="6"/>
      <c r="ZH14" s="6"/>
      <c r="ZI14" s="6"/>
      <c r="ZJ14" s="6"/>
      <c r="ZK14" s="6"/>
      <c r="ZL14" s="6"/>
      <c r="ZM14" s="6"/>
      <c r="ZN14" s="6"/>
      <c r="ZO14" s="6"/>
      <c r="ZP14" s="6"/>
      <c r="ZQ14" s="6"/>
      <c r="ZR14" s="6"/>
      <c r="ZS14" s="6"/>
      <c r="ZT14" s="6"/>
      <c r="ZU14" s="6"/>
      <c r="ZV14" s="6"/>
      <c r="ZW14" s="6"/>
      <c r="ZX14" s="6"/>
      <c r="ZY14" s="6"/>
      <c r="ZZ14" s="6"/>
      <c r="AAA14" s="6"/>
      <c r="AAB14" s="6"/>
      <c r="AAC14" s="6"/>
      <c r="AAD14" s="6"/>
      <c r="AAE14" s="6"/>
      <c r="AAF14" s="6"/>
      <c r="AAG14" s="6"/>
      <c r="AAH14" s="6"/>
      <c r="AAI14" s="6"/>
      <c r="AAJ14" s="6"/>
      <c r="AAK14" s="6"/>
      <c r="AAL14" s="6"/>
      <c r="AAM14" s="6"/>
      <c r="AAN14" s="6"/>
      <c r="AAO14" s="6"/>
      <c r="AAP14" s="6"/>
      <c r="AAQ14" s="6"/>
      <c r="AAR14" s="6"/>
      <c r="AAS14" s="6"/>
      <c r="AAT14" s="6"/>
      <c r="AAU14" s="6"/>
      <c r="AAV14" s="6"/>
      <c r="AAW14" s="6"/>
      <c r="AAX14" s="6"/>
      <c r="AAY14" s="6"/>
      <c r="AAZ14" s="6"/>
      <c r="ABA14" s="6"/>
      <c r="ABB14" s="6"/>
      <c r="ABC14" s="6"/>
      <c r="ABD14" s="6"/>
      <c r="ABE14" s="6"/>
      <c r="ABF14" s="6"/>
      <c r="ABG14" s="6"/>
      <c r="ABH14" s="6"/>
      <c r="ABI14" s="6"/>
      <c r="ABJ14" s="6"/>
      <c r="ABK14" s="6"/>
      <c r="ABL14" s="6"/>
      <c r="ABM14" s="6"/>
      <c r="ABN14" s="6"/>
      <c r="ABO14" s="6"/>
      <c r="ABP14" s="6"/>
      <c r="ABQ14" s="6"/>
      <c r="ABR14" s="6"/>
      <c r="ABS14" s="6"/>
      <c r="ABT14" s="6"/>
      <c r="ABU14" s="6"/>
      <c r="ABV14" s="6"/>
      <c r="ABW14" s="6"/>
      <c r="ABX14" s="6"/>
      <c r="ABY14" s="6"/>
      <c r="ABZ14" s="6"/>
      <c r="ACA14" s="6"/>
      <c r="ACB14" s="6"/>
      <c r="ACC14" s="6"/>
      <c r="ACD14" s="6"/>
      <c r="ACE14" s="6"/>
      <c r="ACF14" s="6"/>
      <c r="ACG14" s="6"/>
      <c r="ACH14" s="6"/>
      <c r="ACI14" s="6"/>
      <c r="ACJ14" s="6"/>
      <c r="ACK14" s="6"/>
      <c r="ACL14" s="6"/>
      <c r="ACM14" s="6"/>
      <c r="ACN14" s="6"/>
      <c r="ACO14" s="6"/>
      <c r="ACP14" s="6"/>
      <c r="ACQ14" s="6"/>
      <c r="ACR14" s="6"/>
      <c r="ACS14" s="6"/>
      <c r="ACT14" s="6"/>
      <c r="ACU14" s="6"/>
      <c r="ACV14" s="6"/>
      <c r="ACW14" s="6"/>
      <c r="ACX14" s="6"/>
      <c r="ACY14" s="6"/>
      <c r="ACZ14" s="6"/>
      <c r="ADA14" s="6"/>
      <c r="ADB14" s="6"/>
      <c r="ADC14" s="6"/>
      <c r="ADD14" s="6"/>
      <c r="ADE14" s="6"/>
      <c r="ADF14" s="6"/>
      <c r="ADG14" s="6"/>
      <c r="ADH14" s="6"/>
      <c r="ADI14" s="6"/>
      <c r="ADJ14" s="6"/>
      <c r="ADK14" s="6"/>
      <c r="ADL14" s="6"/>
      <c r="ADM14" s="6"/>
      <c r="ADN14" s="6"/>
      <c r="ANH14">
        <v>78</v>
      </c>
      <c r="ANI14">
        <v>1</v>
      </c>
      <c r="ANK14">
        <v>23</v>
      </c>
      <c r="ANM14">
        <v>1</v>
      </c>
      <c r="ARC14">
        <v>1</v>
      </c>
      <c r="AUG14">
        <v>1</v>
      </c>
      <c r="AWY14">
        <v>1</v>
      </c>
      <c r="AXC14">
        <v>4</v>
      </c>
      <c r="AXF14">
        <v>3</v>
      </c>
      <c r="AYF14">
        <v>100</v>
      </c>
      <c r="AYK14">
        <v>999</v>
      </c>
      <c r="AYL14">
        <v>999</v>
      </c>
      <c r="AYM14">
        <v>0</v>
      </c>
      <c r="AYN14">
        <v>999</v>
      </c>
      <c r="FNC14">
        <v>1</v>
      </c>
      <c r="FUK14">
        <v>1</v>
      </c>
      <c r="FVD14">
        <v>1</v>
      </c>
      <c r="FWJ14">
        <v>1</v>
      </c>
      <c r="FWY14">
        <v>1</v>
      </c>
      <c r="FYJ14">
        <v>1</v>
      </c>
      <c r="GGQ14">
        <v>1</v>
      </c>
    </row>
    <row r="15" spans="1:5088" x14ac:dyDescent="0.25">
      <c r="A15" s="50"/>
      <c r="LX15" s="50"/>
      <c r="LY15" s="50"/>
      <c r="LZ15" s="50"/>
      <c r="MA15" s="50"/>
      <c r="MB15" s="50"/>
      <c r="MC15" s="50"/>
      <c r="MD15" s="50"/>
      <c r="AXB15" s="35"/>
      <c r="CCL15" s="15"/>
      <c r="CDP15" s="35"/>
    </row>
    <row r="16" spans="1:5088" x14ac:dyDescent="0.25">
      <c r="A16" s="52" t="s">
        <v>2520</v>
      </c>
      <c r="B16" s="7"/>
      <c r="C16" s="7"/>
      <c r="D16" s="7"/>
      <c r="E16" s="7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  <c r="CT16" s="6"/>
      <c r="CU16" s="6"/>
      <c r="CV16" s="6"/>
      <c r="CW16" s="6"/>
      <c r="CX16" s="6"/>
      <c r="CY16" s="6"/>
      <c r="CZ16" s="6"/>
      <c r="DA16" s="6"/>
      <c r="DB16" s="6"/>
      <c r="DC16" s="6"/>
      <c r="DD16" s="6"/>
      <c r="DE16" s="6"/>
      <c r="DF16" s="6"/>
      <c r="DG16" s="6"/>
      <c r="DH16" s="6"/>
      <c r="DI16" s="6"/>
      <c r="DJ16" s="6"/>
      <c r="DK16" s="6"/>
      <c r="DL16" s="6"/>
      <c r="DM16" s="6"/>
      <c r="DN16" s="6"/>
      <c r="DO16" s="7"/>
      <c r="DP16" s="7"/>
      <c r="DQ16" s="7"/>
      <c r="DR16" s="7"/>
      <c r="DS16" s="7"/>
      <c r="DT16" s="7"/>
      <c r="DU16" s="7"/>
      <c r="DV16" s="7"/>
      <c r="DW16" s="7"/>
      <c r="DX16" s="7"/>
      <c r="DY16" s="7"/>
      <c r="DZ16" s="7"/>
      <c r="EA16" s="7"/>
      <c r="EB16" s="7"/>
      <c r="EC16" s="7"/>
      <c r="ED16" s="7"/>
      <c r="EE16" s="7"/>
      <c r="EF16" s="7"/>
      <c r="EG16" s="7"/>
      <c r="EH16" s="7"/>
      <c r="EI16" s="7"/>
      <c r="EJ16" s="7"/>
      <c r="EK16" s="7"/>
      <c r="EL16" s="7"/>
      <c r="EM16" s="7"/>
      <c r="EN16" s="7"/>
      <c r="EO16" s="7"/>
      <c r="EP16" s="7"/>
      <c r="EQ16" s="7"/>
      <c r="ER16" s="7"/>
      <c r="ES16" s="7"/>
      <c r="ET16" s="7"/>
      <c r="EU16" s="7"/>
      <c r="EV16" s="7"/>
      <c r="EW16" s="7"/>
      <c r="EX16" s="7"/>
      <c r="EY16" s="6"/>
      <c r="EZ16" s="6"/>
      <c r="FA16" s="6"/>
      <c r="FB16" s="6"/>
      <c r="FC16" s="6"/>
      <c r="FD16" s="6"/>
      <c r="FE16" s="6"/>
      <c r="FF16" s="6"/>
      <c r="FG16" s="6"/>
      <c r="FH16" s="6"/>
      <c r="FI16" s="6"/>
      <c r="FJ16" s="6"/>
      <c r="FK16" s="6"/>
      <c r="FL16" s="6"/>
      <c r="FM16" s="6"/>
      <c r="FN16" s="6"/>
      <c r="FO16" s="6"/>
      <c r="FP16" s="6"/>
      <c r="FQ16" s="6"/>
      <c r="FR16" s="6"/>
      <c r="FS16" s="6"/>
      <c r="FT16" s="6"/>
      <c r="FU16" s="6"/>
      <c r="FV16" s="6"/>
      <c r="FW16" s="6"/>
      <c r="FX16" s="6"/>
      <c r="FY16" s="6"/>
      <c r="FZ16" s="6"/>
      <c r="GA16" s="6"/>
      <c r="GB16" s="6"/>
      <c r="GC16" s="6"/>
      <c r="GD16" s="6"/>
      <c r="GE16" s="6"/>
      <c r="GF16" s="6"/>
      <c r="GG16" s="6"/>
      <c r="GH16" s="6"/>
      <c r="GI16" s="6"/>
      <c r="GJ16" s="6"/>
      <c r="GK16" s="6"/>
      <c r="GL16" s="6"/>
      <c r="GM16" s="6"/>
      <c r="GN16" s="6"/>
      <c r="GO16" s="6"/>
      <c r="GP16" s="6"/>
      <c r="GQ16" s="6"/>
      <c r="GR16" s="6"/>
      <c r="GS16" s="6"/>
      <c r="GT16" s="6"/>
      <c r="GU16" s="6"/>
      <c r="GV16" s="6"/>
      <c r="GW16" s="6"/>
      <c r="GX16" s="6"/>
      <c r="GY16" s="6"/>
      <c r="GZ16" s="6"/>
      <c r="HA16" s="7"/>
      <c r="HB16" s="7"/>
      <c r="HC16" s="7"/>
      <c r="HD16" s="6"/>
      <c r="HE16" s="6"/>
      <c r="HF16" s="6"/>
      <c r="HG16" s="6"/>
      <c r="HH16" s="6"/>
      <c r="HI16" s="6"/>
      <c r="HJ16" s="6"/>
      <c r="HK16" s="6"/>
      <c r="HL16" s="6"/>
      <c r="HM16" s="6"/>
      <c r="HN16" s="6"/>
      <c r="HO16" s="6"/>
      <c r="HP16" s="6"/>
      <c r="HQ16" s="6"/>
      <c r="HR16" s="6"/>
      <c r="HS16" s="6"/>
      <c r="HT16" s="6"/>
      <c r="HU16" s="6"/>
      <c r="HV16" s="6"/>
      <c r="HW16" s="6"/>
      <c r="HX16" s="6"/>
      <c r="HY16" s="6"/>
      <c r="HZ16" s="6"/>
      <c r="IA16" s="6"/>
      <c r="IB16" s="6"/>
      <c r="IC16" s="6"/>
      <c r="ID16" s="6"/>
      <c r="IE16" s="6"/>
      <c r="IF16" s="6"/>
      <c r="IG16" s="6"/>
      <c r="IH16" s="7"/>
      <c r="II16" s="7"/>
      <c r="IJ16" s="7"/>
      <c r="IK16" s="6"/>
      <c r="IL16" s="6"/>
      <c r="IM16" s="6"/>
      <c r="IN16" s="6"/>
      <c r="IO16" s="6"/>
      <c r="IP16" s="6"/>
      <c r="IQ16" s="6"/>
      <c r="IR16" s="6"/>
      <c r="IS16" s="6"/>
      <c r="IT16" s="6"/>
      <c r="IU16" s="6"/>
      <c r="IV16" s="6"/>
      <c r="IW16" s="6"/>
      <c r="IX16" s="6"/>
      <c r="IY16" s="6"/>
      <c r="IZ16" s="6"/>
      <c r="JA16" s="6"/>
      <c r="JB16" s="6"/>
      <c r="JC16" s="6"/>
      <c r="JD16" s="6"/>
      <c r="JE16" s="6"/>
      <c r="JF16" s="6"/>
      <c r="JG16" s="6"/>
      <c r="JH16" s="6"/>
      <c r="JI16" s="6"/>
      <c r="JJ16" s="6"/>
      <c r="JK16" s="6"/>
      <c r="JL16" s="6"/>
      <c r="JM16" s="6"/>
      <c r="JN16" s="6"/>
      <c r="JO16" s="6"/>
      <c r="JP16" s="6"/>
      <c r="JQ16" s="6"/>
      <c r="JR16" s="7"/>
      <c r="JS16" s="7"/>
      <c r="JT16" s="6"/>
      <c r="JU16" s="6"/>
      <c r="JV16" s="6"/>
      <c r="JW16" s="6"/>
      <c r="JX16" s="6"/>
      <c r="JY16" s="6"/>
      <c r="JZ16" s="6"/>
      <c r="KA16" s="6"/>
      <c r="KB16" s="6"/>
      <c r="KC16" s="6"/>
      <c r="KD16" s="6"/>
      <c r="KE16" s="6"/>
      <c r="KF16" s="6"/>
      <c r="KG16" s="6"/>
      <c r="KH16" s="6"/>
      <c r="KI16" s="6"/>
      <c r="KJ16" s="6"/>
      <c r="KK16" s="6"/>
      <c r="KL16" s="6"/>
      <c r="KM16" s="6"/>
      <c r="KN16" s="6"/>
      <c r="KO16" s="6"/>
      <c r="KP16" s="6"/>
      <c r="KQ16" s="6"/>
      <c r="KR16" s="6"/>
      <c r="KS16" s="6"/>
      <c r="KT16" s="6"/>
      <c r="KU16" s="6"/>
      <c r="KV16" s="6"/>
      <c r="KW16" s="6"/>
      <c r="KX16" s="6"/>
      <c r="KY16" s="6"/>
      <c r="KZ16" s="6"/>
      <c r="LA16" s="6"/>
      <c r="LB16" s="6"/>
      <c r="LC16" s="6"/>
      <c r="LD16" s="6"/>
      <c r="LE16" s="6"/>
      <c r="LF16" s="6"/>
      <c r="LG16" s="6"/>
      <c r="LH16" s="6"/>
      <c r="LI16" s="6"/>
      <c r="LJ16" s="6"/>
      <c r="LK16" s="6"/>
      <c r="LL16" s="6"/>
      <c r="LM16" s="6"/>
      <c r="LN16" s="6"/>
      <c r="LO16" s="6"/>
      <c r="LP16" s="6"/>
      <c r="LQ16" s="6"/>
      <c r="LR16" s="6"/>
      <c r="LS16" s="6"/>
      <c r="LT16" s="6"/>
      <c r="LU16" s="6"/>
      <c r="LV16" s="6"/>
      <c r="LW16" s="6"/>
      <c r="LX16" s="51"/>
      <c r="LY16" s="51"/>
      <c r="LZ16" s="51"/>
      <c r="MA16" s="51"/>
      <c r="MB16" s="51"/>
      <c r="MC16" s="51"/>
      <c r="MD16" s="51"/>
      <c r="ME16" s="6"/>
      <c r="MF16" s="6"/>
      <c r="MG16" s="6"/>
      <c r="MH16" s="6"/>
      <c r="MI16" s="6"/>
      <c r="MJ16" s="6"/>
      <c r="MK16" s="6"/>
      <c r="ML16" s="6"/>
      <c r="MM16" s="6"/>
      <c r="MN16" s="6"/>
      <c r="MO16" s="6"/>
      <c r="MP16" s="6"/>
      <c r="MQ16" s="6"/>
      <c r="MR16" s="6"/>
      <c r="MS16" s="6"/>
      <c r="MT16" s="6"/>
      <c r="MU16" s="6"/>
      <c r="MV16" s="6"/>
      <c r="MW16" s="6"/>
      <c r="MX16" s="6"/>
      <c r="MY16" s="6"/>
      <c r="MZ16" s="6"/>
      <c r="NA16" s="6"/>
      <c r="NB16" s="6"/>
      <c r="NC16" s="6"/>
      <c r="ND16" s="6"/>
      <c r="NE16" s="6"/>
      <c r="NF16" s="6"/>
      <c r="NG16" s="6"/>
      <c r="NH16" s="6"/>
      <c r="NI16" s="6"/>
      <c r="NJ16" s="6"/>
      <c r="NK16" s="6"/>
      <c r="NL16" s="6"/>
      <c r="NM16" s="6"/>
      <c r="NN16" s="6"/>
      <c r="NO16" s="6"/>
      <c r="NP16" s="6"/>
      <c r="NQ16" s="6"/>
      <c r="NR16" s="6"/>
      <c r="NS16" s="6"/>
      <c r="NT16" s="6"/>
      <c r="NU16" s="6"/>
      <c r="NV16" s="6"/>
      <c r="NW16" s="6"/>
      <c r="NX16" s="6"/>
      <c r="NY16" s="6"/>
      <c r="NZ16" s="6"/>
      <c r="OA16" s="6"/>
      <c r="OB16" s="6"/>
      <c r="OC16" s="6"/>
      <c r="OD16" s="6"/>
      <c r="OE16" s="6"/>
      <c r="OF16" s="6"/>
      <c r="OG16" s="6"/>
      <c r="OH16" s="6"/>
      <c r="OI16" s="6"/>
      <c r="OJ16" s="6"/>
      <c r="OK16" s="6"/>
      <c r="OL16" s="6"/>
      <c r="OM16" s="6"/>
      <c r="ON16" s="6"/>
      <c r="OO16" s="6"/>
      <c r="OP16" s="6"/>
      <c r="OQ16" s="6"/>
      <c r="OR16" s="6"/>
      <c r="OS16" s="6"/>
      <c r="OT16" s="6"/>
      <c r="OU16" s="6"/>
      <c r="OV16" s="6"/>
      <c r="OW16" s="6"/>
      <c r="OX16" s="6"/>
      <c r="OY16" s="6"/>
      <c r="OZ16" s="6"/>
      <c r="QQ16" s="8"/>
      <c r="QR16" s="8"/>
      <c r="QS16" s="8"/>
      <c r="QT16" s="8"/>
      <c r="QU16" s="8"/>
      <c r="QV16" s="8"/>
      <c r="QW16" s="8"/>
      <c r="QX16" s="8"/>
      <c r="QY16" s="6"/>
      <c r="QZ16" s="6"/>
      <c r="RA16" s="6"/>
      <c r="RB16" s="6"/>
      <c r="RC16" s="6"/>
      <c r="RD16" s="6"/>
      <c r="RE16" s="6"/>
      <c r="RF16" s="6"/>
      <c r="RG16" s="6"/>
      <c r="RH16" s="6"/>
      <c r="RI16" s="6"/>
      <c r="RJ16" s="6"/>
      <c r="RK16" s="6"/>
      <c r="RL16" s="6"/>
      <c r="RM16" s="6"/>
      <c r="RN16" s="6"/>
      <c r="RO16" s="6"/>
      <c r="RP16" s="6"/>
      <c r="RQ16" s="6"/>
      <c r="RR16" s="6"/>
      <c r="RS16" s="6"/>
      <c r="RT16" s="6"/>
      <c r="RU16" s="6"/>
      <c r="RV16" s="6"/>
      <c r="RW16" s="6"/>
      <c r="RX16" s="6"/>
      <c r="RY16" s="6"/>
      <c r="RZ16" s="6"/>
      <c r="SA16" s="6"/>
      <c r="SB16" s="6"/>
      <c r="SC16" s="6"/>
      <c r="SD16" s="6"/>
      <c r="SE16" s="6"/>
      <c r="SF16" s="6"/>
      <c r="SG16" s="6"/>
      <c r="SH16" s="6"/>
      <c r="SI16" s="6"/>
      <c r="SJ16" s="6"/>
      <c r="SK16" s="6"/>
      <c r="SL16" s="6"/>
      <c r="SM16" s="7"/>
      <c r="SN16" s="7"/>
      <c r="SO16" s="7"/>
      <c r="SP16" s="7"/>
      <c r="SQ16" s="7"/>
      <c r="SR16" s="6"/>
      <c r="SS16" s="6"/>
      <c r="ST16" s="6"/>
      <c r="SU16" s="6"/>
      <c r="SV16" s="6"/>
      <c r="SW16" s="6"/>
      <c r="SX16" s="6"/>
      <c r="SY16" s="6"/>
      <c r="SZ16" s="6"/>
      <c r="TA16" s="6"/>
      <c r="TB16" s="6"/>
      <c r="TC16" s="6"/>
      <c r="TD16" s="6"/>
      <c r="TE16" s="6"/>
      <c r="TF16" s="6"/>
      <c r="TG16" s="6"/>
      <c r="TH16" s="6"/>
      <c r="TI16" s="6"/>
      <c r="TJ16" s="6"/>
      <c r="TK16" s="6"/>
      <c r="TL16" s="6"/>
      <c r="TM16" s="6"/>
      <c r="TN16" s="6"/>
      <c r="TO16" s="6"/>
      <c r="TP16" s="6"/>
      <c r="TQ16" s="6"/>
      <c r="TR16" s="6"/>
      <c r="TS16" s="6"/>
      <c r="TT16" s="6"/>
      <c r="TU16" s="6"/>
      <c r="TV16" s="6"/>
      <c r="TW16" s="6"/>
      <c r="TX16" s="6"/>
      <c r="TY16" s="6"/>
      <c r="TZ16" s="6"/>
      <c r="UA16" s="6"/>
      <c r="UB16" s="6"/>
      <c r="UC16" s="6"/>
      <c r="UD16" s="6"/>
      <c r="UE16" s="6"/>
      <c r="UF16" s="6"/>
      <c r="UG16" s="6"/>
      <c r="UH16" s="6"/>
      <c r="UI16" s="6"/>
      <c r="UJ16" s="6"/>
      <c r="UK16" s="6"/>
      <c r="UL16" s="6"/>
      <c r="UM16" s="6"/>
      <c r="UN16" s="6"/>
      <c r="UO16" s="6"/>
      <c r="UP16" s="6"/>
      <c r="UQ16" s="6"/>
      <c r="UR16" s="6"/>
      <c r="US16" s="6"/>
      <c r="UT16" s="6"/>
      <c r="UU16" s="6"/>
      <c r="UV16" s="6"/>
      <c r="UW16" s="6"/>
      <c r="UX16" s="6"/>
      <c r="UY16" s="6"/>
      <c r="UZ16" s="6"/>
      <c r="VA16" s="6"/>
      <c r="VB16" s="6"/>
      <c r="VC16" s="6"/>
      <c r="VD16" s="6"/>
      <c r="VE16" s="6"/>
      <c r="VF16" s="6"/>
      <c r="VG16" s="6"/>
      <c r="VH16" s="6"/>
      <c r="VI16" s="6"/>
      <c r="VJ16" s="6"/>
      <c r="VK16" s="6"/>
      <c r="VL16" s="6"/>
      <c r="VM16" s="6"/>
      <c r="VN16" s="6"/>
      <c r="VO16" s="6"/>
      <c r="VP16" s="6"/>
      <c r="VQ16" s="6"/>
      <c r="VR16" s="6"/>
      <c r="VS16" s="6"/>
      <c r="VT16" s="6"/>
      <c r="VU16" s="6"/>
      <c r="VV16" s="6"/>
      <c r="VW16" s="6"/>
      <c r="VX16" s="6"/>
      <c r="VY16" s="6"/>
      <c r="VZ16" s="6"/>
      <c r="WA16" s="6"/>
      <c r="WB16" s="6"/>
      <c r="WC16" s="6"/>
      <c r="WD16" s="6"/>
      <c r="WE16" s="6"/>
      <c r="WF16" s="6"/>
      <c r="WG16" s="6"/>
      <c r="WH16" s="6"/>
      <c r="WI16" s="6"/>
      <c r="WJ16" s="6"/>
      <c r="WK16" s="6"/>
      <c r="WL16" s="6"/>
      <c r="WM16" s="6"/>
      <c r="WN16" s="6"/>
      <c r="WO16" s="6"/>
      <c r="WP16" s="6"/>
      <c r="WQ16" s="6"/>
      <c r="WR16" s="6"/>
      <c r="WS16" s="6"/>
      <c r="WT16" s="6"/>
      <c r="WU16" s="6"/>
      <c r="WV16" s="6"/>
      <c r="WW16" s="6"/>
      <c r="WX16" s="6"/>
      <c r="WY16" s="6"/>
      <c r="WZ16" s="6"/>
      <c r="XA16" s="6"/>
      <c r="XB16" s="6"/>
      <c r="XC16" s="6"/>
      <c r="XD16" s="6"/>
      <c r="XE16" s="6"/>
      <c r="XF16" s="6"/>
      <c r="XG16" s="6"/>
      <c r="XH16" s="6"/>
      <c r="XI16" s="6"/>
      <c r="XJ16" s="6"/>
      <c r="XK16" s="6"/>
      <c r="XL16" s="6"/>
      <c r="XM16" s="6"/>
      <c r="XN16" s="6"/>
      <c r="XO16" s="6"/>
      <c r="XP16" s="6"/>
      <c r="XQ16" s="6"/>
      <c r="XR16" s="6"/>
      <c r="XS16" s="6"/>
      <c r="XT16" s="6"/>
      <c r="XU16" s="6"/>
      <c r="XV16" s="6"/>
      <c r="XW16" s="6"/>
      <c r="XX16" s="6"/>
      <c r="XY16" s="6"/>
      <c r="XZ16" s="6"/>
      <c r="YA16" s="6"/>
      <c r="YB16" s="6"/>
      <c r="YC16" s="6"/>
      <c r="YD16" s="6"/>
      <c r="YE16" s="6"/>
      <c r="YF16" s="6"/>
      <c r="YG16" s="6"/>
      <c r="YH16" s="6"/>
      <c r="YI16" s="6"/>
      <c r="YJ16" s="6"/>
      <c r="YK16" s="6"/>
      <c r="YL16" s="6"/>
      <c r="YM16" s="6"/>
      <c r="YN16" s="6"/>
      <c r="YO16" s="6"/>
      <c r="YP16" s="6"/>
      <c r="YQ16" s="6"/>
      <c r="YR16" s="6"/>
      <c r="YS16" s="6"/>
      <c r="YT16" s="6"/>
      <c r="YU16" s="6"/>
      <c r="YV16" s="6"/>
      <c r="YW16" s="6"/>
      <c r="YX16" s="6"/>
      <c r="YY16" s="6"/>
      <c r="YZ16" s="6"/>
      <c r="ZA16" s="6"/>
      <c r="ZB16" s="6"/>
      <c r="ZC16" s="6"/>
      <c r="ZD16" s="6"/>
      <c r="ZE16" s="6"/>
      <c r="ZF16" s="6"/>
      <c r="ZG16" s="6"/>
      <c r="ZH16" s="6"/>
      <c r="ZI16" s="6"/>
      <c r="ZJ16" s="6"/>
      <c r="ZK16" s="6"/>
      <c r="ZL16" s="6"/>
      <c r="ZM16" s="6"/>
      <c r="ZN16" s="6"/>
      <c r="ZO16" s="6"/>
      <c r="ZP16" s="6"/>
      <c r="ZQ16" s="6"/>
      <c r="ZR16" s="6"/>
      <c r="ZS16" s="6"/>
      <c r="ZT16" s="6"/>
      <c r="ZU16" s="6"/>
      <c r="ZV16" s="6"/>
      <c r="ZW16" s="6"/>
      <c r="ZX16" s="6"/>
      <c r="ZY16" s="6"/>
      <c r="ZZ16" s="6"/>
      <c r="AAA16" s="6"/>
      <c r="AAB16" s="6"/>
      <c r="AAC16" s="6"/>
      <c r="AAD16" s="6"/>
      <c r="AAE16" s="6"/>
      <c r="AAF16" s="6"/>
      <c r="AAG16" s="6"/>
      <c r="AAH16" s="6"/>
      <c r="AAI16" s="6"/>
      <c r="AAJ16" s="6"/>
      <c r="AAK16" s="6"/>
      <c r="AAL16" s="6"/>
      <c r="AAM16" s="6"/>
      <c r="AAN16" s="6"/>
      <c r="AAO16" s="6"/>
      <c r="AAP16" s="6"/>
      <c r="AAQ16" s="6"/>
      <c r="AAR16" s="6"/>
      <c r="AAS16" s="6"/>
      <c r="AAT16" s="6"/>
      <c r="AAU16" s="6"/>
      <c r="AAV16" s="6"/>
      <c r="AAW16" s="6"/>
      <c r="AAX16" s="6"/>
      <c r="AAY16" s="6"/>
      <c r="AAZ16" s="6"/>
      <c r="ABA16" s="6"/>
      <c r="ABB16" s="6"/>
      <c r="ABC16" s="6"/>
      <c r="ABD16" s="6"/>
      <c r="ABE16" s="6"/>
      <c r="ABF16" s="6"/>
      <c r="ABG16" s="6"/>
      <c r="ABH16" s="6"/>
      <c r="ABI16" s="6"/>
      <c r="ABJ16" s="6"/>
      <c r="ABK16" s="6"/>
      <c r="ABL16" s="6"/>
      <c r="ABM16" s="6"/>
      <c r="ABN16" s="6"/>
      <c r="ABO16" s="6"/>
      <c r="ABP16" s="6"/>
      <c r="ABQ16" s="6"/>
      <c r="ABR16" s="6"/>
      <c r="ABS16" s="6"/>
      <c r="ABT16" s="6"/>
      <c r="ABU16" s="6"/>
      <c r="ABV16" s="6"/>
      <c r="ABW16" s="6"/>
      <c r="ABX16" s="6"/>
      <c r="ABY16" s="6"/>
      <c r="ABZ16" s="6"/>
      <c r="ACA16" s="6"/>
      <c r="ACB16" s="6"/>
      <c r="ACC16" s="6"/>
      <c r="ACD16" s="6"/>
      <c r="ACE16" s="6"/>
      <c r="ACF16" s="6"/>
      <c r="ACG16" s="6"/>
      <c r="ACH16" s="6"/>
      <c r="ACI16" s="6"/>
      <c r="ACJ16" s="6"/>
      <c r="ACK16" s="6"/>
      <c r="ACL16" s="6"/>
      <c r="ACM16" s="6"/>
      <c r="ACN16" s="6"/>
      <c r="ACO16" s="6"/>
      <c r="ACP16" s="6"/>
      <c r="ACQ16" s="6"/>
      <c r="ACR16" s="6"/>
      <c r="ACS16" s="6"/>
      <c r="ACT16" s="6"/>
      <c r="ACU16" s="6"/>
      <c r="ACV16" s="6"/>
      <c r="ACW16" s="6"/>
      <c r="ACX16" s="6"/>
      <c r="ACY16" s="6"/>
      <c r="ACZ16" s="6"/>
      <c r="ADA16" s="6"/>
      <c r="ADB16" s="6"/>
      <c r="ADC16" s="6"/>
      <c r="ADD16" s="6"/>
      <c r="ADE16" s="6"/>
      <c r="ADF16" s="6"/>
      <c r="ADG16" s="6"/>
      <c r="ADH16" s="6"/>
      <c r="ADI16" s="6"/>
      <c r="ADJ16" s="6"/>
      <c r="ADK16" s="6"/>
      <c r="ADL16" s="6"/>
      <c r="ADM16" s="6"/>
      <c r="ADN16" s="6"/>
    </row>
    <row r="17" spans="1:1015 1048:3035 3169:4013 4179:5068" x14ac:dyDescent="0.25">
      <c r="A17" s="50">
        <v>14242856</v>
      </c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  <c r="CT17" s="6"/>
      <c r="CU17" s="6"/>
      <c r="CV17" s="6"/>
      <c r="CW17" s="6"/>
      <c r="CX17" s="6"/>
      <c r="CY17" s="6"/>
      <c r="CZ17" s="6"/>
      <c r="DA17" s="6"/>
      <c r="DB17" s="6"/>
      <c r="DC17" s="6"/>
      <c r="DD17" s="6"/>
      <c r="DE17" s="6"/>
      <c r="DF17" s="6"/>
      <c r="DG17" s="6"/>
      <c r="DH17" s="6"/>
      <c r="DI17" s="6"/>
      <c r="DJ17" s="6"/>
      <c r="DK17" s="6"/>
      <c r="DL17" s="6"/>
      <c r="DM17" s="6"/>
      <c r="DN17" s="6"/>
      <c r="DO17" s="6">
        <v>5</v>
      </c>
      <c r="DP17" s="6"/>
      <c r="DQ17" s="6"/>
      <c r="DR17" s="6"/>
      <c r="DS17" s="7"/>
      <c r="DT17" s="7"/>
      <c r="DU17" s="7"/>
      <c r="DV17" s="7"/>
      <c r="DW17" s="7"/>
      <c r="DX17" s="7"/>
      <c r="DY17" s="7"/>
      <c r="DZ17" s="7"/>
      <c r="EA17" s="7"/>
      <c r="EB17" s="7"/>
      <c r="EC17" s="7"/>
      <c r="ED17" s="7"/>
      <c r="EE17" s="7"/>
      <c r="EF17" s="7"/>
      <c r="EG17" s="7"/>
      <c r="EH17" s="7"/>
      <c r="EI17" s="7"/>
      <c r="EJ17" s="7"/>
      <c r="EK17" s="7"/>
      <c r="EL17" s="7"/>
      <c r="EM17" s="7"/>
      <c r="EN17" s="7"/>
      <c r="EO17" s="7"/>
      <c r="EP17" s="7"/>
      <c r="EQ17" s="7"/>
      <c r="ER17" s="7"/>
      <c r="ES17" s="7"/>
      <c r="ET17" s="7"/>
      <c r="EU17" s="7"/>
      <c r="EV17" s="7"/>
      <c r="EW17" s="7"/>
      <c r="EX17" s="7"/>
      <c r="EY17" s="6"/>
      <c r="EZ17" s="6"/>
      <c r="FA17" s="6"/>
      <c r="FB17" s="6"/>
      <c r="FC17" s="6"/>
      <c r="FD17" s="6"/>
      <c r="FE17" s="6"/>
      <c r="FF17" s="6"/>
      <c r="FG17" s="6"/>
      <c r="FH17" s="6"/>
      <c r="FI17" s="6"/>
      <c r="FJ17" s="6"/>
      <c r="FK17" s="6"/>
      <c r="FL17" s="6"/>
      <c r="FM17" s="6"/>
      <c r="FN17" s="6"/>
      <c r="FO17" s="6"/>
      <c r="FP17" s="6"/>
      <c r="FQ17" s="6"/>
      <c r="FR17" s="6"/>
      <c r="FS17" s="6"/>
      <c r="FT17" s="6"/>
      <c r="FU17" s="6"/>
      <c r="FV17" s="6"/>
      <c r="FW17" s="6"/>
      <c r="FX17" s="6"/>
      <c r="FY17" s="6"/>
      <c r="FZ17" s="6"/>
      <c r="GA17" s="6"/>
      <c r="GB17" s="6"/>
      <c r="GC17" s="6"/>
      <c r="GD17" s="6"/>
      <c r="GE17" s="6"/>
      <c r="GF17" s="6"/>
      <c r="GG17" s="6"/>
      <c r="GH17" s="6"/>
      <c r="GI17" s="6"/>
      <c r="GJ17" s="6"/>
      <c r="GK17" s="6"/>
      <c r="GL17" s="6"/>
      <c r="GM17" s="6"/>
      <c r="GN17" s="6"/>
      <c r="GO17" s="6"/>
      <c r="GP17" s="6"/>
      <c r="GQ17" s="6"/>
      <c r="GR17" s="6"/>
      <c r="GS17" s="6"/>
      <c r="GT17" s="6"/>
      <c r="GU17" s="6"/>
      <c r="GV17" s="6"/>
      <c r="GW17" s="6"/>
      <c r="GX17" s="6"/>
      <c r="GY17" s="6"/>
      <c r="GZ17" s="6"/>
      <c r="HA17" s="7"/>
      <c r="HB17" s="7"/>
      <c r="HC17" s="7"/>
      <c r="HD17" s="6"/>
      <c r="HE17" s="6"/>
      <c r="HF17" s="6"/>
      <c r="HG17" s="6"/>
      <c r="HH17" s="6"/>
      <c r="HI17" s="6"/>
      <c r="HJ17" s="6"/>
      <c r="HK17" s="6"/>
      <c r="HL17" s="6"/>
      <c r="HM17" s="6"/>
      <c r="HN17" s="6"/>
      <c r="HO17" s="6"/>
      <c r="HP17" s="6"/>
      <c r="HQ17" s="6"/>
      <c r="HR17" s="6"/>
      <c r="HS17" s="6"/>
      <c r="HT17" s="6"/>
      <c r="HU17" s="6"/>
      <c r="HV17" s="6"/>
      <c r="HW17" s="6"/>
      <c r="HX17" s="6"/>
      <c r="HY17" s="6"/>
      <c r="HZ17" s="6"/>
      <c r="IA17" s="6"/>
      <c r="IB17" s="6"/>
      <c r="IC17" s="6"/>
      <c r="ID17" s="6"/>
      <c r="IE17" s="6"/>
      <c r="IF17" s="6"/>
      <c r="IG17" s="6"/>
      <c r="IH17" s="7"/>
      <c r="II17" s="7"/>
      <c r="IJ17" s="7"/>
      <c r="IK17" s="6"/>
      <c r="IL17" s="6"/>
      <c r="IM17" s="6"/>
      <c r="IN17" s="6"/>
      <c r="IO17" s="6"/>
      <c r="IP17" s="6"/>
      <c r="IQ17" s="6"/>
      <c r="IR17" s="6"/>
      <c r="IS17" s="6"/>
      <c r="IT17" s="6"/>
      <c r="IU17" s="6"/>
      <c r="IV17" s="6"/>
      <c r="IW17" s="6"/>
      <c r="IX17" s="6"/>
      <c r="IY17" s="6"/>
      <c r="IZ17" s="6"/>
      <c r="JA17" s="6"/>
      <c r="JB17" s="6"/>
      <c r="JC17" s="6"/>
      <c r="JD17" s="6"/>
      <c r="JE17" s="6"/>
      <c r="JF17" s="6"/>
      <c r="JG17" s="6"/>
      <c r="JH17" s="6"/>
      <c r="JI17" s="6"/>
      <c r="JJ17" s="6"/>
      <c r="JK17" s="6"/>
      <c r="JL17" s="6"/>
      <c r="JM17" s="6"/>
      <c r="JN17" s="6"/>
      <c r="JO17" s="6"/>
      <c r="JP17" s="6"/>
      <c r="JQ17" s="6"/>
      <c r="JR17" s="7"/>
      <c r="JS17" s="7"/>
      <c r="JT17" s="6"/>
      <c r="JU17" s="6"/>
      <c r="JV17" s="6"/>
      <c r="JW17" s="6"/>
      <c r="JX17" s="6"/>
      <c r="JY17" s="6"/>
      <c r="JZ17" s="6"/>
      <c r="KA17" s="6"/>
      <c r="KB17" s="6"/>
      <c r="KC17" s="6"/>
      <c r="KD17" s="6"/>
      <c r="KE17" s="6"/>
      <c r="KF17" s="6"/>
      <c r="KG17" s="6"/>
      <c r="KH17" s="6"/>
      <c r="KI17" s="6"/>
      <c r="KJ17" s="6"/>
      <c r="KK17" s="6"/>
      <c r="KL17" s="6"/>
      <c r="KM17" s="6"/>
      <c r="KN17" s="6"/>
      <c r="KO17" s="6"/>
      <c r="KP17" s="6"/>
      <c r="KQ17" s="6"/>
      <c r="KR17" s="6"/>
      <c r="KS17" s="6"/>
      <c r="KT17" s="6"/>
      <c r="KU17" s="6"/>
      <c r="KV17" s="6"/>
      <c r="KW17" s="6"/>
      <c r="KX17" s="6"/>
      <c r="KY17" s="6"/>
      <c r="KZ17" s="6"/>
      <c r="LA17" s="6"/>
      <c r="LB17" s="6"/>
      <c r="LC17" s="6"/>
      <c r="LD17" s="6"/>
      <c r="LE17" s="6"/>
      <c r="LF17" s="6"/>
      <c r="LG17" s="6"/>
      <c r="LH17" s="6"/>
      <c r="LI17" s="6"/>
      <c r="LJ17" s="6"/>
      <c r="LK17" s="6"/>
      <c r="LL17" s="6"/>
      <c r="LM17" s="6"/>
      <c r="LN17" s="6"/>
      <c r="LO17" s="6"/>
      <c r="LP17" s="6"/>
      <c r="LQ17" s="6"/>
      <c r="LR17" s="6"/>
      <c r="LS17" s="6"/>
      <c r="LT17" s="6"/>
      <c r="LU17" s="6"/>
      <c r="LV17" s="6"/>
      <c r="LW17" s="6"/>
      <c r="LX17" s="51"/>
      <c r="LY17" s="51"/>
      <c r="LZ17" s="51"/>
      <c r="MA17" s="51">
        <v>330</v>
      </c>
      <c r="MB17" s="51"/>
      <c r="MC17" s="51"/>
      <c r="MD17" s="51"/>
      <c r="ME17" s="6"/>
      <c r="MF17" s="6"/>
      <c r="MG17" s="6"/>
      <c r="MH17" s="6"/>
      <c r="MI17" s="6"/>
      <c r="MJ17" s="6"/>
      <c r="MK17" s="6"/>
      <c r="ML17" s="6"/>
      <c r="MM17" s="6"/>
      <c r="MN17" s="6"/>
      <c r="MO17" s="6"/>
      <c r="MP17" s="6"/>
      <c r="MQ17" s="6"/>
      <c r="MR17" s="6"/>
      <c r="MS17" s="6"/>
      <c r="MT17" s="6"/>
      <c r="MU17" s="6"/>
      <c r="MV17" s="6"/>
      <c r="MW17" s="6"/>
      <c r="MX17" s="6"/>
      <c r="MY17" s="6"/>
      <c r="MZ17" s="6"/>
      <c r="NA17" s="6"/>
      <c r="NB17" s="6"/>
      <c r="NC17" s="6"/>
      <c r="ND17" s="6"/>
      <c r="NE17" s="6"/>
      <c r="NF17" s="6"/>
      <c r="NG17" s="6"/>
      <c r="NH17" s="6"/>
      <c r="NI17" s="6"/>
      <c r="NJ17" s="6"/>
      <c r="NK17" s="6"/>
      <c r="NL17" s="6"/>
      <c r="NM17" s="6"/>
      <c r="NN17" s="6"/>
      <c r="NO17" s="6"/>
      <c r="NP17" s="6"/>
      <c r="NQ17" s="6"/>
      <c r="NR17" s="6"/>
      <c r="NS17" s="6"/>
      <c r="NT17" s="6"/>
      <c r="NU17" s="6"/>
      <c r="NV17" s="6"/>
      <c r="NW17" s="6"/>
      <c r="NX17" s="6"/>
      <c r="NY17" s="6"/>
      <c r="NZ17" s="6"/>
      <c r="OA17" s="6"/>
      <c r="OB17" s="6"/>
      <c r="OC17" s="6"/>
      <c r="OD17" s="6"/>
      <c r="OE17" s="6"/>
      <c r="OF17" s="6"/>
      <c r="OG17" s="6"/>
      <c r="OH17" s="6"/>
      <c r="OI17" s="6"/>
      <c r="OJ17" s="6"/>
      <c r="OK17" s="6"/>
      <c r="OL17" s="6"/>
      <c r="OM17" s="6"/>
      <c r="ON17" s="6"/>
      <c r="OO17" s="6"/>
      <c r="OP17" s="6"/>
      <c r="OQ17" s="6"/>
      <c r="OR17" s="6"/>
      <c r="OS17" s="6"/>
      <c r="OT17" s="6"/>
      <c r="OU17" s="6"/>
      <c r="OV17" s="6"/>
      <c r="OW17" s="6"/>
      <c r="OX17" s="6"/>
      <c r="OY17" s="6"/>
      <c r="OZ17" s="6"/>
      <c r="QQ17" s="8"/>
      <c r="QR17" s="8"/>
      <c r="QS17" s="8"/>
      <c r="QT17" s="8"/>
      <c r="QU17" s="8"/>
      <c r="QV17" s="8"/>
      <c r="QW17" s="8"/>
      <c r="QX17" s="8">
        <v>466000</v>
      </c>
      <c r="QY17" s="6"/>
      <c r="QZ17" s="6"/>
      <c r="RA17" s="6"/>
      <c r="RB17" s="6"/>
      <c r="RC17" s="6"/>
      <c r="RD17" s="6"/>
      <c r="RE17" s="6"/>
      <c r="RF17" s="6"/>
      <c r="RG17" s="6"/>
      <c r="RH17" s="6"/>
      <c r="RI17" s="6"/>
      <c r="RJ17" s="6"/>
      <c r="RK17" s="6"/>
      <c r="RL17" s="6"/>
      <c r="RM17" s="6"/>
      <c r="RN17" s="6"/>
      <c r="RO17" s="6"/>
      <c r="RP17" s="6"/>
      <c r="RQ17" s="6"/>
      <c r="RR17" s="6"/>
      <c r="RS17" s="6"/>
      <c r="RT17" s="6"/>
      <c r="RU17" s="6"/>
      <c r="RV17" s="6"/>
      <c r="RW17" s="6"/>
      <c r="RX17" s="6"/>
      <c r="RY17" s="6"/>
      <c r="RZ17" s="6"/>
      <c r="SA17" s="6"/>
      <c r="SB17" s="6"/>
      <c r="SC17" s="6"/>
      <c r="SD17" s="6"/>
      <c r="SE17" s="6"/>
      <c r="SF17" s="6"/>
      <c r="SG17" s="6"/>
      <c r="SH17" s="6"/>
      <c r="SI17" s="6"/>
      <c r="SJ17" s="6"/>
      <c r="SK17" s="6"/>
      <c r="SL17" s="6"/>
      <c r="SM17" s="7"/>
      <c r="SN17" s="7"/>
      <c r="SO17" s="7"/>
      <c r="SP17" s="7"/>
      <c r="SQ17" s="7"/>
      <c r="SR17" s="6"/>
      <c r="SS17" s="6"/>
      <c r="ST17">
        <v>1</v>
      </c>
      <c r="TE17">
        <v>4</v>
      </c>
      <c r="TY17">
        <v>80</v>
      </c>
      <c r="VJ17" s="6">
        <v>22</v>
      </c>
      <c r="VK17" s="6"/>
      <c r="VL17" s="6"/>
      <c r="VM17" s="6"/>
      <c r="VN17" s="6"/>
      <c r="VO17" s="6"/>
      <c r="VP17" s="6"/>
      <c r="VQ17" s="6"/>
      <c r="VR17" s="6"/>
      <c r="VS17" s="6"/>
      <c r="VT17" s="6"/>
      <c r="VU17" s="6"/>
      <c r="VV17" s="6"/>
      <c r="VW17" s="6"/>
      <c r="VX17" s="6"/>
      <c r="VY17" s="6"/>
      <c r="VZ17" s="6"/>
      <c r="WA17" s="6"/>
      <c r="WB17" s="6"/>
      <c r="WC17" s="6"/>
      <c r="WD17" s="6"/>
      <c r="WE17" s="6"/>
      <c r="WF17" s="6"/>
      <c r="WG17" s="6"/>
      <c r="WH17" s="6"/>
      <c r="WI17" s="6"/>
      <c r="WJ17" s="6"/>
      <c r="WK17" s="6"/>
      <c r="WL17" s="6"/>
      <c r="WM17" s="6"/>
      <c r="WN17" s="6"/>
      <c r="WO17" s="6"/>
      <c r="WP17" s="6"/>
      <c r="WQ17" s="6"/>
      <c r="WR17" s="6"/>
      <c r="WS17" s="6"/>
      <c r="WT17" s="6"/>
      <c r="WU17" s="6"/>
      <c r="WV17" s="6"/>
      <c r="WW17" s="6"/>
      <c r="WX17" s="6"/>
      <c r="WY17" s="6"/>
      <c r="WZ17" s="6"/>
      <c r="XA17" s="6"/>
      <c r="XB17" s="6"/>
      <c r="XC17" s="6"/>
      <c r="XD17" s="6"/>
      <c r="XE17" s="6"/>
      <c r="XF17" s="6"/>
      <c r="XG17" s="6"/>
      <c r="XH17" s="6"/>
      <c r="XI17" s="6"/>
      <c r="XJ17" s="6"/>
      <c r="XK17" s="6"/>
      <c r="XL17" s="6"/>
      <c r="XM17" s="6"/>
      <c r="XN17" s="6"/>
      <c r="XO17" s="6"/>
      <c r="XP17" s="6"/>
      <c r="XQ17" s="6"/>
      <c r="XR17" s="6"/>
      <c r="XS17" s="6"/>
      <c r="XT17" s="6"/>
      <c r="XU17" s="6"/>
      <c r="XV17" s="6"/>
      <c r="XW17" s="6"/>
      <c r="XX17" s="6"/>
      <c r="XY17" s="6"/>
      <c r="XZ17" s="6"/>
      <c r="YA17" s="6"/>
      <c r="YB17" s="6"/>
      <c r="YC17" s="6"/>
      <c r="YD17" s="6"/>
      <c r="YE17" s="6"/>
      <c r="YF17" s="6"/>
      <c r="YG17" s="6"/>
      <c r="YH17" s="6"/>
      <c r="YI17" s="6"/>
      <c r="YJ17" s="6"/>
      <c r="YK17" s="6"/>
      <c r="YL17" s="6"/>
      <c r="YM17" s="6"/>
      <c r="YN17" s="6"/>
      <c r="YO17" s="6"/>
      <c r="YP17" s="6"/>
      <c r="YQ17" s="6"/>
      <c r="YR17" s="6"/>
      <c r="YS17" s="6"/>
      <c r="YT17" s="6"/>
      <c r="YU17" s="6"/>
      <c r="YV17" s="6"/>
      <c r="YW17" s="6"/>
      <c r="YX17" s="6"/>
      <c r="YY17" s="6"/>
      <c r="YZ17" s="6"/>
      <c r="ZA17" s="6"/>
      <c r="ZB17" s="6"/>
      <c r="ZC17" s="6"/>
      <c r="ZD17" s="6"/>
      <c r="ZE17" s="6"/>
      <c r="ZF17" s="6"/>
      <c r="ZG17" s="6"/>
      <c r="ZH17" s="6"/>
      <c r="ZI17" s="6"/>
      <c r="ZJ17" s="6"/>
      <c r="ZK17" s="6"/>
      <c r="ZL17" s="6"/>
      <c r="ZM17" s="6"/>
      <c r="ZN17" s="6"/>
      <c r="ZO17" s="6"/>
      <c r="ZP17" s="6"/>
      <c r="ZQ17" s="6"/>
      <c r="ZR17" s="6"/>
      <c r="ZS17" s="6"/>
      <c r="ZT17" s="6"/>
      <c r="ZU17" s="6"/>
      <c r="ZV17" s="6"/>
      <c r="ZW17" s="6"/>
      <c r="ZX17" s="6"/>
      <c r="ZY17" s="6"/>
      <c r="ZZ17" s="6"/>
      <c r="AAA17" s="6"/>
      <c r="AAB17" s="6"/>
      <c r="AAC17" s="6"/>
      <c r="AAD17" s="6"/>
      <c r="AAE17" s="6"/>
      <c r="AAF17" s="6"/>
      <c r="AAG17" s="6"/>
      <c r="AAH17" s="6"/>
      <c r="AAI17" s="6"/>
      <c r="AAJ17" s="6"/>
      <c r="AAK17" s="6"/>
      <c r="AAL17" s="6"/>
      <c r="AAM17" s="6"/>
      <c r="AAN17" s="6"/>
      <c r="AAO17" s="6"/>
      <c r="AAP17" s="6"/>
      <c r="AAQ17" s="6"/>
      <c r="AAR17" s="6"/>
      <c r="AAS17" s="6"/>
      <c r="AAT17" s="6"/>
      <c r="AAU17" s="6"/>
      <c r="AAV17" s="6"/>
      <c r="AAW17" s="6"/>
      <c r="AAX17" s="6"/>
      <c r="AAY17" s="6"/>
      <c r="AAZ17" s="6"/>
      <c r="ABA17" s="6"/>
      <c r="ABB17" s="6"/>
      <c r="ABC17" s="6"/>
      <c r="ABD17" s="6"/>
      <c r="ABE17" s="6"/>
      <c r="ABF17" s="6"/>
      <c r="ABG17" s="6"/>
      <c r="ABH17" s="6"/>
      <c r="ABI17" s="6"/>
      <c r="ABJ17" s="6"/>
      <c r="ABK17" s="6"/>
      <c r="ABL17" s="6"/>
      <c r="ABM17" s="6"/>
      <c r="ABN17" s="6"/>
      <c r="ABO17" s="6"/>
      <c r="ABP17" s="6"/>
      <c r="ABQ17" s="6"/>
      <c r="ABR17" s="6"/>
      <c r="ABS17" s="6"/>
      <c r="ABT17" s="6"/>
      <c r="ABU17" s="6"/>
      <c r="ABV17" s="6"/>
      <c r="ABW17" s="6"/>
      <c r="ABX17" s="6"/>
      <c r="ABY17" s="6"/>
      <c r="ABZ17" s="6"/>
      <c r="ACA17" s="6"/>
      <c r="ACB17" s="6"/>
      <c r="ACC17" s="6"/>
      <c r="ACD17" s="6"/>
      <c r="ACE17" s="6"/>
      <c r="ACF17" s="6"/>
      <c r="ACG17" s="6"/>
      <c r="ACH17" s="6"/>
      <c r="ACI17" s="6"/>
      <c r="ACJ17" s="6"/>
      <c r="ACK17" s="6"/>
      <c r="ACL17" s="6"/>
      <c r="ACM17" s="6"/>
      <c r="ACN17" s="6"/>
      <c r="ACO17" s="6"/>
      <c r="ACP17" s="6"/>
      <c r="ACQ17" s="6"/>
      <c r="ACR17" s="6"/>
      <c r="ACS17" s="6"/>
      <c r="ACT17" s="6"/>
      <c r="ACU17" s="6"/>
      <c r="ACV17" s="6"/>
      <c r="ACW17" s="6"/>
      <c r="ACX17" s="6"/>
      <c r="ACY17" s="6"/>
      <c r="ACZ17" s="6"/>
      <c r="ADA17" s="6"/>
      <c r="ADB17" s="6"/>
      <c r="ADC17" s="6"/>
      <c r="ADD17" s="6"/>
      <c r="ADE17" s="6"/>
      <c r="ADF17" s="6"/>
      <c r="ADG17" s="6"/>
      <c r="ADH17" s="6"/>
      <c r="ADI17" s="6"/>
      <c r="ADJ17" s="6"/>
      <c r="ADK17" s="6"/>
      <c r="ADL17" s="6"/>
      <c r="ADM17" s="6"/>
      <c r="ADN17" s="6"/>
      <c r="ANH17">
        <v>21</v>
      </c>
      <c r="ANJ17">
        <v>1</v>
      </c>
      <c r="ANM17">
        <v>1</v>
      </c>
      <c r="ANN17">
        <v>28</v>
      </c>
      <c r="ANS17">
        <v>1</v>
      </c>
      <c r="ANV17">
        <v>1</v>
      </c>
      <c r="AVD17">
        <v>1</v>
      </c>
      <c r="AXG17">
        <v>1</v>
      </c>
      <c r="GCC17">
        <v>80</v>
      </c>
      <c r="GCD17">
        <v>1</v>
      </c>
      <c r="GCE17">
        <v>1</v>
      </c>
      <c r="GDS17">
        <v>1</v>
      </c>
      <c r="GEK17">
        <v>1</v>
      </c>
      <c r="GES17">
        <v>1</v>
      </c>
      <c r="GEV17">
        <v>1</v>
      </c>
      <c r="GEX17">
        <v>1</v>
      </c>
    </row>
    <row r="18" spans="1:1015 1048:3035 3169:4013 4179:5068" x14ac:dyDescent="0.25">
      <c r="A18" s="50">
        <v>99001183</v>
      </c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  <c r="CT18" s="6"/>
      <c r="CU18" s="6"/>
      <c r="CV18" s="6"/>
      <c r="CW18" s="6"/>
      <c r="CX18" s="6"/>
      <c r="CY18" s="6"/>
      <c r="CZ18" s="6"/>
      <c r="DA18" s="6"/>
      <c r="DB18" s="6"/>
      <c r="DC18" s="6"/>
      <c r="DD18" s="6"/>
      <c r="DE18" s="6"/>
      <c r="DF18" s="6"/>
      <c r="DG18" s="6"/>
      <c r="DH18" s="6"/>
      <c r="DI18" s="6"/>
      <c r="DJ18" s="6"/>
      <c r="DK18" s="6"/>
      <c r="DL18" s="6"/>
      <c r="DM18" s="6"/>
      <c r="DN18" s="6"/>
      <c r="DO18" s="7"/>
      <c r="DP18" s="7"/>
      <c r="DQ18" s="7"/>
      <c r="DR18" s="7"/>
      <c r="DS18" s="7"/>
      <c r="DT18" s="7"/>
      <c r="DU18" s="7"/>
      <c r="DV18" s="7"/>
      <c r="DW18" s="7"/>
      <c r="DX18" s="7"/>
      <c r="DY18" s="7"/>
      <c r="DZ18" s="7"/>
      <c r="EA18" s="7"/>
      <c r="EB18" s="7"/>
      <c r="EC18" s="7"/>
      <c r="ED18" s="7"/>
      <c r="EE18" s="7"/>
      <c r="EF18" s="7"/>
      <c r="EG18" s="7"/>
      <c r="EH18" s="7"/>
      <c r="EI18" s="7"/>
      <c r="EJ18" s="7"/>
      <c r="EK18" s="7"/>
      <c r="EL18" s="7"/>
      <c r="EM18" s="7"/>
      <c r="EN18" s="7"/>
      <c r="EO18" s="7"/>
      <c r="EP18" s="7"/>
      <c r="EQ18" s="7"/>
      <c r="ER18" s="7"/>
      <c r="ES18" s="7"/>
      <c r="ET18" s="7"/>
      <c r="EU18" s="7"/>
      <c r="EV18" s="7"/>
      <c r="EW18" s="7"/>
      <c r="EX18" s="7"/>
      <c r="EY18" s="6"/>
      <c r="EZ18" s="6"/>
      <c r="FA18" s="6"/>
      <c r="FB18" s="6"/>
      <c r="FC18" s="6"/>
      <c r="FD18" s="6"/>
      <c r="FE18" s="6"/>
      <c r="FF18" s="6"/>
      <c r="FG18" s="6"/>
      <c r="FH18" s="6"/>
      <c r="FI18" s="6"/>
      <c r="FJ18" s="6"/>
      <c r="FK18" s="6"/>
      <c r="FL18" s="6"/>
      <c r="FM18" s="6"/>
      <c r="FN18" s="6"/>
      <c r="FO18" s="6"/>
      <c r="FP18" s="6"/>
      <c r="FQ18" s="6"/>
      <c r="FR18" s="6"/>
      <c r="FS18" s="6"/>
      <c r="FT18" s="6"/>
      <c r="FU18" s="6"/>
      <c r="FV18" s="6"/>
      <c r="FW18" s="6"/>
      <c r="FX18" s="6"/>
      <c r="FY18" s="6"/>
      <c r="FZ18" s="6"/>
      <c r="GA18" s="6"/>
      <c r="GB18" s="6"/>
      <c r="GC18" s="6"/>
      <c r="GD18" s="6"/>
      <c r="GE18" s="6"/>
      <c r="GF18" s="6"/>
      <c r="GG18" s="6"/>
      <c r="GH18" s="6"/>
      <c r="GI18" s="6"/>
      <c r="GJ18" s="6"/>
      <c r="GK18" s="6"/>
      <c r="GL18" s="6"/>
      <c r="GM18" s="6"/>
      <c r="GN18" s="6"/>
      <c r="GO18" s="6"/>
      <c r="GP18" s="6"/>
      <c r="GQ18" s="6"/>
      <c r="GR18" s="6"/>
      <c r="GS18" s="6"/>
      <c r="GT18" s="6"/>
      <c r="GU18" s="6"/>
      <c r="GV18" s="6"/>
      <c r="GW18" s="6"/>
      <c r="GX18" s="6"/>
      <c r="GY18" s="6"/>
      <c r="GZ18" s="6"/>
      <c r="HA18" s="7"/>
      <c r="HB18" s="7"/>
      <c r="HC18" s="7"/>
      <c r="HD18" s="6"/>
      <c r="HE18" s="6"/>
      <c r="HF18" s="6"/>
      <c r="HG18" s="6"/>
      <c r="HH18" s="6"/>
      <c r="HI18" s="6"/>
      <c r="HJ18" s="6"/>
      <c r="HK18" s="6"/>
      <c r="HL18" s="6"/>
      <c r="HM18" s="6"/>
      <c r="HN18" s="6"/>
      <c r="HO18" s="6"/>
      <c r="HP18" s="6"/>
      <c r="HQ18" s="6"/>
      <c r="HR18" s="6"/>
      <c r="HS18" s="6"/>
      <c r="HT18" s="6"/>
      <c r="HU18" s="6"/>
      <c r="HV18" s="6"/>
      <c r="HW18" s="6"/>
      <c r="HX18" s="6"/>
      <c r="HY18" s="6"/>
      <c r="HZ18" s="6"/>
      <c r="IA18" s="6"/>
      <c r="IB18" s="6"/>
      <c r="IC18" s="6"/>
      <c r="ID18" s="6"/>
      <c r="IE18" s="6"/>
      <c r="IF18" s="6"/>
      <c r="IG18" s="6"/>
      <c r="IH18" s="7"/>
      <c r="II18" s="7"/>
      <c r="IJ18" s="7"/>
      <c r="IK18" s="6"/>
      <c r="IL18" s="6"/>
      <c r="IM18" s="6"/>
      <c r="IN18" s="6"/>
      <c r="IO18" s="6"/>
      <c r="IP18" s="6"/>
      <c r="IQ18" s="6"/>
      <c r="IR18" s="6"/>
      <c r="IS18" s="6"/>
      <c r="IT18" s="6"/>
      <c r="IU18" s="6"/>
      <c r="IV18" s="6"/>
      <c r="IW18" s="6"/>
      <c r="IX18" s="6"/>
      <c r="IY18" s="6"/>
      <c r="IZ18" s="6"/>
      <c r="JA18" s="6"/>
      <c r="JB18" s="6"/>
      <c r="JC18" s="6"/>
      <c r="JD18" s="6"/>
      <c r="JE18" s="6"/>
      <c r="JF18" s="6"/>
      <c r="JG18" s="6"/>
      <c r="JH18" s="6"/>
      <c r="JI18" s="6"/>
      <c r="JJ18" s="6"/>
      <c r="JK18" s="6"/>
      <c r="JL18" s="6"/>
      <c r="JM18" s="6"/>
      <c r="JN18" s="6"/>
      <c r="JO18" s="6"/>
      <c r="JP18" s="6"/>
      <c r="JQ18" s="6"/>
      <c r="JR18" s="7"/>
      <c r="JS18" s="7"/>
      <c r="JT18" s="6"/>
      <c r="JU18" s="6"/>
      <c r="JV18" s="6"/>
      <c r="JW18" s="6"/>
      <c r="JX18" s="6"/>
      <c r="JY18" s="6"/>
      <c r="JZ18" s="6"/>
      <c r="KA18" s="6"/>
      <c r="KB18" s="6"/>
      <c r="KC18" s="6"/>
      <c r="KD18" s="6"/>
      <c r="KE18" s="6"/>
      <c r="KF18" s="6"/>
      <c r="KG18" s="6"/>
      <c r="KH18" s="6"/>
      <c r="KI18" s="6"/>
      <c r="KJ18" s="6"/>
      <c r="KK18" s="6"/>
      <c r="KL18" s="6"/>
      <c r="KM18" s="6"/>
      <c r="KN18" s="6"/>
      <c r="KO18" s="6"/>
      <c r="KP18" s="6"/>
      <c r="KQ18" s="6"/>
      <c r="KR18" s="6"/>
      <c r="KS18" s="6"/>
      <c r="KT18" s="6"/>
      <c r="KU18" s="6"/>
      <c r="KV18" s="6"/>
      <c r="KW18" s="6"/>
      <c r="KX18" s="6"/>
      <c r="KY18" s="6"/>
      <c r="KZ18" s="6"/>
      <c r="LA18" s="6"/>
      <c r="LB18" s="6"/>
      <c r="LC18" s="6"/>
      <c r="LD18" s="6"/>
      <c r="LE18" s="6"/>
      <c r="LF18" s="6"/>
      <c r="LG18" s="6"/>
      <c r="LH18" s="6"/>
      <c r="LI18" s="6"/>
      <c r="LJ18" s="6"/>
      <c r="LK18" s="6"/>
      <c r="LL18" s="6"/>
      <c r="LM18" s="6"/>
      <c r="LN18" s="6"/>
      <c r="LO18" s="6"/>
      <c r="LP18" s="6"/>
      <c r="LQ18" s="6"/>
      <c r="LR18" s="6"/>
      <c r="LS18" s="6"/>
      <c r="LT18" s="6"/>
      <c r="LU18" s="6"/>
      <c r="LV18" s="6"/>
      <c r="LW18" s="6"/>
      <c r="LX18" s="51"/>
      <c r="LY18" s="51"/>
      <c r="LZ18" s="51"/>
      <c r="MA18" s="51"/>
      <c r="MB18" s="51"/>
      <c r="MC18" s="51"/>
      <c r="MD18" s="51"/>
      <c r="ME18" s="6"/>
      <c r="MF18" s="6"/>
      <c r="MG18" s="6"/>
      <c r="MH18" s="6"/>
      <c r="MI18" s="6"/>
      <c r="MJ18" s="6"/>
      <c r="MK18" s="6"/>
      <c r="ML18" s="6"/>
      <c r="MM18" s="6"/>
      <c r="MN18" s="6"/>
      <c r="MO18" s="6"/>
      <c r="MP18" s="6"/>
      <c r="MQ18" s="6"/>
      <c r="MR18" s="6"/>
      <c r="MS18" s="6"/>
      <c r="MT18" s="6"/>
      <c r="MU18" s="6"/>
      <c r="MV18" s="6"/>
      <c r="MW18" s="6"/>
      <c r="MX18" s="6"/>
      <c r="MY18" s="6"/>
      <c r="MZ18" s="6"/>
      <c r="NA18" s="6"/>
      <c r="NB18" s="6"/>
      <c r="NC18" s="6"/>
      <c r="ND18" s="6"/>
      <c r="NE18" s="6"/>
      <c r="NF18" s="6"/>
      <c r="NG18" s="6"/>
      <c r="NH18" s="6"/>
      <c r="NI18" s="6"/>
      <c r="NJ18" s="6"/>
      <c r="NK18" s="6"/>
      <c r="NL18" s="6"/>
      <c r="NM18" s="6"/>
      <c r="NN18" s="6"/>
      <c r="NO18" s="6"/>
      <c r="NP18" s="6"/>
      <c r="NQ18" s="6"/>
      <c r="NR18" s="6"/>
      <c r="NS18" s="6"/>
      <c r="NT18" s="6"/>
      <c r="NU18" s="6"/>
      <c r="NV18" s="6"/>
      <c r="NW18" s="6"/>
      <c r="NX18" s="6"/>
      <c r="NY18" s="6"/>
      <c r="NZ18" s="6"/>
      <c r="OA18" s="6"/>
      <c r="OB18" s="6"/>
      <c r="OC18" s="6"/>
      <c r="OD18" s="6"/>
      <c r="OE18" s="6"/>
      <c r="OF18" s="6"/>
      <c r="OG18" s="6"/>
      <c r="OH18" s="6"/>
      <c r="OI18" s="6"/>
      <c r="OJ18" s="6"/>
      <c r="OK18" s="6"/>
      <c r="OL18" s="6"/>
      <c r="OM18" s="6"/>
      <c r="ON18" s="6"/>
      <c r="OO18" s="6"/>
      <c r="OP18" s="6"/>
      <c r="OQ18" s="6"/>
      <c r="OR18" s="6"/>
      <c r="OS18" s="6"/>
      <c r="OT18" s="6"/>
      <c r="OU18" s="6"/>
      <c r="OV18" s="6"/>
      <c r="OW18" s="6"/>
      <c r="OX18" s="6"/>
      <c r="OY18" s="6"/>
      <c r="OZ18" s="6"/>
      <c r="QQ18" s="8"/>
      <c r="QR18" s="8"/>
      <c r="QS18" s="8"/>
      <c r="QT18" s="8"/>
      <c r="QU18" s="8"/>
      <c r="QV18" s="8"/>
      <c r="QW18" s="8"/>
      <c r="QX18" s="8"/>
      <c r="QY18" s="6"/>
      <c r="QZ18" s="6"/>
      <c r="RA18" s="6"/>
      <c r="RB18" s="6"/>
      <c r="RC18" s="6"/>
      <c r="RD18" s="6"/>
      <c r="RE18" s="6"/>
      <c r="RF18" s="6"/>
      <c r="RG18" s="6"/>
      <c r="RH18" s="6"/>
      <c r="RI18" s="6"/>
      <c r="RJ18" s="6"/>
      <c r="RK18" s="6"/>
      <c r="RL18" s="6"/>
      <c r="RM18" s="6"/>
      <c r="RN18" s="6"/>
      <c r="RO18" s="6"/>
      <c r="RP18" s="6"/>
      <c r="RQ18" s="6"/>
      <c r="RR18" s="6"/>
      <c r="RS18" s="6"/>
      <c r="RT18" s="6"/>
      <c r="RU18" s="6"/>
      <c r="RV18" s="6"/>
      <c r="RW18" s="6"/>
      <c r="RX18" s="6"/>
      <c r="RY18" s="6"/>
      <c r="RZ18" s="6"/>
      <c r="SA18" s="6"/>
      <c r="SB18" s="6"/>
      <c r="SC18" s="6"/>
      <c r="SD18" s="6"/>
      <c r="SE18" s="6"/>
      <c r="SF18" s="6"/>
      <c r="SG18" s="6"/>
      <c r="SH18" s="6"/>
      <c r="SI18" s="6"/>
      <c r="SJ18" s="6"/>
      <c r="SK18" s="6"/>
      <c r="SL18" s="6"/>
      <c r="SM18" s="7"/>
      <c r="SN18" s="7"/>
      <c r="SO18" s="7"/>
      <c r="SP18" s="7"/>
      <c r="SQ18" s="7"/>
      <c r="SR18" s="6"/>
      <c r="SS18" s="6"/>
      <c r="VJ18" s="6"/>
      <c r="VK18" s="6"/>
      <c r="VL18" s="6"/>
      <c r="VM18" s="6"/>
      <c r="VN18" s="6"/>
      <c r="VO18" s="6"/>
      <c r="VP18" s="6"/>
      <c r="VQ18" s="6"/>
      <c r="VR18" s="6"/>
      <c r="VS18" s="6"/>
      <c r="VT18" s="6"/>
      <c r="VU18" s="6"/>
      <c r="VV18" s="6"/>
      <c r="VW18" s="6"/>
      <c r="VX18" s="6"/>
      <c r="VY18" s="6"/>
      <c r="VZ18" s="6"/>
      <c r="WA18" s="6"/>
      <c r="WB18" s="6"/>
      <c r="WC18" s="6"/>
      <c r="WD18" s="6"/>
      <c r="WE18" s="6"/>
      <c r="WF18" s="6"/>
      <c r="WG18" s="6"/>
      <c r="WH18" s="6"/>
      <c r="WI18" s="6"/>
      <c r="WJ18" s="6"/>
      <c r="WK18" s="6"/>
      <c r="WL18" s="6"/>
      <c r="WM18" s="6"/>
      <c r="WN18" s="6"/>
      <c r="WO18" s="6"/>
      <c r="WP18" s="6"/>
      <c r="WQ18" s="6"/>
      <c r="WR18" s="6"/>
      <c r="WS18" s="6"/>
      <c r="WT18" s="6"/>
      <c r="WU18" s="6"/>
      <c r="WV18" s="6"/>
      <c r="WW18" s="6"/>
      <c r="WX18" s="6"/>
      <c r="WY18" s="6"/>
      <c r="WZ18" s="6"/>
      <c r="XA18" s="6"/>
      <c r="XB18" s="6"/>
      <c r="XC18" s="6"/>
      <c r="XD18" s="6"/>
      <c r="XE18" s="6"/>
      <c r="XF18" s="6"/>
      <c r="XG18" s="6"/>
      <c r="XH18" s="6"/>
      <c r="XI18" s="6"/>
      <c r="XJ18" s="6"/>
      <c r="XK18" s="6"/>
      <c r="XL18" s="6"/>
      <c r="XM18" s="6"/>
      <c r="XN18" s="6"/>
      <c r="XO18" s="6"/>
      <c r="XP18" s="6"/>
      <c r="XQ18" s="6"/>
      <c r="XR18" s="6"/>
      <c r="XS18" s="6"/>
      <c r="XT18" s="6"/>
      <c r="XU18" s="6"/>
      <c r="XV18" s="6"/>
      <c r="XW18" s="6"/>
      <c r="XX18" s="6"/>
      <c r="XY18" s="6"/>
      <c r="XZ18" s="6"/>
      <c r="YA18" s="6"/>
      <c r="YB18" s="6"/>
      <c r="YC18" s="6"/>
      <c r="YD18" s="6"/>
      <c r="YE18" s="6"/>
      <c r="YF18" s="6"/>
      <c r="YG18" s="6"/>
      <c r="YH18" s="6"/>
      <c r="YI18" s="6"/>
      <c r="YJ18" s="6"/>
      <c r="YK18" s="6"/>
      <c r="YL18" s="6"/>
      <c r="YM18" s="6"/>
      <c r="YN18" s="6"/>
      <c r="YO18" s="6"/>
      <c r="YP18" s="6"/>
      <c r="YQ18" s="6"/>
      <c r="YR18" s="6"/>
      <c r="YS18" s="6"/>
      <c r="YT18" s="6"/>
      <c r="YU18" s="6"/>
      <c r="YV18" s="6"/>
      <c r="YW18" s="6"/>
      <c r="YX18" s="6"/>
      <c r="YY18" s="6"/>
      <c r="YZ18" s="6"/>
      <c r="ZA18" s="6"/>
      <c r="ZB18" s="6"/>
      <c r="ZC18" s="6"/>
      <c r="ZD18" s="6"/>
      <c r="ZE18" s="6"/>
      <c r="ZF18" s="6"/>
      <c r="ZG18" s="6"/>
      <c r="ZH18" s="6"/>
      <c r="ZI18" s="6"/>
      <c r="ZJ18" s="6"/>
      <c r="ZK18" s="6"/>
      <c r="ZL18" s="6"/>
      <c r="ZM18" s="6"/>
      <c r="ZN18" s="6"/>
      <c r="ZO18" s="6"/>
      <c r="ZP18" s="6"/>
      <c r="ZQ18" s="6"/>
      <c r="ZR18" s="6"/>
      <c r="ZS18" s="6"/>
      <c r="ZT18" s="6"/>
      <c r="ZU18" s="6"/>
      <c r="ZV18" s="6"/>
      <c r="ZW18" s="6"/>
      <c r="ZX18" s="6"/>
      <c r="ZY18" s="6"/>
      <c r="ZZ18" s="6"/>
      <c r="AAA18" s="6"/>
      <c r="AAB18" s="6"/>
      <c r="AAC18" s="6"/>
      <c r="AAD18" s="6"/>
      <c r="AAE18" s="6"/>
      <c r="AAF18" s="6"/>
      <c r="AAG18" s="6"/>
      <c r="AAH18" s="6"/>
      <c r="AAI18" s="6"/>
      <c r="AAJ18" s="6"/>
      <c r="AAK18" s="6"/>
      <c r="AAL18" s="6"/>
      <c r="AAM18" s="6"/>
      <c r="AAN18" s="6"/>
      <c r="AAO18" s="6"/>
      <c r="AAP18" s="6"/>
      <c r="AAQ18" s="6"/>
      <c r="AAR18" s="6"/>
      <c r="AAS18" s="6"/>
      <c r="AAT18" s="6"/>
      <c r="AAU18" s="6"/>
      <c r="AAV18" s="6"/>
      <c r="AAW18" s="6"/>
      <c r="AAX18" s="6"/>
      <c r="AAY18" s="6"/>
      <c r="AAZ18" s="6"/>
      <c r="ABA18" s="6"/>
      <c r="ABB18" s="6"/>
      <c r="ABC18" s="6"/>
      <c r="ABD18" s="6"/>
      <c r="ABE18" s="6"/>
      <c r="ABF18" s="6"/>
      <c r="ABG18" s="6"/>
      <c r="ABH18" s="6"/>
      <c r="ABI18" s="6"/>
      <c r="ABJ18" s="6"/>
      <c r="ABK18" s="6"/>
      <c r="ABL18" s="6"/>
      <c r="ABM18" s="6"/>
      <c r="ABN18" s="6"/>
      <c r="ABO18" s="6"/>
      <c r="ABP18" s="6"/>
      <c r="ABQ18" s="6"/>
      <c r="ABR18" s="6"/>
      <c r="ABS18" s="6"/>
      <c r="ABT18" s="6"/>
      <c r="ABU18" s="6"/>
      <c r="ABV18" s="6"/>
      <c r="ABW18" s="6"/>
      <c r="ABX18" s="6"/>
      <c r="ABY18" s="6"/>
      <c r="ABZ18" s="6"/>
      <c r="ACA18" s="6"/>
      <c r="ACB18" s="6"/>
      <c r="ACC18" s="6"/>
      <c r="ACD18" s="6"/>
      <c r="ACE18" s="6"/>
      <c r="ACF18" s="6"/>
      <c r="ACG18" s="6"/>
      <c r="ACH18" s="6"/>
      <c r="ACI18" s="6"/>
      <c r="ACJ18" s="6"/>
      <c r="ACK18" s="6"/>
      <c r="ACL18" s="6"/>
      <c r="ACM18" s="6"/>
      <c r="ACN18" s="6"/>
      <c r="ACO18" s="6"/>
      <c r="ACP18" s="6"/>
      <c r="ACQ18" s="6"/>
      <c r="ACR18" s="6"/>
      <c r="ACS18" s="6"/>
      <c r="ACT18" s="6"/>
      <c r="ACU18" s="6"/>
      <c r="ACV18" s="6"/>
      <c r="ACW18" s="6"/>
      <c r="ACX18" s="6"/>
      <c r="ACY18" s="6"/>
      <c r="ACZ18" s="6"/>
      <c r="ADA18" s="6"/>
      <c r="ADB18" s="6"/>
      <c r="ADC18" s="6"/>
      <c r="ADD18" s="6"/>
      <c r="ADE18" s="6"/>
      <c r="ADF18" s="6"/>
      <c r="ADG18" s="6"/>
      <c r="ADH18" s="6"/>
      <c r="ADI18" s="6"/>
      <c r="ADJ18" s="6"/>
      <c r="ADK18" s="6"/>
      <c r="ADL18" s="6"/>
      <c r="ADM18" s="6"/>
      <c r="ADN18" s="6"/>
      <c r="ANH18">
        <v>69</v>
      </c>
      <c r="ANJ18">
        <v>1</v>
      </c>
      <c r="ANK18">
        <v>20.100000000000001</v>
      </c>
      <c r="ANM18">
        <v>1</v>
      </c>
      <c r="ANN18">
        <v>16</v>
      </c>
      <c r="AQK18">
        <v>1</v>
      </c>
      <c r="ARC18">
        <v>1</v>
      </c>
      <c r="ARH18">
        <v>1</v>
      </c>
      <c r="AXH18">
        <v>500</v>
      </c>
      <c r="AXI18">
        <v>1</v>
      </c>
      <c r="AXL18">
        <v>1</v>
      </c>
      <c r="AXN18" s="35">
        <v>10</v>
      </c>
      <c r="AXO18">
        <v>2</v>
      </c>
      <c r="AXP18">
        <v>0</v>
      </c>
      <c r="AXQ18">
        <v>999</v>
      </c>
      <c r="AXR18">
        <v>2</v>
      </c>
      <c r="CKK18">
        <v>1</v>
      </c>
      <c r="CKN18">
        <v>1</v>
      </c>
      <c r="CKO18" s="36">
        <v>29</v>
      </c>
      <c r="CKP18">
        <v>999</v>
      </c>
      <c r="CKQ18">
        <v>0</v>
      </c>
      <c r="CKR18">
        <v>999</v>
      </c>
      <c r="CKS18">
        <v>6</v>
      </c>
      <c r="EXA18">
        <v>1</v>
      </c>
      <c r="EXD18">
        <v>1</v>
      </c>
      <c r="EXE18" s="36">
        <v>29</v>
      </c>
      <c r="EXF18">
        <v>999</v>
      </c>
      <c r="EXG18">
        <v>0</v>
      </c>
      <c r="EXH18">
        <v>999</v>
      </c>
      <c r="EXI18">
        <v>6</v>
      </c>
      <c r="FWO18">
        <v>1</v>
      </c>
      <c r="FXD18">
        <v>1</v>
      </c>
      <c r="GDI18">
        <v>1</v>
      </c>
      <c r="GEK18">
        <v>1</v>
      </c>
    </row>
    <row r="19" spans="1:1015 1048:3035 3169:4013 4179:5068" x14ac:dyDescent="0.25">
      <c r="A19" s="50">
        <v>3000983</v>
      </c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  <c r="CT19" s="6"/>
      <c r="CU19" s="6"/>
      <c r="CV19" s="6"/>
      <c r="CW19" s="6"/>
      <c r="CX19" s="6"/>
      <c r="CY19" s="6"/>
      <c r="CZ19" s="6"/>
      <c r="DA19" s="6"/>
      <c r="DB19" s="6"/>
      <c r="DC19" s="6"/>
      <c r="DD19" s="6"/>
      <c r="DE19" s="6"/>
      <c r="DF19" s="6"/>
      <c r="DG19" s="6"/>
      <c r="DH19" s="6"/>
      <c r="DI19" s="6"/>
      <c r="DJ19" s="6"/>
      <c r="DK19" s="6"/>
      <c r="DL19" s="6"/>
      <c r="DM19" s="6"/>
      <c r="DN19" s="6"/>
      <c r="DO19" s="7"/>
      <c r="DP19" s="7"/>
      <c r="DQ19" s="7"/>
      <c r="DR19" s="7"/>
      <c r="DS19" s="7"/>
      <c r="DT19" s="7"/>
      <c r="DU19" s="7"/>
      <c r="DV19" s="7"/>
      <c r="DW19" s="7"/>
      <c r="DX19" s="7"/>
      <c r="DY19" s="7"/>
      <c r="DZ19" s="7"/>
      <c r="EA19" s="7"/>
      <c r="EB19" s="7"/>
      <c r="EC19" s="7"/>
      <c r="ED19" s="7"/>
      <c r="EE19" s="7"/>
      <c r="EF19" s="7"/>
      <c r="EG19" s="7"/>
      <c r="EH19" s="7"/>
      <c r="EI19" s="7"/>
      <c r="EJ19" s="7"/>
      <c r="EK19" s="7"/>
      <c r="EL19" s="7"/>
      <c r="EM19" s="7"/>
      <c r="EN19" s="7"/>
      <c r="EO19" s="7"/>
      <c r="EP19" s="7"/>
      <c r="EQ19" s="7"/>
      <c r="ER19" s="7"/>
      <c r="ES19" s="7"/>
      <c r="ET19" s="7"/>
      <c r="EU19" s="7"/>
      <c r="EV19" s="7"/>
      <c r="EW19" s="7"/>
      <c r="EX19" s="7"/>
      <c r="EY19" s="6"/>
      <c r="EZ19" s="6"/>
      <c r="FA19" s="6"/>
      <c r="FB19" s="6"/>
      <c r="FC19">
        <v>408</v>
      </c>
      <c r="FI19" s="6"/>
      <c r="FJ19" s="6"/>
      <c r="FK19" s="6"/>
      <c r="FL19" s="6"/>
      <c r="FM19" s="6"/>
      <c r="FN19" s="6"/>
      <c r="FO19" s="6"/>
      <c r="FP19" s="6"/>
      <c r="FQ19" s="6"/>
      <c r="FR19" s="6"/>
      <c r="FS19" s="6"/>
      <c r="FT19" s="6"/>
      <c r="FU19" s="6"/>
      <c r="FV19" s="6"/>
      <c r="FW19" s="6"/>
      <c r="FX19" s="6"/>
      <c r="FY19">
        <v>293</v>
      </c>
      <c r="HA19" s="7"/>
      <c r="HB19" s="7"/>
      <c r="HC19" s="7"/>
      <c r="HD19" s="6"/>
      <c r="HE19" s="6"/>
      <c r="HF19" s="6"/>
      <c r="HG19" s="6"/>
      <c r="HH19" s="6"/>
      <c r="HI19" s="6"/>
      <c r="HJ19" s="6"/>
      <c r="HK19" s="6"/>
      <c r="HL19" s="6"/>
      <c r="HM19" s="6"/>
      <c r="HN19" s="6"/>
      <c r="HO19" s="6"/>
      <c r="HP19" s="6"/>
      <c r="HQ19" s="6"/>
      <c r="HR19" s="6"/>
      <c r="HS19" s="6"/>
      <c r="HT19" s="6"/>
      <c r="HU19" s="6"/>
      <c r="HV19" s="6"/>
      <c r="HW19" s="6"/>
      <c r="HX19" s="6"/>
      <c r="HY19" s="6"/>
      <c r="HZ19" s="6"/>
      <c r="IA19" s="6"/>
      <c r="IB19" s="6"/>
      <c r="IC19" s="6"/>
      <c r="ID19" s="6"/>
      <c r="IE19" s="6"/>
      <c r="IF19" s="6"/>
      <c r="IG19" s="6"/>
      <c r="IH19" s="7"/>
      <c r="II19" s="7"/>
      <c r="IJ19" s="7"/>
      <c r="IK19" s="6"/>
      <c r="IL19" s="6"/>
      <c r="IM19" s="6"/>
      <c r="IN19" s="6"/>
      <c r="IO19" s="6"/>
      <c r="IP19" s="6"/>
      <c r="IQ19" s="6"/>
      <c r="IR19" s="6"/>
      <c r="IS19" s="6"/>
      <c r="IT19" s="6"/>
      <c r="IU19" s="6"/>
      <c r="IV19" s="6"/>
      <c r="IW19" s="6"/>
      <c r="IX19" s="6"/>
      <c r="IY19" s="6"/>
      <c r="IZ19" s="6"/>
      <c r="JA19" s="6"/>
      <c r="JB19" s="6"/>
      <c r="JC19" s="6"/>
      <c r="JD19" s="6"/>
      <c r="JE19" s="6"/>
      <c r="JF19" s="6"/>
      <c r="JG19" s="6"/>
      <c r="JH19" s="6"/>
      <c r="JI19" s="6"/>
      <c r="JJ19" s="6"/>
      <c r="JK19" s="6"/>
      <c r="JL19" s="6"/>
      <c r="JM19" s="6"/>
      <c r="JN19" s="6"/>
      <c r="JO19" s="6"/>
      <c r="JP19" s="6"/>
      <c r="JQ19" s="6"/>
      <c r="JR19" s="7"/>
      <c r="JS19" s="7"/>
      <c r="JT19" s="6"/>
      <c r="JU19" s="6"/>
      <c r="JV19" s="6"/>
      <c r="JW19" s="6"/>
      <c r="JX19" s="6"/>
      <c r="JY19" s="6"/>
      <c r="JZ19" s="6"/>
      <c r="KA19" s="6"/>
      <c r="KB19" s="6"/>
      <c r="KC19" s="6"/>
      <c r="KD19" s="6"/>
      <c r="KE19" s="6"/>
      <c r="KF19" s="6"/>
      <c r="KG19" s="6"/>
      <c r="KH19" s="6"/>
      <c r="KI19" s="6"/>
      <c r="KJ19" s="6"/>
      <c r="KK19" s="6"/>
      <c r="KL19" s="6"/>
      <c r="KM19" s="6"/>
      <c r="KN19" s="6"/>
      <c r="KO19" s="6"/>
      <c r="KP19" s="6"/>
      <c r="KQ19" s="6"/>
      <c r="KR19" s="6"/>
      <c r="KS19" s="6"/>
      <c r="KT19" s="6"/>
      <c r="KU19" s="6"/>
      <c r="KV19">
        <v>632</v>
      </c>
      <c r="LH19">
        <v>162</v>
      </c>
      <c r="LU19" s="6"/>
      <c r="LV19" s="6"/>
      <c r="LW19" s="6"/>
      <c r="LX19" s="51"/>
      <c r="LY19" s="51"/>
      <c r="LZ19" s="51"/>
      <c r="MA19" s="51"/>
      <c r="MB19" s="51"/>
      <c r="MC19" s="51"/>
      <c r="MD19" s="51"/>
      <c r="ME19" s="6"/>
      <c r="MF19" s="6"/>
      <c r="MG19">
        <v>182</v>
      </c>
      <c r="MI19" s="6"/>
      <c r="MJ19" s="6"/>
      <c r="MK19" s="6"/>
      <c r="ML19" s="6"/>
      <c r="MM19" s="6"/>
      <c r="MN19" s="6"/>
      <c r="MO19" s="6"/>
      <c r="MP19" s="6"/>
      <c r="MQ19" s="6"/>
      <c r="MR19" s="6"/>
      <c r="MS19" s="6"/>
      <c r="MT19" s="6"/>
      <c r="MU19" s="6"/>
      <c r="MV19" s="6"/>
      <c r="MW19" s="6"/>
      <c r="MX19" s="6"/>
      <c r="MY19" s="6"/>
      <c r="MZ19" s="6"/>
      <c r="NA19" s="6"/>
      <c r="NB19" s="6"/>
      <c r="NC19" s="6"/>
      <c r="ND19" s="6"/>
      <c r="NE19" s="6"/>
      <c r="NF19" s="6"/>
      <c r="NG19" s="6"/>
      <c r="NH19" s="6"/>
      <c r="NI19" s="6"/>
      <c r="NJ19" s="6"/>
      <c r="NK19" s="6"/>
      <c r="NL19" s="6"/>
      <c r="NM19" s="6"/>
      <c r="NN19" s="6"/>
      <c r="NO19" s="6"/>
      <c r="NP19" s="6"/>
      <c r="NQ19" s="6"/>
      <c r="NR19" s="6"/>
      <c r="NS19" s="6"/>
      <c r="NT19" s="6"/>
      <c r="NU19" s="6"/>
      <c r="NV19" s="6"/>
      <c r="NW19" s="6"/>
      <c r="NX19" s="6"/>
      <c r="NY19" s="6"/>
      <c r="NZ19" s="6"/>
      <c r="OA19" s="6"/>
      <c r="OB19" s="6"/>
      <c r="OC19" s="6"/>
      <c r="OD19" s="6"/>
      <c r="OE19" s="6"/>
      <c r="OF19" s="6"/>
      <c r="OG19" s="6"/>
      <c r="OH19" s="6"/>
      <c r="OI19" s="6"/>
      <c r="OJ19" s="6"/>
      <c r="OK19" s="6"/>
      <c r="OL19" s="6"/>
      <c r="OM19" s="6"/>
      <c r="ON19" s="6"/>
      <c r="OO19" s="6"/>
      <c r="OP19" s="6"/>
      <c r="OQ19" s="6"/>
      <c r="OR19" s="6"/>
      <c r="OS19" s="6"/>
      <c r="OT19" s="6"/>
      <c r="OU19" s="6"/>
      <c r="OV19" s="6"/>
      <c r="OW19" s="6"/>
      <c r="OX19" s="6"/>
      <c r="OY19" s="6"/>
      <c r="OZ19" s="6"/>
      <c r="QQ19" s="8"/>
      <c r="QR19" s="8"/>
      <c r="QS19" s="8"/>
      <c r="QT19" s="8"/>
      <c r="QU19" s="8"/>
      <c r="QV19" s="8"/>
      <c r="QW19" s="8"/>
      <c r="QX19" s="8"/>
      <c r="QY19" s="6"/>
      <c r="QZ19" s="6"/>
      <c r="RA19" s="6"/>
      <c r="RB19">
        <v>121000</v>
      </c>
      <c r="RM19" s="6"/>
      <c r="RN19" s="6"/>
      <c r="RO19" s="6"/>
      <c r="RP19" s="6"/>
      <c r="RQ19" s="6"/>
      <c r="RR19" s="6"/>
      <c r="RS19" s="6"/>
      <c r="RT19" s="6"/>
      <c r="RU19" s="6"/>
      <c r="RV19">
        <v>396000</v>
      </c>
      <c r="SM19" s="7"/>
      <c r="SN19" s="7"/>
      <c r="SO19" s="7"/>
      <c r="SP19" s="7"/>
      <c r="SQ19" s="7"/>
      <c r="SR19" s="6"/>
      <c r="SS19" s="6"/>
      <c r="ST19" s="6"/>
      <c r="SU19" s="6"/>
      <c r="SV19" s="6"/>
      <c r="SW19" s="6"/>
      <c r="SX19" s="6"/>
      <c r="SY19" s="6"/>
      <c r="SZ19" s="6"/>
      <c r="TA19" s="6"/>
      <c r="TB19" s="6"/>
      <c r="TC19" s="6"/>
      <c r="TD19" s="6"/>
      <c r="TE19" s="6"/>
      <c r="TF19" s="6"/>
      <c r="TG19" s="6"/>
      <c r="TH19" s="6"/>
      <c r="TI19" s="6"/>
      <c r="TJ19" s="6"/>
      <c r="TK19" s="6"/>
      <c r="TL19" s="6"/>
      <c r="TM19" s="6"/>
      <c r="TN19" s="6"/>
      <c r="TO19" s="6"/>
      <c r="TP19" s="6"/>
      <c r="TQ19" s="6"/>
      <c r="TR19" s="6"/>
      <c r="TS19" s="6"/>
      <c r="TT19" s="6"/>
      <c r="TU19" s="6"/>
      <c r="TV19" s="6"/>
      <c r="TW19" s="6"/>
      <c r="TX19" s="6"/>
      <c r="TY19" s="6"/>
      <c r="TZ19" s="6"/>
      <c r="UA19" s="6"/>
      <c r="UB19" s="6"/>
      <c r="UC19" s="6"/>
      <c r="UD19" s="6"/>
      <c r="UE19" s="6"/>
      <c r="UF19" s="6"/>
      <c r="UG19" s="6"/>
      <c r="UH19" s="6"/>
      <c r="UI19" s="6"/>
      <c r="UJ19" s="6"/>
      <c r="UK19" s="6"/>
      <c r="UL19" s="6"/>
      <c r="UM19" s="6"/>
      <c r="UN19" s="6"/>
      <c r="UO19" s="6"/>
      <c r="UP19" s="6"/>
      <c r="UQ19" s="6"/>
      <c r="UR19" s="6"/>
      <c r="US19" s="6"/>
      <c r="UT19" s="6"/>
      <c r="UU19" s="6"/>
      <c r="UV19" s="6"/>
      <c r="UW19" s="6"/>
      <c r="UX19" s="6"/>
      <c r="UY19" s="6"/>
      <c r="UZ19" s="6"/>
      <c r="VA19" s="6"/>
      <c r="VB19" s="6"/>
      <c r="VC19" s="6"/>
      <c r="VD19" s="6"/>
      <c r="VE19" s="6"/>
      <c r="VF19" s="6"/>
      <c r="VG19" s="6"/>
      <c r="VH19" s="6"/>
      <c r="VI19" s="6"/>
      <c r="VJ19" s="6"/>
      <c r="VK19" s="6"/>
      <c r="VL19" s="6"/>
      <c r="VM19" s="6"/>
      <c r="VN19" s="6"/>
      <c r="VO19" s="6"/>
      <c r="VP19" s="6"/>
      <c r="VQ19" s="6"/>
      <c r="VR19" s="6"/>
      <c r="VS19" s="6"/>
      <c r="VT19" s="6"/>
      <c r="VU19" s="6"/>
      <c r="VV19" s="6"/>
      <c r="VW19" s="6"/>
      <c r="VX19" s="6"/>
      <c r="VY19" s="6"/>
      <c r="VZ19" s="6"/>
      <c r="WA19" s="6"/>
      <c r="WB19" s="6"/>
      <c r="WC19" s="6"/>
      <c r="WD19" s="6"/>
      <c r="WE19" s="6"/>
      <c r="WF19" s="6"/>
      <c r="WG19" s="6"/>
      <c r="WH19" s="6"/>
      <c r="WI19" s="6"/>
      <c r="WJ19" s="6"/>
      <c r="WK19" s="6"/>
      <c r="WL19" s="6"/>
      <c r="WM19" s="6"/>
      <c r="WN19" s="6"/>
      <c r="WO19" s="6"/>
      <c r="WP19" s="6"/>
      <c r="WQ19" s="6"/>
      <c r="WR19" s="6"/>
      <c r="WS19" s="6"/>
      <c r="WT19" s="6"/>
      <c r="WU19" s="6"/>
      <c r="WV19" s="6"/>
      <c r="WW19" s="6"/>
      <c r="WX19" s="6"/>
      <c r="WY19" s="6"/>
      <c r="WZ19" s="6"/>
      <c r="XA19" s="6"/>
      <c r="XB19" s="6"/>
      <c r="XC19" s="6"/>
      <c r="XD19" s="6"/>
      <c r="XE19" s="6"/>
      <c r="XF19" s="6"/>
      <c r="XG19" s="6"/>
      <c r="XH19" s="6"/>
      <c r="XI19" s="6"/>
      <c r="XJ19" s="6"/>
      <c r="XK19" s="6"/>
      <c r="XL19" s="6"/>
      <c r="XM19" s="6"/>
      <c r="XN19" s="6"/>
      <c r="XO19" s="6"/>
      <c r="XP19" s="6"/>
      <c r="XQ19" s="6"/>
      <c r="XR19" s="6"/>
      <c r="XS19" s="6"/>
      <c r="XT19" s="6"/>
      <c r="XU19" s="6"/>
      <c r="XV19" s="6"/>
      <c r="XW19" s="6"/>
      <c r="XX19" s="6"/>
      <c r="XY19" s="6"/>
      <c r="XZ19" s="6"/>
      <c r="YA19" s="6"/>
      <c r="YB19" s="6"/>
      <c r="YC19" s="6"/>
      <c r="YD19" s="6"/>
      <c r="YE19" s="6"/>
      <c r="YF19" s="6"/>
      <c r="YG19" s="6"/>
      <c r="YH19" s="6"/>
      <c r="YI19" s="6"/>
      <c r="YJ19" s="6"/>
      <c r="YK19" s="6"/>
      <c r="YL19" s="6"/>
      <c r="YM19" s="6"/>
      <c r="YN19" s="6"/>
      <c r="YO19" s="6"/>
      <c r="YP19" s="6"/>
      <c r="YQ19" s="6"/>
      <c r="YR19" s="6"/>
      <c r="YS19" s="6"/>
      <c r="YT19" s="6"/>
      <c r="YU19" s="6"/>
      <c r="YV19" s="6"/>
      <c r="YW19" s="6"/>
      <c r="YX19" s="6"/>
      <c r="YY19" s="6"/>
      <c r="YZ19" s="6"/>
      <c r="ZA19" s="6"/>
      <c r="ZB19" s="6"/>
      <c r="ZC19" s="6"/>
      <c r="ZD19" s="6"/>
      <c r="ZE19" s="6"/>
      <c r="ZF19" s="6"/>
      <c r="ZG19" s="6"/>
      <c r="ZH19" s="6"/>
      <c r="ZI19" s="6"/>
      <c r="ZJ19" s="6"/>
      <c r="ZK19" s="6"/>
      <c r="ZL19" s="6"/>
      <c r="ZM19" s="6"/>
      <c r="ZN19" s="6"/>
      <c r="ZO19" s="6"/>
      <c r="ZP19" s="6"/>
      <c r="ZQ19" s="6"/>
      <c r="ZR19" s="6"/>
      <c r="ZS19" s="6"/>
      <c r="ZT19" s="6"/>
      <c r="ZU19" s="6"/>
      <c r="ZV19" s="6"/>
      <c r="ZW19" s="6"/>
      <c r="ZX19" s="6"/>
      <c r="ZY19" s="6"/>
      <c r="ZZ19" s="6"/>
      <c r="AAA19" s="6"/>
      <c r="AAB19" s="6"/>
      <c r="AAC19" s="6"/>
      <c r="AAD19" s="6"/>
      <c r="AAE19" s="6"/>
      <c r="AAF19" s="6"/>
      <c r="AAG19" s="6"/>
      <c r="AAH19" s="6"/>
      <c r="AAI19" s="6"/>
      <c r="AAJ19" s="6"/>
      <c r="AAK19" s="6"/>
      <c r="AAL19" s="6"/>
      <c r="AAM19" s="6"/>
      <c r="AAN19" s="6"/>
      <c r="AAO19" s="6"/>
      <c r="AAP19" s="6"/>
      <c r="AAQ19" s="6"/>
      <c r="AAR19" s="6"/>
      <c r="AAS19" s="6"/>
      <c r="AAT19" s="6"/>
      <c r="AAU19" s="6"/>
      <c r="AAV19" s="6"/>
      <c r="AAW19" s="6"/>
      <c r="AAX19" s="6"/>
      <c r="AAY19" s="6"/>
      <c r="AAZ19" s="6"/>
      <c r="ABA19" s="6"/>
      <c r="ABB19" s="6"/>
      <c r="ABC19" s="6"/>
      <c r="ABD19" s="6"/>
      <c r="ABE19" s="6"/>
      <c r="ABF19" s="6"/>
      <c r="ABG19" s="6"/>
      <c r="ABH19" s="6"/>
      <c r="ABI19" s="6"/>
      <c r="ABJ19" s="6"/>
      <c r="ABK19" s="6"/>
      <c r="ABL19" s="6"/>
      <c r="ABM19" s="6"/>
      <c r="ABN19" s="6"/>
      <c r="ABO19" s="6"/>
      <c r="ABP19" s="6"/>
      <c r="ABQ19" s="6"/>
      <c r="ABR19" s="6"/>
      <c r="ABS19" s="6"/>
      <c r="ABT19" s="6"/>
      <c r="ABU19" s="6"/>
      <c r="ABV19" s="6"/>
      <c r="ABW19" s="6"/>
      <c r="ABX19" s="6"/>
      <c r="ABY19" s="6"/>
      <c r="ABZ19" s="6"/>
      <c r="ACA19" s="6"/>
      <c r="ACB19" s="6"/>
      <c r="ACC19" s="6"/>
      <c r="ACD19" s="6"/>
      <c r="ACE19" s="6"/>
      <c r="ACF19" s="6"/>
      <c r="ACG19" s="6"/>
      <c r="ACH19" s="6"/>
      <c r="ACI19" s="6"/>
      <c r="ACJ19" s="6"/>
      <c r="ACK19" s="6"/>
      <c r="ACL19" s="6"/>
      <c r="ACM19" s="6"/>
      <c r="ACN19" s="6"/>
      <c r="ACO19" s="6"/>
      <c r="ACP19" s="6"/>
      <c r="ACQ19" s="6"/>
      <c r="ACR19" s="6"/>
      <c r="ACS19" s="6"/>
      <c r="ACT19" s="6"/>
      <c r="ACU19" s="6"/>
      <c r="ACV19" s="6"/>
      <c r="ACW19" s="6"/>
      <c r="ACX19" s="6"/>
      <c r="ACY19" s="6"/>
      <c r="ACZ19" s="6"/>
      <c r="ADA19" s="6"/>
      <c r="ADB19" s="6"/>
      <c r="ADC19" s="6"/>
      <c r="ADD19" s="6"/>
      <c r="ADE19" s="6"/>
      <c r="ADF19" s="6"/>
      <c r="ADG19" s="6"/>
      <c r="ADH19" s="6"/>
      <c r="ADI19" s="6"/>
      <c r="ADJ19" s="6"/>
      <c r="ADK19" s="6"/>
      <c r="ADL19" s="6"/>
      <c r="ADM19" s="6"/>
      <c r="ADN19" s="6"/>
      <c r="ANH19">
        <v>21</v>
      </c>
      <c r="ANJ19">
        <v>1</v>
      </c>
      <c r="ANK19">
        <v>26.73</v>
      </c>
      <c r="ANM19">
        <v>1</v>
      </c>
      <c r="ANT19">
        <v>1</v>
      </c>
      <c r="ASO19">
        <v>1</v>
      </c>
      <c r="ATB19">
        <v>1</v>
      </c>
      <c r="ATE19">
        <v>1</v>
      </c>
      <c r="ATF19">
        <v>1</v>
      </c>
      <c r="AXH19">
        <v>800</v>
      </c>
      <c r="AXI19">
        <v>1</v>
      </c>
      <c r="AXL19">
        <v>1</v>
      </c>
      <c r="AXN19">
        <v>2</v>
      </c>
      <c r="AXO19">
        <v>2</v>
      </c>
      <c r="AXP19">
        <v>1</v>
      </c>
      <c r="AXQ19" s="2">
        <v>0</v>
      </c>
      <c r="AYE19">
        <v>1</v>
      </c>
      <c r="FEC19">
        <v>1000</v>
      </c>
      <c r="FED19">
        <v>1</v>
      </c>
      <c r="FEG19">
        <v>1</v>
      </c>
      <c r="FEH19">
        <v>2</v>
      </c>
      <c r="FEI19">
        <v>2</v>
      </c>
      <c r="FEJ19">
        <v>1</v>
      </c>
      <c r="FEK19" s="2">
        <v>0</v>
      </c>
      <c r="FFW19">
        <v>2</v>
      </c>
      <c r="FFX19">
        <v>3</v>
      </c>
      <c r="FFY19">
        <v>2</v>
      </c>
      <c r="FFZ19" s="2">
        <v>0</v>
      </c>
      <c r="FGV19">
        <v>1000</v>
      </c>
      <c r="FGW19">
        <v>1</v>
      </c>
      <c r="FGZ19">
        <v>1</v>
      </c>
      <c r="FHA19">
        <v>2</v>
      </c>
      <c r="FHB19">
        <v>2</v>
      </c>
      <c r="FHC19">
        <v>1</v>
      </c>
      <c r="FHD19" s="2">
        <v>0</v>
      </c>
      <c r="FVD19">
        <v>1</v>
      </c>
      <c r="FVK19">
        <v>1</v>
      </c>
      <c r="FVO19">
        <v>1</v>
      </c>
      <c r="FVS19">
        <v>1</v>
      </c>
      <c r="FWH19">
        <v>1</v>
      </c>
      <c r="FWJ19">
        <v>1</v>
      </c>
      <c r="FWW19">
        <v>1</v>
      </c>
      <c r="FXP19">
        <v>1</v>
      </c>
      <c r="FYK19">
        <v>1</v>
      </c>
      <c r="FYM19">
        <v>1</v>
      </c>
      <c r="GCC19">
        <v>50</v>
      </c>
      <c r="GCL19">
        <v>1</v>
      </c>
      <c r="GCQ19">
        <v>1</v>
      </c>
      <c r="GDI19">
        <v>1</v>
      </c>
      <c r="GDJ19">
        <v>1</v>
      </c>
      <c r="GDK19">
        <v>1</v>
      </c>
      <c r="GDL19">
        <v>1</v>
      </c>
      <c r="GDM19">
        <v>1</v>
      </c>
      <c r="GDN19">
        <v>1</v>
      </c>
      <c r="GDO19">
        <v>1</v>
      </c>
      <c r="GDP19">
        <v>1</v>
      </c>
      <c r="GDR19">
        <v>1</v>
      </c>
      <c r="GEK19">
        <v>1</v>
      </c>
      <c r="GGL19">
        <v>1</v>
      </c>
      <c r="GGM19">
        <v>1</v>
      </c>
      <c r="GGN19">
        <v>1</v>
      </c>
      <c r="GGO19">
        <v>1</v>
      </c>
      <c r="GGV19">
        <v>1</v>
      </c>
      <c r="GGW19">
        <v>1</v>
      </c>
      <c r="GGX19">
        <v>1</v>
      </c>
      <c r="GGY19">
        <v>1</v>
      </c>
      <c r="GHZ19">
        <v>1</v>
      </c>
      <c r="GIB19">
        <v>1</v>
      </c>
      <c r="GIC19">
        <v>1</v>
      </c>
      <c r="GII19">
        <v>1</v>
      </c>
    </row>
    <row r="20" spans="1:1015 1048:3035 3169:4013 4179:5068" x14ac:dyDescent="0.25">
      <c r="A20" s="50">
        <v>10064335</v>
      </c>
      <c r="B20" s="7"/>
      <c r="C20" s="7"/>
      <c r="D20" s="7"/>
      <c r="E20" s="7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  <c r="CT20" s="6"/>
      <c r="CU20" s="6"/>
      <c r="CV20" s="6"/>
      <c r="CW20" s="6"/>
      <c r="CX20" s="6"/>
      <c r="CY20" s="6"/>
      <c r="CZ20" s="6"/>
      <c r="DA20" s="6"/>
      <c r="DB20" s="6"/>
      <c r="DC20" s="6"/>
      <c r="DD20" s="6"/>
      <c r="DE20" s="6"/>
      <c r="DF20" s="6"/>
      <c r="DG20" s="6"/>
      <c r="DH20" s="6"/>
      <c r="DI20" s="6"/>
      <c r="DJ20" s="6"/>
      <c r="DK20" s="6"/>
      <c r="DL20" s="6"/>
      <c r="DM20" s="6"/>
      <c r="DN20" s="6"/>
      <c r="DO20" s="7"/>
      <c r="DP20" s="7"/>
      <c r="DQ20" s="7"/>
      <c r="DR20" s="7"/>
      <c r="DS20" s="7"/>
      <c r="DT20" s="7"/>
      <c r="DU20" s="7"/>
      <c r="DV20" s="7"/>
      <c r="DW20" s="7"/>
      <c r="DX20" s="7"/>
      <c r="DY20" s="7"/>
      <c r="DZ20" s="7"/>
      <c r="EA20" s="7"/>
      <c r="EB20" s="7"/>
      <c r="EC20" s="7"/>
      <c r="ED20" s="7"/>
      <c r="EE20" s="7"/>
      <c r="EF20" s="7"/>
      <c r="EG20" s="7"/>
      <c r="EH20" s="7"/>
      <c r="EI20" s="7"/>
      <c r="EJ20" s="7"/>
      <c r="EK20" s="7"/>
      <c r="EL20" s="7"/>
      <c r="EM20" s="7"/>
      <c r="EN20" s="7"/>
      <c r="EO20" s="7"/>
      <c r="EP20" s="7"/>
      <c r="EQ20" s="7"/>
      <c r="ER20" s="7"/>
      <c r="ES20" s="7"/>
      <c r="ET20" s="7"/>
      <c r="EU20" s="7"/>
      <c r="EV20" s="7"/>
      <c r="EW20" s="7"/>
      <c r="EX20" s="7"/>
      <c r="EY20" s="6"/>
      <c r="EZ20" s="6"/>
      <c r="FA20" s="6"/>
      <c r="FB20" s="6"/>
      <c r="FC20" s="6"/>
      <c r="FD20" s="6"/>
      <c r="FE20" s="6"/>
      <c r="FF20" s="6"/>
      <c r="FG20" s="6"/>
      <c r="FH20" s="6"/>
      <c r="FI20" s="6"/>
      <c r="FJ20" s="6"/>
      <c r="FK20" s="6"/>
      <c r="FL20" s="6"/>
      <c r="FM20" s="6"/>
      <c r="FN20" s="6"/>
      <c r="FO20" s="6"/>
      <c r="FP20" s="6"/>
      <c r="FQ20" s="6"/>
      <c r="FR20" s="6"/>
      <c r="FS20" s="6"/>
      <c r="FT20" s="6"/>
      <c r="FU20" s="6"/>
      <c r="FV20" s="6"/>
      <c r="FW20" s="6"/>
      <c r="FX20" s="6"/>
      <c r="FY20" s="6"/>
      <c r="FZ20" s="6"/>
      <c r="GA20" s="6"/>
      <c r="GB20" s="6"/>
      <c r="GC20" s="6"/>
      <c r="GD20" s="6"/>
      <c r="GE20" s="6"/>
      <c r="GF20" s="6"/>
      <c r="GG20" s="6"/>
      <c r="GH20" s="6"/>
      <c r="GI20" s="6"/>
      <c r="GJ20" s="6"/>
      <c r="GK20" s="6"/>
      <c r="GL20" s="6"/>
      <c r="GM20" s="6"/>
      <c r="GN20" s="6"/>
      <c r="GO20" s="6"/>
      <c r="GP20" s="6"/>
      <c r="GQ20" s="6"/>
      <c r="GR20" s="6"/>
      <c r="GS20" s="6"/>
      <c r="GT20" s="6"/>
      <c r="GU20" s="6"/>
      <c r="GV20" s="6"/>
      <c r="GW20" s="6"/>
      <c r="GX20" s="6"/>
      <c r="GY20" s="6"/>
      <c r="GZ20" s="6"/>
      <c r="HA20" s="7"/>
      <c r="HB20" s="7"/>
      <c r="HC20" s="7"/>
      <c r="HD20" s="6"/>
      <c r="HE20" s="6"/>
      <c r="HF20" s="6"/>
      <c r="HG20" s="6"/>
      <c r="HH20" s="6"/>
      <c r="HI20" s="6"/>
      <c r="HJ20" s="6"/>
      <c r="HK20" s="6"/>
      <c r="HL20" s="6"/>
      <c r="HM20" s="6"/>
      <c r="HN20" s="6"/>
      <c r="HO20" s="6"/>
      <c r="HP20" s="6"/>
      <c r="HQ20" s="6"/>
      <c r="HR20" s="6"/>
      <c r="HS20" s="6"/>
      <c r="HT20" s="6"/>
      <c r="HU20" s="6"/>
      <c r="HV20" s="6"/>
      <c r="HW20" s="6"/>
      <c r="HX20" s="6"/>
      <c r="HY20" s="6"/>
      <c r="HZ20" s="6"/>
      <c r="IA20" s="6"/>
      <c r="IB20" s="6"/>
      <c r="IC20" s="6"/>
      <c r="ID20" s="6"/>
      <c r="IE20" s="6"/>
      <c r="IF20" s="6"/>
      <c r="IG20" s="6"/>
      <c r="IH20" s="7"/>
      <c r="II20" s="7"/>
      <c r="IJ20" s="7"/>
      <c r="IK20" s="6"/>
      <c r="IL20" s="6"/>
      <c r="IM20" s="6"/>
      <c r="IN20" s="6"/>
      <c r="IO20" s="6"/>
      <c r="IP20" s="6"/>
      <c r="IQ20" s="6"/>
      <c r="IR20" s="6"/>
      <c r="IS20">
        <v>2.2599999999999998</v>
      </c>
      <c r="IW20">
        <v>1.6</v>
      </c>
      <c r="IX20">
        <v>1.51</v>
      </c>
      <c r="JB20" s="6"/>
      <c r="JC20" s="6"/>
      <c r="JD20" s="6"/>
      <c r="JE20">
        <v>1.56</v>
      </c>
      <c r="JF20">
        <v>1.8</v>
      </c>
      <c r="JR20" s="7"/>
      <c r="JS20" s="7"/>
      <c r="JT20" s="6"/>
      <c r="JU20" s="6"/>
      <c r="JV20" s="6"/>
      <c r="JW20" s="6"/>
      <c r="JX20" s="6"/>
      <c r="JY20" s="6"/>
      <c r="JZ20" s="6"/>
      <c r="KA20" s="6"/>
      <c r="KB20" s="6"/>
      <c r="KC20" s="6"/>
      <c r="KD20" s="6"/>
      <c r="KE20" s="6"/>
      <c r="KF20" s="6"/>
      <c r="KG20" s="6"/>
      <c r="KH20" s="6"/>
      <c r="KI20" s="6"/>
      <c r="KJ20" s="6"/>
      <c r="KK20" s="6"/>
      <c r="KL20" s="6"/>
      <c r="KM20" s="6"/>
      <c r="KN20" s="6"/>
      <c r="KO20" s="6"/>
      <c r="KP20" s="6"/>
      <c r="KQ20" s="6"/>
      <c r="KR20" s="6"/>
      <c r="KS20" s="6"/>
      <c r="KT20" s="6"/>
      <c r="KU20" s="6"/>
      <c r="KV20" s="6"/>
      <c r="KW20" s="6"/>
      <c r="KX20" s="6"/>
      <c r="KY20" s="6"/>
      <c r="KZ20" s="6"/>
      <c r="LA20" s="6"/>
      <c r="LB20" s="6"/>
      <c r="LC20" s="6"/>
      <c r="LD20" s="6"/>
      <c r="LE20" s="6"/>
      <c r="LF20" s="6"/>
      <c r="LG20" s="6"/>
      <c r="LH20" s="6"/>
      <c r="LI20" s="6"/>
      <c r="LJ20" s="6"/>
      <c r="LK20" s="6"/>
      <c r="LL20" s="6"/>
      <c r="LM20" s="6"/>
      <c r="LN20" s="6"/>
      <c r="LO20" s="6"/>
      <c r="LP20" s="6"/>
      <c r="LQ20" s="6"/>
      <c r="LR20" s="6"/>
      <c r="LS20" s="6"/>
      <c r="LT20" s="6"/>
      <c r="LU20" s="6"/>
      <c r="LV20" s="6"/>
      <c r="LW20" s="6"/>
      <c r="LX20" s="51"/>
      <c r="LY20" s="51"/>
      <c r="LZ20" s="51"/>
      <c r="MA20" s="51"/>
      <c r="MB20" s="51"/>
      <c r="MC20" s="51"/>
      <c r="MD20" s="51"/>
      <c r="ME20" s="6"/>
      <c r="MF20" s="6"/>
      <c r="MG20" s="6"/>
      <c r="MH20" s="6"/>
      <c r="MI20" s="6"/>
      <c r="MJ20" s="6"/>
      <c r="MK20" s="6"/>
      <c r="ML20" s="6"/>
      <c r="MM20" s="6"/>
      <c r="MN20" s="6"/>
      <c r="MO20" s="6"/>
      <c r="MP20" s="6"/>
      <c r="MQ20" s="6"/>
      <c r="MR20" s="6"/>
      <c r="MS20" s="6"/>
      <c r="MT20" s="6"/>
      <c r="MU20" s="6"/>
      <c r="MV20" s="6"/>
      <c r="MW20" s="6"/>
      <c r="MX20" s="6"/>
      <c r="MY20" s="6"/>
      <c r="MZ20" s="6"/>
      <c r="NA20" s="6"/>
      <c r="NB20" s="6"/>
      <c r="NC20" s="6"/>
      <c r="ND20" s="6"/>
      <c r="NE20" s="6"/>
      <c r="NF20" s="6"/>
      <c r="NG20" s="6"/>
      <c r="NH20" s="6"/>
      <c r="NI20" s="6"/>
      <c r="NJ20" s="6"/>
      <c r="NK20" s="6"/>
      <c r="NL20" s="6"/>
      <c r="NM20" s="6"/>
      <c r="NN20" s="6"/>
      <c r="NO20" s="6"/>
      <c r="NP20" s="6"/>
      <c r="NQ20" s="6"/>
      <c r="NR20" s="6"/>
      <c r="NS20" s="6"/>
      <c r="NT20" s="6"/>
      <c r="NU20" s="6"/>
      <c r="NV20" s="6"/>
      <c r="NW20">
        <v>125</v>
      </c>
      <c r="NZ20">
        <v>140</v>
      </c>
      <c r="OB20">
        <v>107</v>
      </c>
      <c r="OF20">
        <v>98</v>
      </c>
      <c r="QQ20" s="8"/>
      <c r="QR20" s="8"/>
      <c r="QS20" s="8"/>
      <c r="QT20" s="8"/>
      <c r="QU20" s="8"/>
      <c r="QV20" s="8"/>
      <c r="QW20" s="8"/>
      <c r="QX20" s="8"/>
      <c r="QY20" s="6"/>
      <c r="QZ20" s="6"/>
      <c r="RA20" s="6"/>
      <c r="RB20" s="6"/>
      <c r="RC20" s="6"/>
      <c r="RD20" s="6"/>
      <c r="RE20" s="6"/>
      <c r="RF20" s="6"/>
      <c r="RG20" s="6"/>
      <c r="RH20" s="6"/>
      <c r="RI20" s="6"/>
      <c r="RJ20" s="6"/>
      <c r="RK20" s="6"/>
      <c r="RL20" s="6"/>
      <c r="RM20">
        <v>250000</v>
      </c>
      <c r="RV20" s="6">
        <v>60000</v>
      </c>
      <c r="RW20" s="6"/>
      <c r="RX20" s="6"/>
      <c r="RY20" s="6"/>
      <c r="RZ20" s="6"/>
      <c r="SA20" s="6"/>
      <c r="SB20" s="6"/>
      <c r="SC20" s="6"/>
      <c r="SD20" s="6"/>
      <c r="SE20" s="6"/>
      <c r="SF20" s="6"/>
      <c r="SG20" s="6"/>
      <c r="SH20" s="6"/>
      <c r="SI20" s="6"/>
      <c r="SJ20" s="6"/>
      <c r="SK20" s="6"/>
      <c r="SL20" s="6"/>
      <c r="SM20" s="7"/>
      <c r="SN20" s="7"/>
      <c r="SO20" s="7"/>
      <c r="SP20" s="7"/>
      <c r="SQ20" s="7"/>
      <c r="SR20" s="6"/>
      <c r="SS20" s="6"/>
      <c r="ST20" s="6"/>
      <c r="SU20" s="6"/>
      <c r="SV20" s="6"/>
      <c r="SW20" s="6"/>
      <c r="SX20" s="6"/>
      <c r="SY20" s="6"/>
      <c r="SZ20" s="6"/>
      <c r="TA20" s="6"/>
      <c r="TB20" s="6"/>
      <c r="TC20" s="6"/>
      <c r="TD20" s="6"/>
      <c r="TE20" s="6"/>
      <c r="TF20" s="6"/>
      <c r="TG20" s="6"/>
      <c r="TH20" s="6"/>
      <c r="TI20" s="6"/>
      <c r="TJ20" s="6"/>
      <c r="TK20" s="6"/>
      <c r="TL20" s="6"/>
      <c r="TM20" s="6"/>
      <c r="TN20" s="6"/>
      <c r="TO20" s="6"/>
      <c r="TP20" s="6"/>
      <c r="TQ20" s="6"/>
      <c r="TR20" s="6"/>
      <c r="TS20" s="6"/>
      <c r="TT20" s="6"/>
      <c r="TU20" s="6"/>
      <c r="TV20" s="6"/>
      <c r="TW20" s="6"/>
      <c r="TX20" s="6"/>
      <c r="TY20" s="6"/>
      <c r="TZ20" s="6"/>
      <c r="UA20" s="6"/>
      <c r="UB20" s="6"/>
      <c r="UC20" s="6"/>
      <c r="UD20" s="6"/>
      <c r="UE20" s="6"/>
      <c r="UF20" s="6"/>
      <c r="UG20" s="6"/>
      <c r="UH20" s="6"/>
      <c r="UI20" s="6"/>
      <c r="UJ20" s="6"/>
      <c r="UK20" s="6"/>
      <c r="UL20" s="6"/>
      <c r="UM20" s="6"/>
      <c r="UN20" s="6"/>
      <c r="UO20" s="6"/>
      <c r="UP20" s="6"/>
      <c r="UQ20" s="6"/>
      <c r="UR20" s="6"/>
      <c r="US20" s="6"/>
      <c r="UT20" s="6"/>
      <c r="UU20" s="6"/>
      <c r="UV20" s="6"/>
      <c r="UW20" s="6"/>
      <c r="UX20" s="6"/>
      <c r="UY20" s="6"/>
      <c r="UZ20" s="6"/>
      <c r="VA20" s="6"/>
      <c r="VB20" s="6"/>
      <c r="VC20" s="6"/>
      <c r="VD20" s="6"/>
      <c r="VE20" s="6"/>
      <c r="VF20" s="6"/>
      <c r="VG20" s="6"/>
      <c r="VH20" s="6"/>
      <c r="VI20" s="6"/>
      <c r="VJ20" s="6"/>
      <c r="VK20" s="6"/>
      <c r="VL20" s="6"/>
      <c r="VM20" s="6"/>
      <c r="VN20" s="6"/>
      <c r="VO20" s="6"/>
      <c r="VP20" s="6"/>
      <c r="VQ20" s="6"/>
      <c r="VR20" s="6"/>
      <c r="VS20" s="6"/>
      <c r="VT20" s="6"/>
      <c r="VU20" s="6"/>
      <c r="VV20" s="6"/>
      <c r="VW20" s="6"/>
      <c r="VX20" s="6"/>
      <c r="VY20" s="6"/>
      <c r="VZ20" s="6"/>
      <c r="WA20" s="6"/>
      <c r="WB20" s="6"/>
      <c r="WC20" s="6"/>
      <c r="WD20" s="6"/>
      <c r="WE20" s="6"/>
      <c r="WF20" s="6"/>
      <c r="WG20" s="6"/>
      <c r="WH20" s="6"/>
      <c r="WI20" s="6"/>
      <c r="WJ20" s="6"/>
      <c r="WK20" s="6"/>
      <c r="WL20" s="6"/>
      <c r="WM20" s="6"/>
      <c r="WN20" s="6"/>
      <c r="WO20" s="6"/>
      <c r="WP20" s="6"/>
      <c r="WQ20" s="6"/>
      <c r="WR20" s="6"/>
      <c r="WS20" s="6"/>
      <c r="WT20" s="6"/>
      <c r="WU20" s="6"/>
      <c r="WV20" s="6"/>
      <c r="WW20" s="6"/>
      <c r="WX20" s="6"/>
      <c r="WY20" s="6"/>
      <c r="WZ20" s="6"/>
      <c r="XA20" s="6"/>
      <c r="XB20" s="6"/>
      <c r="XC20" s="6"/>
      <c r="XD20" s="6"/>
      <c r="XE20" s="6"/>
      <c r="XF20" s="6"/>
      <c r="XG20" s="6"/>
      <c r="XH20" s="6"/>
      <c r="XI20" s="6"/>
      <c r="XJ20" s="6"/>
      <c r="XK20" s="6"/>
      <c r="XL20" s="6"/>
      <c r="XM20" s="6"/>
      <c r="XN20" s="6"/>
      <c r="XO20" s="6"/>
      <c r="XP20" s="6"/>
      <c r="XQ20" s="6"/>
      <c r="XR20" s="6"/>
      <c r="XS20" s="6"/>
      <c r="XT20" s="6"/>
      <c r="XU20" s="6"/>
      <c r="XV20" s="6"/>
      <c r="XW20" s="6"/>
      <c r="XX20" s="6"/>
      <c r="XY20" s="6"/>
      <c r="XZ20" s="6"/>
      <c r="YA20" s="6"/>
      <c r="YB20" s="6"/>
      <c r="YC20" s="6"/>
      <c r="YD20" s="6"/>
      <c r="YE20" s="6"/>
      <c r="YF20" s="6"/>
      <c r="YG20" s="6"/>
      <c r="YH20" s="6"/>
      <c r="YI20" s="6"/>
      <c r="YJ20" s="6"/>
      <c r="YK20" s="6"/>
      <c r="YL20" s="6"/>
      <c r="YM20" s="6"/>
      <c r="YN20" s="6"/>
      <c r="YO20" s="6"/>
      <c r="YP20" s="6"/>
      <c r="YQ20" s="6"/>
      <c r="YR20" s="6"/>
      <c r="YS20" s="6"/>
      <c r="YT20" s="6"/>
      <c r="YU20" s="6"/>
      <c r="YV20" s="6"/>
      <c r="YW20" s="6"/>
      <c r="YX20" s="6"/>
      <c r="YY20" s="6"/>
      <c r="YZ20" s="6"/>
      <c r="ZA20" s="6"/>
      <c r="ZB20" s="6"/>
      <c r="ZC20" s="6"/>
      <c r="ZD20" s="6"/>
      <c r="ZE20" s="6"/>
      <c r="ZF20" s="6"/>
      <c r="ZG20" s="6"/>
      <c r="ZH20" s="6"/>
      <c r="ZI20" s="6"/>
      <c r="ZJ20" s="6"/>
      <c r="ZK20" s="6"/>
      <c r="ZL20" s="6"/>
      <c r="ZM20" s="6"/>
      <c r="ZN20" s="6"/>
      <c r="ZO20" s="6"/>
      <c r="ZP20" s="6"/>
      <c r="ZQ20" s="6"/>
      <c r="ZR20" s="6"/>
      <c r="ZS20" s="6"/>
      <c r="ZT20" s="6"/>
      <c r="ZU20" s="6"/>
      <c r="ZV20" s="6"/>
      <c r="ZW20" s="6"/>
      <c r="ZX20" s="6"/>
      <c r="ZY20" s="6"/>
      <c r="ZZ20" s="6"/>
      <c r="AAA20" s="6"/>
      <c r="AAB20" s="6"/>
      <c r="AAC20" s="6"/>
      <c r="AAD20" s="6"/>
      <c r="AAE20" s="6"/>
      <c r="AAF20" s="6"/>
      <c r="AAG20" s="6"/>
      <c r="AAH20" s="6"/>
      <c r="AAI20" s="6"/>
      <c r="AAJ20" s="6"/>
      <c r="AAK20" s="6"/>
      <c r="AAL20" s="6"/>
      <c r="AAM20" s="6"/>
      <c r="AAN20" s="6"/>
      <c r="AAO20" s="6"/>
      <c r="AAP20" s="6"/>
      <c r="AAQ20" s="6"/>
      <c r="AAR20" s="6"/>
      <c r="AAS20" s="6"/>
      <c r="AAT20" s="6"/>
      <c r="AAU20" s="6"/>
      <c r="AAV20" s="6"/>
      <c r="AAW20" s="6"/>
      <c r="AAX20" s="6"/>
      <c r="AAY20" s="6"/>
      <c r="AAZ20" s="6"/>
      <c r="ABA20" s="6"/>
      <c r="ABB20" s="6"/>
      <c r="ABC20" s="6"/>
      <c r="ABD20" s="6"/>
      <c r="ABE20" s="6"/>
      <c r="ABF20" s="6"/>
      <c r="ABG20" s="6"/>
      <c r="ABH20" s="6"/>
      <c r="ABI20" s="6"/>
      <c r="ABJ20" s="6"/>
      <c r="ABK20" s="6"/>
      <c r="ABL20" s="6"/>
      <c r="ABM20" s="6"/>
      <c r="ABN20" s="6"/>
      <c r="ABO20" s="6"/>
      <c r="ABP20" s="6"/>
      <c r="ABQ20" s="6"/>
      <c r="ABR20" s="6"/>
      <c r="ABS20" s="6"/>
      <c r="ABT20" s="6"/>
      <c r="ABU20" s="6"/>
      <c r="ABV20" s="6"/>
      <c r="ABW20" s="6"/>
      <c r="ABX20" s="6"/>
      <c r="ABY20" s="6"/>
      <c r="ABZ20" s="6"/>
      <c r="ACA20" s="6"/>
      <c r="ACB20" s="6"/>
      <c r="ACC20" s="6"/>
      <c r="ACD20" s="6"/>
      <c r="ACE20" s="6"/>
      <c r="ACF20" s="6"/>
      <c r="ACG20" s="6"/>
      <c r="ACH20" s="6"/>
      <c r="ACI20" s="6"/>
      <c r="ACJ20" s="6"/>
      <c r="ACK20" s="6"/>
      <c r="ACL20" s="6"/>
      <c r="ACM20" s="6"/>
      <c r="ACN20" s="6"/>
      <c r="ACO20" s="6"/>
      <c r="ACP20" s="6"/>
      <c r="ACQ20" s="6"/>
      <c r="ACR20" s="6"/>
      <c r="ACS20" s="6"/>
      <c r="ACT20" s="6"/>
      <c r="ACU20" s="6"/>
      <c r="ACV20" s="6"/>
      <c r="ACW20" s="6"/>
      <c r="ACX20" s="6"/>
      <c r="ACY20" s="6"/>
      <c r="ACZ20" s="6"/>
      <c r="ADA20" s="6"/>
      <c r="ADB20" s="6"/>
      <c r="ADC20" s="6"/>
      <c r="ADD20" s="6"/>
      <c r="ADE20" s="6"/>
      <c r="ADF20" s="6"/>
      <c r="ADG20" s="6"/>
      <c r="ADH20" s="6"/>
      <c r="ADI20" s="6"/>
      <c r="ADJ20" s="6"/>
      <c r="ADK20" s="6"/>
      <c r="ADL20" s="6"/>
      <c r="ADM20" s="6"/>
      <c r="ADN20" s="6"/>
      <c r="ANH20">
        <v>86</v>
      </c>
      <c r="ANI20">
        <v>1</v>
      </c>
      <c r="ANL20">
        <v>1</v>
      </c>
      <c r="ANO20">
        <v>1</v>
      </c>
      <c r="ANP20">
        <v>1</v>
      </c>
      <c r="AOF20">
        <v>1</v>
      </c>
      <c r="APW20">
        <v>1</v>
      </c>
      <c r="APX20">
        <v>1</v>
      </c>
      <c r="AQC20">
        <v>1</v>
      </c>
      <c r="ARC20">
        <v>1</v>
      </c>
      <c r="ARD20">
        <v>1</v>
      </c>
      <c r="ARO20">
        <v>1</v>
      </c>
      <c r="ARP20">
        <v>1</v>
      </c>
      <c r="ARQ20">
        <v>1</v>
      </c>
      <c r="ASD20">
        <v>1</v>
      </c>
      <c r="ASE20">
        <v>1</v>
      </c>
      <c r="AXL20">
        <v>1</v>
      </c>
      <c r="AXO20">
        <v>22</v>
      </c>
      <c r="AXR20">
        <v>5</v>
      </c>
      <c r="AYF20">
        <v>100</v>
      </c>
      <c r="AYG20">
        <v>1</v>
      </c>
      <c r="AYJ20">
        <v>1</v>
      </c>
      <c r="AYL20">
        <v>22</v>
      </c>
      <c r="AYO20">
        <v>5</v>
      </c>
      <c r="CDK20">
        <v>300</v>
      </c>
      <c r="CDL20">
        <v>1</v>
      </c>
      <c r="CDO20">
        <v>1</v>
      </c>
      <c r="CDQ20">
        <v>25</v>
      </c>
      <c r="CDT20">
        <v>2</v>
      </c>
      <c r="CPP20">
        <v>1</v>
      </c>
      <c r="CPR20">
        <v>21</v>
      </c>
      <c r="CPU20">
        <v>5</v>
      </c>
      <c r="CPW20">
        <v>0.2</v>
      </c>
      <c r="CPX20">
        <v>1</v>
      </c>
      <c r="CQA20">
        <v>1</v>
      </c>
      <c r="CQC20">
        <v>22</v>
      </c>
      <c r="CQF20">
        <v>5</v>
      </c>
      <c r="CUO20">
        <v>10</v>
      </c>
      <c r="CUS20">
        <v>1</v>
      </c>
      <c r="CUU20">
        <v>999</v>
      </c>
      <c r="CVZ20">
        <v>2</v>
      </c>
      <c r="CWA20">
        <v>30</v>
      </c>
      <c r="CWB20">
        <v>29</v>
      </c>
      <c r="CWC20" s="2">
        <v>0</v>
      </c>
      <c r="DDI20">
        <v>1</v>
      </c>
      <c r="DDK20">
        <v>25</v>
      </c>
      <c r="DDM20" s="2"/>
      <c r="DRZ20">
        <v>2</v>
      </c>
      <c r="DSD20">
        <v>1</v>
      </c>
      <c r="DSF20">
        <v>22</v>
      </c>
      <c r="DSI20">
        <v>5</v>
      </c>
      <c r="FUJ20">
        <v>1</v>
      </c>
      <c r="FUM20">
        <v>1</v>
      </c>
      <c r="FWO20">
        <v>1</v>
      </c>
      <c r="FXW20">
        <v>1</v>
      </c>
      <c r="FXY20">
        <v>1</v>
      </c>
      <c r="FYF20">
        <v>1</v>
      </c>
      <c r="FZV20">
        <v>1</v>
      </c>
      <c r="FZW20">
        <v>1</v>
      </c>
      <c r="FZY20">
        <v>1</v>
      </c>
      <c r="GEK20">
        <v>1</v>
      </c>
      <c r="GFC20">
        <v>1</v>
      </c>
      <c r="GFE20">
        <v>1</v>
      </c>
    </row>
    <row r="21" spans="1:1015 1048:3035 3169:4013 4179:5068" x14ac:dyDescent="0.25">
      <c r="A21" s="51"/>
      <c r="B21" s="7"/>
      <c r="C21" s="7"/>
      <c r="D21" s="7"/>
      <c r="E21" s="7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  <c r="CT21" s="6"/>
      <c r="CU21" s="6"/>
      <c r="CV21" s="6"/>
      <c r="CW21" s="6"/>
      <c r="CX21" s="6"/>
      <c r="CY21" s="6"/>
      <c r="CZ21" s="6"/>
      <c r="DA21" s="6"/>
      <c r="DB21" s="6"/>
      <c r="DC21" s="6"/>
      <c r="DD21" s="6"/>
      <c r="DE21" s="6"/>
      <c r="DF21" s="6"/>
      <c r="DG21" s="6"/>
      <c r="DH21" s="6"/>
      <c r="DI21" s="6"/>
      <c r="DJ21" s="6"/>
      <c r="DK21" s="6"/>
      <c r="DL21" s="6"/>
      <c r="DM21" s="6"/>
      <c r="DN21" s="6"/>
      <c r="DO21" s="7"/>
      <c r="DP21" s="7"/>
      <c r="DQ21" s="7"/>
      <c r="DR21" s="7"/>
      <c r="DS21" s="7"/>
      <c r="DT21" s="7"/>
      <c r="DU21" s="7"/>
      <c r="DV21" s="7"/>
      <c r="DW21" s="7"/>
      <c r="DX21" s="7"/>
      <c r="DY21" s="7"/>
      <c r="DZ21" s="7"/>
      <c r="EA21" s="7"/>
      <c r="EB21" s="7"/>
      <c r="EC21" s="7"/>
      <c r="ED21" s="7"/>
      <c r="EE21" s="7"/>
      <c r="EF21" s="7"/>
      <c r="EG21" s="7"/>
      <c r="EH21" s="7"/>
      <c r="EI21" s="7"/>
      <c r="EJ21" s="7"/>
      <c r="EK21" s="7"/>
      <c r="EL21" s="7"/>
      <c r="EM21" s="7"/>
      <c r="EN21" s="7"/>
      <c r="EO21" s="7"/>
      <c r="EP21" s="7"/>
      <c r="EQ21" s="7"/>
      <c r="ER21" s="7"/>
      <c r="ES21" s="7"/>
      <c r="ET21" s="7"/>
      <c r="EU21" s="7"/>
      <c r="EV21" s="7"/>
      <c r="EW21" s="7"/>
      <c r="EX21" s="7"/>
      <c r="EY21" s="6"/>
      <c r="EZ21" s="6"/>
      <c r="FA21" s="6"/>
      <c r="FB21" s="6"/>
      <c r="FC21" s="6"/>
      <c r="FD21" s="6"/>
      <c r="FE21" s="6"/>
      <c r="FF21" s="6"/>
      <c r="FG21" s="6"/>
      <c r="FH21" s="6"/>
      <c r="FI21" s="6"/>
      <c r="FJ21" s="6"/>
      <c r="FK21" s="6"/>
      <c r="FL21" s="6"/>
      <c r="FM21" s="6"/>
      <c r="FN21" s="6"/>
      <c r="FO21" s="6"/>
      <c r="FP21" s="6"/>
      <c r="FQ21" s="6"/>
      <c r="FR21" s="6"/>
      <c r="FS21" s="6"/>
      <c r="FT21" s="6"/>
      <c r="FU21" s="6"/>
      <c r="FV21" s="6"/>
      <c r="FW21" s="6"/>
      <c r="FX21" s="6"/>
      <c r="FY21" s="6"/>
      <c r="FZ21" s="6"/>
      <c r="GA21" s="6"/>
      <c r="GB21" s="6"/>
      <c r="GC21" s="6"/>
      <c r="GD21" s="6"/>
      <c r="GE21" s="6"/>
      <c r="GF21" s="6"/>
      <c r="GG21" s="6"/>
      <c r="GH21" s="6"/>
      <c r="GI21" s="6"/>
      <c r="GJ21" s="6"/>
      <c r="GK21" s="6"/>
      <c r="GL21" s="6"/>
      <c r="GM21" s="6"/>
      <c r="GN21" s="6"/>
      <c r="GO21" s="6"/>
      <c r="GP21" s="6"/>
      <c r="GQ21" s="6"/>
      <c r="GR21" s="6"/>
      <c r="GS21" s="6"/>
      <c r="GT21" s="6"/>
      <c r="GU21" s="6"/>
      <c r="GV21" s="6"/>
      <c r="GW21" s="6"/>
      <c r="GX21" s="6"/>
      <c r="GY21" s="6"/>
      <c r="GZ21" s="6"/>
      <c r="HA21" s="7"/>
      <c r="HB21" s="7"/>
      <c r="HC21" s="7"/>
      <c r="HD21" s="6"/>
      <c r="HE21" s="6"/>
      <c r="HF21" s="6"/>
      <c r="HG21" s="6"/>
      <c r="HH21" s="6"/>
      <c r="HI21" s="6"/>
      <c r="HJ21" s="6"/>
      <c r="HK21" s="6"/>
      <c r="HL21" s="6"/>
      <c r="HM21" s="6"/>
      <c r="HN21" s="6"/>
      <c r="HO21" s="6"/>
      <c r="HP21" s="6"/>
      <c r="HQ21" s="6"/>
      <c r="HR21" s="6"/>
      <c r="HS21" s="6"/>
      <c r="HT21" s="6"/>
      <c r="HU21" s="6"/>
      <c r="HV21" s="6"/>
      <c r="HW21" s="6"/>
      <c r="HX21" s="6"/>
      <c r="HY21" s="6"/>
      <c r="HZ21" s="6"/>
      <c r="IA21" s="6"/>
      <c r="IB21" s="6"/>
      <c r="IC21" s="6"/>
      <c r="ID21" s="6"/>
      <c r="IE21" s="6"/>
      <c r="IF21" s="6"/>
      <c r="IG21" s="6"/>
      <c r="IH21" s="7"/>
      <c r="II21" s="7"/>
      <c r="IJ21" s="7"/>
      <c r="IK21" s="6"/>
      <c r="IL21" s="6"/>
      <c r="IM21" s="6"/>
      <c r="IN21" s="6"/>
      <c r="IO21" s="6"/>
      <c r="IP21" s="6"/>
      <c r="IQ21" s="6"/>
      <c r="IR21" s="6"/>
      <c r="IS21" s="6"/>
      <c r="IT21" s="6"/>
      <c r="IU21" s="6"/>
      <c r="IV21" s="6"/>
      <c r="IW21" s="6"/>
      <c r="IX21" s="6"/>
      <c r="IY21" s="6"/>
      <c r="IZ21" s="6"/>
      <c r="JA21" s="6"/>
      <c r="JB21" s="6"/>
      <c r="JC21" s="6"/>
      <c r="JD21" s="6"/>
      <c r="JE21" s="6"/>
      <c r="JF21" s="6"/>
      <c r="JG21" s="6"/>
      <c r="JH21" s="6"/>
      <c r="JI21" s="6"/>
      <c r="JJ21" s="6"/>
      <c r="JK21" s="6"/>
      <c r="JL21" s="6"/>
      <c r="JM21" s="6"/>
      <c r="JN21" s="6"/>
      <c r="JO21" s="6"/>
      <c r="JP21" s="6"/>
      <c r="JQ21" s="6"/>
      <c r="JR21" s="7"/>
      <c r="JS21" s="7"/>
      <c r="JT21" s="6"/>
      <c r="JU21" s="6"/>
      <c r="JV21" s="6"/>
      <c r="JW21" s="6"/>
      <c r="JX21" s="6"/>
      <c r="JY21" s="6"/>
      <c r="JZ21" s="6"/>
      <c r="KA21" s="6"/>
      <c r="KB21" s="6"/>
      <c r="KC21" s="6"/>
      <c r="KD21" s="6"/>
      <c r="KE21" s="6"/>
      <c r="KF21" s="6"/>
      <c r="KG21" s="6"/>
      <c r="KH21" s="6"/>
      <c r="KI21" s="6"/>
      <c r="KJ21" s="6"/>
      <c r="KK21" s="6"/>
      <c r="KL21" s="6"/>
      <c r="KM21" s="6"/>
      <c r="KN21" s="6"/>
      <c r="KO21" s="6"/>
      <c r="KP21" s="6"/>
      <c r="KQ21" s="6"/>
      <c r="KR21" s="6"/>
      <c r="KS21" s="6"/>
      <c r="KT21" s="6"/>
      <c r="KU21" s="6"/>
      <c r="KV21" s="6"/>
      <c r="KW21" s="6"/>
      <c r="KX21" s="6"/>
      <c r="KY21" s="6"/>
      <c r="KZ21" s="6"/>
      <c r="LA21" s="6"/>
      <c r="LB21" s="6"/>
      <c r="LC21" s="6"/>
      <c r="LD21" s="6"/>
      <c r="LE21" s="6"/>
      <c r="LF21" s="6"/>
      <c r="LG21" s="6"/>
      <c r="LH21" s="6"/>
      <c r="LI21" s="6"/>
      <c r="LJ21" s="6"/>
      <c r="LK21" s="6"/>
      <c r="LL21" s="6"/>
      <c r="LM21" s="6"/>
      <c r="LN21" s="6"/>
      <c r="LO21" s="6"/>
      <c r="LP21" s="6"/>
      <c r="LQ21" s="6"/>
      <c r="LR21" s="6"/>
      <c r="LS21" s="6"/>
      <c r="LT21" s="6"/>
      <c r="LU21" s="6"/>
      <c r="LV21" s="6"/>
      <c r="LW21" s="6"/>
      <c r="LX21" s="51"/>
      <c r="LY21" s="51"/>
      <c r="LZ21" s="51"/>
      <c r="MA21" s="51"/>
      <c r="MB21" s="51"/>
      <c r="MC21" s="51"/>
      <c r="MD21" s="51"/>
      <c r="ME21" s="6"/>
      <c r="MF21" s="6"/>
      <c r="MG21" s="6"/>
      <c r="MH21" s="6"/>
      <c r="MI21" s="6"/>
      <c r="MJ21" s="6"/>
      <c r="MK21" s="6"/>
      <c r="ML21" s="6"/>
      <c r="MM21" s="6"/>
      <c r="MN21" s="6"/>
      <c r="MO21" s="6"/>
      <c r="MP21" s="6"/>
      <c r="MQ21" s="6"/>
      <c r="MR21" s="6"/>
      <c r="MS21" s="6"/>
      <c r="MT21" s="6"/>
      <c r="MU21" s="6"/>
      <c r="MV21" s="6"/>
      <c r="MW21" s="6"/>
      <c r="MX21" s="6"/>
      <c r="MY21" s="6"/>
      <c r="MZ21" s="6"/>
      <c r="NA21" s="6"/>
      <c r="NB21" s="6"/>
      <c r="NC21" s="6"/>
      <c r="ND21" s="6"/>
      <c r="NE21" s="6"/>
      <c r="NF21" s="6"/>
      <c r="NG21" s="6"/>
      <c r="NH21" s="6"/>
      <c r="NI21" s="6"/>
      <c r="NJ21" s="6"/>
      <c r="NK21" s="6"/>
      <c r="NL21" s="6"/>
      <c r="NM21" s="6"/>
      <c r="NN21" s="6"/>
      <c r="NO21" s="6"/>
      <c r="NP21" s="6"/>
      <c r="NQ21" s="6"/>
      <c r="NR21" s="6"/>
      <c r="NS21" s="6"/>
      <c r="NT21" s="6"/>
      <c r="NU21" s="6"/>
      <c r="NV21" s="6"/>
      <c r="NW21" s="6"/>
      <c r="NX21" s="6"/>
      <c r="NY21" s="6"/>
      <c r="NZ21" s="6"/>
      <c r="OA21" s="6"/>
      <c r="OB21" s="6"/>
      <c r="OC21" s="6"/>
      <c r="OD21" s="6"/>
      <c r="OE21" s="6"/>
      <c r="OF21" s="6"/>
      <c r="OG21" s="6"/>
      <c r="OH21" s="6"/>
      <c r="OI21" s="6"/>
      <c r="OJ21" s="6"/>
      <c r="OK21" s="6"/>
      <c r="OL21" s="6"/>
      <c r="OM21" s="6"/>
      <c r="ON21" s="6"/>
      <c r="OO21" s="6"/>
      <c r="OP21" s="6"/>
      <c r="OQ21" s="6"/>
      <c r="OR21" s="6"/>
      <c r="OS21" s="6"/>
      <c r="OT21" s="6"/>
      <c r="OU21" s="6"/>
      <c r="OV21" s="6"/>
      <c r="OW21" s="6"/>
      <c r="OX21" s="6"/>
      <c r="OY21" s="6"/>
      <c r="OZ21" s="6"/>
      <c r="QQ21" s="8"/>
      <c r="QR21" s="8"/>
      <c r="QS21" s="8"/>
      <c r="QT21" s="8"/>
      <c r="QU21" s="8"/>
      <c r="QV21" s="8"/>
      <c r="QW21" s="8"/>
      <c r="QX21" s="8"/>
      <c r="QY21" s="6"/>
      <c r="QZ21" s="6"/>
      <c r="RA21" s="6"/>
      <c r="RB21" s="6"/>
      <c r="RC21" s="6"/>
      <c r="RD21" s="6"/>
      <c r="RE21" s="6"/>
      <c r="RF21" s="6"/>
      <c r="RG21" s="6"/>
      <c r="RH21" s="6"/>
      <c r="RI21" s="6"/>
      <c r="RJ21" s="6"/>
      <c r="RK21" s="6"/>
      <c r="RL21" s="6"/>
      <c r="RM21" s="6"/>
      <c r="RN21" s="6"/>
      <c r="RO21" s="6"/>
      <c r="RP21" s="6"/>
      <c r="RQ21" s="6"/>
      <c r="RR21" s="6"/>
      <c r="RS21" s="6"/>
      <c r="RT21" s="6"/>
      <c r="RU21" s="6"/>
      <c r="RV21" s="6"/>
      <c r="RW21" s="6"/>
      <c r="RX21" s="6"/>
      <c r="RY21" s="6"/>
      <c r="RZ21" s="6"/>
      <c r="SA21" s="6"/>
      <c r="SB21" s="6"/>
      <c r="SC21" s="6"/>
      <c r="SD21" s="6"/>
      <c r="SE21" s="6"/>
      <c r="SF21" s="6"/>
      <c r="SG21" s="6"/>
      <c r="SH21" s="6"/>
      <c r="SI21" s="6"/>
      <c r="SJ21" s="6"/>
      <c r="SK21" s="6"/>
      <c r="SL21" s="6"/>
      <c r="SM21" s="7"/>
      <c r="SN21" s="7"/>
      <c r="SO21" s="7"/>
      <c r="SP21" s="7"/>
      <c r="SQ21" s="7"/>
      <c r="SR21" s="6"/>
      <c r="SS21" s="6"/>
      <c r="ST21" s="6"/>
      <c r="SU21" s="6"/>
      <c r="SV21" s="6"/>
      <c r="SW21" s="6"/>
      <c r="SX21" s="6"/>
      <c r="SY21" s="6"/>
      <c r="SZ21" s="6"/>
      <c r="TA21" s="6"/>
      <c r="TB21" s="6"/>
      <c r="TC21" s="6"/>
      <c r="TD21" s="6"/>
      <c r="TE21" s="6"/>
      <c r="TF21" s="6"/>
      <c r="TG21" s="6"/>
      <c r="TH21" s="6"/>
      <c r="TI21" s="6"/>
      <c r="TJ21" s="6"/>
      <c r="TK21" s="6"/>
      <c r="TL21" s="6"/>
      <c r="TM21" s="6"/>
      <c r="TN21" s="6"/>
      <c r="TO21" s="6"/>
      <c r="TP21" s="6"/>
      <c r="TQ21" s="6"/>
      <c r="TR21" s="6"/>
      <c r="TS21" s="6"/>
      <c r="TT21" s="6"/>
      <c r="TU21" s="6"/>
      <c r="TV21" s="6"/>
      <c r="TW21" s="6"/>
      <c r="TX21" s="6"/>
      <c r="TY21" s="6"/>
      <c r="TZ21" s="6"/>
      <c r="UA21" s="6"/>
      <c r="UB21" s="6"/>
      <c r="UC21" s="6"/>
      <c r="UD21" s="6"/>
      <c r="UE21" s="6"/>
      <c r="UF21" s="6"/>
      <c r="UG21" s="6"/>
      <c r="UH21" s="6"/>
      <c r="UI21" s="6"/>
      <c r="UJ21" s="6"/>
      <c r="UK21" s="6"/>
      <c r="UL21" s="6"/>
      <c r="UM21" s="6"/>
      <c r="UN21" s="6"/>
      <c r="UO21" s="6"/>
      <c r="UP21" s="6"/>
      <c r="UQ21" s="6"/>
      <c r="UR21" s="6"/>
      <c r="US21" s="6"/>
      <c r="UT21" s="6"/>
      <c r="UU21" s="6"/>
      <c r="UV21" s="6"/>
      <c r="UW21" s="6"/>
      <c r="UX21" s="6"/>
      <c r="UY21" s="6"/>
      <c r="UZ21" s="6"/>
      <c r="VA21" s="6"/>
      <c r="VB21" s="6"/>
      <c r="VC21" s="6"/>
      <c r="VD21" s="6"/>
      <c r="VE21" s="6"/>
      <c r="VF21" s="6"/>
      <c r="VG21" s="6"/>
      <c r="VH21" s="6"/>
      <c r="VI21" s="6"/>
      <c r="VJ21" s="6"/>
      <c r="VK21" s="6"/>
      <c r="VL21" s="6"/>
      <c r="VM21" s="6"/>
      <c r="VN21" s="6"/>
      <c r="VO21" s="6"/>
      <c r="VP21" s="6"/>
      <c r="VQ21" s="6"/>
      <c r="VR21" s="6"/>
      <c r="VS21" s="6"/>
      <c r="VT21" s="6"/>
      <c r="VU21" s="6"/>
      <c r="VV21" s="6"/>
      <c r="VW21" s="6"/>
      <c r="VX21" s="6"/>
      <c r="VY21" s="6"/>
      <c r="VZ21" s="6"/>
      <c r="WA21" s="6"/>
      <c r="WB21" s="6"/>
      <c r="WC21" s="6"/>
      <c r="WD21" s="6"/>
      <c r="WE21" s="6"/>
      <c r="WF21" s="6"/>
      <c r="WG21" s="6"/>
      <c r="WH21" s="6"/>
      <c r="WI21" s="6"/>
      <c r="WJ21" s="6"/>
      <c r="WK21" s="6"/>
      <c r="WL21" s="6"/>
      <c r="WM21" s="6"/>
      <c r="WN21" s="6"/>
      <c r="WO21" s="6"/>
      <c r="WP21" s="6"/>
      <c r="WQ21" s="6"/>
      <c r="WR21" s="6"/>
      <c r="WS21" s="6"/>
      <c r="WT21" s="6"/>
      <c r="WU21" s="6"/>
      <c r="WV21" s="6"/>
      <c r="WW21" s="6"/>
      <c r="WX21" s="6"/>
      <c r="WY21" s="6"/>
      <c r="WZ21" s="6"/>
      <c r="XA21" s="6"/>
      <c r="XB21" s="6"/>
      <c r="XC21" s="6"/>
      <c r="XD21" s="6"/>
      <c r="XE21" s="6"/>
      <c r="XF21" s="6"/>
      <c r="XG21" s="6"/>
      <c r="XH21" s="6"/>
      <c r="XI21" s="6"/>
      <c r="XJ21" s="6"/>
      <c r="XK21" s="6"/>
      <c r="XL21" s="6"/>
      <c r="XM21" s="6"/>
      <c r="XN21" s="6"/>
      <c r="XO21" s="6"/>
      <c r="XP21" s="6"/>
      <c r="XQ21" s="6"/>
      <c r="XR21" s="6"/>
      <c r="XS21" s="6"/>
      <c r="XT21" s="6"/>
      <c r="XU21" s="6"/>
      <c r="XV21" s="6"/>
      <c r="XW21" s="6"/>
      <c r="XX21" s="6"/>
      <c r="XY21" s="6"/>
      <c r="XZ21" s="6"/>
      <c r="YA21" s="6"/>
      <c r="YB21" s="6"/>
      <c r="YC21" s="6"/>
      <c r="YD21" s="6"/>
      <c r="YE21" s="6"/>
      <c r="YF21" s="6"/>
      <c r="YG21" s="6"/>
      <c r="YH21" s="6"/>
      <c r="YI21" s="6"/>
      <c r="YJ21" s="6"/>
      <c r="YK21" s="6"/>
      <c r="YL21" s="6"/>
      <c r="YM21" s="6"/>
      <c r="YN21" s="6"/>
      <c r="YO21" s="6"/>
      <c r="YP21" s="6"/>
      <c r="YQ21" s="6"/>
      <c r="YR21" s="6"/>
      <c r="YS21" s="6"/>
      <c r="YT21" s="6"/>
      <c r="YU21" s="6"/>
      <c r="YV21" s="6"/>
      <c r="YW21" s="6"/>
      <c r="YX21" s="6"/>
      <c r="YY21" s="6"/>
      <c r="YZ21" s="6"/>
      <c r="ZA21" s="6"/>
      <c r="ZB21" s="6"/>
      <c r="ZC21" s="6"/>
      <c r="ZD21" s="6"/>
      <c r="ZE21" s="6"/>
      <c r="ZF21" s="6"/>
      <c r="ZG21" s="6"/>
      <c r="ZH21" s="6"/>
      <c r="ZI21" s="6"/>
      <c r="ZJ21" s="6"/>
      <c r="ZK21" s="6"/>
      <c r="ZL21" s="6"/>
      <c r="ZM21" s="6"/>
      <c r="ZN21" s="6"/>
      <c r="ZO21" s="6"/>
      <c r="ZP21" s="6"/>
      <c r="ZQ21" s="6"/>
      <c r="ZR21" s="6"/>
      <c r="ZS21" s="6"/>
      <c r="ZT21" s="6"/>
      <c r="ZU21" s="6"/>
      <c r="ZV21" s="6"/>
      <c r="ZW21" s="6"/>
      <c r="ZX21" s="6"/>
      <c r="ZY21" s="6"/>
      <c r="ZZ21" s="6"/>
      <c r="AAA21" s="6"/>
      <c r="AAB21" s="6"/>
      <c r="AAC21" s="6"/>
      <c r="AAD21" s="6"/>
      <c r="AAE21" s="6"/>
      <c r="AAF21" s="6"/>
      <c r="AAG21" s="6"/>
      <c r="AAH21" s="6"/>
      <c r="AAI21" s="6"/>
      <c r="AAJ21" s="6"/>
      <c r="AAK21" s="6"/>
      <c r="AAL21" s="6"/>
      <c r="AAM21" s="6"/>
      <c r="AAN21" s="6"/>
      <c r="AAO21" s="6"/>
      <c r="AAP21" s="6"/>
      <c r="AAQ21" s="6"/>
      <c r="AAR21" s="6"/>
      <c r="AAS21" s="6"/>
      <c r="AAT21" s="6"/>
      <c r="AAU21" s="6"/>
      <c r="AAV21" s="6"/>
      <c r="AAW21" s="6"/>
      <c r="AAX21" s="6"/>
      <c r="AAY21" s="6"/>
      <c r="AAZ21" s="6"/>
      <c r="ABA21" s="6"/>
      <c r="ABB21" s="6"/>
      <c r="ABC21" s="6"/>
      <c r="ABD21" s="6"/>
      <c r="ABE21" s="6"/>
      <c r="ABF21" s="6"/>
      <c r="ABG21" s="6"/>
      <c r="ABH21" s="6"/>
      <c r="ABI21" s="6"/>
      <c r="ABJ21" s="6"/>
      <c r="ABK21" s="6"/>
      <c r="ABL21" s="6"/>
      <c r="ABM21" s="6"/>
      <c r="ABN21" s="6"/>
      <c r="ABO21" s="6"/>
      <c r="ABP21" s="6"/>
      <c r="ABQ21" s="6"/>
      <c r="ABR21" s="6"/>
      <c r="ABS21" s="6"/>
      <c r="ABT21" s="6"/>
      <c r="ABU21" s="6"/>
      <c r="ABV21" s="6"/>
      <c r="ABW21" s="6"/>
      <c r="ABX21" s="6"/>
      <c r="ABY21" s="6"/>
      <c r="ABZ21" s="6"/>
      <c r="ACA21" s="6"/>
      <c r="ACB21" s="6"/>
      <c r="ACC21" s="6"/>
      <c r="ACD21" s="6"/>
      <c r="ACE21" s="6"/>
      <c r="ACF21" s="6"/>
      <c r="ACG21" s="6"/>
      <c r="ACH21" s="6"/>
      <c r="ACI21" s="6"/>
      <c r="ACJ21" s="6"/>
      <c r="ACK21" s="6"/>
      <c r="ACL21" s="6"/>
      <c r="ACM21" s="6"/>
      <c r="ACN21" s="6"/>
      <c r="ACO21" s="6"/>
      <c r="ACP21" s="6"/>
      <c r="ACQ21" s="6"/>
      <c r="ACR21" s="6"/>
      <c r="ACS21" s="6"/>
      <c r="ACT21" s="6"/>
      <c r="ACU21" s="6"/>
      <c r="ACV21" s="6"/>
      <c r="ACW21" s="6"/>
      <c r="ACX21" s="6"/>
      <c r="ACY21" s="6"/>
      <c r="ACZ21" s="6"/>
      <c r="ADA21" s="6"/>
      <c r="ADB21" s="6"/>
      <c r="ADC21" s="6"/>
      <c r="ADD21" s="6"/>
      <c r="ADE21" s="6"/>
      <c r="ADF21" s="6"/>
      <c r="ADG21" s="6"/>
      <c r="ADH21" s="6"/>
      <c r="ADI21" s="6"/>
      <c r="ADJ21" s="6"/>
      <c r="ADK21" s="6"/>
      <c r="ADL21" s="6"/>
      <c r="ADM21" s="6"/>
      <c r="ADN21" s="6"/>
    </row>
    <row r="22" spans="1:1015 1048:3035 3169:4013 4179:5068" x14ac:dyDescent="0.25">
      <c r="A22" s="52" t="s">
        <v>2521</v>
      </c>
      <c r="B22" s="7"/>
      <c r="C22" s="7"/>
      <c r="D22" s="7"/>
      <c r="E22" s="7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  <c r="CT22" s="6"/>
      <c r="CU22" s="6"/>
      <c r="CV22" s="6"/>
      <c r="CW22" s="6"/>
      <c r="CX22" s="6"/>
      <c r="CY22" s="6"/>
      <c r="CZ22" s="6"/>
      <c r="DA22" s="6"/>
      <c r="DB22" s="6"/>
      <c r="DC22" s="6"/>
      <c r="DD22" s="6"/>
      <c r="DE22" s="6"/>
      <c r="DF22" s="6"/>
      <c r="DG22" s="6"/>
      <c r="DH22" s="6"/>
      <c r="DI22" s="6"/>
      <c r="DJ22" s="6"/>
      <c r="DK22" s="6"/>
      <c r="DL22" s="6"/>
      <c r="DM22" s="6"/>
      <c r="DN22" s="6"/>
      <c r="DO22" s="7"/>
      <c r="DP22" s="7"/>
      <c r="DQ22" s="7"/>
      <c r="DR22" s="7"/>
      <c r="DS22" s="7"/>
      <c r="DT22" s="7"/>
      <c r="DU22" s="7"/>
      <c r="DV22" s="7"/>
      <c r="DW22" s="7"/>
      <c r="DX22" s="7"/>
      <c r="DY22" s="7"/>
      <c r="DZ22" s="7"/>
      <c r="EA22" s="7"/>
      <c r="EB22" s="7"/>
      <c r="EC22" s="7"/>
      <c r="ED22" s="7"/>
      <c r="EE22" s="7"/>
      <c r="EF22" s="7"/>
      <c r="EG22" s="7"/>
      <c r="EH22" s="7"/>
      <c r="EI22" s="7"/>
      <c r="EJ22" s="7"/>
      <c r="EK22" s="7"/>
      <c r="EL22" s="7"/>
      <c r="EM22" s="7"/>
      <c r="EN22" s="7"/>
      <c r="EO22" s="7"/>
      <c r="EP22" s="7"/>
      <c r="EQ22" s="7"/>
      <c r="ER22" s="7"/>
      <c r="ES22" s="7"/>
      <c r="ET22" s="7"/>
      <c r="EU22" s="7"/>
      <c r="EV22" s="7"/>
      <c r="EW22" s="7"/>
      <c r="EX22" s="7"/>
      <c r="EY22" s="6"/>
      <c r="EZ22" s="6"/>
      <c r="FA22" s="6"/>
      <c r="FB22" s="6"/>
      <c r="FC22" s="6"/>
      <c r="FD22" s="6"/>
      <c r="FE22" s="6"/>
      <c r="FF22" s="6"/>
      <c r="FG22" s="6"/>
      <c r="FH22" s="6"/>
      <c r="FI22" s="6"/>
      <c r="FJ22" s="6"/>
      <c r="FK22" s="6"/>
      <c r="FL22" s="6"/>
      <c r="FM22" s="6"/>
      <c r="FN22" s="6"/>
      <c r="FO22" s="6"/>
      <c r="FP22" s="6"/>
      <c r="FQ22" s="6"/>
      <c r="FR22" s="6"/>
      <c r="FS22" s="6"/>
      <c r="FT22" s="6"/>
      <c r="FU22" s="6"/>
      <c r="FV22" s="6"/>
      <c r="FW22" s="6"/>
      <c r="FX22" s="6"/>
      <c r="FY22" s="6"/>
      <c r="FZ22" s="6"/>
      <c r="GA22" s="6"/>
      <c r="GB22" s="6"/>
      <c r="GC22" s="6"/>
      <c r="GD22" s="6"/>
      <c r="GE22" s="6"/>
      <c r="GF22" s="6"/>
      <c r="GG22" s="6"/>
      <c r="GH22" s="6"/>
      <c r="GI22" s="6"/>
      <c r="GJ22" s="6"/>
      <c r="GK22" s="6"/>
      <c r="GL22" s="6"/>
      <c r="GM22" s="6"/>
      <c r="GN22" s="6"/>
      <c r="GO22" s="6"/>
      <c r="GP22" s="6"/>
      <c r="GQ22" s="6"/>
      <c r="GR22" s="6"/>
      <c r="GS22" s="6"/>
      <c r="GT22" s="6"/>
      <c r="GU22" s="6"/>
      <c r="GV22" s="6"/>
      <c r="GW22" s="6"/>
      <c r="GX22" s="6"/>
      <c r="GY22" s="6"/>
      <c r="GZ22" s="6"/>
      <c r="HA22" s="7"/>
      <c r="HB22" s="7"/>
      <c r="HC22" s="7"/>
      <c r="HD22" s="6"/>
      <c r="HE22" s="6"/>
      <c r="HF22" s="6"/>
      <c r="HG22" s="6"/>
      <c r="HH22" s="6"/>
      <c r="HI22" s="6"/>
      <c r="HJ22" s="6"/>
      <c r="HK22" s="6"/>
      <c r="HL22" s="6"/>
      <c r="HM22" s="6"/>
      <c r="HN22" s="6"/>
      <c r="HO22" s="6"/>
      <c r="HP22" s="6"/>
      <c r="HQ22" s="6"/>
      <c r="HR22" s="6"/>
      <c r="HS22" s="6"/>
      <c r="HT22" s="6"/>
      <c r="HU22" s="6"/>
      <c r="HV22" s="6"/>
      <c r="HW22" s="6"/>
      <c r="HX22" s="6"/>
      <c r="HY22" s="6"/>
      <c r="HZ22" s="6"/>
      <c r="IA22" s="6"/>
      <c r="IB22" s="6"/>
      <c r="IC22" s="6"/>
      <c r="ID22" s="6"/>
      <c r="IE22" s="6"/>
      <c r="IF22" s="6"/>
      <c r="IG22" s="6"/>
      <c r="IH22" s="7"/>
      <c r="II22" s="7"/>
      <c r="IJ22" s="7"/>
      <c r="IK22" s="6"/>
      <c r="IL22" s="6"/>
      <c r="IM22" s="6"/>
      <c r="IN22" s="6"/>
      <c r="IO22" s="6"/>
      <c r="IP22" s="6"/>
      <c r="IQ22" s="6"/>
      <c r="IR22" s="6"/>
      <c r="IS22" s="6"/>
      <c r="IT22" s="6"/>
      <c r="IU22" s="6"/>
      <c r="IV22" s="6"/>
      <c r="IW22" s="6"/>
      <c r="IX22" s="6"/>
      <c r="IY22" s="6"/>
      <c r="IZ22" s="6"/>
      <c r="JA22" s="6"/>
      <c r="JB22" s="6"/>
      <c r="JC22" s="6"/>
      <c r="JD22" s="6"/>
      <c r="JE22" s="6"/>
      <c r="JF22" s="6"/>
      <c r="JG22" s="6"/>
      <c r="JH22" s="6"/>
      <c r="JI22" s="6"/>
      <c r="JJ22" s="6"/>
      <c r="JK22" s="6"/>
      <c r="JL22" s="6"/>
      <c r="JM22" s="6"/>
      <c r="JN22" s="6"/>
      <c r="JO22" s="6"/>
      <c r="JP22" s="6"/>
      <c r="JQ22" s="6"/>
      <c r="JR22" s="7"/>
      <c r="JS22" s="7"/>
      <c r="JT22" s="6"/>
      <c r="JU22" s="6"/>
      <c r="JV22" s="6"/>
      <c r="JW22" s="6"/>
      <c r="JX22" s="6"/>
      <c r="JY22" s="6"/>
      <c r="JZ22" s="6"/>
      <c r="KA22" s="6"/>
      <c r="KB22" s="6"/>
      <c r="KC22" s="6"/>
      <c r="KD22" s="6"/>
      <c r="KE22" s="6"/>
      <c r="KF22" s="6"/>
      <c r="KG22" s="6"/>
      <c r="KH22" s="6"/>
      <c r="KI22" s="6"/>
      <c r="KJ22" s="6"/>
      <c r="KK22" s="6"/>
      <c r="KL22" s="6"/>
      <c r="KM22" s="6"/>
      <c r="KN22" s="6"/>
      <c r="KO22" s="6"/>
      <c r="KP22" s="6"/>
      <c r="KQ22" s="6"/>
      <c r="KR22" s="6"/>
      <c r="KS22" s="6"/>
      <c r="KT22" s="6"/>
      <c r="KU22" s="6"/>
      <c r="KV22" s="6"/>
      <c r="KW22" s="6"/>
      <c r="KX22" s="6"/>
      <c r="KY22" s="6"/>
      <c r="KZ22" s="6"/>
      <c r="LA22" s="6"/>
      <c r="LB22" s="6"/>
      <c r="LC22" s="6"/>
      <c r="LD22" s="6"/>
      <c r="LE22" s="6"/>
      <c r="LF22" s="6"/>
      <c r="LG22" s="6"/>
      <c r="LH22" s="6"/>
      <c r="LI22" s="6"/>
      <c r="LJ22" s="6"/>
      <c r="LK22" s="6"/>
      <c r="LL22" s="6"/>
      <c r="LM22" s="6"/>
      <c r="LN22" s="6"/>
      <c r="LO22" s="6"/>
      <c r="LP22" s="6"/>
      <c r="LQ22" s="6"/>
      <c r="LR22" s="6"/>
      <c r="LS22" s="6"/>
      <c r="LT22" s="6"/>
      <c r="LU22" s="6"/>
      <c r="LV22" s="6"/>
      <c r="LW22" s="6"/>
      <c r="LX22" s="51"/>
      <c r="LY22" s="51"/>
      <c r="LZ22" s="51"/>
      <c r="MA22" s="51"/>
      <c r="MB22" s="51"/>
      <c r="MC22" s="51"/>
      <c r="MD22" s="51"/>
      <c r="ME22" s="6"/>
      <c r="MF22" s="6"/>
      <c r="MG22" s="6"/>
      <c r="MH22" s="6"/>
      <c r="MI22" s="6"/>
      <c r="MJ22" s="6"/>
      <c r="MK22" s="6"/>
      <c r="ML22" s="6"/>
      <c r="MM22" s="6"/>
      <c r="MN22" s="6"/>
      <c r="MO22" s="6"/>
      <c r="MP22" s="6"/>
      <c r="MQ22" s="6"/>
      <c r="MR22" s="6"/>
      <c r="MS22" s="6"/>
      <c r="MT22" s="6"/>
      <c r="MU22" s="6"/>
      <c r="MV22" s="6"/>
      <c r="MW22" s="6"/>
      <c r="MX22" s="6"/>
      <c r="MY22" s="6"/>
      <c r="MZ22" s="6"/>
      <c r="NA22" s="6"/>
      <c r="NB22" s="6"/>
      <c r="NC22" s="6"/>
      <c r="ND22" s="6"/>
      <c r="NE22" s="6"/>
      <c r="NF22" s="6"/>
      <c r="NG22" s="6"/>
      <c r="NH22" s="6"/>
      <c r="NI22" s="6"/>
      <c r="NJ22" s="6"/>
      <c r="NK22" s="6"/>
      <c r="NL22" s="6"/>
      <c r="NM22" s="6"/>
      <c r="NN22" s="6"/>
      <c r="NO22" s="6"/>
      <c r="NP22" s="6"/>
      <c r="NQ22" s="6"/>
      <c r="NR22" s="6"/>
      <c r="NS22" s="6"/>
      <c r="NT22" s="6"/>
      <c r="NU22" s="6"/>
      <c r="NV22" s="6"/>
      <c r="NW22" s="6"/>
      <c r="NX22" s="6"/>
      <c r="NY22" s="6"/>
      <c r="NZ22" s="6"/>
      <c r="OA22" s="6"/>
      <c r="OB22" s="6"/>
      <c r="OC22" s="6"/>
      <c r="OD22" s="6"/>
      <c r="OE22" s="6"/>
      <c r="OF22" s="6"/>
      <c r="OG22" s="6"/>
      <c r="OH22" s="6"/>
      <c r="OI22" s="6"/>
      <c r="OJ22" s="6"/>
      <c r="OK22" s="6"/>
      <c r="OL22" s="6"/>
      <c r="OM22" s="6"/>
      <c r="ON22" s="6"/>
      <c r="OO22" s="6"/>
      <c r="OP22" s="6"/>
      <c r="OQ22" s="6"/>
      <c r="OR22" s="6"/>
      <c r="OS22" s="6"/>
      <c r="OT22" s="6"/>
      <c r="OU22" s="6"/>
      <c r="OV22" s="6"/>
      <c r="OW22" s="6"/>
      <c r="OX22" s="6"/>
      <c r="OY22" s="6"/>
      <c r="OZ22" s="6"/>
      <c r="QQ22" s="8"/>
      <c r="QR22" s="8"/>
      <c r="QS22" s="8"/>
      <c r="QT22" s="8"/>
      <c r="QU22" s="8"/>
      <c r="QV22" s="8"/>
      <c r="QW22" s="8"/>
      <c r="QX22" s="8"/>
      <c r="QY22" s="6"/>
      <c r="QZ22" s="6"/>
      <c r="RA22" s="6"/>
      <c r="RB22" s="6"/>
      <c r="RC22" s="6"/>
      <c r="RD22" s="6"/>
      <c r="RE22" s="6"/>
      <c r="RF22" s="6"/>
      <c r="RG22" s="6"/>
      <c r="RH22" s="6"/>
      <c r="RI22" s="6"/>
      <c r="RJ22" s="6"/>
      <c r="RK22" s="6"/>
      <c r="RL22" s="6"/>
      <c r="RM22" s="6"/>
      <c r="RN22" s="6"/>
      <c r="RO22" s="6"/>
      <c r="RP22" s="6"/>
      <c r="RQ22" s="6"/>
      <c r="RR22" s="6"/>
      <c r="RS22" s="6"/>
      <c r="RT22" s="6"/>
      <c r="RU22" s="6"/>
      <c r="RV22" s="6"/>
      <c r="RW22" s="6"/>
      <c r="RX22" s="6"/>
      <c r="RY22" s="6"/>
      <c r="RZ22" s="6"/>
      <c r="SA22" s="6"/>
      <c r="SB22" s="6"/>
      <c r="SC22" s="6"/>
      <c r="SD22" s="6"/>
      <c r="SE22" s="6"/>
      <c r="SF22" s="6"/>
      <c r="SG22" s="6"/>
      <c r="SH22" s="6"/>
      <c r="SI22" s="6"/>
      <c r="SJ22" s="6"/>
      <c r="SK22" s="6"/>
      <c r="SL22" s="6"/>
      <c r="SM22" s="7"/>
      <c r="SN22" s="7"/>
      <c r="SO22" s="7"/>
      <c r="SP22" s="7"/>
      <c r="SQ22" s="7"/>
      <c r="SR22" s="6"/>
      <c r="SS22" s="6"/>
      <c r="ST22" s="6"/>
      <c r="SU22" s="6"/>
      <c r="SV22" s="6"/>
      <c r="SW22" s="6"/>
      <c r="SX22" s="6"/>
      <c r="SY22" s="6"/>
      <c r="SZ22" s="6"/>
      <c r="TA22" s="6"/>
      <c r="TB22" s="6"/>
      <c r="TC22" s="6"/>
      <c r="TD22" s="6"/>
      <c r="TE22" s="6"/>
      <c r="TF22" s="6"/>
      <c r="TG22" s="6"/>
      <c r="TH22" s="6"/>
      <c r="TI22" s="6"/>
      <c r="TJ22" s="6"/>
      <c r="TK22" s="6"/>
      <c r="TL22" s="6"/>
      <c r="TM22" s="6"/>
      <c r="TN22" s="6"/>
      <c r="TO22" s="6"/>
      <c r="TP22" s="6"/>
      <c r="TQ22" s="6"/>
      <c r="TR22" s="6"/>
      <c r="TS22" s="6"/>
      <c r="TT22" s="6"/>
      <c r="TU22" s="6"/>
      <c r="TV22" s="6"/>
      <c r="TW22" s="6"/>
      <c r="TX22" s="6"/>
      <c r="TY22" s="6"/>
      <c r="TZ22" s="6"/>
      <c r="UA22" s="6"/>
      <c r="UB22" s="6"/>
      <c r="UC22" s="6"/>
      <c r="UD22" s="6"/>
      <c r="UE22" s="6"/>
      <c r="UF22" s="6"/>
      <c r="UG22" s="6"/>
      <c r="UH22" s="6"/>
      <c r="UI22" s="6"/>
      <c r="UJ22" s="6"/>
      <c r="UK22" s="6"/>
      <c r="UL22" s="6"/>
      <c r="UM22" s="6"/>
      <c r="UN22" s="6"/>
      <c r="UO22" s="6"/>
      <c r="UP22" s="6"/>
      <c r="UQ22" s="6"/>
      <c r="UR22" s="6"/>
      <c r="US22" s="6"/>
      <c r="UT22" s="6"/>
      <c r="UU22" s="6"/>
      <c r="UV22" s="6"/>
      <c r="UW22" s="6"/>
      <c r="UX22" s="6"/>
      <c r="UY22" s="6"/>
      <c r="UZ22" s="6"/>
      <c r="VA22" s="6"/>
      <c r="VB22" s="6"/>
      <c r="VC22" s="6"/>
      <c r="VD22" s="6"/>
      <c r="VE22" s="6"/>
      <c r="VF22" s="6"/>
      <c r="VG22" s="6"/>
      <c r="VH22" s="6"/>
      <c r="VI22" s="6"/>
      <c r="VJ22" s="6"/>
      <c r="VK22" s="6"/>
      <c r="VL22" s="6"/>
      <c r="VM22" s="6"/>
      <c r="VN22" s="6"/>
      <c r="VO22" s="6"/>
      <c r="VP22" s="6"/>
      <c r="VQ22" s="6"/>
      <c r="VR22" s="6"/>
      <c r="VS22" s="6"/>
      <c r="VT22" s="6"/>
      <c r="VU22" s="6"/>
      <c r="VV22" s="6"/>
      <c r="VW22" s="6"/>
      <c r="VX22" s="6"/>
      <c r="VY22" s="6"/>
      <c r="VZ22" s="6"/>
      <c r="WA22" s="6"/>
      <c r="WB22" s="6"/>
      <c r="WC22" s="6"/>
      <c r="WD22" s="6"/>
      <c r="WE22" s="6"/>
      <c r="WF22" s="6"/>
      <c r="WG22" s="6"/>
      <c r="WH22" s="6"/>
      <c r="WI22" s="6"/>
      <c r="WJ22" s="6"/>
      <c r="WK22" s="6"/>
      <c r="WL22" s="6"/>
      <c r="WM22" s="6"/>
      <c r="WN22" s="6"/>
      <c r="WO22" s="6"/>
      <c r="WP22" s="6"/>
      <c r="WQ22" s="6"/>
      <c r="WR22" s="6"/>
      <c r="WS22" s="6"/>
      <c r="WT22" s="6"/>
      <c r="WU22" s="6"/>
      <c r="WV22" s="6"/>
      <c r="WW22" s="6"/>
      <c r="WX22" s="6"/>
      <c r="WY22" s="6"/>
      <c r="WZ22" s="6"/>
      <c r="XA22" s="6"/>
      <c r="XB22" s="6"/>
      <c r="XC22" s="6"/>
      <c r="XD22" s="6"/>
      <c r="XE22" s="6"/>
      <c r="XF22" s="6"/>
      <c r="XG22" s="6"/>
      <c r="XH22" s="6"/>
      <c r="XI22" s="6"/>
      <c r="XJ22" s="6"/>
      <c r="XK22" s="6"/>
      <c r="XL22" s="6"/>
      <c r="XM22" s="6"/>
      <c r="XN22" s="6"/>
      <c r="XO22" s="6"/>
      <c r="XP22" s="6"/>
      <c r="XQ22" s="6"/>
      <c r="XR22" s="6"/>
      <c r="XS22" s="6"/>
      <c r="XT22" s="6"/>
      <c r="XU22" s="6"/>
      <c r="XV22" s="6"/>
      <c r="XW22" s="6"/>
      <c r="XX22" s="6"/>
      <c r="XY22" s="6"/>
      <c r="XZ22" s="6"/>
      <c r="YA22" s="6"/>
      <c r="YB22" s="6"/>
      <c r="YC22" s="6"/>
      <c r="YD22" s="6"/>
      <c r="YE22" s="6"/>
      <c r="YF22" s="6"/>
      <c r="YG22" s="6"/>
      <c r="YH22" s="6"/>
      <c r="YI22" s="6"/>
      <c r="YJ22" s="6"/>
      <c r="YK22" s="6"/>
      <c r="YL22" s="6"/>
      <c r="YM22" s="6"/>
      <c r="YN22" s="6"/>
      <c r="YO22" s="6"/>
      <c r="YP22" s="6"/>
      <c r="YQ22" s="6"/>
      <c r="YR22" s="6"/>
      <c r="YS22" s="6"/>
      <c r="YT22" s="6"/>
      <c r="YU22" s="6"/>
      <c r="YV22" s="6"/>
      <c r="YW22" s="6"/>
      <c r="YX22" s="6"/>
      <c r="YY22" s="6"/>
      <c r="YZ22" s="6"/>
      <c r="ZA22" s="6"/>
      <c r="ZB22" s="6"/>
      <c r="ZC22" s="6"/>
      <c r="ZD22" s="6"/>
      <c r="ZE22" s="6"/>
      <c r="ZF22" s="6"/>
      <c r="ZG22" s="6"/>
      <c r="ZH22" s="6"/>
      <c r="ZI22" s="6"/>
      <c r="ZJ22" s="6"/>
      <c r="ZK22" s="6"/>
      <c r="ZL22" s="6"/>
      <c r="ZM22" s="6"/>
      <c r="ZN22" s="6"/>
      <c r="ZO22" s="6"/>
      <c r="ZP22" s="6"/>
      <c r="ZQ22" s="6"/>
      <c r="ZR22" s="6"/>
      <c r="ZS22" s="6"/>
      <c r="ZT22" s="6"/>
      <c r="ZU22" s="6"/>
      <c r="ZV22" s="6"/>
      <c r="ZW22" s="6"/>
      <c r="ZX22" s="6"/>
      <c r="ZY22" s="6"/>
      <c r="ZZ22" s="6"/>
      <c r="AAA22" s="6"/>
      <c r="AAB22" s="6"/>
      <c r="AAC22" s="6"/>
      <c r="AAD22" s="6"/>
      <c r="AAE22" s="6"/>
      <c r="AAF22" s="6"/>
      <c r="AAG22" s="6"/>
      <c r="AAH22" s="6"/>
      <c r="AAI22" s="6"/>
      <c r="AAJ22" s="6"/>
      <c r="AAK22" s="6"/>
      <c r="AAL22" s="6"/>
      <c r="AAM22" s="6"/>
      <c r="AAN22" s="6"/>
      <c r="AAO22" s="6"/>
      <c r="AAP22" s="6"/>
      <c r="AAQ22" s="6"/>
      <c r="AAR22" s="6"/>
      <c r="AAS22" s="6"/>
      <c r="AAT22" s="6"/>
      <c r="AAU22" s="6"/>
      <c r="AAV22" s="6"/>
      <c r="AAW22" s="6"/>
      <c r="AAX22" s="6"/>
      <c r="AAY22" s="6"/>
      <c r="AAZ22" s="6"/>
      <c r="ABA22" s="6"/>
      <c r="ABB22" s="6"/>
      <c r="ABC22" s="6"/>
      <c r="ABD22" s="6"/>
      <c r="ABE22" s="6"/>
      <c r="ABF22" s="6"/>
      <c r="ABG22" s="6"/>
      <c r="ABH22" s="6"/>
      <c r="ABI22" s="6"/>
      <c r="ABJ22" s="6"/>
      <c r="ABK22" s="6"/>
      <c r="ABL22" s="6"/>
      <c r="ABM22" s="6"/>
      <c r="ABN22" s="6"/>
      <c r="ABO22" s="6"/>
      <c r="ABP22" s="6"/>
      <c r="ABQ22" s="6"/>
      <c r="ABR22" s="6"/>
      <c r="ABS22" s="6"/>
      <c r="ABT22" s="6"/>
      <c r="ABU22" s="6"/>
      <c r="ABV22" s="6"/>
      <c r="ABW22" s="6"/>
      <c r="ABX22" s="6"/>
      <c r="ABY22" s="6"/>
      <c r="ABZ22" s="6"/>
      <c r="ACA22" s="6"/>
      <c r="ACB22" s="6"/>
      <c r="ACC22" s="6"/>
      <c r="ACD22" s="6"/>
      <c r="ACE22" s="6"/>
      <c r="ACF22" s="6"/>
      <c r="ACG22" s="6"/>
      <c r="ACH22" s="6"/>
      <c r="ACI22" s="6"/>
      <c r="ACJ22" s="6"/>
      <c r="ACK22" s="6"/>
      <c r="ACL22" s="6"/>
      <c r="ACM22" s="6"/>
      <c r="ACN22" s="6"/>
      <c r="ACO22" s="6"/>
      <c r="ACP22" s="6"/>
      <c r="ACQ22" s="6"/>
      <c r="ACR22" s="6"/>
      <c r="ACS22" s="6"/>
      <c r="ACT22" s="6"/>
      <c r="ACU22" s="6"/>
      <c r="ACV22" s="6"/>
      <c r="ACW22" s="6"/>
      <c r="ACX22" s="6"/>
      <c r="ACY22" s="6"/>
      <c r="ACZ22" s="6"/>
      <c r="ADA22" s="6"/>
      <c r="ADB22" s="6"/>
      <c r="ADC22" s="6"/>
      <c r="ADD22" s="6"/>
      <c r="ADE22" s="6"/>
      <c r="ADF22" s="6"/>
      <c r="ADG22" s="6"/>
      <c r="ADH22" s="6"/>
      <c r="ADI22" s="6"/>
      <c r="ADJ22" s="6"/>
      <c r="ADK22" s="6"/>
      <c r="ADL22" s="6"/>
      <c r="ADM22" s="6"/>
      <c r="ADN22" s="6"/>
    </row>
    <row r="23" spans="1:1015 1048:3035 3169:4013 4179:5068" x14ac:dyDescent="0.25">
      <c r="A23" s="50">
        <v>1480</v>
      </c>
      <c r="LX23" s="50"/>
      <c r="LY23" s="50"/>
      <c r="LZ23" s="50"/>
      <c r="MA23" s="50"/>
      <c r="MB23" s="50"/>
      <c r="MC23" s="50"/>
      <c r="MD23" s="50"/>
      <c r="ANH23">
        <v>57</v>
      </c>
      <c r="ANJ23">
        <v>1</v>
      </c>
      <c r="ANK23">
        <v>28.9</v>
      </c>
      <c r="ANN23">
        <v>14</v>
      </c>
      <c r="APN23">
        <v>1</v>
      </c>
      <c r="AVE23">
        <v>1</v>
      </c>
      <c r="AXT23">
        <v>500</v>
      </c>
      <c r="AXU23">
        <v>1</v>
      </c>
      <c r="AXX23">
        <v>1</v>
      </c>
      <c r="AXZ23">
        <v>2</v>
      </c>
      <c r="AYA23">
        <v>1</v>
      </c>
      <c r="AYB23">
        <v>1</v>
      </c>
      <c r="AYC23">
        <v>2</v>
      </c>
      <c r="AYD23">
        <v>3</v>
      </c>
      <c r="CRW23">
        <v>1</v>
      </c>
      <c r="GEL23">
        <v>1</v>
      </c>
      <c r="GFC23">
        <v>1</v>
      </c>
      <c r="GFE23">
        <v>1</v>
      </c>
      <c r="GFG23">
        <v>1</v>
      </c>
    </row>
    <row r="24" spans="1:1015 1048:3035 3169:4013 4179:5068" x14ac:dyDescent="0.25">
      <c r="A24" s="50">
        <v>7063959</v>
      </c>
      <c r="B24" s="7"/>
      <c r="C24" s="7"/>
      <c r="D24" s="7"/>
      <c r="E24" s="7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  <c r="CT24" s="6"/>
      <c r="CU24" s="6"/>
      <c r="CV24" s="6"/>
      <c r="CW24" s="6"/>
      <c r="CX24" s="6"/>
      <c r="CY24" s="6"/>
      <c r="CZ24" s="6"/>
      <c r="DA24" s="6"/>
      <c r="DB24" s="6"/>
      <c r="DC24" s="6"/>
      <c r="DD24" s="6"/>
      <c r="DE24" s="6"/>
      <c r="DF24" s="6"/>
      <c r="DG24" s="6"/>
      <c r="DH24" s="6"/>
      <c r="DI24" s="6"/>
      <c r="DJ24" s="6"/>
      <c r="DK24" s="6"/>
      <c r="DL24" s="6"/>
      <c r="DM24" s="6"/>
      <c r="DN24" s="6"/>
      <c r="DO24" s="7"/>
      <c r="DP24" s="7"/>
      <c r="DQ24" s="7"/>
      <c r="DR24" s="7"/>
      <c r="DS24" s="7"/>
      <c r="DT24" s="7"/>
      <c r="DU24" s="7"/>
      <c r="DV24" s="7"/>
      <c r="DW24" s="7"/>
      <c r="DX24" s="7"/>
      <c r="DY24" s="7"/>
      <c r="DZ24" s="7"/>
      <c r="EA24" s="7"/>
      <c r="EB24" s="7"/>
      <c r="EC24" s="7"/>
      <c r="ED24" s="7"/>
      <c r="EE24" s="7"/>
      <c r="EF24" s="7"/>
      <c r="EG24" s="7"/>
      <c r="EH24" s="7"/>
      <c r="EI24" s="7"/>
      <c r="EJ24" s="7"/>
      <c r="EK24" s="7"/>
      <c r="EL24" s="7"/>
      <c r="EM24" s="7"/>
      <c r="EN24" s="7"/>
      <c r="EO24" s="7"/>
      <c r="EP24" s="7"/>
      <c r="EQ24" s="7"/>
      <c r="ER24" s="7"/>
      <c r="ES24" s="7"/>
      <c r="ET24" s="7"/>
      <c r="EU24" s="7"/>
      <c r="EV24" s="7"/>
      <c r="EW24" s="7"/>
      <c r="EX24" s="7"/>
      <c r="EY24" s="6"/>
      <c r="EZ24" s="6"/>
      <c r="FA24" s="6"/>
      <c r="FB24" s="6"/>
      <c r="FC24" s="6"/>
      <c r="FD24" s="6"/>
      <c r="FE24" s="6"/>
      <c r="FF24" s="6"/>
      <c r="FG24" s="6"/>
      <c r="FH24" s="6"/>
      <c r="FI24" s="6"/>
      <c r="FJ24" s="6"/>
      <c r="FK24" s="6"/>
      <c r="FL24" s="6"/>
      <c r="FM24" s="6"/>
      <c r="FN24" s="6"/>
      <c r="FO24" s="6"/>
      <c r="FP24" s="6"/>
      <c r="FQ24" s="6"/>
      <c r="FR24" s="6"/>
      <c r="FS24" s="6"/>
      <c r="FT24" s="6"/>
      <c r="FU24" s="6"/>
      <c r="FV24" s="6"/>
      <c r="FW24" s="6"/>
      <c r="FX24" s="6"/>
      <c r="FY24" s="6"/>
      <c r="FZ24" s="6"/>
      <c r="GA24" s="6"/>
      <c r="GB24" s="6"/>
      <c r="GC24" s="6"/>
      <c r="GD24" s="6"/>
      <c r="GE24" s="6"/>
      <c r="GF24" s="6"/>
      <c r="GG24" s="6"/>
      <c r="GH24" s="6"/>
      <c r="GI24" s="6"/>
      <c r="GJ24" s="6"/>
      <c r="GK24" s="6"/>
      <c r="GL24" s="6"/>
      <c r="GM24" s="6"/>
      <c r="GN24" s="6"/>
      <c r="GO24" s="6"/>
      <c r="GP24" s="6"/>
      <c r="GQ24" s="6"/>
      <c r="GR24" s="6"/>
      <c r="GS24" s="6"/>
      <c r="GT24" s="6"/>
      <c r="GU24" s="6"/>
      <c r="GV24" s="6"/>
      <c r="GW24" s="6"/>
      <c r="GX24" s="6"/>
      <c r="GY24" s="6"/>
      <c r="GZ24" s="6"/>
      <c r="HA24" s="7"/>
      <c r="HB24" s="7"/>
      <c r="HC24" s="7"/>
      <c r="HD24" s="6"/>
      <c r="HE24" s="6"/>
      <c r="HF24" s="6"/>
      <c r="HG24" s="6"/>
      <c r="HH24" s="6"/>
      <c r="HI24" s="6"/>
      <c r="HJ24" s="6"/>
      <c r="HK24" s="6"/>
      <c r="HL24" s="6"/>
      <c r="HM24" s="6"/>
      <c r="HN24" s="6"/>
      <c r="HO24" s="6"/>
      <c r="HP24" s="6"/>
      <c r="HQ24" s="6"/>
      <c r="HR24" s="6"/>
      <c r="HS24" s="6"/>
      <c r="HT24" s="6"/>
      <c r="HU24" s="6"/>
      <c r="HV24" s="6"/>
      <c r="HW24" s="6"/>
      <c r="HX24" s="6"/>
      <c r="HY24" s="6"/>
      <c r="HZ24" s="6"/>
      <c r="IA24" s="6"/>
      <c r="IB24" s="6"/>
      <c r="IC24" s="6"/>
      <c r="ID24" s="6"/>
      <c r="IE24" s="6"/>
      <c r="IF24" s="6"/>
      <c r="IG24" s="6"/>
      <c r="IH24" s="7"/>
      <c r="II24" s="7"/>
      <c r="IJ24" s="7"/>
      <c r="IK24" s="6"/>
      <c r="IL24" s="6"/>
      <c r="IM24" s="6"/>
      <c r="IN24" s="6"/>
      <c r="IO24" s="6"/>
      <c r="IP24" s="6"/>
      <c r="IQ24" s="6"/>
      <c r="IR24" s="6"/>
      <c r="IS24" s="6"/>
      <c r="IT24" s="6"/>
      <c r="IU24" s="6"/>
      <c r="IV24" s="6"/>
      <c r="IW24" s="6"/>
      <c r="IX24" s="6"/>
      <c r="IY24" s="6"/>
      <c r="IZ24" s="6"/>
      <c r="JA24" s="6"/>
      <c r="JB24" s="6"/>
      <c r="JC24" s="6"/>
      <c r="JD24" s="6"/>
      <c r="JE24" s="6"/>
      <c r="JF24" s="6"/>
      <c r="JG24" s="6"/>
      <c r="JH24" s="6"/>
      <c r="JI24" s="6"/>
      <c r="JJ24" s="6"/>
      <c r="JK24" s="6"/>
      <c r="JL24" s="6"/>
      <c r="JM24" s="6"/>
      <c r="JN24" s="6"/>
      <c r="JO24" s="6"/>
      <c r="JP24" s="6"/>
      <c r="JQ24" s="6"/>
      <c r="JR24" s="7"/>
      <c r="JS24" s="7"/>
      <c r="JT24" s="6"/>
      <c r="JU24" s="6"/>
      <c r="JV24" s="6"/>
      <c r="JW24" s="6"/>
      <c r="JX24" s="6"/>
      <c r="JY24" s="6"/>
      <c r="JZ24" s="6"/>
      <c r="KA24" s="6"/>
      <c r="KB24" s="6"/>
      <c r="KC24" s="6"/>
      <c r="KD24" s="6"/>
      <c r="KE24" s="6"/>
      <c r="KF24" s="6"/>
      <c r="KG24" s="6"/>
      <c r="KH24" s="6"/>
      <c r="KI24" s="6"/>
      <c r="KJ24" s="6"/>
      <c r="KK24" s="6"/>
      <c r="KL24" s="6"/>
      <c r="KM24" s="6"/>
      <c r="KN24" s="6"/>
      <c r="KO24" s="6"/>
      <c r="KP24" s="6"/>
      <c r="KQ24" s="6"/>
      <c r="KR24" s="6"/>
      <c r="KS24" s="6"/>
      <c r="KT24" s="6"/>
      <c r="KU24" s="6"/>
      <c r="KV24" s="6"/>
      <c r="KW24" s="6"/>
      <c r="KX24" s="6"/>
      <c r="KY24" s="6"/>
      <c r="KZ24" s="6"/>
      <c r="LA24" s="6"/>
      <c r="LB24" s="6"/>
      <c r="LC24" s="6"/>
      <c r="LD24" s="6"/>
      <c r="LE24" s="6"/>
      <c r="LF24" s="6"/>
      <c r="LG24" s="6"/>
      <c r="LH24" s="6"/>
      <c r="LI24" s="6"/>
      <c r="LJ24" s="6"/>
      <c r="LK24" s="6"/>
      <c r="LL24" s="6"/>
      <c r="LM24" s="6"/>
      <c r="LN24" s="6"/>
      <c r="LO24" s="6"/>
      <c r="LP24" s="6"/>
      <c r="LQ24" s="6"/>
      <c r="LR24" s="6"/>
      <c r="LS24" s="6"/>
      <c r="LT24" s="6"/>
      <c r="LU24" s="6"/>
      <c r="LV24" s="6"/>
      <c r="LW24" s="6"/>
      <c r="LX24" s="51"/>
      <c r="LY24" s="51"/>
      <c r="LZ24" s="51"/>
      <c r="MA24" s="51">
        <v>66</v>
      </c>
      <c r="MB24" s="51"/>
      <c r="MC24" s="51"/>
      <c r="MD24" s="51"/>
      <c r="ME24" s="6"/>
      <c r="MF24" s="6"/>
      <c r="MG24" s="6"/>
      <c r="MH24" s="6"/>
      <c r="MI24" s="6"/>
      <c r="MJ24" s="6"/>
      <c r="MK24" s="6"/>
      <c r="ML24" s="6"/>
      <c r="MM24" s="6"/>
      <c r="MN24" s="6"/>
      <c r="MO24" s="6"/>
      <c r="MP24" s="6"/>
      <c r="MQ24" s="6"/>
      <c r="MR24" s="6"/>
      <c r="MS24" s="6"/>
      <c r="MT24" s="6"/>
      <c r="MU24" s="6"/>
      <c r="MV24" s="6"/>
      <c r="MW24" s="6"/>
      <c r="MX24" s="6"/>
      <c r="MY24" s="6"/>
      <c r="MZ24" s="6"/>
      <c r="NA24" s="6"/>
      <c r="NB24" s="6"/>
      <c r="NC24" s="6"/>
      <c r="ND24" s="6"/>
      <c r="NE24" s="6"/>
      <c r="NF24" s="6"/>
      <c r="NG24" s="6"/>
      <c r="NH24" s="6"/>
      <c r="NI24" s="6"/>
      <c r="NJ24" s="6"/>
      <c r="NK24" s="6"/>
      <c r="NL24" s="6"/>
      <c r="NM24" s="6"/>
      <c r="NN24" s="6"/>
      <c r="NO24" s="6"/>
      <c r="NP24" s="6"/>
      <c r="NQ24" s="6"/>
      <c r="NR24" s="6"/>
      <c r="NS24" s="6"/>
      <c r="NT24" s="6"/>
      <c r="NU24" s="6"/>
      <c r="NV24" s="6"/>
      <c r="NW24" s="6"/>
      <c r="NX24" s="6"/>
      <c r="NY24" s="6"/>
      <c r="NZ24" s="6"/>
      <c r="OA24" s="6"/>
      <c r="OB24" s="6"/>
      <c r="OC24" s="6"/>
      <c r="OD24" s="6"/>
      <c r="OE24" s="6"/>
      <c r="OF24" s="6"/>
      <c r="OG24" s="6"/>
      <c r="OH24" s="6"/>
      <c r="OI24" s="6"/>
      <c r="OJ24" s="6"/>
      <c r="OK24" s="6"/>
      <c r="OL24" s="6"/>
      <c r="OM24" s="6"/>
      <c r="ON24" s="6"/>
      <c r="OO24" s="6"/>
      <c r="OP24" s="6"/>
      <c r="OQ24" s="6"/>
      <c r="OR24" s="6"/>
      <c r="OS24" s="6"/>
      <c r="OT24" s="6"/>
      <c r="OU24" s="6"/>
      <c r="OV24" s="6"/>
      <c r="OW24" s="6"/>
      <c r="OX24" s="6"/>
      <c r="OY24" s="6"/>
      <c r="OZ24" s="6"/>
      <c r="QQ24" s="8"/>
      <c r="QR24" s="8"/>
      <c r="QS24" s="8"/>
      <c r="QT24" s="8"/>
      <c r="QU24" s="8"/>
      <c r="QV24" s="8"/>
      <c r="QW24" s="8"/>
      <c r="QX24" s="8"/>
      <c r="QY24" s="6"/>
      <c r="QZ24" s="6"/>
      <c r="RA24" s="6"/>
      <c r="RB24" s="6"/>
      <c r="RC24" s="6"/>
      <c r="RD24" s="6"/>
      <c r="RE24" s="6"/>
      <c r="RF24" s="6"/>
      <c r="RG24" s="6"/>
      <c r="RH24" s="6"/>
      <c r="RI24" s="6"/>
      <c r="RJ24" s="6"/>
      <c r="RK24" s="6"/>
      <c r="RL24" s="6"/>
      <c r="RM24" s="6"/>
      <c r="RN24" s="6"/>
      <c r="RO24" s="6"/>
      <c r="RP24" s="6"/>
      <c r="RQ24" s="6"/>
      <c r="RR24" s="6"/>
      <c r="RS24" s="6"/>
      <c r="RT24" s="6"/>
      <c r="RU24" s="6"/>
      <c r="RV24" s="6"/>
      <c r="RW24" s="6"/>
      <c r="RX24" s="6"/>
      <c r="RY24" s="6"/>
      <c r="RZ24" s="6"/>
      <c r="SA24" s="6"/>
      <c r="SB24" s="6"/>
      <c r="SC24" s="6"/>
      <c r="SD24" s="6"/>
      <c r="SE24" s="6"/>
      <c r="SF24" s="6"/>
      <c r="SG24" s="6"/>
      <c r="SH24" s="6"/>
      <c r="SI24" s="6"/>
      <c r="SJ24" s="6"/>
      <c r="SK24" s="6"/>
      <c r="SL24" s="6"/>
      <c r="SM24" s="7"/>
      <c r="SN24" s="7"/>
      <c r="SO24" s="7"/>
      <c r="SP24" s="7"/>
      <c r="SQ24" s="7"/>
      <c r="SR24" s="6"/>
      <c r="SS24" s="6"/>
      <c r="ST24" s="6"/>
      <c r="SU24" s="6"/>
      <c r="SV24" s="6"/>
      <c r="SW24" s="6"/>
      <c r="SX24" s="6"/>
      <c r="SY24" s="6"/>
      <c r="SZ24" s="6"/>
      <c r="TA24" s="6"/>
      <c r="TB24" s="6"/>
      <c r="TC24" s="6"/>
      <c r="TD24" s="6"/>
      <c r="TE24" s="6"/>
      <c r="TF24" s="6"/>
      <c r="TG24" s="6"/>
      <c r="TH24" s="6"/>
      <c r="TI24" s="6"/>
      <c r="TJ24" s="6"/>
      <c r="TK24" s="6"/>
      <c r="TL24" s="6"/>
      <c r="TM24" s="6"/>
      <c r="TN24" s="6"/>
      <c r="TO24" s="6"/>
      <c r="TP24" s="6"/>
      <c r="TQ24" s="6"/>
      <c r="TR24" s="6"/>
      <c r="TS24" s="6"/>
      <c r="TT24" s="6"/>
      <c r="TU24" s="6"/>
      <c r="TV24" s="6"/>
      <c r="TW24" s="6"/>
      <c r="TX24" s="6"/>
      <c r="TY24" s="6"/>
      <c r="TZ24" s="6"/>
      <c r="UA24" s="6"/>
      <c r="UB24" s="6"/>
      <c r="UC24" s="6"/>
      <c r="UD24" s="6"/>
      <c r="UE24" s="6"/>
      <c r="UF24" s="6"/>
      <c r="UG24" s="6"/>
      <c r="UH24" s="6"/>
      <c r="UI24" s="6"/>
      <c r="UJ24" s="6"/>
      <c r="UK24" s="6"/>
      <c r="UL24" s="6"/>
      <c r="UM24" s="6"/>
      <c r="UN24" s="6"/>
      <c r="UO24" s="6"/>
      <c r="UP24" s="6"/>
      <c r="UQ24" s="6"/>
      <c r="UR24" s="6"/>
      <c r="US24" s="6"/>
      <c r="UT24" s="6"/>
      <c r="UU24" s="6"/>
      <c r="UV24" s="6"/>
      <c r="UW24" s="6"/>
      <c r="UX24" s="6"/>
      <c r="UY24" s="6"/>
      <c r="UZ24" s="6"/>
      <c r="VA24" s="6"/>
      <c r="VB24" s="6"/>
      <c r="VC24" s="6"/>
      <c r="VD24" s="6"/>
      <c r="VE24" s="6"/>
      <c r="VF24" s="6"/>
      <c r="VG24" s="6"/>
      <c r="VH24" s="6"/>
      <c r="VI24" s="6"/>
      <c r="VJ24" s="6"/>
      <c r="VK24" s="6"/>
      <c r="VL24" s="6"/>
      <c r="VM24" s="6"/>
      <c r="VN24" s="6"/>
      <c r="VO24" s="6"/>
      <c r="VP24" s="6"/>
      <c r="VQ24" s="6"/>
      <c r="VR24" s="6"/>
      <c r="VS24" s="6"/>
      <c r="VT24" s="6"/>
      <c r="VU24" s="6"/>
      <c r="VV24" s="6"/>
      <c r="VW24" s="6"/>
      <c r="VX24" s="6"/>
      <c r="VY24" s="6"/>
      <c r="VZ24" s="6"/>
      <c r="WA24" s="6"/>
      <c r="WB24" s="6"/>
      <c r="WC24" s="6"/>
      <c r="WD24" s="6"/>
      <c r="WE24" s="6"/>
      <c r="WF24" s="6"/>
      <c r="WG24" s="6"/>
      <c r="WH24" s="6"/>
      <c r="WI24" s="6"/>
      <c r="WJ24" s="6"/>
      <c r="WK24" s="6"/>
      <c r="WL24" s="6"/>
      <c r="WM24" s="6"/>
      <c r="WN24" s="6"/>
      <c r="WO24" s="6"/>
      <c r="WP24" s="6"/>
      <c r="WQ24" s="6"/>
      <c r="WR24" s="6"/>
      <c r="WS24" s="6"/>
      <c r="WT24" s="6"/>
      <c r="WU24" s="6"/>
      <c r="WV24" s="6"/>
      <c r="WW24" s="6"/>
      <c r="WX24" s="6"/>
      <c r="WY24" s="6"/>
      <c r="WZ24" s="6"/>
      <c r="XA24" s="6"/>
      <c r="XB24" s="6"/>
      <c r="XC24" s="6"/>
      <c r="XD24" s="6"/>
      <c r="XE24" s="6"/>
      <c r="XF24" s="6"/>
      <c r="XG24" s="6"/>
      <c r="XH24" s="6"/>
      <c r="XI24" s="6"/>
      <c r="XJ24" s="6"/>
      <c r="XK24" s="6"/>
      <c r="XL24" s="6"/>
      <c r="XM24" s="6"/>
      <c r="XN24" s="6"/>
      <c r="XO24" s="6"/>
      <c r="XP24" s="6"/>
      <c r="XQ24" s="6"/>
      <c r="XR24" s="6"/>
      <c r="XS24" s="6"/>
      <c r="XT24" s="6"/>
      <c r="XU24" s="6"/>
      <c r="XV24" s="6"/>
      <c r="XW24" s="6"/>
      <c r="XX24" s="6"/>
      <c r="XY24" s="6"/>
      <c r="XZ24" s="6"/>
      <c r="YA24" s="6"/>
      <c r="YB24" s="6"/>
      <c r="YC24" s="6"/>
      <c r="YD24" s="6"/>
      <c r="YE24" s="6"/>
      <c r="YF24" s="6"/>
      <c r="YG24" s="6"/>
      <c r="YH24" s="6"/>
      <c r="YI24" s="6"/>
      <c r="YJ24" s="6"/>
      <c r="YK24" s="6"/>
      <c r="YL24" s="6"/>
      <c r="YM24" s="6"/>
      <c r="YN24" s="6"/>
      <c r="YO24" s="6"/>
      <c r="YP24" s="6"/>
      <c r="YQ24" s="6"/>
      <c r="YR24" s="6"/>
      <c r="YS24" s="6"/>
      <c r="YT24" s="6"/>
      <c r="YU24" s="6"/>
      <c r="YV24" s="6"/>
      <c r="YW24" s="6"/>
      <c r="YX24" s="6"/>
      <c r="YY24" s="6"/>
      <c r="YZ24" s="6"/>
      <c r="ZA24" s="6"/>
      <c r="ZB24" s="6"/>
      <c r="ZC24" s="6"/>
      <c r="ZD24" s="6"/>
      <c r="ZE24" s="6"/>
      <c r="ZF24" s="6"/>
      <c r="ZG24" s="6"/>
      <c r="ZH24" s="6"/>
      <c r="ZI24" s="6"/>
      <c r="ZJ24" s="6"/>
      <c r="ZK24" s="6"/>
      <c r="ZL24" s="6"/>
      <c r="ZM24" s="6"/>
      <c r="ZN24" s="6"/>
      <c r="ZO24" s="6"/>
      <c r="ZP24" s="6"/>
      <c r="ZQ24" s="6"/>
      <c r="ZR24" s="6"/>
      <c r="ZS24" s="6"/>
      <c r="ZT24" s="6"/>
      <c r="ZU24" s="6"/>
      <c r="ZV24" s="6"/>
      <c r="ZW24" s="6"/>
      <c r="ZX24" s="6"/>
      <c r="ZY24" s="6"/>
      <c r="ZZ24" s="6"/>
      <c r="AAA24" s="6"/>
      <c r="AAB24" s="6"/>
      <c r="AAC24" s="6"/>
      <c r="AAD24" s="6"/>
      <c r="AAE24" s="6"/>
      <c r="AAF24" s="6"/>
      <c r="AAG24" s="6"/>
      <c r="AAH24" s="6"/>
      <c r="AAI24" s="6"/>
      <c r="AAJ24" s="6"/>
      <c r="AAK24" s="6"/>
      <c r="AAL24" s="6"/>
      <c r="AAM24" s="6"/>
      <c r="AAN24" s="6"/>
      <c r="AAO24" s="6"/>
      <c r="AAP24" s="6"/>
      <c r="AAQ24" s="6"/>
      <c r="AAR24" s="6"/>
      <c r="AAS24" s="6"/>
      <c r="AAT24" s="6"/>
      <c r="AAU24" s="6"/>
      <c r="AAV24" s="6"/>
      <c r="AAW24" s="6"/>
      <c r="AAX24" s="6"/>
      <c r="AAY24" s="6"/>
      <c r="AAZ24" s="6"/>
      <c r="ABA24" s="6"/>
      <c r="ABB24" s="6"/>
      <c r="ABC24" s="6"/>
      <c r="ABD24" s="6"/>
      <c r="ABE24" s="6"/>
      <c r="ABF24" s="6"/>
      <c r="ABG24" s="6"/>
      <c r="ABH24" s="6"/>
      <c r="ABI24" s="6"/>
      <c r="ABJ24" s="6"/>
      <c r="ABK24" s="6"/>
      <c r="ABL24" s="6"/>
      <c r="ABM24" s="6"/>
      <c r="ABN24" s="6"/>
      <c r="ABO24" s="6"/>
      <c r="ABP24" s="6"/>
      <c r="ABQ24" s="6"/>
      <c r="ABR24" s="6"/>
      <c r="ABS24" s="6"/>
      <c r="ABT24" s="6"/>
      <c r="ABU24" s="6"/>
      <c r="ABV24" s="6"/>
      <c r="ABW24" s="6"/>
      <c r="ABX24" s="6"/>
      <c r="ABY24" s="6"/>
      <c r="ABZ24" s="6"/>
      <c r="ACA24" s="6"/>
      <c r="ACB24" s="6"/>
      <c r="ACC24" s="6"/>
      <c r="ACD24" s="6"/>
      <c r="ACE24" s="6"/>
      <c r="ACF24" s="6"/>
      <c r="ACG24" s="6"/>
      <c r="ACH24" s="6"/>
      <c r="ACI24" s="6"/>
      <c r="ACJ24" s="6"/>
      <c r="ACK24" s="6"/>
      <c r="ACL24" s="6"/>
      <c r="ACM24" s="6"/>
      <c r="ACN24" s="6"/>
      <c r="ACO24" s="6"/>
      <c r="ACP24" s="6"/>
      <c r="ACQ24" s="6"/>
      <c r="ACR24" s="6"/>
      <c r="ACS24" s="6"/>
      <c r="ACT24" s="6"/>
      <c r="ACU24" s="6"/>
      <c r="ACV24" s="6"/>
      <c r="ACW24" s="6"/>
      <c r="ACX24" s="6"/>
      <c r="ACY24" s="6"/>
      <c r="ACZ24" s="6"/>
      <c r="ADA24" s="6"/>
      <c r="ADB24" s="6"/>
      <c r="ADC24" s="6"/>
      <c r="ADD24" s="6"/>
      <c r="ADE24" s="6"/>
      <c r="ADF24" s="6"/>
      <c r="ADG24" s="6"/>
      <c r="ADH24" s="6"/>
      <c r="ADI24" s="6"/>
      <c r="ADJ24" s="6"/>
      <c r="ADK24" s="6"/>
      <c r="ADL24" s="6"/>
      <c r="ADM24" s="6"/>
      <c r="ADN24" s="6"/>
      <c r="ANH24">
        <v>43</v>
      </c>
      <c r="ANJ24">
        <v>1</v>
      </c>
      <c r="ANM24">
        <v>1</v>
      </c>
      <c r="ANN24">
        <v>20</v>
      </c>
      <c r="APB24">
        <v>1</v>
      </c>
      <c r="AUN24">
        <v>1</v>
      </c>
      <c r="AXS24">
        <v>1</v>
      </c>
      <c r="AYE24">
        <v>1</v>
      </c>
      <c r="EQI24">
        <v>1</v>
      </c>
      <c r="EQJ24">
        <v>1</v>
      </c>
      <c r="GCD24">
        <v>1</v>
      </c>
      <c r="GDT24">
        <v>1</v>
      </c>
      <c r="GEK24">
        <v>1</v>
      </c>
      <c r="GEY24">
        <v>1</v>
      </c>
      <c r="GFC24">
        <v>1</v>
      </c>
      <c r="GFG24">
        <v>1</v>
      </c>
      <c r="GFP24">
        <v>1</v>
      </c>
      <c r="GGE24">
        <v>1</v>
      </c>
      <c r="GGH24">
        <v>1</v>
      </c>
      <c r="GGK24">
        <v>1</v>
      </c>
      <c r="GHJ24">
        <v>1</v>
      </c>
      <c r="GLM24">
        <v>1</v>
      </c>
      <c r="GLR24">
        <v>1</v>
      </c>
      <c r="GLS24">
        <v>1</v>
      </c>
      <c r="GLT24">
        <v>1</v>
      </c>
      <c r="GLV24">
        <v>1</v>
      </c>
      <c r="GLX24">
        <v>1</v>
      </c>
    </row>
    <row r="25" spans="1:1015 1048:3035 3169:4013 4179:5068" x14ac:dyDescent="0.25">
      <c r="A25" s="50">
        <v>1003215</v>
      </c>
      <c r="B25" s="7"/>
      <c r="C25" s="7"/>
      <c r="D25" s="7"/>
      <c r="E25" s="7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  <c r="CT25" s="6"/>
      <c r="CU25" s="6"/>
      <c r="CV25" s="6"/>
      <c r="CW25" s="6"/>
      <c r="CX25" s="6"/>
      <c r="CY25" s="6"/>
      <c r="CZ25" s="6"/>
      <c r="DA25" s="6"/>
      <c r="DB25" s="6"/>
      <c r="DC25" s="6"/>
      <c r="DD25" s="6"/>
      <c r="DE25" s="6"/>
      <c r="DF25" s="6"/>
      <c r="DG25" s="6"/>
      <c r="DH25" s="6"/>
      <c r="DI25" s="6"/>
      <c r="DJ25" s="6"/>
      <c r="DK25" s="6"/>
      <c r="DL25" s="6"/>
      <c r="DM25" s="6"/>
      <c r="DN25" s="6"/>
      <c r="DO25" s="7"/>
      <c r="DP25" s="7"/>
      <c r="DQ25" s="7"/>
      <c r="DR25" s="7"/>
      <c r="DS25" s="7"/>
      <c r="DT25" s="7"/>
      <c r="DU25" s="7"/>
      <c r="DV25" s="7"/>
      <c r="DW25" s="7"/>
      <c r="DX25" s="7"/>
      <c r="DY25" s="7"/>
      <c r="DZ25" s="7"/>
      <c r="EA25" s="7"/>
      <c r="EB25" s="7"/>
      <c r="EC25" s="7"/>
      <c r="ED25" s="7"/>
      <c r="EE25" s="7"/>
      <c r="EF25" s="7"/>
      <c r="EG25" s="7"/>
      <c r="EH25" s="7"/>
      <c r="EI25" s="7"/>
      <c r="EJ25" s="7"/>
      <c r="EK25" s="7"/>
      <c r="EL25" s="7"/>
      <c r="EM25" s="7"/>
      <c r="EN25" s="7"/>
      <c r="EO25" s="7"/>
      <c r="EP25" s="7"/>
      <c r="EQ25" s="7"/>
      <c r="ER25" s="7"/>
      <c r="ES25" s="7"/>
      <c r="ET25" s="7"/>
      <c r="EU25" s="7"/>
      <c r="EV25" s="7"/>
      <c r="EW25" s="7"/>
      <c r="EX25" s="7"/>
      <c r="EY25" s="6"/>
      <c r="EZ25" s="6"/>
      <c r="FA25" s="6"/>
      <c r="FB25" s="6"/>
      <c r="FC25" s="6"/>
      <c r="FD25" s="6"/>
      <c r="FE25" s="6"/>
      <c r="FF25" s="6"/>
      <c r="FG25" s="6"/>
      <c r="FH25" s="6"/>
      <c r="FI25" s="6"/>
      <c r="FJ25" s="6"/>
      <c r="FK25" s="6"/>
      <c r="FL25" s="6"/>
      <c r="FM25" s="6"/>
      <c r="FN25" s="6"/>
      <c r="FO25" s="6"/>
      <c r="FP25" s="6"/>
      <c r="FQ25" s="6"/>
      <c r="FR25" s="6"/>
      <c r="FS25" s="6"/>
      <c r="FT25" s="6"/>
      <c r="FU25" s="6"/>
      <c r="FV25" s="6"/>
      <c r="FW25" s="6"/>
      <c r="FX25" s="6"/>
      <c r="FY25" s="6"/>
      <c r="FZ25" s="6"/>
      <c r="GA25" s="6"/>
      <c r="GB25" s="6"/>
      <c r="GC25" s="6"/>
      <c r="GD25" s="6"/>
      <c r="GE25" s="6"/>
      <c r="GF25" s="6"/>
      <c r="GG25" s="6"/>
      <c r="GH25" s="6"/>
      <c r="GI25" s="6"/>
      <c r="GJ25" s="6"/>
      <c r="GK25" s="6"/>
      <c r="GL25" s="6"/>
      <c r="GM25" s="6"/>
      <c r="GN25" s="6"/>
      <c r="GO25" s="6"/>
      <c r="GP25" s="6"/>
      <c r="GQ25" s="6"/>
      <c r="GR25" s="6"/>
      <c r="GS25" s="6"/>
      <c r="GT25" s="6"/>
      <c r="GU25" s="6"/>
      <c r="GV25" s="6"/>
      <c r="GW25" s="6"/>
      <c r="GX25" s="6"/>
      <c r="GY25" s="51"/>
      <c r="GZ25" s="51"/>
      <c r="HA25" s="50">
        <v>2.9</v>
      </c>
      <c r="HB25" s="50"/>
      <c r="HC25" s="50"/>
      <c r="HD25" s="6"/>
      <c r="HE25" s="6"/>
      <c r="HF25" s="6"/>
      <c r="HG25" s="6"/>
      <c r="HH25" s="6"/>
      <c r="HI25" s="6"/>
      <c r="HJ25" s="6"/>
      <c r="HK25" s="6"/>
      <c r="HL25" s="6"/>
      <c r="HM25" s="6"/>
      <c r="HN25" s="6"/>
      <c r="HO25" s="6"/>
      <c r="HP25" s="6"/>
      <c r="HQ25" s="6"/>
      <c r="HR25" s="6"/>
      <c r="HS25" s="6"/>
      <c r="HT25" s="6"/>
      <c r="HU25" s="6"/>
      <c r="HV25" s="6"/>
      <c r="HW25" s="6"/>
      <c r="HX25" s="6"/>
      <c r="HY25" s="6"/>
      <c r="HZ25" s="6"/>
      <c r="IA25" s="6"/>
      <c r="IB25" s="6"/>
      <c r="IC25" s="6"/>
      <c r="ID25" s="6"/>
      <c r="IE25" s="6"/>
      <c r="IF25" s="6"/>
      <c r="IG25" s="6"/>
      <c r="IH25" s="7"/>
      <c r="II25" s="7"/>
      <c r="IJ25" s="7"/>
      <c r="IK25" s="6"/>
      <c r="IL25" s="6"/>
      <c r="IM25" s="6"/>
      <c r="IN25" s="6"/>
      <c r="IO25" s="6"/>
      <c r="IP25" s="6"/>
      <c r="IQ25" s="6"/>
      <c r="IR25" s="6"/>
      <c r="IS25" s="6"/>
      <c r="IT25" s="6"/>
      <c r="IU25" s="6"/>
      <c r="IV25" s="6"/>
      <c r="IW25" s="6"/>
      <c r="IX25" s="6"/>
      <c r="IY25" s="6"/>
      <c r="IZ25" s="6"/>
      <c r="JA25" s="6"/>
      <c r="JB25" s="6"/>
      <c r="JC25" s="6"/>
      <c r="JD25" s="6"/>
      <c r="JE25" s="6"/>
      <c r="JF25" s="6"/>
      <c r="JG25" s="6"/>
      <c r="JH25" s="6"/>
      <c r="JI25" s="6"/>
      <c r="JJ25" s="6"/>
      <c r="JK25" s="6"/>
      <c r="JL25" s="6"/>
      <c r="JM25" s="6"/>
      <c r="JN25" s="6"/>
      <c r="JO25" s="6"/>
      <c r="JP25" s="6"/>
      <c r="JQ25" s="6"/>
      <c r="JR25">
        <v>196</v>
      </c>
      <c r="JT25" s="6"/>
      <c r="JU25" s="6"/>
      <c r="JV25" s="6"/>
      <c r="JW25" s="6"/>
      <c r="JX25" s="6"/>
      <c r="JY25" s="6"/>
      <c r="JZ25" s="6"/>
      <c r="KA25" s="6"/>
      <c r="KB25" s="6"/>
      <c r="KC25" s="6"/>
      <c r="KD25" s="6"/>
      <c r="KE25" s="6"/>
      <c r="KF25" s="6"/>
      <c r="KG25" s="6"/>
      <c r="KH25" s="6"/>
      <c r="KI25" s="6"/>
      <c r="KJ25" s="6"/>
      <c r="KK25" s="6"/>
      <c r="KL25" s="6"/>
      <c r="KM25" s="6"/>
      <c r="KN25" s="6"/>
      <c r="KO25" s="6"/>
      <c r="KP25" s="6"/>
      <c r="KQ25" s="6"/>
      <c r="KR25" s="6"/>
      <c r="KS25" s="6"/>
      <c r="KT25" s="6"/>
      <c r="KU25" s="6"/>
      <c r="KV25" s="6"/>
      <c r="KW25" s="6"/>
      <c r="KX25" s="6"/>
      <c r="KY25" s="6"/>
      <c r="KZ25" s="6"/>
      <c r="LA25" s="6"/>
      <c r="LB25" s="6"/>
      <c r="LC25" s="6"/>
      <c r="LD25" s="6"/>
      <c r="LE25" s="6"/>
      <c r="LF25" s="6"/>
      <c r="LG25" s="6"/>
      <c r="LH25" s="6"/>
      <c r="LI25" s="6"/>
      <c r="LJ25" s="6"/>
      <c r="LK25" s="6"/>
      <c r="LL25" s="6"/>
      <c r="LM25" s="6"/>
      <c r="LN25" s="6"/>
      <c r="LO25" s="6"/>
      <c r="LP25" s="6"/>
      <c r="LQ25" s="6"/>
      <c r="LR25" s="6"/>
      <c r="LS25" s="6"/>
      <c r="LT25" s="6"/>
      <c r="LU25" s="6"/>
      <c r="LV25" s="6"/>
      <c r="LW25" s="6"/>
      <c r="LX25" s="51"/>
      <c r="LY25" s="51"/>
      <c r="LZ25" s="51"/>
      <c r="MA25" s="51">
        <v>225</v>
      </c>
      <c r="MB25" s="51"/>
      <c r="MC25" s="51"/>
      <c r="MD25" s="51"/>
      <c r="ME25" s="6"/>
      <c r="MF25" s="6"/>
      <c r="MG25" s="6"/>
      <c r="MH25" s="6"/>
      <c r="MI25" s="6"/>
      <c r="MJ25" s="6"/>
      <c r="MK25" s="6"/>
      <c r="ML25" s="6"/>
      <c r="MM25" s="6"/>
      <c r="MN25" s="6"/>
      <c r="MO25" s="6"/>
      <c r="MP25" s="6"/>
      <c r="MQ25" s="6"/>
      <c r="MR25" s="6"/>
      <c r="MS25" s="6"/>
      <c r="MT25" s="6"/>
      <c r="MU25" s="6"/>
      <c r="MV25" s="6"/>
      <c r="MW25" s="6"/>
      <c r="MX25" s="6"/>
      <c r="MY25" s="6"/>
      <c r="MZ25" s="6"/>
      <c r="NA25" s="6"/>
      <c r="NB25" s="6"/>
      <c r="NC25" s="6"/>
      <c r="ND25" s="6"/>
      <c r="NE25" s="6"/>
      <c r="NF25" s="6"/>
      <c r="NG25" s="6"/>
      <c r="NH25" s="6"/>
      <c r="NI25" s="6"/>
      <c r="NJ25" s="6"/>
      <c r="NK25" s="6"/>
      <c r="NL25" s="6"/>
      <c r="NM25" s="6"/>
      <c r="NN25" s="6"/>
      <c r="NO25" s="6"/>
      <c r="NP25" s="6"/>
      <c r="NQ25" s="6"/>
      <c r="NR25" s="6"/>
      <c r="NS25" s="6"/>
      <c r="NT25" s="6"/>
      <c r="NU25" s="6"/>
      <c r="NV25" s="6"/>
      <c r="NW25" s="6"/>
      <c r="NX25" s="6"/>
      <c r="NY25" s="6"/>
      <c r="NZ25" s="6"/>
      <c r="OA25" s="6"/>
      <c r="OB25" s="6"/>
      <c r="OC25" s="6"/>
      <c r="OD25" s="6"/>
      <c r="OE25" s="6"/>
      <c r="OF25" s="6"/>
      <c r="OG25" s="6"/>
      <c r="OH25" s="6"/>
      <c r="OI25" s="6"/>
      <c r="OJ25" s="6"/>
      <c r="OK25" s="6"/>
      <c r="OL25" s="6"/>
      <c r="OM25" s="6"/>
      <c r="ON25" s="6"/>
      <c r="OO25" s="6"/>
      <c r="OP25" s="6"/>
      <c r="OQ25" s="6"/>
      <c r="OR25" s="6"/>
      <c r="OS25" s="6"/>
      <c r="OT25" s="6"/>
      <c r="OU25" s="6"/>
      <c r="OV25" s="6"/>
      <c r="OW25" s="6"/>
      <c r="OX25" s="6"/>
      <c r="OY25" s="6"/>
      <c r="OZ25" s="6"/>
      <c r="PM25">
        <v>4750000</v>
      </c>
      <c r="QX25">
        <v>378000</v>
      </c>
      <c r="QY25" s="6"/>
      <c r="QZ25" s="6"/>
      <c r="RA25" s="6"/>
      <c r="RB25" s="6"/>
      <c r="RC25" s="6"/>
      <c r="RD25" s="6"/>
      <c r="RE25" s="6"/>
      <c r="RF25" s="6"/>
      <c r="RG25" s="6"/>
      <c r="RH25" s="6"/>
      <c r="RI25" s="6"/>
      <c r="RJ25" s="6"/>
      <c r="RK25" s="6"/>
      <c r="RL25" s="6"/>
      <c r="RM25" s="6"/>
      <c r="RN25" s="6"/>
      <c r="RO25" s="6"/>
      <c r="RP25" s="6"/>
      <c r="RQ25" s="6"/>
      <c r="RR25" s="6"/>
      <c r="RS25" s="6"/>
      <c r="RT25" s="6"/>
      <c r="RU25" s="6"/>
      <c r="RV25" s="6"/>
      <c r="RW25" s="6"/>
      <c r="RX25" s="6"/>
      <c r="RY25" s="6"/>
      <c r="RZ25" s="6"/>
      <c r="SA25" s="6"/>
      <c r="SB25" s="6"/>
      <c r="SC25" s="6"/>
      <c r="SD25" s="6"/>
      <c r="SE25" s="6"/>
      <c r="SF25" s="6"/>
      <c r="SG25" s="6"/>
      <c r="SH25" s="6"/>
      <c r="SI25" s="6"/>
      <c r="SJ25" s="6"/>
      <c r="SK25" s="6"/>
      <c r="SL25" s="6"/>
      <c r="SM25" s="6">
        <v>61</v>
      </c>
      <c r="SN25" s="6"/>
      <c r="SO25" s="6"/>
      <c r="SP25" s="6"/>
      <c r="SQ25" s="6"/>
      <c r="SR25" s="6"/>
      <c r="SS25" s="6"/>
      <c r="ST25" s="6">
        <v>22.4</v>
      </c>
      <c r="SU25" s="6"/>
      <c r="SV25" s="6"/>
      <c r="SW25" s="6"/>
      <c r="SX25" s="6"/>
      <c r="SY25" s="6"/>
      <c r="SZ25" s="6"/>
      <c r="TA25" s="6"/>
      <c r="TB25" s="6"/>
      <c r="TC25" s="6"/>
      <c r="TD25" s="6"/>
      <c r="TE25" s="6">
        <v>8.1999999999999993</v>
      </c>
      <c r="TF25" s="6"/>
      <c r="TG25" s="6"/>
      <c r="TH25" s="6"/>
      <c r="TI25" s="6"/>
      <c r="TJ25" s="6"/>
      <c r="TK25" s="6"/>
      <c r="TL25" s="6"/>
      <c r="TM25" s="6"/>
      <c r="TN25" s="6"/>
      <c r="TO25" s="6"/>
      <c r="TP25" s="6"/>
      <c r="TQ25" s="6"/>
      <c r="TR25" s="6"/>
      <c r="TS25" s="6"/>
      <c r="TT25" s="6"/>
      <c r="TU25" s="6"/>
      <c r="TV25" s="6"/>
      <c r="TW25" s="6"/>
      <c r="TX25" s="6"/>
      <c r="TY25" s="6">
        <v>65</v>
      </c>
      <c r="TZ25" s="6"/>
      <c r="UA25" s="6"/>
      <c r="UB25" s="6"/>
      <c r="UC25" s="6"/>
      <c r="UD25" s="6"/>
      <c r="UE25" s="6"/>
      <c r="UF25" s="6"/>
      <c r="UG25" s="6"/>
      <c r="UH25" s="6"/>
      <c r="UI25" s="6"/>
      <c r="UJ25" s="6"/>
      <c r="UK25" s="6"/>
      <c r="UL25" s="6"/>
      <c r="UM25" s="6"/>
      <c r="UN25" s="6"/>
      <c r="UO25" s="6"/>
      <c r="UP25" s="6"/>
      <c r="UQ25" s="6"/>
      <c r="UR25" s="6"/>
      <c r="US25" s="6"/>
      <c r="UT25" s="6"/>
      <c r="UU25" s="6">
        <v>0.5</v>
      </c>
      <c r="UV25" s="6"/>
      <c r="UW25" s="6"/>
      <c r="UX25" s="6"/>
      <c r="UY25" s="6"/>
      <c r="UZ25" s="6"/>
      <c r="VA25" s="6"/>
      <c r="VB25" s="6"/>
      <c r="VC25" s="6"/>
      <c r="VD25" s="6"/>
      <c r="VE25" s="6"/>
      <c r="VF25" s="6"/>
      <c r="VG25" s="6"/>
      <c r="VH25" s="6"/>
      <c r="VI25" s="6"/>
      <c r="VJ25" s="6"/>
      <c r="VK25" s="6"/>
      <c r="VL25" s="6"/>
      <c r="VM25" s="6"/>
      <c r="VN25" s="6"/>
      <c r="VO25" s="6"/>
      <c r="VP25" s="6"/>
      <c r="VQ25" s="6"/>
      <c r="VR25" s="6"/>
      <c r="VS25" s="6"/>
      <c r="VT25" s="6"/>
      <c r="VU25" s="6"/>
      <c r="VV25" s="6"/>
      <c r="VW25" s="6"/>
      <c r="VX25" s="6"/>
      <c r="VY25" s="6"/>
      <c r="VZ25" s="6"/>
      <c r="WA25" s="6"/>
      <c r="WB25" s="6"/>
      <c r="WC25" s="6"/>
      <c r="WD25" s="6"/>
      <c r="WE25" s="6"/>
      <c r="WF25" s="6"/>
      <c r="WG25" s="6"/>
      <c r="WH25" s="6"/>
      <c r="WI25" s="6"/>
      <c r="WJ25" s="6"/>
      <c r="WK25" s="6"/>
      <c r="WL25" s="6"/>
      <c r="WM25" s="6"/>
      <c r="WN25" s="6"/>
      <c r="WO25" s="6"/>
      <c r="WP25" s="6"/>
      <c r="WQ25" s="6"/>
      <c r="WR25" s="6"/>
      <c r="WS25" s="6"/>
      <c r="WT25" s="6"/>
      <c r="WU25" s="6"/>
      <c r="WV25" s="6"/>
      <c r="WW25" s="6"/>
      <c r="WX25" s="6"/>
      <c r="WY25" s="6"/>
      <c r="WZ25" s="6"/>
      <c r="XA25" s="6"/>
      <c r="XB25" s="6"/>
      <c r="XC25" s="6"/>
      <c r="XD25" s="6"/>
      <c r="XE25" s="6"/>
      <c r="XF25" s="6"/>
      <c r="XG25" s="6"/>
      <c r="XH25" s="6"/>
      <c r="XI25" s="6"/>
      <c r="XJ25" s="6"/>
      <c r="XK25" s="6"/>
      <c r="XL25" s="6"/>
      <c r="XM25" s="6"/>
      <c r="XN25" s="6"/>
      <c r="XO25" s="6"/>
      <c r="XP25" s="6"/>
      <c r="XQ25" s="6"/>
      <c r="XR25" s="6"/>
      <c r="XS25" s="6"/>
      <c r="XT25" s="6"/>
      <c r="XU25" s="6"/>
      <c r="XV25" s="6"/>
      <c r="XW25" s="6"/>
      <c r="XX25" s="6"/>
      <c r="XY25" s="6"/>
      <c r="XZ25" s="6"/>
      <c r="YA25" s="6"/>
      <c r="YB25" s="6"/>
      <c r="YC25" s="6"/>
      <c r="YD25" s="6"/>
      <c r="YE25" s="6"/>
      <c r="YF25" s="6"/>
      <c r="YG25" s="6"/>
      <c r="YH25" s="6"/>
      <c r="YI25" s="6"/>
      <c r="YJ25" s="6"/>
      <c r="YK25" s="6"/>
      <c r="YL25" s="6"/>
      <c r="YM25" s="6"/>
      <c r="YN25" s="6">
        <v>40</v>
      </c>
      <c r="YO25" s="6"/>
      <c r="YP25" s="6"/>
      <c r="YQ25" s="6"/>
      <c r="YR25" s="6"/>
      <c r="YS25" s="6"/>
      <c r="YT25" s="6"/>
      <c r="YU25" s="6"/>
      <c r="YV25" s="6"/>
      <c r="YW25" s="6"/>
      <c r="YX25" s="6"/>
      <c r="YY25" s="6"/>
      <c r="YZ25" s="6"/>
      <c r="ZA25" s="6"/>
      <c r="ZB25" s="6"/>
      <c r="ZC25" s="6"/>
      <c r="ZD25" s="6"/>
      <c r="ZE25" s="6"/>
      <c r="ZF25" s="6"/>
      <c r="ZG25" s="6"/>
      <c r="ZH25" s="6"/>
      <c r="ZI25" s="6"/>
      <c r="ZJ25" s="6"/>
      <c r="ZK25" s="6"/>
      <c r="ZL25" s="6"/>
      <c r="ZM25" s="6"/>
      <c r="ZN25" s="6"/>
      <c r="ZO25" s="6"/>
      <c r="ZP25" s="6"/>
      <c r="ZQ25" s="6"/>
      <c r="ZR25" s="6"/>
      <c r="ZS25" s="6"/>
      <c r="ZT25" s="6"/>
      <c r="ZU25" s="6"/>
      <c r="ZV25" s="6"/>
      <c r="ZW25" s="6"/>
      <c r="ZX25" s="6"/>
      <c r="ZY25" s="6"/>
      <c r="ZZ25" s="6"/>
      <c r="AAA25" s="6"/>
      <c r="AAB25" s="6"/>
      <c r="AAC25" s="6"/>
      <c r="AAD25" s="6"/>
      <c r="AAE25" s="6"/>
      <c r="AAF25" s="6">
        <v>82</v>
      </c>
      <c r="AAG25" s="6"/>
      <c r="AAH25" s="6"/>
      <c r="AAI25" s="6"/>
      <c r="AAJ25" s="6"/>
      <c r="AAK25" s="6"/>
      <c r="AAL25" s="6"/>
      <c r="AAM25" s="6"/>
      <c r="AAN25" s="6"/>
      <c r="AAO25" s="6"/>
      <c r="AAP25" s="6"/>
      <c r="AAQ25" s="6"/>
      <c r="AAR25" s="6"/>
      <c r="AAS25" s="6"/>
      <c r="AAT25" s="6"/>
      <c r="AAU25" s="6"/>
      <c r="AAV25" s="6"/>
      <c r="AAW25" s="6"/>
      <c r="AAX25" s="6"/>
      <c r="AAY25" s="6"/>
      <c r="AAZ25" s="6"/>
      <c r="ABA25" s="6"/>
      <c r="ABB25" s="6"/>
      <c r="ABC25" s="6"/>
      <c r="ABD25" s="6"/>
      <c r="ABE25" s="6"/>
      <c r="ABF25" s="6"/>
      <c r="ABG25" s="6"/>
      <c r="ABH25" s="6"/>
      <c r="ABI25" s="6"/>
      <c r="ABJ25" s="6"/>
      <c r="ABK25" s="6"/>
      <c r="ABL25" s="6">
        <v>30</v>
      </c>
      <c r="ABM25" s="6"/>
      <c r="ABN25" s="6"/>
      <c r="ABO25" s="6"/>
      <c r="ABP25" s="6"/>
      <c r="ABQ25" s="6"/>
      <c r="ABR25" s="6"/>
      <c r="ABS25" s="6"/>
      <c r="ABT25" s="6"/>
      <c r="ABU25" s="6"/>
      <c r="ABV25" s="6"/>
      <c r="ABW25" s="6"/>
      <c r="ABX25" s="6"/>
      <c r="ABY25" s="6"/>
      <c r="ABZ25" s="6"/>
      <c r="ACA25" s="6"/>
      <c r="ACB25" s="6"/>
      <c r="ACC25" s="6"/>
      <c r="ACD25" s="6"/>
      <c r="ACE25" s="6"/>
      <c r="ACF25" s="6"/>
      <c r="ACG25" s="6"/>
      <c r="ACH25" s="6"/>
      <c r="ACI25" s="6"/>
      <c r="ACJ25" s="6"/>
      <c r="ACK25" s="6"/>
      <c r="ACL25" s="6"/>
      <c r="ACM25" s="6"/>
      <c r="ACN25" s="6"/>
      <c r="ACO25" s="6"/>
      <c r="ACP25" s="6"/>
      <c r="ACQ25" s="6"/>
      <c r="ACR25" s="6"/>
      <c r="ACS25" s="6"/>
      <c r="ACT25" s="6"/>
      <c r="ACU25" s="6"/>
      <c r="ACV25" s="6"/>
      <c r="ACW25" s="6"/>
      <c r="ACX25" s="6"/>
      <c r="ACY25" s="6"/>
      <c r="ACZ25" s="6"/>
      <c r="ADA25" s="6"/>
      <c r="ADB25" s="6"/>
      <c r="ADC25" s="6"/>
      <c r="ADD25" s="6"/>
      <c r="ADE25" s="6"/>
      <c r="ADF25" s="6"/>
      <c r="ADG25" s="6"/>
      <c r="ADH25" s="6"/>
      <c r="ADI25" s="6"/>
      <c r="ADJ25" s="6">
        <v>11</v>
      </c>
      <c r="ADK25" s="6"/>
      <c r="ADL25" s="6"/>
      <c r="ADM25" s="6"/>
      <c r="ADN25" s="6"/>
      <c r="ADV25">
        <v>0</v>
      </c>
      <c r="ADW25">
        <v>0</v>
      </c>
      <c r="ADX25">
        <v>0</v>
      </c>
      <c r="ADZ25">
        <v>0</v>
      </c>
      <c r="AEA25">
        <v>1</v>
      </c>
      <c r="AEB25">
        <v>1</v>
      </c>
      <c r="AEC25">
        <v>0</v>
      </c>
      <c r="AED25">
        <v>0</v>
      </c>
      <c r="AEH25">
        <v>0</v>
      </c>
      <c r="AMA25">
        <v>13000</v>
      </c>
      <c r="ANH25">
        <v>28</v>
      </c>
      <c r="ANJ25">
        <v>1</v>
      </c>
      <c r="ANM25">
        <v>1</v>
      </c>
      <c r="ANN25">
        <v>22</v>
      </c>
      <c r="ASN25">
        <v>1</v>
      </c>
      <c r="AVH25">
        <v>1</v>
      </c>
      <c r="AWA25">
        <v>1</v>
      </c>
      <c r="AWD25">
        <v>1</v>
      </c>
      <c r="AXU25">
        <v>1</v>
      </c>
      <c r="AXX25">
        <v>1</v>
      </c>
      <c r="AXZ25" s="15">
        <v>29</v>
      </c>
      <c r="AYA25">
        <v>999</v>
      </c>
      <c r="AYB25">
        <v>0</v>
      </c>
      <c r="AYC25">
        <v>3</v>
      </c>
      <c r="AYD25">
        <v>5</v>
      </c>
      <c r="EFS25">
        <v>200</v>
      </c>
      <c r="EFT25">
        <v>1</v>
      </c>
      <c r="EFW25">
        <v>1</v>
      </c>
      <c r="EFX25">
        <v>210</v>
      </c>
      <c r="EFY25">
        <v>11</v>
      </c>
      <c r="EFZ25">
        <v>0</v>
      </c>
      <c r="EGA25">
        <v>3</v>
      </c>
      <c r="EGB25">
        <v>2</v>
      </c>
      <c r="FWH25">
        <v>1</v>
      </c>
      <c r="FWO25">
        <v>1</v>
      </c>
      <c r="GCI25">
        <v>1</v>
      </c>
      <c r="GDI25">
        <v>1</v>
      </c>
      <c r="GEN25">
        <v>1</v>
      </c>
      <c r="GER25">
        <v>1</v>
      </c>
      <c r="GEV25">
        <v>1</v>
      </c>
      <c r="GEX25">
        <v>1</v>
      </c>
      <c r="GFC25">
        <v>1</v>
      </c>
      <c r="GFE25">
        <v>1</v>
      </c>
      <c r="GFG25">
        <v>1</v>
      </c>
      <c r="GGJ25">
        <v>1</v>
      </c>
      <c r="GHA25">
        <v>1</v>
      </c>
    </row>
    <row r="26" spans="1:1015 1048:3035 3169:4013 4179:5068" x14ac:dyDescent="0.25">
      <c r="A26" s="50">
        <v>99000802</v>
      </c>
      <c r="B26" s="7"/>
      <c r="C26" s="7"/>
      <c r="D26" s="7"/>
      <c r="E26" s="7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  <c r="CT26" s="6"/>
      <c r="CU26" s="6"/>
      <c r="CV26" s="6"/>
      <c r="CW26" s="6"/>
      <c r="CX26" s="6"/>
      <c r="CY26" s="6"/>
      <c r="CZ26" s="6"/>
      <c r="DA26" s="6"/>
      <c r="DB26" s="6"/>
      <c r="DC26" s="6"/>
      <c r="DD26" s="6"/>
      <c r="DE26" s="6"/>
      <c r="DF26" s="6"/>
      <c r="DG26" s="6"/>
      <c r="DH26" s="6"/>
      <c r="DI26" s="6"/>
      <c r="DJ26" s="6"/>
      <c r="DK26" s="6"/>
      <c r="DL26" s="6"/>
      <c r="DM26" s="6"/>
      <c r="DN26" s="6"/>
      <c r="DO26" s="7"/>
      <c r="DP26" s="7"/>
      <c r="DQ26" s="7"/>
      <c r="DR26" s="7"/>
      <c r="DS26" s="7"/>
      <c r="DT26" s="7"/>
      <c r="DU26" s="7"/>
      <c r="DV26" s="7"/>
      <c r="DW26" s="7"/>
      <c r="DX26" s="7"/>
      <c r="DY26" s="7"/>
      <c r="DZ26" s="7"/>
      <c r="EA26" s="7"/>
      <c r="EB26" s="7"/>
      <c r="EC26" s="7"/>
      <c r="ED26" s="7"/>
      <c r="EE26" s="7"/>
      <c r="EF26" s="7"/>
      <c r="EG26" s="7"/>
      <c r="EH26" s="7"/>
      <c r="EI26" s="7"/>
      <c r="EJ26" s="7"/>
      <c r="EK26" s="7"/>
      <c r="EL26" s="7"/>
      <c r="EM26" s="7"/>
      <c r="EN26" s="7"/>
      <c r="EO26" s="7"/>
      <c r="EP26" s="7"/>
      <c r="EQ26" s="7"/>
      <c r="ER26" s="7"/>
      <c r="ES26" s="7"/>
      <c r="ET26" s="7"/>
      <c r="EU26" s="7"/>
      <c r="EV26" s="7"/>
      <c r="EW26" s="7"/>
      <c r="EX26" s="7"/>
      <c r="EY26" s="6"/>
      <c r="EZ26" s="6"/>
      <c r="FA26" s="6"/>
      <c r="FB26" s="6"/>
      <c r="FC26" s="6"/>
      <c r="FD26" s="6"/>
      <c r="FE26" s="6"/>
      <c r="FF26" s="6"/>
      <c r="FG26" s="6"/>
      <c r="FH26" s="6"/>
      <c r="FI26" s="6"/>
      <c r="FJ26" s="6"/>
      <c r="FK26" s="6"/>
      <c r="FL26" s="6"/>
      <c r="FM26" s="6"/>
      <c r="FN26" s="6"/>
      <c r="FO26" s="6"/>
      <c r="FP26" s="6"/>
      <c r="FQ26" s="6"/>
      <c r="FR26" s="6"/>
      <c r="FS26" s="6"/>
      <c r="FT26" s="6"/>
      <c r="FU26" s="6"/>
      <c r="FV26" s="6"/>
      <c r="FW26" s="6"/>
      <c r="FX26" s="6"/>
      <c r="FY26" s="6"/>
      <c r="FZ26" s="6"/>
      <c r="GA26" s="6"/>
      <c r="GB26" s="6"/>
      <c r="GC26" s="6"/>
      <c r="GD26" s="6"/>
      <c r="GE26" s="6"/>
      <c r="GF26" s="6"/>
      <c r="GG26" s="6"/>
      <c r="GH26" s="6"/>
      <c r="GI26" s="6"/>
      <c r="GJ26" s="6"/>
      <c r="GK26" s="6"/>
      <c r="GL26" s="6"/>
      <c r="GM26" s="6"/>
      <c r="GN26" s="6"/>
      <c r="GO26" s="6"/>
      <c r="GP26" s="6"/>
      <c r="GQ26" s="6"/>
      <c r="GR26" s="6"/>
      <c r="GS26" s="6"/>
      <c r="GT26" s="6"/>
      <c r="GU26" s="6"/>
      <c r="GV26" s="6"/>
      <c r="GW26" s="6"/>
      <c r="GX26" s="6"/>
      <c r="GY26" s="51"/>
      <c r="GZ26" s="51"/>
      <c r="HA26" s="50"/>
      <c r="HB26" s="50"/>
      <c r="HC26" s="50"/>
      <c r="HD26" s="6"/>
      <c r="HE26" s="6"/>
      <c r="HF26" s="6"/>
      <c r="HG26" s="6"/>
      <c r="HH26" s="6"/>
      <c r="HI26" s="6"/>
      <c r="HJ26" s="6"/>
      <c r="HK26" s="6"/>
      <c r="HL26" s="6"/>
      <c r="HM26" s="6"/>
      <c r="HN26" s="6"/>
      <c r="HO26" s="6"/>
      <c r="HP26" s="6"/>
      <c r="HQ26" s="6"/>
      <c r="HR26" s="6"/>
      <c r="HS26" s="6"/>
      <c r="HT26" s="6"/>
      <c r="HU26" s="6"/>
      <c r="HV26" s="6"/>
      <c r="HW26" s="6"/>
      <c r="HX26" s="6"/>
      <c r="HY26" s="6"/>
      <c r="HZ26" s="6"/>
      <c r="IA26" s="6"/>
      <c r="IB26" s="6"/>
      <c r="IC26" s="6"/>
      <c r="ID26" s="6"/>
      <c r="IE26" s="6"/>
      <c r="IF26" s="6"/>
      <c r="IG26" s="6"/>
      <c r="IH26" s="7"/>
      <c r="II26" s="7"/>
      <c r="IJ26" s="7"/>
      <c r="IK26" s="6"/>
      <c r="IL26" s="6"/>
      <c r="IM26" s="6"/>
      <c r="IN26" s="6"/>
      <c r="IO26" s="6"/>
      <c r="IP26" s="6"/>
      <c r="IQ26" s="6"/>
      <c r="IR26" s="6"/>
      <c r="IS26" s="6"/>
      <c r="IT26" s="6"/>
      <c r="IU26" s="6"/>
      <c r="IV26" s="6"/>
      <c r="IW26" s="6"/>
      <c r="IX26" s="6"/>
      <c r="IY26" s="6"/>
      <c r="IZ26" s="6"/>
      <c r="JA26" s="6"/>
      <c r="JB26" s="6"/>
      <c r="JC26" s="6"/>
      <c r="JD26" s="6"/>
      <c r="JE26" s="6"/>
      <c r="JF26" s="6"/>
      <c r="JG26" s="6"/>
      <c r="JH26" s="6"/>
      <c r="JI26" s="6"/>
      <c r="JJ26" s="6"/>
      <c r="JK26" s="6"/>
      <c r="JL26" s="6"/>
      <c r="JM26" s="6"/>
      <c r="JN26" s="6"/>
      <c r="JO26" s="6"/>
      <c r="JP26" s="6"/>
      <c r="JQ26" s="6"/>
      <c r="JT26" s="6"/>
      <c r="JU26" s="6"/>
      <c r="JV26" s="6"/>
      <c r="JW26" s="6"/>
      <c r="JX26" s="6"/>
      <c r="JY26" s="6"/>
      <c r="JZ26" s="6"/>
      <c r="KA26" s="6"/>
      <c r="KB26" s="6"/>
      <c r="KC26" s="6"/>
      <c r="KD26" s="6"/>
      <c r="KE26" s="6"/>
      <c r="KF26" s="6"/>
      <c r="KG26" s="6"/>
      <c r="KH26" s="6"/>
      <c r="KI26" s="6"/>
      <c r="KJ26" s="6"/>
      <c r="KK26" s="6"/>
      <c r="KL26" s="6"/>
      <c r="KM26" s="6"/>
      <c r="KN26" s="6"/>
      <c r="KO26" s="6"/>
      <c r="KP26" s="6"/>
      <c r="KQ26" s="6"/>
      <c r="KR26" s="6"/>
      <c r="KS26" s="6"/>
      <c r="KT26" s="6"/>
      <c r="KU26" s="6"/>
      <c r="KV26" s="6"/>
      <c r="KW26" s="6"/>
      <c r="KX26" s="6"/>
      <c r="KY26" s="6"/>
      <c r="KZ26" s="6"/>
      <c r="LA26" s="6"/>
      <c r="LB26" s="6"/>
      <c r="LC26" s="6"/>
      <c r="LD26" s="6"/>
      <c r="LE26" s="6"/>
      <c r="LF26" s="6"/>
      <c r="LG26" s="6"/>
      <c r="LH26" s="6"/>
      <c r="LI26" s="6"/>
      <c r="LJ26" s="6"/>
      <c r="LK26" s="6"/>
      <c r="LL26" s="6"/>
      <c r="LM26" s="6"/>
      <c r="LN26" s="6"/>
      <c r="LO26" s="6"/>
      <c r="LP26" s="6"/>
      <c r="LQ26" s="6"/>
      <c r="LR26" s="6"/>
      <c r="LS26" s="6"/>
      <c r="LT26" s="6"/>
      <c r="LU26" s="6"/>
      <c r="LV26" s="6"/>
      <c r="LW26" s="6"/>
      <c r="LX26" s="51"/>
      <c r="LY26" s="51"/>
      <c r="LZ26" s="51"/>
      <c r="MA26" s="51"/>
      <c r="MB26" s="51"/>
      <c r="MC26" s="51"/>
      <c r="MD26" s="51"/>
      <c r="ME26" s="6"/>
      <c r="MF26" s="6"/>
      <c r="MG26" s="6"/>
      <c r="MH26" s="6"/>
      <c r="MI26" s="6"/>
      <c r="MJ26" s="6"/>
      <c r="MK26" s="6"/>
      <c r="ML26" s="6"/>
      <c r="MM26" s="6"/>
      <c r="MN26" s="6"/>
      <c r="MO26" s="6"/>
      <c r="MP26" s="6"/>
      <c r="MQ26" s="6"/>
      <c r="MR26" s="6"/>
      <c r="MS26" s="6"/>
      <c r="MT26" s="6"/>
      <c r="MU26" s="6"/>
      <c r="MV26" s="6"/>
      <c r="MW26" s="6"/>
      <c r="MX26" s="6"/>
      <c r="MY26" s="6"/>
      <c r="MZ26" s="6"/>
      <c r="NA26" s="6"/>
      <c r="NB26" s="6"/>
      <c r="NC26" s="6"/>
      <c r="ND26" s="6"/>
      <c r="NE26" s="6"/>
      <c r="NF26" s="6"/>
      <c r="NG26" s="6"/>
      <c r="NH26" s="6"/>
      <c r="NI26" s="6"/>
      <c r="NJ26" s="6"/>
      <c r="NK26" s="6"/>
      <c r="NL26" s="6"/>
      <c r="NM26" s="6"/>
      <c r="NN26" s="6"/>
      <c r="NO26" s="6"/>
      <c r="NP26" s="6"/>
      <c r="NQ26" s="6"/>
      <c r="NR26" s="6"/>
      <c r="NS26" s="6"/>
      <c r="NT26" s="6"/>
      <c r="NU26" s="6"/>
      <c r="NV26" s="6"/>
      <c r="NW26" s="6"/>
      <c r="NX26" s="6"/>
      <c r="NY26" s="6"/>
      <c r="NZ26" s="6"/>
      <c r="OA26" s="6"/>
      <c r="OB26" s="6"/>
      <c r="OC26" s="6"/>
      <c r="OD26" s="6"/>
      <c r="OE26" s="6"/>
      <c r="OF26" s="6"/>
      <c r="OG26" s="6"/>
      <c r="OH26" s="6"/>
      <c r="OI26" s="6"/>
      <c r="OJ26" s="6"/>
      <c r="OK26" s="6"/>
      <c r="OL26" s="6"/>
      <c r="OM26" s="6"/>
      <c r="ON26" s="6"/>
      <c r="OO26" s="6"/>
      <c r="OP26" s="6"/>
      <c r="OQ26" s="6"/>
      <c r="OR26" s="6"/>
      <c r="OS26" s="6"/>
      <c r="OT26" s="6"/>
      <c r="OU26" s="6"/>
      <c r="OV26" s="6"/>
      <c r="OW26" s="6"/>
      <c r="OX26" s="6"/>
      <c r="OY26" s="6"/>
      <c r="OZ26" s="6"/>
      <c r="QY26" s="6"/>
      <c r="QZ26" s="6"/>
      <c r="RA26" s="6"/>
      <c r="RB26" s="6"/>
      <c r="RC26" s="6"/>
      <c r="RD26" s="6"/>
      <c r="RE26" s="6"/>
      <c r="RF26" s="6"/>
      <c r="RG26" s="6"/>
      <c r="RH26" s="6"/>
      <c r="RI26" s="6"/>
      <c r="RJ26" s="6"/>
      <c r="RK26" s="6"/>
      <c r="RL26" s="6"/>
      <c r="RM26" s="6"/>
      <c r="RN26" s="6"/>
      <c r="RO26" s="6"/>
      <c r="RP26" s="6"/>
      <c r="RQ26" s="6"/>
      <c r="RR26" s="6"/>
      <c r="RS26" s="6"/>
      <c r="RT26" s="6"/>
      <c r="RU26" s="6"/>
      <c r="RV26" s="6"/>
      <c r="RW26" s="6"/>
      <c r="RX26" s="6"/>
      <c r="RY26" s="6"/>
      <c r="RZ26" s="6"/>
      <c r="SA26" s="6"/>
      <c r="SB26" s="6"/>
      <c r="SC26" s="6"/>
      <c r="SD26" s="6"/>
      <c r="SE26" s="6"/>
      <c r="SF26" s="6"/>
      <c r="SG26" s="6"/>
      <c r="SH26" s="6"/>
      <c r="SI26" s="6"/>
      <c r="SJ26" s="6"/>
      <c r="SK26" s="6"/>
      <c r="SL26" s="6"/>
      <c r="SM26" s="7"/>
      <c r="SN26" s="7"/>
      <c r="SO26" s="7"/>
      <c r="SP26" s="7"/>
      <c r="SQ26" s="7"/>
      <c r="SR26" s="6"/>
      <c r="SS26" s="6"/>
      <c r="ST26" s="6"/>
      <c r="SU26" s="6"/>
      <c r="SV26" s="6"/>
      <c r="SW26" s="6"/>
      <c r="SX26" s="6"/>
      <c r="SY26" s="6"/>
      <c r="SZ26" s="6"/>
      <c r="TA26" s="6"/>
      <c r="TB26" s="6"/>
      <c r="TC26" s="6"/>
      <c r="TD26" s="6"/>
      <c r="TE26" s="6"/>
      <c r="TF26" s="6"/>
      <c r="TG26" s="6"/>
      <c r="TH26" s="6"/>
      <c r="TI26" s="6"/>
      <c r="TJ26" s="6"/>
      <c r="TK26" s="6"/>
      <c r="TL26" s="6"/>
      <c r="TM26" s="6"/>
      <c r="TN26" s="6"/>
      <c r="TO26" s="6"/>
      <c r="TP26" s="6"/>
      <c r="TQ26" s="6"/>
      <c r="TR26" s="6"/>
      <c r="TS26" s="6"/>
      <c r="TT26" s="6"/>
      <c r="TU26" s="6"/>
      <c r="TV26" s="6"/>
      <c r="TW26" s="6"/>
      <c r="TX26" s="6"/>
      <c r="TY26" s="6"/>
      <c r="TZ26" s="6"/>
      <c r="UA26" s="6"/>
      <c r="UB26" s="6"/>
      <c r="UC26" s="6"/>
      <c r="UD26" s="6"/>
      <c r="UE26" s="6"/>
      <c r="UF26" s="6"/>
      <c r="UG26" s="6"/>
      <c r="UH26" s="6"/>
      <c r="UI26" s="6"/>
      <c r="UJ26" s="6"/>
      <c r="UK26" s="6"/>
      <c r="UL26" s="6"/>
      <c r="UM26" s="6"/>
      <c r="UN26" s="6"/>
      <c r="UO26" s="6"/>
      <c r="UP26" s="6"/>
      <c r="UQ26" s="6"/>
      <c r="UR26" s="6"/>
      <c r="US26" s="6"/>
      <c r="UT26" s="6"/>
      <c r="UU26" s="6"/>
      <c r="UV26" s="6"/>
      <c r="UW26" s="6"/>
      <c r="UX26" s="6"/>
      <c r="UY26" s="6"/>
      <c r="UZ26" s="6"/>
      <c r="VA26" s="6"/>
      <c r="VB26" s="6"/>
      <c r="VC26" s="6"/>
      <c r="VD26" s="6"/>
      <c r="VE26" s="6"/>
      <c r="VF26" s="6"/>
      <c r="VG26" s="6"/>
      <c r="VH26" s="6"/>
      <c r="VI26" s="6"/>
      <c r="VJ26" s="6"/>
      <c r="VK26" s="6"/>
      <c r="VL26" s="6"/>
      <c r="VM26" s="6"/>
      <c r="VN26" s="6"/>
      <c r="VO26" s="6"/>
      <c r="VP26" s="6"/>
      <c r="VQ26" s="6"/>
      <c r="VR26" s="6"/>
      <c r="VS26" s="6"/>
      <c r="VT26" s="6"/>
      <c r="VU26" s="6"/>
      <c r="VV26" s="6"/>
      <c r="VW26" s="6"/>
      <c r="VX26" s="6"/>
      <c r="VY26" s="6"/>
      <c r="VZ26" s="6"/>
      <c r="WA26" s="6"/>
      <c r="WB26" s="6"/>
      <c r="WC26" s="6"/>
      <c r="WD26" s="6"/>
      <c r="WE26" s="6"/>
      <c r="WF26" s="6"/>
      <c r="WG26" s="6"/>
      <c r="WH26" s="6"/>
      <c r="WI26" s="6"/>
      <c r="WJ26" s="6"/>
      <c r="WK26" s="6"/>
      <c r="WL26" s="6"/>
      <c r="WM26" s="6"/>
      <c r="WN26" s="6"/>
      <c r="WO26" s="6"/>
      <c r="WP26" s="6"/>
      <c r="WQ26" s="6"/>
      <c r="WR26" s="6"/>
      <c r="WS26" s="6"/>
      <c r="WT26" s="6"/>
      <c r="WU26" s="6"/>
      <c r="WV26" s="6"/>
      <c r="WW26" s="6"/>
      <c r="WX26" s="6"/>
      <c r="WY26" s="6"/>
      <c r="WZ26" s="6"/>
      <c r="XA26" s="6"/>
      <c r="XB26" s="6"/>
      <c r="XC26" s="6"/>
      <c r="XD26" s="6"/>
      <c r="XE26" s="6"/>
      <c r="XF26" s="6"/>
      <c r="XG26" s="6"/>
      <c r="XH26" s="6"/>
      <c r="XI26" s="6"/>
      <c r="XJ26" s="6"/>
      <c r="XK26" s="6"/>
      <c r="XL26" s="6"/>
      <c r="XM26" s="6"/>
      <c r="XN26" s="6"/>
      <c r="XO26" s="6"/>
      <c r="XP26" s="6"/>
      <c r="XQ26" s="6"/>
      <c r="XR26" s="6"/>
      <c r="XS26" s="6"/>
      <c r="XT26" s="6"/>
      <c r="XU26" s="6"/>
      <c r="XV26" s="6"/>
      <c r="XW26" s="6"/>
      <c r="XX26" s="6"/>
      <c r="XY26" s="6"/>
      <c r="XZ26" s="6"/>
      <c r="YA26" s="6"/>
      <c r="YB26" s="6"/>
      <c r="YC26" s="6"/>
      <c r="YD26" s="6"/>
      <c r="YE26" s="6"/>
      <c r="YF26" s="6"/>
      <c r="YG26" s="6"/>
      <c r="YH26" s="6"/>
      <c r="YI26" s="6"/>
      <c r="YJ26" s="6"/>
      <c r="YK26" s="6"/>
      <c r="YL26" s="6"/>
      <c r="YM26" s="6"/>
      <c r="YN26" s="6"/>
      <c r="YO26" s="6"/>
      <c r="YP26" s="6"/>
      <c r="YQ26" s="6"/>
      <c r="YR26" s="6"/>
      <c r="YS26" s="6"/>
      <c r="YT26" s="6"/>
      <c r="YU26" s="6"/>
      <c r="YV26" s="6"/>
      <c r="YW26" s="6"/>
      <c r="YX26" s="6"/>
      <c r="YY26" s="6"/>
      <c r="YZ26" s="6"/>
      <c r="ZA26" s="6"/>
      <c r="ZB26" s="6"/>
      <c r="ZC26" s="6"/>
      <c r="ZD26" s="6"/>
      <c r="ZE26" s="6"/>
      <c r="ZF26" s="6"/>
      <c r="ZG26" s="6"/>
      <c r="ZH26" s="6"/>
      <c r="ZI26" s="6"/>
      <c r="ZJ26" s="6"/>
      <c r="ZK26" s="6"/>
      <c r="ZL26" s="6"/>
      <c r="ZM26" s="6"/>
      <c r="ZN26" s="6"/>
      <c r="ZO26" s="6"/>
      <c r="ZP26" s="6"/>
      <c r="ZQ26" s="6"/>
      <c r="ZR26" s="6"/>
      <c r="ZS26" s="6"/>
      <c r="ZT26" s="6"/>
      <c r="ZU26" s="6"/>
      <c r="ZV26" s="6"/>
      <c r="ZW26" s="6"/>
      <c r="ZX26" s="6"/>
      <c r="ZY26" s="6"/>
      <c r="ZZ26" s="6"/>
      <c r="AAA26" s="6"/>
      <c r="AAB26" s="6"/>
      <c r="AAC26" s="6"/>
      <c r="AAD26" s="6"/>
      <c r="AAE26" s="6"/>
      <c r="AAF26" s="6"/>
      <c r="AAG26" s="6"/>
      <c r="AAH26" s="6"/>
      <c r="AAI26" s="6"/>
      <c r="AAJ26" s="6"/>
      <c r="AAK26" s="6"/>
      <c r="AAL26" s="6"/>
      <c r="AAM26" s="6"/>
      <c r="AAN26" s="6"/>
      <c r="AAO26" s="6"/>
      <c r="AAP26" s="6"/>
      <c r="AAQ26" s="6"/>
      <c r="AAR26" s="6"/>
      <c r="AAS26" s="6"/>
      <c r="AAT26" s="6"/>
      <c r="AAU26" s="6"/>
      <c r="AAV26" s="6"/>
      <c r="AAW26" s="6"/>
      <c r="AAX26" s="6"/>
      <c r="AAY26" s="6"/>
      <c r="AAZ26" s="6"/>
      <c r="ABA26" s="6"/>
      <c r="ABB26" s="6"/>
      <c r="ABC26" s="6"/>
      <c r="ABD26" s="6"/>
      <c r="ABE26" s="6"/>
      <c r="ABF26" s="6"/>
      <c r="ABG26" s="6"/>
      <c r="ABH26" s="6"/>
      <c r="ABI26" s="6"/>
      <c r="ABJ26" s="6"/>
      <c r="ABK26" s="6"/>
      <c r="ABL26" s="6"/>
      <c r="ABM26" s="6"/>
      <c r="ABN26" s="6"/>
      <c r="ABO26" s="6"/>
      <c r="ABP26" s="6"/>
      <c r="ABQ26" s="6"/>
      <c r="ABR26" s="6"/>
      <c r="ABS26" s="6"/>
      <c r="ABT26" s="6"/>
      <c r="ABU26" s="6"/>
      <c r="ABV26" s="6"/>
      <c r="ABW26" s="6"/>
      <c r="ABX26" s="6"/>
      <c r="ABY26" s="6"/>
      <c r="ABZ26" s="6"/>
      <c r="ACA26" s="6"/>
      <c r="ACB26" s="6"/>
      <c r="ACC26" s="6"/>
      <c r="ACD26" s="6"/>
      <c r="ACE26" s="6"/>
      <c r="ACF26" s="6"/>
      <c r="ACG26" s="6"/>
      <c r="ACH26" s="6"/>
      <c r="ACI26" s="6"/>
      <c r="ACJ26" s="6"/>
      <c r="ACK26" s="6"/>
      <c r="ACL26" s="6"/>
      <c r="ACM26" s="6"/>
      <c r="ACN26" s="6"/>
      <c r="ACO26" s="6"/>
      <c r="ACP26" s="6"/>
      <c r="ACQ26" s="6"/>
      <c r="ACR26" s="6"/>
      <c r="ACS26" s="6"/>
      <c r="ACT26" s="6"/>
      <c r="ACU26" s="6"/>
      <c r="ACV26" s="6"/>
      <c r="ACW26" s="6"/>
      <c r="ACX26" s="6"/>
      <c r="ACY26" s="6"/>
      <c r="ACZ26" s="6"/>
      <c r="ADA26" s="6"/>
      <c r="ADB26" s="6"/>
      <c r="ADC26" s="6"/>
      <c r="ADD26" s="6"/>
      <c r="ADE26" s="6"/>
      <c r="ADF26" s="6"/>
      <c r="ADG26" s="6"/>
      <c r="ADH26" s="6"/>
      <c r="ADI26" s="6"/>
      <c r="ADJ26" s="6"/>
      <c r="ADK26" s="6"/>
      <c r="ADL26" s="6"/>
      <c r="ADM26" s="6"/>
      <c r="ADN26" s="6"/>
      <c r="ANH26">
        <v>47</v>
      </c>
      <c r="ANI26">
        <v>1</v>
      </c>
      <c r="ANK26">
        <v>29.1</v>
      </c>
      <c r="ANM26">
        <v>1</v>
      </c>
      <c r="ANN26">
        <v>28</v>
      </c>
      <c r="AQY26">
        <v>1</v>
      </c>
      <c r="ARC26">
        <v>1</v>
      </c>
      <c r="ASA26">
        <v>1</v>
      </c>
      <c r="AWU26">
        <v>150</v>
      </c>
      <c r="AWV26">
        <v>1</v>
      </c>
      <c r="AWY26">
        <v>1</v>
      </c>
      <c r="AXB26">
        <v>13</v>
      </c>
      <c r="AXC26">
        <v>12</v>
      </c>
      <c r="AXD26">
        <v>0</v>
      </c>
      <c r="AXE26">
        <v>0</v>
      </c>
      <c r="AXF26">
        <v>3</v>
      </c>
      <c r="AXT26">
        <v>500</v>
      </c>
      <c r="AXU26">
        <v>3</v>
      </c>
      <c r="AXX26">
        <v>1</v>
      </c>
      <c r="AXZ26" s="35">
        <v>2</v>
      </c>
      <c r="AYA26">
        <v>0</v>
      </c>
      <c r="AYB26">
        <v>0</v>
      </c>
      <c r="AYC26">
        <v>999</v>
      </c>
      <c r="AYD26">
        <v>4</v>
      </c>
      <c r="AYF26">
        <v>100</v>
      </c>
      <c r="AYG26">
        <v>1</v>
      </c>
      <c r="AYJ26">
        <v>1</v>
      </c>
      <c r="AYK26" s="15">
        <v>28</v>
      </c>
      <c r="AYL26">
        <v>999</v>
      </c>
      <c r="AYM26">
        <v>0</v>
      </c>
      <c r="AYN26">
        <v>0</v>
      </c>
      <c r="AYO26">
        <v>5</v>
      </c>
      <c r="CDK26">
        <v>300</v>
      </c>
      <c r="CDL26">
        <v>1</v>
      </c>
      <c r="CDO26">
        <v>1</v>
      </c>
      <c r="CDP26">
        <v>13</v>
      </c>
      <c r="CDQ26">
        <v>12</v>
      </c>
      <c r="CDR26">
        <v>0</v>
      </c>
      <c r="CDS26">
        <v>0</v>
      </c>
      <c r="CDT26">
        <v>3</v>
      </c>
      <c r="CHR26">
        <v>10</v>
      </c>
      <c r="CHS26">
        <v>0.5</v>
      </c>
      <c r="CHV26">
        <v>1</v>
      </c>
      <c r="CHW26" s="15">
        <v>28</v>
      </c>
      <c r="CHX26">
        <v>999</v>
      </c>
      <c r="CHY26">
        <v>0</v>
      </c>
      <c r="CHZ26">
        <v>0</v>
      </c>
      <c r="CIA26">
        <v>6</v>
      </c>
      <c r="FGL26">
        <v>10</v>
      </c>
      <c r="FGM26">
        <v>4</v>
      </c>
      <c r="FGP26">
        <v>1</v>
      </c>
      <c r="FGQ26">
        <v>2</v>
      </c>
      <c r="FGR26">
        <v>26</v>
      </c>
      <c r="FGS26">
        <v>0</v>
      </c>
      <c r="FGT26">
        <v>0</v>
      </c>
      <c r="FGU26">
        <v>5</v>
      </c>
      <c r="FWH26">
        <v>1</v>
      </c>
      <c r="FWO26">
        <v>1</v>
      </c>
      <c r="GCI26">
        <v>1</v>
      </c>
      <c r="GDI26">
        <v>1</v>
      </c>
      <c r="GEK26">
        <v>1</v>
      </c>
      <c r="GFC26">
        <v>1</v>
      </c>
      <c r="GFE26">
        <v>1</v>
      </c>
    </row>
    <row r="27" spans="1:1015 1048:3035 3169:4013 4179:5068" x14ac:dyDescent="0.25">
      <c r="A27" s="50">
        <v>99000892</v>
      </c>
      <c r="B27" s="7"/>
      <c r="C27" s="7"/>
      <c r="D27" s="7"/>
      <c r="E27" s="7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  <c r="CT27" s="6"/>
      <c r="CU27" s="6"/>
      <c r="CV27" s="6"/>
      <c r="CW27" s="6"/>
      <c r="CX27" s="6"/>
      <c r="CY27" s="6"/>
      <c r="CZ27" s="6"/>
      <c r="DA27" s="6"/>
      <c r="DB27" s="6"/>
      <c r="DC27" s="6"/>
      <c r="DD27" s="6"/>
      <c r="DE27" s="6"/>
      <c r="DF27" s="6"/>
      <c r="DG27" s="6"/>
      <c r="DH27" s="6"/>
      <c r="DI27" s="6"/>
      <c r="DJ27" s="6"/>
      <c r="DK27" s="6"/>
      <c r="DL27" s="6"/>
      <c r="DM27" s="6"/>
      <c r="DN27" s="6"/>
      <c r="DO27" s="7"/>
      <c r="DP27" s="7"/>
      <c r="DQ27" s="7"/>
      <c r="DR27" s="7"/>
      <c r="DS27" s="7"/>
      <c r="DT27" s="7"/>
      <c r="DU27" s="7"/>
      <c r="DV27" s="7"/>
      <c r="DW27" s="7"/>
      <c r="DX27" s="7"/>
      <c r="DY27" s="7"/>
      <c r="DZ27" s="7"/>
      <c r="EA27" s="7"/>
      <c r="EB27" s="7"/>
      <c r="EC27" s="7"/>
      <c r="ED27" s="7"/>
      <c r="EE27" s="7"/>
      <c r="EF27" s="7"/>
      <c r="EG27" s="7"/>
      <c r="EH27" s="7"/>
      <c r="EI27" s="7"/>
      <c r="EJ27" s="7"/>
      <c r="EK27" s="7"/>
      <c r="EL27" s="7"/>
      <c r="EM27" s="7"/>
      <c r="EN27" s="7"/>
      <c r="EO27" s="7"/>
      <c r="EP27" s="7"/>
      <c r="EQ27" s="7"/>
      <c r="ER27" s="7"/>
      <c r="ES27" s="7"/>
      <c r="ET27" s="7"/>
      <c r="EU27" s="7"/>
      <c r="EV27" s="7"/>
      <c r="EW27" s="7"/>
      <c r="EX27" s="7"/>
      <c r="EY27" s="6"/>
      <c r="EZ27" s="6"/>
      <c r="FA27" s="6"/>
      <c r="FB27" s="6"/>
      <c r="FC27" s="6"/>
      <c r="FD27" s="6"/>
      <c r="FE27" s="6"/>
      <c r="FF27" s="6"/>
      <c r="FG27" s="6"/>
      <c r="FH27" s="6"/>
      <c r="FI27" s="6"/>
      <c r="FJ27" s="6"/>
      <c r="FK27" s="6"/>
      <c r="FL27" s="6"/>
      <c r="FM27" s="6"/>
      <c r="FN27" s="6"/>
      <c r="FO27" s="6"/>
      <c r="FP27" s="6"/>
      <c r="FQ27" s="6"/>
      <c r="FR27" s="6"/>
      <c r="FS27" s="6"/>
      <c r="FT27" s="6"/>
      <c r="FU27" s="6"/>
      <c r="FV27" s="6"/>
      <c r="FW27" s="6"/>
      <c r="FX27" s="6"/>
      <c r="FY27" s="6"/>
      <c r="FZ27" s="6"/>
      <c r="GA27" s="6"/>
      <c r="GB27" s="6"/>
      <c r="GC27" s="6"/>
      <c r="GD27" s="6"/>
      <c r="GE27" s="6"/>
      <c r="GF27" s="6"/>
      <c r="GG27" s="6"/>
      <c r="GH27" s="6"/>
      <c r="GI27" s="6"/>
      <c r="GJ27" s="6"/>
      <c r="GK27" s="6"/>
      <c r="GL27" s="6"/>
      <c r="GM27" s="6"/>
      <c r="GN27" s="6"/>
      <c r="GO27" s="6"/>
      <c r="GP27" s="6"/>
      <c r="GQ27" s="6"/>
      <c r="GR27" s="6"/>
      <c r="GS27" s="6"/>
      <c r="GT27" s="6"/>
      <c r="GU27" s="6"/>
      <c r="GV27" s="6"/>
      <c r="GW27" s="6"/>
      <c r="GX27" s="6"/>
      <c r="GY27" s="51"/>
      <c r="GZ27" s="51"/>
      <c r="HA27" s="50"/>
      <c r="HB27" s="50"/>
      <c r="HC27" s="50"/>
      <c r="HD27" s="6"/>
      <c r="HE27" s="6"/>
      <c r="HF27" s="6"/>
      <c r="HG27" s="6"/>
      <c r="HH27" s="6"/>
      <c r="HI27" s="6"/>
      <c r="HJ27" s="6"/>
      <c r="HK27" s="6"/>
      <c r="HL27" s="6"/>
      <c r="HM27" s="6"/>
      <c r="HN27" s="6"/>
      <c r="HO27" s="6"/>
      <c r="HP27" s="6"/>
      <c r="HQ27" s="6"/>
      <c r="HR27" s="6"/>
      <c r="HS27" s="6"/>
      <c r="HT27" s="6"/>
      <c r="HU27" s="6"/>
      <c r="HV27" s="6"/>
      <c r="HW27" s="6"/>
      <c r="HX27" s="6"/>
      <c r="HY27" s="6"/>
      <c r="HZ27" s="6"/>
      <c r="IA27" s="6"/>
      <c r="IB27" s="6"/>
      <c r="IC27" s="6"/>
      <c r="ID27" s="6"/>
      <c r="IE27" s="6"/>
      <c r="IF27" s="6"/>
      <c r="IG27" s="6"/>
      <c r="IH27" s="7"/>
      <c r="II27" s="7"/>
      <c r="IJ27" s="7"/>
      <c r="IK27" s="6"/>
      <c r="IL27" s="6"/>
      <c r="IM27" s="6"/>
      <c r="IN27" s="6"/>
      <c r="IO27" s="6"/>
      <c r="IP27" s="6"/>
      <c r="IQ27" s="6"/>
      <c r="IR27" s="6"/>
      <c r="IS27" s="6"/>
      <c r="IT27" s="6"/>
      <c r="IU27" s="6"/>
      <c r="IV27" s="6"/>
      <c r="IW27" s="6"/>
      <c r="IX27" s="6"/>
      <c r="IY27" s="6"/>
      <c r="IZ27" s="6"/>
      <c r="JA27" s="6"/>
      <c r="JB27" s="6"/>
      <c r="JC27" s="6"/>
      <c r="JD27" s="6"/>
      <c r="JE27" s="6"/>
      <c r="JF27" s="6"/>
      <c r="JG27" s="6"/>
      <c r="JH27" s="6"/>
      <c r="JI27" s="6"/>
      <c r="JJ27" s="6"/>
      <c r="JK27" s="6"/>
      <c r="JL27" s="6"/>
      <c r="JM27" s="6"/>
      <c r="JN27" s="6"/>
      <c r="JO27" s="6"/>
      <c r="JP27" s="6"/>
      <c r="JQ27" s="6"/>
      <c r="JT27" s="6"/>
      <c r="JU27" s="6"/>
      <c r="JV27" s="6"/>
      <c r="JW27" s="6"/>
      <c r="JX27" s="6"/>
      <c r="JY27" s="6"/>
      <c r="JZ27" s="6"/>
      <c r="KA27" s="6"/>
      <c r="KB27" s="6"/>
      <c r="KC27" s="6"/>
      <c r="KD27" s="6"/>
      <c r="KE27" s="6"/>
      <c r="KF27" s="6"/>
      <c r="KG27" s="6"/>
      <c r="KH27" s="6"/>
      <c r="KI27" s="6"/>
      <c r="KJ27" s="6"/>
      <c r="KK27" s="6"/>
      <c r="KL27" s="6"/>
      <c r="KM27" s="6"/>
      <c r="KN27" s="6"/>
      <c r="KO27" s="6"/>
      <c r="KP27" s="6"/>
      <c r="KQ27" s="6"/>
      <c r="KR27" s="6"/>
      <c r="KS27" s="6"/>
      <c r="KT27" s="6"/>
      <c r="KU27" s="6"/>
      <c r="KV27" s="6"/>
      <c r="KW27" s="6"/>
      <c r="KX27" s="6"/>
      <c r="KY27" s="6"/>
      <c r="KZ27" s="6"/>
      <c r="LA27" s="6"/>
      <c r="LB27" s="6"/>
      <c r="LC27" s="6"/>
      <c r="LD27" s="6"/>
      <c r="LE27" s="6"/>
      <c r="LF27" s="6"/>
      <c r="LG27" s="6"/>
      <c r="LH27" s="6"/>
      <c r="LI27" s="6"/>
      <c r="LJ27" s="6"/>
      <c r="LK27" s="6"/>
      <c r="LL27" s="6"/>
      <c r="LM27" s="6"/>
      <c r="LN27" s="6"/>
      <c r="LO27" s="6"/>
      <c r="LP27" s="6"/>
      <c r="LQ27" s="6"/>
      <c r="LR27" s="6"/>
      <c r="LS27" s="6"/>
      <c r="LT27" s="6"/>
      <c r="LU27" s="6"/>
      <c r="LV27" s="6"/>
      <c r="LW27" s="6"/>
      <c r="LX27" s="51"/>
      <c r="LY27" s="51"/>
      <c r="LZ27" s="51"/>
      <c r="MA27" s="51"/>
      <c r="MB27" s="51"/>
      <c r="MC27" s="51"/>
      <c r="MD27" s="51"/>
      <c r="ME27" s="6"/>
      <c r="MF27" s="6"/>
      <c r="MG27" s="6"/>
      <c r="MH27" s="6"/>
      <c r="MI27" s="6"/>
      <c r="MJ27" s="6"/>
      <c r="MK27" s="6"/>
      <c r="ML27" s="6"/>
      <c r="MM27" s="6"/>
      <c r="MN27" s="6"/>
      <c r="MO27" s="6"/>
      <c r="MP27" s="6"/>
      <c r="MQ27" s="6"/>
      <c r="MR27" s="6"/>
      <c r="MS27" s="6"/>
      <c r="MT27" s="6"/>
      <c r="MU27" s="6"/>
      <c r="MV27" s="6"/>
      <c r="MW27" s="6"/>
      <c r="MX27" s="6"/>
      <c r="MY27" s="6"/>
      <c r="MZ27" s="6"/>
      <c r="NA27" s="6"/>
      <c r="NB27" s="6"/>
      <c r="NC27" s="6"/>
      <c r="ND27" s="6"/>
      <c r="NE27" s="6"/>
      <c r="NF27" s="6"/>
      <c r="NG27" s="6"/>
      <c r="NH27" s="6"/>
      <c r="NI27" s="6"/>
      <c r="NJ27" s="6"/>
      <c r="NK27" s="6"/>
      <c r="NL27" s="6"/>
      <c r="NM27" s="6"/>
      <c r="NN27" s="6"/>
      <c r="NO27" s="6"/>
      <c r="NP27" s="6"/>
      <c r="NQ27" s="6"/>
      <c r="NR27" s="6"/>
      <c r="NS27" s="6"/>
      <c r="NT27" s="6"/>
      <c r="NU27" s="6"/>
      <c r="NV27" s="6"/>
      <c r="NW27" s="6"/>
      <c r="NX27" s="6"/>
      <c r="NY27" s="6"/>
      <c r="NZ27" s="6"/>
      <c r="OA27" s="6"/>
      <c r="OB27" s="6"/>
      <c r="OC27" s="6"/>
      <c r="OD27" s="6"/>
      <c r="OE27" s="6"/>
      <c r="OF27" s="6"/>
      <c r="OG27" s="6"/>
      <c r="OH27" s="6"/>
      <c r="OI27" s="6"/>
      <c r="OJ27" s="6"/>
      <c r="OK27" s="6"/>
      <c r="OL27" s="6"/>
      <c r="OM27" s="6"/>
      <c r="ON27" s="6"/>
      <c r="OO27" s="6"/>
      <c r="OP27" s="6"/>
      <c r="OQ27" s="6"/>
      <c r="OR27" s="6"/>
      <c r="OS27" s="6"/>
      <c r="OT27" s="6"/>
      <c r="OU27" s="6"/>
      <c r="OV27" s="6"/>
      <c r="OW27" s="6"/>
      <c r="OX27" s="6"/>
      <c r="OY27" s="6"/>
      <c r="OZ27" s="6"/>
      <c r="QY27" s="6"/>
      <c r="QZ27" s="6"/>
      <c r="RA27" s="6"/>
      <c r="RB27" s="6"/>
      <c r="RC27" s="6"/>
      <c r="RD27" s="6"/>
      <c r="RE27" s="6"/>
      <c r="RF27" s="6"/>
      <c r="RG27" s="6"/>
      <c r="RH27" s="6"/>
      <c r="RI27" s="6"/>
      <c r="RJ27" s="6"/>
      <c r="RK27" s="6"/>
      <c r="RL27" s="6"/>
      <c r="RM27" s="6"/>
      <c r="RN27" s="6"/>
      <c r="RO27" s="6"/>
      <c r="RP27" s="6"/>
      <c r="RQ27" s="6"/>
      <c r="RR27" s="6"/>
      <c r="RS27" s="6"/>
      <c r="RT27" s="6"/>
      <c r="RU27" s="6"/>
      <c r="RV27" s="6"/>
      <c r="RW27" s="6"/>
      <c r="RX27" s="6"/>
      <c r="RY27" s="6"/>
      <c r="RZ27" s="6"/>
      <c r="SA27" s="6"/>
      <c r="SB27" s="6"/>
      <c r="SC27" s="6"/>
      <c r="SD27" s="6"/>
      <c r="SE27" s="6"/>
      <c r="SF27" s="6"/>
      <c r="SG27" s="6"/>
      <c r="SH27" s="6"/>
      <c r="SI27" s="6"/>
      <c r="SJ27" s="6"/>
      <c r="SK27" s="6"/>
      <c r="SL27" s="6"/>
      <c r="SM27" s="7"/>
      <c r="SN27" s="7"/>
      <c r="SO27" s="7"/>
      <c r="SP27" s="7"/>
      <c r="SQ27" s="7"/>
      <c r="SR27" s="6"/>
      <c r="SS27" s="6"/>
      <c r="ST27" s="6"/>
      <c r="SU27" s="6"/>
      <c r="SV27" s="6"/>
      <c r="SW27" s="6"/>
      <c r="SX27" s="6"/>
      <c r="SY27" s="6"/>
      <c r="SZ27" s="6"/>
      <c r="TA27" s="6"/>
      <c r="TB27" s="6"/>
      <c r="TC27" s="6"/>
      <c r="TD27" s="6"/>
      <c r="TE27" s="6"/>
      <c r="TF27" s="6"/>
      <c r="TG27" s="6"/>
      <c r="TH27" s="6"/>
      <c r="TI27" s="6"/>
      <c r="TJ27" s="6"/>
      <c r="TK27" s="6"/>
      <c r="TL27" s="6"/>
      <c r="TM27" s="6"/>
      <c r="TN27" s="6"/>
      <c r="TO27" s="6"/>
      <c r="TP27" s="6"/>
      <c r="TQ27" s="6"/>
      <c r="TR27" s="6"/>
      <c r="TS27" s="6"/>
      <c r="TT27" s="6"/>
      <c r="TU27" s="6"/>
      <c r="TV27" s="6"/>
      <c r="TW27" s="6"/>
      <c r="TX27" s="6"/>
      <c r="TY27" s="6"/>
      <c r="TZ27" s="6"/>
      <c r="UA27" s="6"/>
      <c r="UB27" s="6"/>
      <c r="UC27" s="6"/>
      <c r="UD27" s="6"/>
      <c r="UE27" s="6"/>
      <c r="UF27" s="6"/>
      <c r="UG27" s="6"/>
      <c r="UH27" s="6"/>
      <c r="UI27" s="6"/>
      <c r="UJ27" s="6"/>
      <c r="UK27" s="6"/>
      <c r="UL27" s="6"/>
      <c r="UM27" s="6"/>
      <c r="UN27" s="6"/>
      <c r="UO27" s="6"/>
      <c r="UP27" s="6"/>
      <c r="UQ27" s="6"/>
      <c r="UR27" s="6"/>
      <c r="US27" s="6"/>
      <c r="UT27" s="6"/>
      <c r="UU27" s="6"/>
      <c r="UV27" s="6"/>
      <c r="UW27" s="6"/>
      <c r="UX27" s="6"/>
      <c r="UY27" s="6"/>
      <c r="UZ27" s="6"/>
      <c r="VA27" s="6"/>
      <c r="VB27" s="6"/>
      <c r="VC27" s="6"/>
      <c r="VD27" s="6"/>
      <c r="VE27" s="6"/>
      <c r="VF27" s="6"/>
      <c r="VG27" s="6"/>
      <c r="VH27" s="6"/>
      <c r="VI27" s="6"/>
      <c r="VJ27" s="6"/>
      <c r="VK27" s="6"/>
      <c r="VL27" s="6"/>
      <c r="VM27" s="6"/>
      <c r="VN27" s="6"/>
      <c r="VO27" s="6"/>
      <c r="VP27" s="6"/>
      <c r="VQ27" s="6"/>
      <c r="VR27" s="6"/>
      <c r="VS27" s="6"/>
      <c r="VT27" s="6"/>
      <c r="VU27" s="6"/>
      <c r="VV27" s="6"/>
      <c r="VW27" s="6"/>
      <c r="VX27" s="6"/>
      <c r="VY27" s="6"/>
      <c r="VZ27" s="6"/>
      <c r="WA27" s="6"/>
      <c r="WB27" s="6"/>
      <c r="WC27" s="6"/>
      <c r="WD27" s="6"/>
      <c r="WE27" s="6"/>
      <c r="WF27" s="6"/>
      <c r="WG27" s="6"/>
      <c r="WH27" s="6"/>
      <c r="WI27" s="6"/>
      <c r="WJ27" s="6"/>
      <c r="WK27" s="6"/>
      <c r="WL27" s="6"/>
      <c r="WM27" s="6"/>
      <c r="WN27" s="6"/>
      <c r="WO27" s="6"/>
      <c r="WP27" s="6"/>
      <c r="WQ27" s="6"/>
      <c r="WR27" s="6"/>
      <c r="WS27" s="6"/>
      <c r="WT27" s="6"/>
      <c r="WU27" s="6"/>
      <c r="WV27" s="6"/>
      <c r="WW27" s="6"/>
      <c r="WX27" s="6"/>
      <c r="WY27" s="6"/>
      <c r="WZ27" s="6"/>
      <c r="XA27" s="6"/>
      <c r="XB27" s="6"/>
      <c r="XC27" s="6"/>
      <c r="XD27" s="6"/>
      <c r="XE27" s="6"/>
      <c r="XF27" s="6"/>
      <c r="XG27" s="6"/>
      <c r="XH27" s="6"/>
      <c r="XI27" s="6"/>
      <c r="XJ27" s="6"/>
      <c r="XK27" s="6"/>
      <c r="XL27" s="6"/>
      <c r="XM27" s="6"/>
      <c r="XN27" s="6"/>
      <c r="XO27" s="6"/>
      <c r="XP27" s="6"/>
      <c r="XQ27" s="6"/>
      <c r="XR27" s="6"/>
      <c r="XS27" s="6"/>
      <c r="XT27" s="6"/>
      <c r="XU27" s="6"/>
      <c r="XV27" s="6"/>
      <c r="XW27" s="6"/>
      <c r="XX27" s="6"/>
      <c r="XY27" s="6"/>
      <c r="XZ27" s="6"/>
      <c r="YA27" s="6"/>
      <c r="YB27" s="6"/>
      <c r="YC27" s="6"/>
      <c r="YD27" s="6"/>
      <c r="YE27" s="6"/>
      <c r="YF27" s="6"/>
      <c r="YG27" s="6"/>
      <c r="YH27" s="6"/>
      <c r="YI27" s="6"/>
      <c r="YJ27" s="6"/>
      <c r="YK27" s="6"/>
      <c r="YL27" s="6"/>
      <c r="YM27" s="6"/>
      <c r="YN27" s="6"/>
      <c r="YO27" s="6"/>
      <c r="YP27" s="6"/>
      <c r="YQ27" s="6"/>
      <c r="YR27" s="6"/>
      <c r="YS27" s="6"/>
      <c r="YT27" s="6"/>
      <c r="YU27" s="6"/>
      <c r="YV27" s="6"/>
      <c r="YW27" s="6"/>
      <c r="YX27" s="6"/>
      <c r="YY27" s="6"/>
      <c r="YZ27" s="6"/>
      <c r="ZA27" s="6"/>
      <c r="ZB27" s="6"/>
      <c r="ZC27" s="6"/>
      <c r="ZD27" s="6"/>
      <c r="ZE27" s="6"/>
      <c r="ZF27" s="6"/>
      <c r="ZG27" s="6"/>
      <c r="ZH27" s="6"/>
      <c r="ZI27" s="6"/>
      <c r="ZJ27" s="6"/>
      <c r="ZK27" s="6"/>
      <c r="ZL27" s="6"/>
      <c r="ZM27" s="6"/>
      <c r="ZN27" s="6"/>
      <c r="ZO27" s="6"/>
      <c r="ZP27" s="6"/>
      <c r="ZQ27" s="6"/>
      <c r="ZR27" s="6"/>
      <c r="ZS27" s="6"/>
      <c r="ZT27" s="6"/>
      <c r="ZU27" s="6"/>
      <c r="ZV27" s="6"/>
      <c r="ZW27" s="6"/>
      <c r="ZX27" s="6"/>
      <c r="ZY27" s="6"/>
      <c r="ZZ27" s="6"/>
      <c r="AAA27" s="6"/>
      <c r="AAB27" s="6"/>
      <c r="AAC27" s="6"/>
      <c r="AAD27" s="6"/>
      <c r="AAE27" s="6"/>
      <c r="AAF27" s="6"/>
      <c r="AAG27" s="6"/>
      <c r="AAH27" s="6"/>
      <c r="AAI27" s="6"/>
      <c r="AAJ27" s="6"/>
      <c r="AAK27" s="6"/>
      <c r="AAL27" s="6"/>
      <c r="AAM27" s="6"/>
      <c r="AAN27" s="6"/>
      <c r="AAO27" s="6"/>
      <c r="AAP27" s="6"/>
      <c r="AAQ27" s="6"/>
      <c r="AAR27" s="6"/>
      <c r="AAS27" s="6"/>
      <c r="AAT27" s="6"/>
      <c r="AAU27" s="6"/>
      <c r="AAV27" s="6"/>
      <c r="AAW27" s="6"/>
      <c r="AAX27" s="6"/>
      <c r="AAY27" s="6"/>
      <c r="AAZ27" s="6"/>
      <c r="ABA27" s="6"/>
      <c r="ABB27" s="6"/>
      <c r="ABC27" s="6"/>
      <c r="ABD27" s="6"/>
      <c r="ABE27" s="6"/>
      <c r="ABF27" s="6"/>
      <c r="ABG27" s="6"/>
      <c r="ABH27" s="6"/>
      <c r="ABI27" s="6"/>
      <c r="ABJ27" s="6"/>
      <c r="ABK27" s="6"/>
      <c r="ABL27" s="6"/>
      <c r="ABM27" s="6"/>
      <c r="ABN27" s="6"/>
      <c r="ABO27" s="6"/>
      <c r="ABP27" s="6"/>
      <c r="ABQ27" s="6"/>
      <c r="ABR27" s="6"/>
      <c r="ABS27" s="6"/>
      <c r="ABT27" s="6"/>
      <c r="ABU27" s="6"/>
      <c r="ABV27" s="6"/>
      <c r="ABW27" s="6"/>
      <c r="ABX27" s="6"/>
      <c r="ABY27" s="6"/>
      <c r="ABZ27" s="6"/>
      <c r="ACA27" s="6"/>
      <c r="ACB27" s="6"/>
      <c r="ACC27" s="6"/>
      <c r="ACD27" s="6"/>
      <c r="ACE27" s="6"/>
      <c r="ACF27" s="6"/>
      <c r="ACG27" s="6"/>
      <c r="ACH27" s="6"/>
      <c r="ACI27" s="6"/>
      <c r="ACJ27" s="6"/>
      <c r="ACK27" s="6"/>
      <c r="ACL27" s="6"/>
      <c r="ACM27" s="6"/>
      <c r="ACN27" s="6"/>
      <c r="ACO27" s="6"/>
      <c r="ACP27" s="6"/>
      <c r="ACQ27" s="6"/>
      <c r="ACR27" s="6"/>
      <c r="ACS27" s="6"/>
      <c r="ACT27" s="6"/>
      <c r="ACU27" s="6"/>
      <c r="ACV27" s="6"/>
      <c r="ACW27" s="6"/>
      <c r="ACX27" s="6"/>
      <c r="ACY27" s="6"/>
      <c r="ACZ27" s="6"/>
      <c r="ADA27" s="6"/>
      <c r="ADB27" s="6"/>
      <c r="ADC27" s="6"/>
      <c r="ADD27" s="6"/>
      <c r="ADE27" s="6"/>
      <c r="ADF27" s="6"/>
      <c r="ADG27" s="6"/>
      <c r="ADH27" s="6"/>
      <c r="ADI27" s="6"/>
      <c r="ADJ27" s="6"/>
      <c r="ADK27" s="6"/>
      <c r="ADL27" s="6"/>
      <c r="ADM27" s="6"/>
      <c r="ADN27" s="6"/>
      <c r="ANH27">
        <v>56</v>
      </c>
      <c r="ANI27">
        <v>1</v>
      </c>
      <c r="ANK27">
        <v>27</v>
      </c>
      <c r="ANM27">
        <v>1</v>
      </c>
      <c r="ANN27">
        <v>16</v>
      </c>
      <c r="ANS27">
        <v>1</v>
      </c>
      <c r="AOM27">
        <v>1</v>
      </c>
      <c r="APO27">
        <v>1</v>
      </c>
      <c r="AUP27">
        <v>1</v>
      </c>
      <c r="AUT27">
        <v>1</v>
      </c>
      <c r="AXU27">
        <v>3</v>
      </c>
      <c r="AXX27">
        <v>1</v>
      </c>
      <c r="AXZ27" s="35">
        <v>8</v>
      </c>
      <c r="AYA27">
        <v>6</v>
      </c>
      <c r="AYB27">
        <v>0</v>
      </c>
      <c r="AYC27">
        <v>999</v>
      </c>
      <c r="AYD27">
        <v>4</v>
      </c>
      <c r="AYF27">
        <v>300</v>
      </c>
      <c r="AYG27">
        <v>3</v>
      </c>
      <c r="AYJ27">
        <v>1</v>
      </c>
      <c r="AYK27" s="35">
        <v>8</v>
      </c>
      <c r="AYL27">
        <v>6</v>
      </c>
      <c r="AYM27">
        <v>0</v>
      </c>
      <c r="AYN27">
        <v>999</v>
      </c>
      <c r="AYO27">
        <v>4</v>
      </c>
      <c r="DDD27" s="2">
        <v>6</v>
      </c>
      <c r="DDE27">
        <v>1</v>
      </c>
      <c r="DDH27">
        <v>1</v>
      </c>
      <c r="DDJ27" s="36">
        <v>29</v>
      </c>
      <c r="DDK27">
        <v>999</v>
      </c>
      <c r="DDL27">
        <v>0</v>
      </c>
      <c r="DDM27">
        <v>999</v>
      </c>
      <c r="DDN27">
        <v>6</v>
      </c>
      <c r="DFY27">
        <v>1</v>
      </c>
      <c r="DFZ27">
        <v>3</v>
      </c>
      <c r="DGC27">
        <v>1</v>
      </c>
      <c r="DGD27" s="15">
        <v>9</v>
      </c>
      <c r="DGE27">
        <v>999</v>
      </c>
      <c r="DGF27">
        <v>19</v>
      </c>
      <c r="DGG27">
        <v>0</v>
      </c>
      <c r="DGH27">
        <v>8</v>
      </c>
      <c r="DGS27">
        <v>25</v>
      </c>
      <c r="DGT27">
        <v>3</v>
      </c>
      <c r="DGW27">
        <v>1</v>
      </c>
      <c r="DGX27" s="36">
        <v>29</v>
      </c>
      <c r="DGY27">
        <v>999</v>
      </c>
      <c r="DGZ27">
        <v>0</v>
      </c>
      <c r="DHA27">
        <v>999</v>
      </c>
      <c r="DHB27">
        <v>6</v>
      </c>
      <c r="DXX27">
        <v>1</v>
      </c>
      <c r="DXY27">
        <v>2</v>
      </c>
      <c r="DYC27" s="35">
        <v>8</v>
      </c>
      <c r="DYD27">
        <v>6</v>
      </c>
      <c r="DYE27">
        <v>0</v>
      </c>
      <c r="DYF27">
        <v>999</v>
      </c>
      <c r="DYG27">
        <v>5</v>
      </c>
      <c r="DYR27" s="2">
        <v>1</v>
      </c>
      <c r="DYV27">
        <v>1</v>
      </c>
      <c r="DYW27" s="35">
        <v>4</v>
      </c>
      <c r="DYX27">
        <v>2</v>
      </c>
      <c r="DYY27">
        <v>0</v>
      </c>
      <c r="DYZ27">
        <v>999</v>
      </c>
      <c r="DZA27">
        <v>5</v>
      </c>
      <c r="EFS27">
        <v>400</v>
      </c>
      <c r="EFT27">
        <v>2</v>
      </c>
      <c r="EFW27">
        <v>1</v>
      </c>
      <c r="EFX27" s="36">
        <v>29</v>
      </c>
      <c r="EFY27">
        <v>35</v>
      </c>
      <c r="EFZ27">
        <v>0</v>
      </c>
      <c r="EGA27">
        <v>999</v>
      </c>
      <c r="EGB27">
        <v>3</v>
      </c>
      <c r="FPZ27">
        <v>24</v>
      </c>
      <c r="FQA27">
        <v>1</v>
      </c>
      <c r="FQB27">
        <v>1</v>
      </c>
      <c r="FQE27" s="15">
        <v>9</v>
      </c>
      <c r="FQF27">
        <v>999</v>
      </c>
      <c r="FQG27">
        <v>19</v>
      </c>
      <c r="FQH27">
        <v>0</v>
      </c>
      <c r="FQI27">
        <v>6</v>
      </c>
      <c r="GDI27">
        <v>1</v>
      </c>
      <c r="GEK27">
        <v>1</v>
      </c>
      <c r="GFE27">
        <v>1</v>
      </c>
    </row>
    <row r="28" spans="1:1015 1048:3035 3169:4013 4179:5068" x14ac:dyDescent="0.25">
      <c r="A28" s="50">
        <v>1000192</v>
      </c>
      <c r="B28" s="7"/>
      <c r="C28" s="7"/>
      <c r="D28" s="7"/>
      <c r="E28" s="7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  <c r="CT28" s="6"/>
      <c r="CU28" s="6"/>
      <c r="CV28" s="6"/>
      <c r="CW28" s="6"/>
      <c r="CX28" s="6"/>
      <c r="CY28" s="6"/>
      <c r="CZ28" s="6"/>
      <c r="DA28" s="6"/>
      <c r="DB28" s="6"/>
      <c r="DC28" s="6"/>
      <c r="DD28" s="6"/>
      <c r="DE28" s="6"/>
      <c r="DF28" s="6"/>
      <c r="DG28" s="6"/>
      <c r="DH28" s="6"/>
      <c r="DI28" s="6"/>
      <c r="DJ28" s="6"/>
      <c r="DK28" s="6"/>
      <c r="DL28" s="6"/>
      <c r="DM28" s="6"/>
      <c r="DN28" s="6"/>
      <c r="DO28" s="7"/>
      <c r="DP28" s="7"/>
      <c r="DQ28" s="7"/>
      <c r="DR28" s="7"/>
      <c r="DS28" s="7"/>
      <c r="DT28" s="7"/>
      <c r="DU28" s="7"/>
      <c r="DV28" s="7"/>
      <c r="DW28" s="7"/>
      <c r="DX28" s="7"/>
      <c r="DY28" s="7"/>
      <c r="DZ28" s="7"/>
      <c r="EA28" s="7"/>
      <c r="EB28" s="7"/>
      <c r="EC28" s="7"/>
      <c r="ED28" s="7"/>
      <c r="EE28" s="7"/>
      <c r="EF28" s="7"/>
      <c r="EG28" s="7"/>
      <c r="EH28" s="7"/>
      <c r="EI28" s="7"/>
      <c r="EJ28" s="7"/>
      <c r="EK28" s="7"/>
      <c r="EL28" s="7"/>
      <c r="EM28" s="7"/>
      <c r="EN28" s="7"/>
      <c r="EO28" s="7"/>
      <c r="EP28" s="7"/>
      <c r="EQ28" s="7"/>
      <c r="ER28" s="7"/>
      <c r="ES28" s="7"/>
      <c r="ET28" s="7"/>
      <c r="EU28" s="7"/>
      <c r="EV28" s="7"/>
      <c r="EW28" s="7"/>
      <c r="EX28" s="7"/>
      <c r="EY28" s="6"/>
      <c r="EZ28" s="6"/>
      <c r="FA28" s="6"/>
      <c r="FB28" s="6"/>
      <c r="FC28" s="6"/>
      <c r="FD28" s="6"/>
      <c r="FE28" s="6"/>
      <c r="FF28" s="6"/>
      <c r="FG28" s="6"/>
      <c r="FH28" s="6"/>
      <c r="FI28" s="6"/>
      <c r="FJ28" s="6"/>
      <c r="FK28" s="6"/>
      <c r="FL28" s="6"/>
      <c r="FM28" s="6"/>
      <c r="FN28" s="6"/>
      <c r="FO28" s="6"/>
      <c r="FP28" s="6"/>
      <c r="FQ28" s="6"/>
      <c r="FR28" s="6"/>
      <c r="FS28" s="6"/>
      <c r="FT28" s="6"/>
      <c r="FU28" s="6"/>
      <c r="FV28" s="6"/>
      <c r="FW28" s="6"/>
      <c r="FX28" s="6"/>
      <c r="FY28" s="6"/>
      <c r="FZ28" s="6"/>
      <c r="GA28" s="6"/>
      <c r="GB28" s="6"/>
      <c r="GC28" s="6"/>
      <c r="GD28" s="6"/>
      <c r="GE28" s="6"/>
      <c r="GF28" s="6"/>
      <c r="GG28" s="6"/>
      <c r="GH28" s="6"/>
      <c r="GI28" s="6"/>
      <c r="GJ28" s="6"/>
      <c r="GK28" s="6"/>
      <c r="GL28" s="6"/>
      <c r="GM28" s="6"/>
      <c r="GN28" s="6"/>
      <c r="GO28" s="6"/>
      <c r="GP28" s="6"/>
      <c r="GQ28" s="6"/>
      <c r="GR28" s="6"/>
      <c r="GS28" s="6"/>
      <c r="GT28" s="6"/>
      <c r="GU28" s="6"/>
      <c r="GV28" s="6"/>
      <c r="GW28" s="6"/>
      <c r="GX28" s="6"/>
      <c r="GY28" s="51"/>
      <c r="GZ28" s="51"/>
      <c r="HA28" s="55"/>
      <c r="HB28" s="55"/>
      <c r="HC28" s="55"/>
      <c r="HD28" s="6"/>
      <c r="HE28" s="6"/>
      <c r="HF28" s="6"/>
      <c r="HG28" s="6"/>
      <c r="HH28" s="6"/>
      <c r="HI28" s="6"/>
      <c r="HJ28" s="6"/>
      <c r="HK28" s="6"/>
      <c r="HL28" s="6"/>
      <c r="HM28" s="6"/>
      <c r="HN28" s="6"/>
      <c r="HO28" s="6"/>
      <c r="HP28" s="6"/>
      <c r="HQ28" s="6"/>
      <c r="HR28" s="6"/>
      <c r="HS28" s="6"/>
      <c r="HT28" s="6"/>
      <c r="HU28" s="6"/>
      <c r="HV28" s="6"/>
      <c r="HW28" s="6"/>
      <c r="HX28" s="6"/>
      <c r="HY28" s="6"/>
      <c r="HZ28" s="6"/>
      <c r="IA28" s="6"/>
      <c r="IB28" s="6"/>
      <c r="IC28" s="6"/>
      <c r="ID28" s="6"/>
      <c r="IE28" s="6"/>
      <c r="IF28" s="6"/>
      <c r="IG28" s="6"/>
      <c r="IH28" s="7"/>
      <c r="II28" s="7"/>
      <c r="IJ28" s="7"/>
      <c r="IK28" s="6"/>
      <c r="IL28" s="6"/>
      <c r="IM28" s="6"/>
      <c r="IN28" s="6"/>
      <c r="IO28" s="6"/>
      <c r="IP28" s="6"/>
      <c r="IQ28" s="6"/>
      <c r="IR28" s="6"/>
      <c r="IS28" s="6"/>
      <c r="IT28" s="6"/>
      <c r="IU28" s="6"/>
      <c r="IV28" s="6"/>
      <c r="IW28" s="6"/>
      <c r="IX28" s="6"/>
      <c r="IY28" s="6"/>
      <c r="IZ28" s="6"/>
      <c r="JA28" s="6"/>
      <c r="JB28" s="6"/>
      <c r="JC28" s="6"/>
      <c r="JD28" s="6"/>
      <c r="JE28" s="6"/>
      <c r="JF28" s="6"/>
      <c r="JG28" s="6"/>
      <c r="JH28" s="6"/>
      <c r="JI28" s="6"/>
      <c r="JJ28" s="6"/>
      <c r="JK28" s="6"/>
      <c r="JL28" s="6"/>
      <c r="JM28" s="6"/>
      <c r="JN28" s="6"/>
      <c r="JO28" s="6"/>
      <c r="JP28" s="6"/>
      <c r="JQ28" s="6"/>
      <c r="JR28" s="7"/>
      <c r="JS28" s="7"/>
      <c r="JT28" s="6"/>
      <c r="JU28" s="6"/>
      <c r="JV28" s="6"/>
      <c r="JW28" s="6"/>
      <c r="JX28" s="6"/>
      <c r="JY28" s="6"/>
      <c r="JZ28" s="6"/>
      <c r="KA28" s="6"/>
      <c r="KB28" s="6"/>
      <c r="KC28" s="6"/>
      <c r="KD28" s="6"/>
      <c r="KE28" s="6"/>
      <c r="KF28" s="6"/>
      <c r="KG28" s="6"/>
      <c r="KH28" s="6"/>
      <c r="KI28" s="6"/>
      <c r="KJ28" s="6"/>
      <c r="KK28" s="6"/>
      <c r="KL28" s="6"/>
      <c r="KM28" s="6"/>
      <c r="KN28" s="6"/>
      <c r="KO28" s="6"/>
      <c r="KP28" s="6"/>
      <c r="KQ28" s="6"/>
      <c r="KR28" s="6"/>
      <c r="KS28" s="6"/>
      <c r="KT28" s="6"/>
      <c r="KU28" s="6"/>
      <c r="KV28" s="6"/>
      <c r="KW28" s="6"/>
      <c r="KX28" s="6"/>
      <c r="KY28" s="6"/>
      <c r="KZ28" s="6"/>
      <c r="LA28" s="6"/>
      <c r="LB28" s="6"/>
      <c r="LC28" s="6"/>
      <c r="LD28" s="6"/>
      <c r="LE28" s="6"/>
      <c r="LF28" s="6"/>
      <c r="LG28" s="6"/>
      <c r="LH28" s="6"/>
      <c r="LI28" s="6"/>
      <c r="LJ28" s="6"/>
      <c r="LK28" s="6"/>
      <c r="LL28" s="6"/>
      <c r="LM28" s="6"/>
      <c r="LN28" s="6"/>
      <c r="LO28" s="6"/>
      <c r="LP28" s="6"/>
      <c r="LQ28" s="6"/>
      <c r="LR28" s="6"/>
      <c r="LS28" s="6"/>
      <c r="LT28" s="6"/>
      <c r="LU28" s="6"/>
      <c r="LV28" s="6"/>
      <c r="LW28" s="6"/>
      <c r="LX28" s="51"/>
      <c r="LY28" s="51"/>
      <c r="LZ28" s="51"/>
      <c r="MA28" s="51"/>
      <c r="MB28" s="51"/>
      <c r="MC28" s="51"/>
      <c r="MD28" s="51"/>
      <c r="ME28">
        <v>11</v>
      </c>
      <c r="MG28" s="6"/>
      <c r="MH28" s="6"/>
      <c r="MI28" s="6"/>
      <c r="MJ28" s="6"/>
      <c r="MK28" s="6"/>
      <c r="ML28" s="6"/>
      <c r="MM28" s="6"/>
      <c r="MN28" s="6"/>
      <c r="MO28" s="6"/>
      <c r="MP28" s="6"/>
      <c r="MQ28" s="6"/>
      <c r="MR28" s="6"/>
      <c r="MS28" s="6"/>
      <c r="MT28" s="6"/>
      <c r="MU28" s="6"/>
      <c r="MV28" s="6"/>
      <c r="MW28" s="6"/>
      <c r="MX28" s="6"/>
      <c r="MY28" s="6"/>
      <c r="MZ28" s="6"/>
      <c r="NA28" s="6"/>
      <c r="NB28" s="6"/>
      <c r="NC28" s="6"/>
      <c r="ND28" s="6"/>
      <c r="NE28" s="6"/>
      <c r="NF28" s="6"/>
      <c r="NG28" s="6"/>
      <c r="NH28" s="6"/>
      <c r="NI28" s="6"/>
      <c r="NJ28" s="6"/>
      <c r="NK28" s="6"/>
      <c r="NL28" s="6"/>
      <c r="NM28" s="6"/>
      <c r="NN28" s="6"/>
      <c r="NO28" s="6"/>
      <c r="NP28" s="6"/>
      <c r="NQ28" s="6"/>
      <c r="NR28" s="6"/>
      <c r="NS28" s="6"/>
      <c r="NT28" s="6"/>
      <c r="NU28" s="6"/>
      <c r="NV28" s="6"/>
      <c r="NW28" s="6"/>
      <c r="NX28" s="6"/>
      <c r="NY28" s="6"/>
      <c r="NZ28" s="6"/>
      <c r="OA28" s="6"/>
      <c r="OB28" s="6"/>
      <c r="OC28" s="6"/>
      <c r="OD28" s="6"/>
      <c r="OE28" s="6"/>
      <c r="OF28" s="6"/>
      <c r="OG28" s="6"/>
      <c r="OH28" s="6"/>
      <c r="OI28" s="6"/>
      <c r="OJ28" s="6"/>
      <c r="OK28" s="6"/>
      <c r="OL28" s="6"/>
      <c r="OM28" s="6"/>
      <c r="ON28" s="6"/>
      <c r="OO28" s="6"/>
      <c r="OP28" s="6"/>
      <c r="OQ28" s="6"/>
      <c r="OR28" s="6"/>
      <c r="OS28" s="6"/>
      <c r="OT28" s="6"/>
      <c r="OU28" s="6"/>
      <c r="OV28" s="6"/>
      <c r="OW28" s="6"/>
      <c r="OX28" s="6"/>
      <c r="OY28" s="6"/>
      <c r="OZ28" s="6"/>
      <c r="QQ28" s="8"/>
      <c r="QR28" s="8"/>
      <c r="QS28" s="8"/>
      <c r="QT28" s="8"/>
      <c r="QU28" s="8"/>
      <c r="QV28" s="8"/>
      <c r="QW28" s="8"/>
      <c r="QX28" s="8"/>
      <c r="QY28" s="6"/>
      <c r="QZ28" s="6"/>
      <c r="RA28" s="6"/>
      <c r="RB28" s="6"/>
      <c r="RC28" s="6"/>
      <c r="RD28" s="6"/>
      <c r="RE28" s="6"/>
      <c r="RF28" s="6"/>
      <c r="RG28" s="6"/>
      <c r="RH28" s="6"/>
      <c r="RI28" s="6"/>
      <c r="RJ28" s="6"/>
      <c r="RK28" s="6"/>
      <c r="RL28" s="6"/>
      <c r="RM28" s="6"/>
      <c r="RN28" s="6"/>
      <c r="RO28" s="6"/>
      <c r="RP28" s="6"/>
      <c r="RQ28" s="6"/>
      <c r="RR28" s="6"/>
      <c r="RS28" s="6"/>
      <c r="RT28" s="6"/>
      <c r="RU28" s="6"/>
      <c r="RV28" s="6"/>
      <c r="RW28" s="6"/>
      <c r="RX28" s="6"/>
      <c r="RY28" s="6"/>
      <c r="RZ28" s="6"/>
      <c r="SA28" s="6"/>
      <c r="SB28" s="6"/>
      <c r="SC28" s="6"/>
      <c r="SD28" s="6"/>
      <c r="SE28" s="6"/>
      <c r="SF28" s="6"/>
      <c r="SG28" s="6"/>
      <c r="SH28" s="6"/>
      <c r="SI28" s="6"/>
      <c r="SJ28" s="6"/>
      <c r="SK28" s="6"/>
      <c r="SL28" s="6"/>
      <c r="SM28" s="7"/>
      <c r="SN28" s="7"/>
      <c r="SO28" s="7"/>
      <c r="SP28" s="7"/>
      <c r="SQ28" s="7"/>
      <c r="SR28" s="6"/>
      <c r="SS28" s="6"/>
      <c r="ST28" s="6"/>
      <c r="SU28" s="6"/>
      <c r="SV28" s="6"/>
      <c r="SW28" s="6"/>
      <c r="SX28" s="6"/>
      <c r="SY28" s="6"/>
      <c r="SZ28" s="6"/>
      <c r="TA28" s="6"/>
      <c r="TB28" s="6"/>
      <c r="TC28" s="6"/>
      <c r="TD28" s="6"/>
      <c r="TE28" s="6"/>
      <c r="TF28" s="6"/>
      <c r="TG28" s="6"/>
      <c r="TH28" s="6"/>
      <c r="TI28" s="6"/>
      <c r="TJ28" s="6"/>
      <c r="TK28" s="6"/>
      <c r="TL28" s="6"/>
      <c r="TM28" s="6"/>
      <c r="TN28" s="6"/>
      <c r="TO28" s="6"/>
      <c r="TP28" s="6"/>
      <c r="TQ28" s="6"/>
      <c r="TR28" s="6"/>
      <c r="TS28" s="6"/>
      <c r="TT28" s="6"/>
      <c r="TU28" s="6"/>
      <c r="TV28" s="6"/>
      <c r="TW28" s="6"/>
      <c r="TX28" s="6"/>
      <c r="TY28" s="6"/>
      <c r="TZ28" s="6"/>
      <c r="UA28" s="6"/>
      <c r="UB28" s="6"/>
      <c r="UC28" s="6"/>
      <c r="UD28" s="6"/>
      <c r="UE28" s="6"/>
      <c r="UF28" s="6"/>
      <c r="UG28" s="6"/>
      <c r="UH28" s="6"/>
      <c r="UI28" s="6"/>
      <c r="UJ28" s="6"/>
      <c r="UK28" s="6"/>
      <c r="UL28" s="6"/>
      <c r="UM28" s="6"/>
      <c r="UN28" s="6"/>
      <c r="UO28" s="6"/>
      <c r="UP28" s="6"/>
      <c r="UQ28" s="6"/>
      <c r="UR28" s="6"/>
      <c r="US28" s="6"/>
      <c r="UT28" s="6"/>
      <c r="UU28" s="6"/>
      <c r="UV28" s="6"/>
      <c r="UW28" s="6"/>
      <c r="UX28" s="6"/>
      <c r="UY28" s="6"/>
      <c r="UZ28" s="6"/>
      <c r="VA28" s="6"/>
      <c r="VB28" s="6"/>
      <c r="VC28" s="6"/>
      <c r="VD28" s="6"/>
      <c r="VE28" s="6"/>
      <c r="VF28" s="6"/>
      <c r="VG28" s="6"/>
      <c r="VH28" s="6"/>
      <c r="VI28" s="6"/>
      <c r="VJ28" s="6"/>
      <c r="VK28" s="6"/>
      <c r="VL28" s="6"/>
      <c r="VM28" s="6"/>
      <c r="VN28" s="6"/>
      <c r="VO28" s="6"/>
      <c r="VP28" s="6"/>
      <c r="VQ28" s="6"/>
      <c r="VR28" s="6"/>
      <c r="VS28" s="6"/>
      <c r="VT28" s="6"/>
      <c r="VU28" s="6"/>
      <c r="VV28" s="6"/>
      <c r="VW28" s="6"/>
      <c r="VX28" s="6"/>
      <c r="VY28" s="6"/>
      <c r="VZ28" s="6"/>
      <c r="WA28" s="6"/>
      <c r="WB28" s="6"/>
      <c r="WC28" s="6"/>
      <c r="WD28" s="6"/>
      <c r="WE28" s="6"/>
      <c r="WF28" s="6"/>
      <c r="WG28" s="6"/>
      <c r="WH28" s="6"/>
      <c r="WI28" s="6"/>
      <c r="WJ28" s="6"/>
      <c r="WK28" s="6"/>
      <c r="WL28" s="6"/>
      <c r="WM28" s="6"/>
      <c r="WN28" s="6"/>
      <c r="WO28" s="6"/>
      <c r="WP28" s="6"/>
      <c r="WQ28" s="6"/>
      <c r="WR28" s="6"/>
      <c r="WS28" s="6"/>
      <c r="WT28" s="6"/>
      <c r="WU28" s="6"/>
      <c r="WV28" s="6"/>
      <c r="WW28" s="6"/>
      <c r="WX28" s="6"/>
      <c r="WY28" s="6"/>
      <c r="WZ28" s="6"/>
      <c r="XA28" s="6"/>
      <c r="XB28" s="6"/>
      <c r="XC28" s="6"/>
      <c r="XD28" s="6"/>
      <c r="XE28" s="6"/>
      <c r="XF28" s="6"/>
      <c r="XG28" s="6"/>
      <c r="XH28" s="6"/>
      <c r="XI28" s="6"/>
      <c r="XJ28" s="6"/>
      <c r="XK28" s="6"/>
      <c r="XL28" s="6"/>
      <c r="XM28" s="6"/>
      <c r="XN28" s="6"/>
      <c r="XO28" s="6"/>
      <c r="XP28" s="6"/>
      <c r="XQ28" s="6"/>
      <c r="XR28" s="6"/>
      <c r="XS28" s="6"/>
      <c r="XT28" s="6"/>
      <c r="XU28" s="6"/>
      <c r="XV28" s="6"/>
      <c r="XW28" s="6"/>
      <c r="XX28" s="6"/>
      <c r="XY28" s="6"/>
      <c r="XZ28" s="6"/>
      <c r="YA28" s="6"/>
      <c r="YB28" s="6"/>
      <c r="YC28" s="6"/>
      <c r="YD28" s="6"/>
      <c r="YE28" s="6"/>
      <c r="YF28" s="6"/>
      <c r="YG28" s="6"/>
      <c r="YH28" s="6"/>
      <c r="YI28" s="6"/>
      <c r="YJ28" s="6"/>
      <c r="YK28" s="6"/>
      <c r="YL28" s="6"/>
      <c r="YM28" s="6"/>
      <c r="YN28" s="6"/>
      <c r="YO28" s="6"/>
      <c r="YP28" s="6"/>
      <c r="YQ28" s="6"/>
      <c r="YR28" s="6"/>
      <c r="YS28" s="6"/>
      <c r="YT28" s="6"/>
      <c r="YU28" s="6"/>
      <c r="YV28" s="6"/>
      <c r="YW28" s="6"/>
      <c r="YX28" s="6"/>
      <c r="YY28" s="6"/>
      <c r="YZ28" s="6"/>
      <c r="ZA28" s="6"/>
      <c r="ZB28" s="6"/>
      <c r="ZC28" s="6"/>
      <c r="ZD28" s="6"/>
      <c r="ZE28" s="6"/>
      <c r="ZF28" s="6"/>
      <c r="ZG28" s="6"/>
      <c r="ZH28" s="6"/>
      <c r="ZI28" s="6"/>
      <c r="ZJ28" s="6"/>
      <c r="ZK28" s="6"/>
      <c r="ZL28" s="6"/>
      <c r="ZM28" s="6"/>
      <c r="ZN28" s="6"/>
      <c r="ZO28" s="6"/>
      <c r="ZP28" s="6"/>
      <c r="ZQ28" s="6"/>
      <c r="ZR28" s="6"/>
      <c r="ZS28" s="6"/>
      <c r="ZT28" s="6"/>
      <c r="ZU28" s="6"/>
      <c r="ZV28" s="6"/>
      <c r="ZW28" s="6"/>
      <c r="ZX28" s="6"/>
      <c r="ZY28" s="6"/>
      <c r="ZZ28" s="6"/>
      <c r="AAA28" s="6"/>
      <c r="AAB28" s="6"/>
      <c r="AAC28" s="6"/>
      <c r="AAD28" s="6"/>
      <c r="AAE28" s="6"/>
      <c r="AAF28" s="6"/>
      <c r="AAG28" s="6"/>
      <c r="AAH28" s="6"/>
      <c r="AAI28" s="6"/>
      <c r="AAJ28" s="6"/>
      <c r="AAK28" s="6"/>
      <c r="AAL28" s="6"/>
      <c r="AAM28" s="6"/>
      <c r="AAN28" s="6"/>
      <c r="AAO28" s="6"/>
      <c r="AAP28" s="6"/>
      <c r="AAQ28" s="6"/>
      <c r="AAR28" s="6"/>
      <c r="AAS28" s="6"/>
      <c r="AAT28" s="6"/>
      <c r="AAU28" s="6"/>
      <c r="AAV28" s="6"/>
      <c r="AAW28" s="6"/>
      <c r="AAX28" s="6"/>
      <c r="AAY28" s="6"/>
      <c r="AAZ28" s="6"/>
      <c r="ABA28" s="6"/>
      <c r="ABB28" s="6"/>
      <c r="ABC28" s="6"/>
      <c r="ABD28" s="6"/>
      <c r="ABE28" s="6"/>
      <c r="ABF28" s="6"/>
      <c r="ABG28" s="6"/>
      <c r="ABH28" s="6"/>
      <c r="ABI28" s="6"/>
      <c r="ABJ28" s="6"/>
      <c r="ABK28" s="6"/>
      <c r="ABL28" s="6"/>
      <c r="ABM28" s="6"/>
      <c r="ABN28" s="6"/>
      <c r="ABO28" s="6"/>
      <c r="ABP28" s="6"/>
      <c r="ABQ28" s="6"/>
      <c r="ABR28" s="6"/>
      <c r="ABS28" s="6"/>
      <c r="ABT28" s="6"/>
      <c r="ABU28" s="6"/>
      <c r="ABV28" s="6"/>
      <c r="ABW28" s="6"/>
      <c r="ABX28" s="6"/>
      <c r="ABY28" s="6"/>
      <c r="ABZ28" s="6"/>
      <c r="ACA28" s="6"/>
      <c r="ACB28" s="6"/>
      <c r="ACC28" s="6"/>
      <c r="ACD28" s="6"/>
      <c r="ACE28" s="6"/>
      <c r="ACF28" s="6"/>
      <c r="ACG28" s="6"/>
      <c r="ACH28" s="6"/>
      <c r="ACI28" s="6"/>
      <c r="ACJ28" s="6"/>
      <c r="ACK28" s="6"/>
      <c r="ACL28" s="6"/>
      <c r="ACM28" s="6"/>
      <c r="ACN28" s="6"/>
      <c r="ACO28" s="6"/>
      <c r="ACP28" s="6"/>
      <c r="ACQ28" s="6"/>
      <c r="ACR28" s="6"/>
      <c r="ACS28" s="6"/>
      <c r="ACT28" s="6"/>
      <c r="ACU28" s="6"/>
      <c r="ACV28" s="6"/>
      <c r="ACW28" s="6"/>
      <c r="ACX28" s="6"/>
      <c r="ACY28" s="6"/>
      <c r="ACZ28" s="6"/>
      <c r="ADA28" s="6"/>
      <c r="ADB28" s="6"/>
      <c r="ADC28" s="6"/>
      <c r="ADD28" s="6"/>
      <c r="ADE28" s="6"/>
      <c r="ADF28" s="6"/>
      <c r="ADG28" s="6"/>
      <c r="ADH28" s="6"/>
      <c r="ADI28" s="6"/>
      <c r="ADJ28" s="6"/>
      <c r="ADK28" s="6"/>
      <c r="ADL28" s="6"/>
      <c r="ADM28" s="6"/>
      <c r="ADN28" s="6"/>
      <c r="ANH28">
        <v>60</v>
      </c>
      <c r="ANJ28">
        <v>1</v>
      </c>
      <c r="ANK28">
        <v>26.6</v>
      </c>
      <c r="ANM28">
        <v>1</v>
      </c>
      <c r="ANN28">
        <v>20</v>
      </c>
      <c r="ANW28">
        <v>1</v>
      </c>
      <c r="ANX28">
        <v>1</v>
      </c>
      <c r="AOG28">
        <v>1</v>
      </c>
      <c r="AOQ28">
        <v>1</v>
      </c>
      <c r="API28">
        <v>1</v>
      </c>
      <c r="APN28">
        <v>1</v>
      </c>
      <c r="APO28">
        <v>1</v>
      </c>
      <c r="AUP28">
        <v>1</v>
      </c>
      <c r="AUU28">
        <v>1</v>
      </c>
      <c r="AVC28">
        <v>1</v>
      </c>
      <c r="AVI28">
        <v>1</v>
      </c>
      <c r="AXT28" s="2">
        <v>1</v>
      </c>
      <c r="AXU28">
        <v>1</v>
      </c>
      <c r="AXX28">
        <v>1</v>
      </c>
      <c r="AXZ28">
        <v>2</v>
      </c>
      <c r="AYA28">
        <v>24</v>
      </c>
      <c r="AYB28">
        <v>0</v>
      </c>
      <c r="AYD28">
        <v>4</v>
      </c>
      <c r="BEG28" s="36">
        <v>2</v>
      </c>
      <c r="BEH28" s="36">
        <v>2</v>
      </c>
      <c r="BEK28">
        <v>1</v>
      </c>
      <c r="BEL28">
        <v>3</v>
      </c>
      <c r="BEM28">
        <v>9</v>
      </c>
      <c r="BEN28">
        <v>7</v>
      </c>
      <c r="BEP28">
        <v>5</v>
      </c>
      <c r="BEQ28" s="36">
        <v>2</v>
      </c>
      <c r="BER28" s="36">
        <v>1</v>
      </c>
      <c r="BEU28">
        <v>1</v>
      </c>
      <c r="BEV28">
        <v>2</v>
      </c>
      <c r="BEW28">
        <v>8</v>
      </c>
      <c r="BEX28">
        <v>6</v>
      </c>
      <c r="BEZ28">
        <v>5</v>
      </c>
      <c r="BFL28" s="50"/>
      <c r="BFM28">
        <v>1</v>
      </c>
      <c r="BFP28">
        <v>1</v>
      </c>
      <c r="BFQ28">
        <v>1</v>
      </c>
      <c r="BFR28">
        <v>4</v>
      </c>
      <c r="BFS28">
        <v>4</v>
      </c>
      <c r="BFU28">
        <v>4</v>
      </c>
      <c r="BJT28">
        <v>2</v>
      </c>
      <c r="BJU28">
        <v>1</v>
      </c>
      <c r="BJX28">
        <v>1</v>
      </c>
      <c r="BJY28">
        <v>1</v>
      </c>
      <c r="BJZ28">
        <v>1</v>
      </c>
      <c r="BKA28">
        <v>1</v>
      </c>
      <c r="BKC28">
        <v>6</v>
      </c>
      <c r="DDD28" s="2">
        <v>1</v>
      </c>
      <c r="DDE28" s="2">
        <v>2</v>
      </c>
      <c r="DDH28">
        <v>1</v>
      </c>
      <c r="DDJ28" s="36">
        <v>29</v>
      </c>
      <c r="DDK28">
        <v>999</v>
      </c>
      <c r="DDL28">
        <v>0</v>
      </c>
      <c r="DDN28">
        <v>6</v>
      </c>
      <c r="DFE28">
        <v>20</v>
      </c>
      <c r="DFF28">
        <v>3</v>
      </c>
      <c r="DFI28">
        <v>1</v>
      </c>
      <c r="DFJ28">
        <v>16</v>
      </c>
      <c r="DFK28">
        <v>23</v>
      </c>
      <c r="DFL28">
        <v>9</v>
      </c>
      <c r="DFN28">
        <v>6</v>
      </c>
      <c r="DJA28">
        <v>1</v>
      </c>
      <c r="DJB28">
        <v>1</v>
      </c>
      <c r="DJE28">
        <v>1</v>
      </c>
      <c r="DJF28" s="15">
        <v>2</v>
      </c>
      <c r="DJG28">
        <v>999</v>
      </c>
      <c r="DJH28">
        <v>27</v>
      </c>
      <c r="DJJ28">
        <v>7</v>
      </c>
      <c r="DJU28">
        <v>1</v>
      </c>
      <c r="DJV28">
        <v>2</v>
      </c>
      <c r="DJY28">
        <v>1</v>
      </c>
      <c r="DJZ28" s="35">
        <v>8</v>
      </c>
      <c r="DKA28">
        <v>7</v>
      </c>
      <c r="DKB28">
        <v>0</v>
      </c>
      <c r="DKD28">
        <v>5</v>
      </c>
      <c r="DKQ28">
        <v>1</v>
      </c>
      <c r="DKT28">
        <v>1</v>
      </c>
      <c r="DKU28" s="35">
        <v>27</v>
      </c>
      <c r="DKV28">
        <v>26</v>
      </c>
      <c r="DKY28">
        <v>6</v>
      </c>
      <c r="DKZ28" s="2">
        <v>1</v>
      </c>
      <c r="DLA28">
        <v>4</v>
      </c>
      <c r="DLD28">
        <v>1</v>
      </c>
      <c r="DLE28">
        <v>15</v>
      </c>
      <c r="DLF28">
        <v>23</v>
      </c>
      <c r="DLG28">
        <v>9</v>
      </c>
      <c r="DLI28">
        <v>6</v>
      </c>
      <c r="DLK28">
        <v>2</v>
      </c>
      <c r="DLN28">
        <v>1</v>
      </c>
      <c r="DLO28">
        <v>7</v>
      </c>
      <c r="DLP28">
        <v>7</v>
      </c>
      <c r="DLQ28">
        <v>0</v>
      </c>
      <c r="DLS28">
        <v>5</v>
      </c>
      <c r="DQW28">
        <v>1</v>
      </c>
      <c r="DQX28">
        <v>1</v>
      </c>
      <c r="DQY28">
        <v>1</v>
      </c>
      <c r="DQZ28">
        <v>1</v>
      </c>
      <c r="DRA28">
        <v>22</v>
      </c>
      <c r="DRB28">
        <v>22</v>
      </c>
      <c r="DRD28">
        <v>7</v>
      </c>
      <c r="EFI28" s="2">
        <v>100</v>
      </c>
      <c r="EFJ28">
        <v>3</v>
      </c>
      <c r="EFM28">
        <v>1</v>
      </c>
      <c r="EFN28" s="36">
        <v>29</v>
      </c>
      <c r="EFO28">
        <v>999</v>
      </c>
      <c r="EFP28">
        <v>0</v>
      </c>
      <c r="EFR28">
        <v>3</v>
      </c>
      <c r="EOQ28" s="36">
        <v>1</v>
      </c>
      <c r="EOR28">
        <v>1</v>
      </c>
      <c r="EOU28">
        <v>1</v>
      </c>
      <c r="EOV28" s="36">
        <v>29</v>
      </c>
      <c r="EOW28">
        <v>999</v>
      </c>
      <c r="EOX28">
        <v>0</v>
      </c>
      <c r="EOZ28">
        <v>5</v>
      </c>
      <c r="EVV28">
        <v>1</v>
      </c>
      <c r="EVW28">
        <v>1</v>
      </c>
      <c r="EVZ28">
        <v>1</v>
      </c>
      <c r="EWA28">
        <v>6</v>
      </c>
      <c r="EWB28">
        <v>6</v>
      </c>
      <c r="EWC28">
        <v>0</v>
      </c>
      <c r="EWE28">
        <v>5</v>
      </c>
      <c r="FNY28">
        <v>1</v>
      </c>
      <c r="FNZ28">
        <v>3</v>
      </c>
      <c r="FOC28">
        <v>1</v>
      </c>
      <c r="FOD28" s="36">
        <v>29</v>
      </c>
      <c r="FOE28">
        <v>999</v>
      </c>
      <c r="FOF28">
        <v>0</v>
      </c>
      <c r="FOH28">
        <v>6</v>
      </c>
      <c r="FWO28">
        <v>1</v>
      </c>
      <c r="GDS28">
        <v>1</v>
      </c>
      <c r="GDZ28">
        <v>1</v>
      </c>
      <c r="GEK28">
        <v>1</v>
      </c>
      <c r="GEN28">
        <v>1</v>
      </c>
      <c r="GEP28">
        <v>1</v>
      </c>
      <c r="GEW28">
        <v>1</v>
      </c>
      <c r="GFE28">
        <v>1</v>
      </c>
      <c r="GFP28">
        <v>1</v>
      </c>
    </row>
    <row r="29" spans="1:1015 1048:3035 3169:4013 4179:5068" x14ac:dyDescent="0.25">
      <c r="A29" s="50">
        <v>1506</v>
      </c>
      <c r="B29" s="7"/>
      <c r="C29" s="7"/>
      <c r="D29" s="7"/>
      <c r="E29" s="7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  <c r="CT29" s="6"/>
      <c r="CU29" s="6"/>
      <c r="CV29" s="6"/>
      <c r="CW29" s="6"/>
      <c r="CX29" s="6"/>
      <c r="CY29" s="6"/>
      <c r="CZ29" s="6"/>
      <c r="DA29" s="6"/>
      <c r="DB29" s="6"/>
      <c r="DC29" s="6"/>
      <c r="DD29" s="6"/>
      <c r="DE29" s="6"/>
      <c r="DF29" s="6"/>
      <c r="DG29" s="6"/>
      <c r="DH29" s="6"/>
      <c r="DI29" s="6"/>
      <c r="DJ29" s="6"/>
      <c r="DK29" s="6"/>
      <c r="DL29" s="6"/>
      <c r="DM29" s="6"/>
      <c r="DN29" s="6"/>
      <c r="DO29" s="7"/>
      <c r="DP29" s="7"/>
      <c r="DQ29" s="7"/>
      <c r="DR29" s="7"/>
      <c r="DS29" s="7"/>
      <c r="DT29" s="7"/>
      <c r="DU29" s="7"/>
      <c r="DV29" s="7"/>
      <c r="DW29" s="7"/>
      <c r="DX29" s="7"/>
      <c r="DY29" s="7"/>
      <c r="DZ29" s="7"/>
      <c r="EA29" s="7"/>
      <c r="EB29" s="7"/>
      <c r="EC29" s="7"/>
      <c r="ED29" s="7"/>
      <c r="EE29" s="7"/>
      <c r="EF29" s="7"/>
      <c r="EG29" s="7"/>
      <c r="EH29" s="7"/>
      <c r="EI29" s="7"/>
      <c r="EJ29" s="7"/>
      <c r="EK29" s="7"/>
      <c r="EL29" s="7"/>
      <c r="EM29" s="7"/>
      <c r="EN29" s="7"/>
      <c r="EO29" s="7"/>
      <c r="EP29" s="7"/>
      <c r="EQ29" s="7"/>
      <c r="ER29" s="7"/>
      <c r="ES29" s="7"/>
      <c r="ET29" s="7"/>
      <c r="EU29" s="7"/>
      <c r="EV29" s="7"/>
      <c r="EW29" s="7"/>
      <c r="EX29" s="7"/>
      <c r="EY29" s="6"/>
      <c r="EZ29" s="6"/>
      <c r="FA29" s="6"/>
      <c r="FB29" s="6"/>
      <c r="FC29" s="6"/>
      <c r="FD29" s="6"/>
      <c r="FE29" s="6"/>
      <c r="FF29" s="6"/>
      <c r="FG29" s="6"/>
      <c r="FH29" s="6"/>
      <c r="FI29" s="6"/>
      <c r="FJ29" s="6"/>
      <c r="FK29" s="6"/>
      <c r="FL29" s="6"/>
      <c r="FM29" s="6"/>
      <c r="FN29" s="6"/>
      <c r="FO29" s="6"/>
      <c r="FP29" s="6"/>
      <c r="FQ29" s="6"/>
      <c r="FR29" s="6"/>
      <c r="FS29" s="6"/>
      <c r="FT29" s="6"/>
      <c r="FU29" s="6"/>
      <c r="FV29" s="6"/>
      <c r="FW29" s="6"/>
      <c r="FX29" s="6"/>
      <c r="FY29" s="6"/>
      <c r="FZ29" s="6"/>
      <c r="GA29" s="6"/>
      <c r="GB29" s="6"/>
      <c r="GC29" s="6"/>
      <c r="GD29" s="6"/>
      <c r="GE29" s="6"/>
      <c r="GF29" s="6"/>
      <c r="GG29" s="6"/>
      <c r="GH29" s="6"/>
      <c r="GI29" s="6"/>
      <c r="GJ29" s="6"/>
      <c r="GK29" s="6"/>
      <c r="GL29" s="6"/>
      <c r="GM29" s="6"/>
      <c r="GN29" s="6"/>
      <c r="GO29" s="6"/>
      <c r="GP29" s="6"/>
      <c r="GQ29" s="6"/>
      <c r="GR29" s="6"/>
      <c r="GS29" s="6"/>
      <c r="GT29" s="6"/>
      <c r="GU29" s="6"/>
      <c r="GV29" s="6"/>
      <c r="GW29" s="6"/>
      <c r="GX29" s="6"/>
      <c r="GY29" s="51"/>
      <c r="GZ29" s="51"/>
      <c r="HA29" s="55"/>
      <c r="HB29" s="55"/>
      <c r="HC29" s="55"/>
      <c r="HD29" s="6"/>
      <c r="HE29" s="6"/>
      <c r="HF29" s="6"/>
      <c r="HG29" s="6"/>
      <c r="HH29" s="6"/>
      <c r="HI29" s="6"/>
      <c r="HJ29" s="6"/>
      <c r="HK29" s="6"/>
      <c r="HL29" s="6"/>
      <c r="HM29" s="6"/>
      <c r="HN29" s="6"/>
      <c r="HO29" s="6"/>
      <c r="HP29" s="6"/>
      <c r="HQ29" s="6"/>
      <c r="HR29" s="6"/>
      <c r="HS29" s="6"/>
      <c r="HT29" s="6"/>
      <c r="HU29" s="6"/>
      <c r="HV29" s="6"/>
      <c r="HW29" s="6"/>
      <c r="HX29" s="6"/>
      <c r="HY29" s="6"/>
      <c r="HZ29" s="6"/>
      <c r="IA29" s="6"/>
      <c r="IB29" s="6"/>
      <c r="IC29" s="6"/>
      <c r="ID29" s="6"/>
      <c r="IE29" s="6"/>
      <c r="IF29" s="6"/>
      <c r="IG29" s="6"/>
      <c r="IH29" s="7"/>
      <c r="II29" s="7"/>
      <c r="IJ29" s="7"/>
      <c r="IK29" s="6"/>
      <c r="IL29" s="6"/>
      <c r="IM29" s="6"/>
      <c r="IN29" s="6"/>
      <c r="IO29" s="6"/>
      <c r="IP29" s="6"/>
      <c r="IQ29" s="6"/>
      <c r="IR29" s="6"/>
      <c r="IS29" s="6"/>
      <c r="IT29" s="6"/>
      <c r="IU29" s="6"/>
      <c r="IV29" s="6"/>
      <c r="IW29" s="6"/>
      <c r="IX29" s="6"/>
      <c r="IY29" s="6"/>
      <c r="IZ29" s="6"/>
      <c r="JA29" s="6"/>
      <c r="JB29" s="6"/>
      <c r="JC29" s="6"/>
      <c r="JD29" s="6"/>
      <c r="JE29" s="6"/>
      <c r="JF29" s="6"/>
      <c r="JG29" s="6"/>
      <c r="JH29" s="6"/>
      <c r="JI29" s="6"/>
      <c r="JJ29" s="6"/>
      <c r="JK29" s="6"/>
      <c r="JL29" s="6"/>
      <c r="JM29" s="6"/>
      <c r="JN29" s="6"/>
      <c r="JO29" s="6"/>
      <c r="JP29" s="6"/>
      <c r="JQ29" s="6"/>
      <c r="JR29" s="7"/>
      <c r="JS29" s="7"/>
      <c r="JT29" s="6"/>
      <c r="JU29" s="6"/>
      <c r="JV29" s="6"/>
      <c r="JW29" s="6"/>
      <c r="JX29" s="6"/>
      <c r="JY29" s="6"/>
      <c r="JZ29" s="6"/>
      <c r="KA29" s="6"/>
      <c r="KB29" s="6"/>
      <c r="KC29" s="6"/>
      <c r="KD29" s="6"/>
      <c r="KE29" s="6"/>
      <c r="KF29" s="6"/>
      <c r="KG29" s="6"/>
      <c r="KH29" s="6"/>
      <c r="KI29" s="6"/>
      <c r="KJ29" s="6"/>
      <c r="KK29" s="6"/>
      <c r="KL29" s="6"/>
      <c r="KM29" s="6"/>
      <c r="KN29" s="6"/>
      <c r="KO29" s="6"/>
      <c r="KP29" s="6"/>
      <c r="KQ29" s="6"/>
      <c r="KR29" s="6"/>
      <c r="KS29" s="6"/>
      <c r="KT29" s="6"/>
      <c r="KU29" s="6"/>
      <c r="KV29" s="6"/>
      <c r="KW29" s="6"/>
      <c r="KX29" s="6"/>
      <c r="KY29" s="6"/>
      <c r="KZ29" s="6"/>
      <c r="LA29" s="6"/>
      <c r="LB29" s="6"/>
      <c r="LC29" s="6"/>
      <c r="LD29" s="6"/>
      <c r="LE29" s="6"/>
      <c r="LF29" s="6"/>
      <c r="LG29" s="6"/>
      <c r="LH29" s="6"/>
      <c r="LI29" s="6"/>
      <c r="LJ29" s="6"/>
      <c r="LK29" s="6"/>
      <c r="LL29" s="6"/>
      <c r="LM29" s="6"/>
      <c r="LN29" s="6"/>
      <c r="LO29" s="6"/>
      <c r="LP29" s="6"/>
      <c r="LQ29" s="6"/>
      <c r="LR29" s="6"/>
      <c r="LS29" s="6"/>
      <c r="LT29" s="6"/>
      <c r="LU29" s="6"/>
      <c r="LV29" s="6"/>
      <c r="LW29" s="6"/>
      <c r="LX29" s="51"/>
      <c r="LY29" s="51"/>
      <c r="LZ29" s="51"/>
      <c r="MA29" s="51"/>
      <c r="MB29" s="51"/>
      <c r="MC29" s="51"/>
      <c r="MD29" s="51"/>
      <c r="ME29" s="6"/>
      <c r="MF29" s="6"/>
      <c r="MG29" s="6"/>
      <c r="MH29" s="6"/>
      <c r="MI29" s="6"/>
      <c r="MJ29" s="6"/>
      <c r="MK29" s="6"/>
      <c r="ML29" s="6"/>
      <c r="MM29" s="6"/>
      <c r="MN29" s="6"/>
      <c r="MO29" s="6"/>
      <c r="MP29" s="6"/>
      <c r="MQ29" s="6"/>
      <c r="MR29" s="6"/>
      <c r="MS29" s="6"/>
      <c r="MT29" s="6"/>
      <c r="MU29" s="6"/>
      <c r="MV29" s="6"/>
      <c r="MW29" s="6"/>
      <c r="MX29" s="6"/>
      <c r="MY29" s="6"/>
      <c r="MZ29" s="6"/>
      <c r="NA29" s="6"/>
      <c r="NB29" s="6"/>
      <c r="NC29" s="6"/>
      <c r="ND29" s="6"/>
      <c r="NE29" s="6"/>
      <c r="NF29" s="6"/>
      <c r="NG29" s="6"/>
      <c r="NH29" s="6"/>
      <c r="NI29" s="6"/>
      <c r="NJ29" s="6"/>
      <c r="NK29" s="6"/>
      <c r="NL29" s="6"/>
      <c r="NM29" s="6"/>
      <c r="NN29" s="6"/>
      <c r="NO29" s="6"/>
      <c r="NP29" s="6"/>
      <c r="NQ29" s="6"/>
      <c r="NR29" s="6"/>
      <c r="NS29" s="6"/>
      <c r="NT29" s="6"/>
      <c r="NU29" s="6"/>
      <c r="NV29" s="6"/>
      <c r="NW29" s="6"/>
      <c r="NX29" s="6"/>
      <c r="NY29" s="6"/>
      <c r="NZ29" s="6"/>
      <c r="OA29" s="6"/>
      <c r="OB29" s="6"/>
      <c r="OC29" s="6"/>
      <c r="OD29" s="6"/>
      <c r="OE29" s="6"/>
      <c r="OF29" s="6"/>
      <c r="OG29" s="6"/>
      <c r="OH29" s="6"/>
      <c r="OI29" s="6"/>
      <c r="OJ29" s="6"/>
      <c r="OK29" s="6"/>
      <c r="OL29" s="6"/>
      <c r="OM29" s="6"/>
      <c r="ON29" s="6"/>
      <c r="OO29" s="6"/>
      <c r="OP29" s="6"/>
      <c r="OQ29" s="6"/>
      <c r="OR29" s="6"/>
      <c r="OS29" s="6"/>
      <c r="OT29" s="6"/>
      <c r="OU29" s="6"/>
      <c r="OV29" s="6"/>
      <c r="OW29" s="6"/>
      <c r="OX29" s="6"/>
      <c r="OY29" s="6"/>
      <c r="OZ29" s="6"/>
      <c r="QQ29" s="8"/>
      <c r="QR29" s="8"/>
      <c r="QS29" s="8"/>
      <c r="QT29" s="8"/>
      <c r="QU29" s="8"/>
      <c r="QV29" s="8"/>
      <c r="QW29" s="8"/>
      <c r="QX29" s="8"/>
      <c r="QY29" s="6"/>
      <c r="QZ29" s="6"/>
      <c r="RA29" s="6"/>
      <c r="RB29" s="6"/>
      <c r="RC29" s="6"/>
      <c r="RD29" s="6"/>
      <c r="RE29" s="6"/>
      <c r="RF29" s="6"/>
      <c r="RG29" s="6"/>
      <c r="RH29" s="6"/>
      <c r="RI29" s="6"/>
      <c r="RJ29" s="6"/>
      <c r="RK29" s="6"/>
      <c r="RL29" s="6"/>
      <c r="RM29" s="6"/>
      <c r="RN29" s="6"/>
      <c r="RO29" s="6"/>
      <c r="RP29" s="6"/>
      <c r="RQ29" s="6"/>
      <c r="RR29" s="6"/>
      <c r="RS29" s="6"/>
      <c r="RT29" s="6"/>
      <c r="RU29" s="6"/>
      <c r="RV29" s="6"/>
      <c r="RW29" s="6"/>
      <c r="RX29" s="6"/>
      <c r="RY29" s="6"/>
      <c r="RZ29" s="6"/>
      <c r="SA29" s="6"/>
      <c r="SB29" s="6"/>
      <c r="SC29" s="6"/>
      <c r="SD29" s="6"/>
      <c r="SE29" s="6"/>
      <c r="SF29" s="6"/>
      <c r="SG29" s="6"/>
      <c r="SH29" s="6"/>
      <c r="SI29" s="6"/>
      <c r="SJ29" s="6"/>
      <c r="SK29" s="6"/>
      <c r="SL29" s="6"/>
      <c r="SM29" s="7"/>
      <c r="SN29" s="7"/>
      <c r="SO29" s="7"/>
      <c r="SP29" s="7"/>
      <c r="SQ29" s="7"/>
      <c r="SR29" s="6"/>
      <c r="SS29" s="6"/>
      <c r="ST29" s="6"/>
      <c r="SU29" s="6"/>
      <c r="SV29" s="6"/>
      <c r="SW29" s="6"/>
      <c r="SX29" s="6"/>
      <c r="SY29" s="6"/>
      <c r="SZ29" s="6"/>
      <c r="TA29" s="6"/>
      <c r="TB29" s="6"/>
      <c r="TC29" s="6"/>
      <c r="TD29" s="6"/>
      <c r="TE29" s="6"/>
      <c r="TF29" s="6"/>
      <c r="TG29" s="6"/>
      <c r="TH29" s="6"/>
      <c r="TI29" s="6"/>
      <c r="TJ29" s="6"/>
      <c r="TK29" s="6"/>
      <c r="TL29" s="6"/>
      <c r="TM29" s="6"/>
      <c r="TN29" s="6"/>
      <c r="TO29" s="6"/>
      <c r="TP29" s="6"/>
      <c r="TQ29" s="6"/>
      <c r="TR29" s="6"/>
      <c r="TS29" s="6"/>
      <c r="TT29" s="6"/>
      <c r="TU29" s="6"/>
      <c r="TV29" s="6"/>
      <c r="TW29" s="6"/>
      <c r="TX29" s="6"/>
      <c r="TY29" s="6"/>
      <c r="TZ29" s="6"/>
      <c r="UA29" s="6"/>
      <c r="UB29" s="6"/>
      <c r="UC29" s="6"/>
      <c r="UD29" s="6"/>
      <c r="UE29" s="6"/>
      <c r="UF29" s="6"/>
      <c r="UG29" s="6"/>
      <c r="UH29" s="6"/>
      <c r="UI29" s="6"/>
      <c r="UJ29" s="6"/>
      <c r="UK29" s="6"/>
      <c r="UL29" s="6"/>
      <c r="UM29" s="6"/>
      <c r="UN29" s="6"/>
      <c r="UO29" s="6"/>
      <c r="UP29" s="6"/>
      <c r="UQ29" s="6"/>
      <c r="UR29" s="6"/>
      <c r="US29" s="6"/>
      <c r="UT29" s="6"/>
      <c r="UU29" s="6"/>
      <c r="UV29" s="6"/>
      <c r="UW29" s="6"/>
      <c r="UX29" s="6"/>
      <c r="UY29" s="6"/>
      <c r="UZ29" s="6"/>
      <c r="VA29" s="6"/>
      <c r="VB29" s="6"/>
      <c r="VC29" s="6"/>
      <c r="VD29" s="6"/>
      <c r="VE29" s="6"/>
      <c r="VF29" s="6"/>
      <c r="VG29" s="6"/>
      <c r="VH29" s="6"/>
      <c r="VI29" s="6"/>
      <c r="VJ29" s="6"/>
      <c r="VK29" s="6"/>
      <c r="VL29" s="6"/>
      <c r="VM29" s="6"/>
      <c r="VN29" s="6"/>
      <c r="VO29" s="6"/>
      <c r="VP29" s="6"/>
      <c r="VQ29" s="6"/>
      <c r="VR29" s="6"/>
      <c r="VS29" s="6"/>
      <c r="VT29" s="6"/>
      <c r="VU29" s="6"/>
      <c r="VV29" s="6"/>
      <c r="VW29" s="6"/>
      <c r="VX29" s="6"/>
      <c r="VY29" s="6"/>
      <c r="VZ29" s="6"/>
      <c r="WA29" s="6"/>
      <c r="WB29" s="6"/>
      <c r="WC29" s="6"/>
      <c r="WD29" s="6"/>
      <c r="WE29" s="6"/>
      <c r="WF29" s="6"/>
      <c r="WG29" s="6"/>
      <c r="WH29" s="6"/>
      <c r="WI29" s="6"/>
      <c r="WJ29" s="6"/>
      <c r="WK29" s="6"/>
      <c r="WL29" s="6"/>
      <c r="WM29" s="6"/>
      <c r="WN29" s="6"/>
      <c r="WO29" s="6"/>
      <c r="WP29" s="6"/>
      <c r="WQ29" s="6"/>
      <c r="WR29" s="6"/>
      <c r="WS29" s="6"/>
      <c r="WT29" s="6"/>
      <c r="WU29" s="6"/>
      <c r="WV29" s="6"/>
      <c r="WW29" s="6"/>
      <c r="WX29" s="6"/>
      <c r="WY29" s="6"/>
      <c r="WZ29" s="6"/>
      <c r="XA29" s="6"/>
      <c r="XB29" s="6"/>
      <c r="XC29" s="6"/>
      <c r="XD29" s="6"/>
      <c r="XE29" s="6"/>
      <c r="XF29" s="6"/>
      <c r="XG29" s="6"/>
      <c r="XH29" s="6"/>
      <c r="XI29" s="6"/>
      <c r="XJ29" s="6"/>
      <c r="XK29" s="6"/>
      <c r="XL29" s="6"/>
      <c r="XM29" s="6"/>
      <c r="XN29" s="6"/>
      <c r="XO29" s="6"/>
      <c r="XP29" s="6"/>
      <c r="XQ29" s="6"/>
      <c r="XR29" s="6"/>
      <c r="XS29" s="6"/>
      <c r="XT29" s="6"/>
      <c r="XU29" s="6"/>
      <c r="XV29" s="6"/>
      <c r="XW29" s="6"/>
      <c r="XX29" s="6"/>
      <c r="XY29" s="6"/>
      <c r="XZ29" s="6"/>
      <c r="YA29" s="6"/>
      <c r="YB29" s="6"/>
      <c r="YC29" s="6"/>
      <c r="YD29" s="6"/>
      <c r="YE29" s="6"/>
      <c r="YF29" s="6"/>
      <c r="YG29" s="6"/>
      <c r="YH29" s="6"/>
      <c r="YI29" s="6"/>
      <c r="YJ29" s="6"/>
      <c r="YK29" s="6"/>
      <c r="YL29" s="6"/>
      <c r="YM29" s="6"/>
      <c r="YN29" s="6"/>
      <c r="YO29" s="6"/>
      <c r="YP29" s="6"/>
      <c r="YQ29" s="6"/>
      <c r="YR29" s="6"/>
      <c r="YS29" s="6"/>
      <c r="YT29" s="6"/>
      <c r="YU29" s="6"/>
      <c r="YV29" s="6"/>
      <c r="YW29" s="6"/>
      <c r="YX29" s="6"/>
      <c r="YY29" s="6"/>
      <c r="YZ29" s="6"/>
      <c r="ZA29" s="6"/>
      <c r="ZB29" s="6"/>
      <c r="ZC29" s="6"/>
      <c r="ZD29" s="6"/>
      <c r="ZE29" s="6"/>
      <c r="ZF29" s="6"/>
      <c r="ZG29" s="6"/>
      <c r="ZH29" s="6"/>
      <c r="ZI29" s="6"/>
      <c r="ZJ29" s="6"/>
      <c r="ZK29" s="6"/>
      <c r="ZL29" s="6"/>
      <c r="ZM29" s="6"/>
      <c r="ZN29" s="6"/>
      <c r="ZO29" s="6"/>
      <c r="ZP29" s="6"/>
      <c r="ZQ29" s="6"/>
      <c r="ZR29" s="6"/>
      <c r="ZS29" s="6"/>
      <c r="ZT29" s="6"/>
      <c r="ZU29" s="6"/>
      <c r="ZV29" s="6"/>
      <c r="ZW29" s="6"/>
      <c r="ZX29" s="6"/>
      <c r="ZY29" s="6"/>
      <c r="ZZ29" s="6"/>
      <c r="AAA29" s="6"/>
      <c r="AAB29" s="6"/>
      <c r="AAC29" s="6"/>
      <c r="AAD29" s="6"/>
      <c r="AAE29" s="6"/>
      <c r="AAF29" s="6"/>
      <c r="AAG29" s="6"/>
      <c r="AAH29" s="6"/>
      <c r="AAI29" s="6"/>
      <c r="AAJ29" s="6"/>
      <c r="AAK29" s="6"/>
      <c r="AAL29" s="6"/>
      <c r="AAM29" s="6"/>
      <c r="AAN29" s="6"/>
      <c r="AAO29" s="6"/>
      <c r="AAP29" s="6"/>
      <c r="AAQ29" s="6"/>
      <c r="AAR29" s="6"/>
      <c r="AAS29" s="6"/>
      <c r="AAT29" s="6"/>
      <c r="AAU29" s="6"/>
      <c r="AAV29" s="6"/>
      <c r="AAW29" s="6"/>
      <c r="AAX29" s="6"/>
      <c r="AAY29" s="6"/>
      <c r="AAZ29" s="6"/>
      <c r="ABA29" s="6"/>
      <c r="ABB29" s="6"/>
      <c r="ABC29" s="6"/>
      <c r="ABD29" s="6"/>
      <c r="ABE29" s="6"/>
      <c r="ABF29" s="6"/>
      <c r="ABG29" s="6"/>
      <c r="ABH29" s="6"/>
      <c r="ABI29" s="6"/>
      <c r="ABJ29" s="6"/>
      <c r="ABK29" s="6"/>
      <c r="ABL29" s="6"/>
      <c r="ABM29" s="6"/>
      <c r="ABN29" s="6"/>
      <c r="ABO29" s="6"/>
      <c r="ABP29" s="6"/>
      <c r="ABQ29" s="6"/>
      <c r="ABR29" s="6"/>
      <c r="ABS29" s="6"/>
      <c r="ABT29" s="6"/>
      <c r="ABU29" s="6"/>
      <c r="ABV29" s="6"/>
      <c r="ABW29" s="6"/>
      <c r="ABX29" s="6"/>
      <c r="ABY29" s="6"/>
      <c r="ABZ29" s="6"/>
      <c r="ACA29" s="6"/>
      <c r="ACB29" s="6"/>
      <c r="ACC29" s="6"/>
      <c r="ACD29" s="6"/>
      <c r="ACE29" s="6"/>
      <c r="ACF29" s="6"/>
      <c r="ACG29" s="6"/>
      <c r="ACH29" s="6"/>
      <c r="ACI29" s="6"/>
      <c r="ACJ29" s="6"/>
      <c r="ACK29" s="6"/>
      <c r="ACL29" s="6"/>
      <c r="ACM29" s="6"/>
      <c r="ACN29" s="6"/>
      <c r="ACO29" s="6"/>
      <c r="ACP29" s="6"/>
      <c r="ACQ29" s="6"/>
      <c r="ACR29" s="6"/>
      <c r="ACS29" s="6"/>
      <c r="ACT29" s="6"/>
      <c r="ACU29" s="6"/>
      <c r="ACV29" s="6"/>
      <c r="ACW29" s="6"/>
      <c r="ACX29" s="6"/>
      <c r="ACY29" s="6"/>
      <c r="ACZ29" s="6"/>
      <c r="ADA29" s="6"/>
      <c r="ADB29" s="6"/>
      <c r="ADC29" s="6"/>
      <c r="ADD29" s="6"/>
      <c r="ADE29" s="6"/>
      <c r="ADF29" s="6"/>
      <c r="ADG29" s="6"/>
      <c r="ADH29" s="6"/>
      <c r="ADI29" s="6"/>
      <c r="ADJ29" s="6"/>
      <c r="ADK29" s="6"/>
      <c r="ADL29" s="6"/>
      <c r="ADM29" s="6"/>
      <c r="ADN29" s="6"/>
      <c r="ANH29">
        <v>36</v>
      </c>
      <c r="ANJ29">
        <v>1</v>
      </c>
      <c r="ANK29">
        <v>25.8</v>
      </c>
      <c r="ANN29">
        <v>15</v>
      </c>
      <c r="AQE29">
        <v>1</v>
      </c>
      <c r="ASL29">
        <v>1</v>
      </c>
      <c r="AXT29">
        <v>500</v>
      </c>
      <c r="AXU29">
        <v>1</v>
      </c>
      <c r="AXX29">
        <v>1</v>
      </c>
      <c r="AXZ29">
        <v>2</v>
      </c>
      <c r="AYA29">
        <v>0</v>
      </c>
      <c r="AYB29">
        <v>0</v>
      </c>
      <c r="AYC29">
        <v>1</v>
      </c>
      <c r="BKO29">
        <v>2</v>
      </c>
      <c r="BKR29">
        <v>1</v>
      </c>
      <c r="BKS29">
        <v>11</v>
      </c>
      <c r="BKT29">
        <v>17</v>
      </c>
      <c r="BKU29">
        <v>8</v>
      </c>
      <c r="BKV29">
        <v>0</v>
      </c>
      <c r="BKW29">
        <v>3</v>
      </c>
      <c r="BOV29">
        <v>2</v>
      </c>
      <c r="BOY29">
        <v>1</v>
      </c>
      <c r="BOZ29">
        <v>9</v>
      </c>
      <c r="BPA29">
        <v>6</v>
      </c>
      <c r="BPB29">
        <v>0</v>
      </c>
      <c r="BPC29">
        <v>999</v>
      </c>
      <c r="GEM29">
        <v>1</v>
      </c>
      <c r="GES29">
        <v>1</v>
      </c>
      <c r="GFE29">
        <v>1</v>
      </c>
      <c r="GFK29">
        <v>1</v>
      </c>
      <c r="GFQ29">
        <v>1</v>
      </c>
      <c r="GFR29">
        <v>1</v>
      </c>
      <c r="GFS29">
        <v>1</v>
      </c>
      <c r="GHO29">
        <v>1</v>
      </c>
      <c r="GHP29">
        <v>1</v>
      </c>
      <c r="GIF29">
        <v>1</v>
      </c>
    </row>
    <row r="30" spans="1:1015 1048:3035 3169:4013 4179:5068" x14ac:dyDescent="0.25">
      <c r="A30" s="50">
        <v>99000894</v>
      </c>
      <c r="B30" s="7"/>
      <c r="C30" s="7"/>
      <c r="D30" s="7"/>
      <c r="E30" s="7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  <c r="CT30" s="6"/>
      <c r="CU30" s="6"/>
      <c r="CV30" s="6"/>
      <c r="CW30" s="6"/>
      <c r="CX30" s="6"/>
      <c r="CY30" s="6"/>
      <c r="CZ30" s="6"/>
      <c r="DA30" s="6"/>
      <c r="DB30" s="6"/>
      <c r="DC30" s="6"/>
      <c r="DD30" s="6"/>
      <c r="DE30" s="6"/>
      <c r="DF30" s="6"/>
      <c r="DG30" s="6"/>
      <c r="DH30" s="6"/>
      <c r="DI30" s="6"/>
      <c r="DJ30" s="6"/>
      <c r="DK30" s="6"/>
      <c r="DL30" s="6"/>
      <c r="DM30" s="6"/>
      <c r="DN30" s="6"/>
      <c r="DO30" s="7"/>
      <c r="DP30" s="7"/>
      <c r="DQ30" s="7"/>
      <c r="DR30" s="7"/>
      <c r="DS30" s="7"/>
      <c r="DT30" s="7"/>
      <c r="DU30" s="7"/>
      <c r="DV30" s="7"/>
      <c r="DW30" s="7"/>
      <c r="DX30" s="7"/>
      <c r="DY30" s="7"/>
      <c r="DZ30" s="7"/>
      <c r="EA30" s="7"/>
      <c r="EB30" s="7"/>
      <c r="EC30" s="7"/>
      <c r="ED30" s="7"/>
      <c r="EE30" s="7"/>
      <c r="EF30" s="7"/>
      <c r="EG30" s="7"/>
      <c r="EH30" s="7"/>
      <c r="EI30" s="7"/>
      <c r="EJ30" s="7"/>
      <c r="EK30" s="7"/>
      <c r="EL30" s="7"/>
      <c r="EM30" s="7"/>
      <c r="EN30" s="7"/>
      <c r="EO30" s="7"/>
      <c r="EP30" s="7"/>
      <c r="EQ30" s="7"/>
      <c r="ER30" s="7"/>
      <c r="ES30" s="7"/>
      <c r="ET30" s="7"/>
      <c r="EU30" s="7"/>
      <c r="EV30" s="7"/>
      <c r="EW30" s="7"/>
      <c r="EX30" s="7"/>
      <c r="EY30" s="6"/>
      <c r="EZ30" s="6"/>
      <c r="FA30" s="6"/>
      <c r="FB30" s="6"/>
      <c r="FC30" s="6"/>
      <c r="FD30" s="6"/>
      <c r="FE30" s="6"/>
      <c r="FF30" s="6"/>
      <c r="FG30" s="6"/>
      <c r="FH30" s="6"/>
      <c r="FI30" s="6"/>
      <c r="FJ30" s="6"/>
      <c r="FK30" s="6"/>
      <c r="FL30" s="6"/>
      <c r="FM30" s="6"/>
      <c r="FN30" s="6"/>
      <c r="FO30" s="6"/>
      <c r="FP30" s="6"/>
      <c r="FQ30" s="6"/>
      <c r="FR30" s="6"/>
      <c r="FS30" s="6"/>
      <c r="FT30" s="6"/>
      <c r="FU30" s="6"/>
      <c r="FV30" s="6"/>
      <c r="FW30" s="6"/>
      <c r="FX30" s="6"/>
      <c r="FY30" s="6"/>
      <c r="FZ30" s="6"/>
      <c r="GA30" s="6"/>
      <c r="GB30" s="6"/>
      <c r="GC30" s="6"/>
      <c r="GD30" s="6"/>
      <c r="GE30" s="6"/>
      <c r="GF30" s="6"/>
      <c r="GG30" s="6"/>
      <c r="GH30" s="6"/>
      <c r="GI30" s="6"/>
      <c r="GJ30" s="6"/>
      <c r="GK30" s="6"/>
      <c r="GL30" s="6"/>
      <c r="GM30" s="6"/>
      <c r="GN30" s="6"/>
      <c r="GO30" s="6"/>
      <c r="GP30" s="6"/>
      <c r="GQ30" s="6"/>
      <c r="GR30" s="6"/>
      <c r="GS30" s="6"/>
      <c r="GT30" s="6"/>
      <c r="GU30" s="6"/>
      <c r="GV30" s="6"/>
      <c r="GW30" s="6"/>
      <c r="GX30" s="6"/>
      <c r="GY30" s="51"/>
      <c r="GZ30" s="51"/>
      <c r="HA30" s="55"/>
      <c r="HB30" s="55"/>
      <c r="HC30" s="55"/>
      <c r="HD30" s="6"/>
      <c r="HE30" s="6"/>
      <c r="HF30" s="6"/>
      <c r="HG30" s="6"/>
      <c r="HH30" s="6"/>
      <c r="HI30" s="6"/>
      <c r="HJ30" s="6"/>
      <c r="HK30" s="6"/>
      <c r="HL30" s="6"/>
      <c r="HM30" s="6"/>
      <c r="HN30" s="6"/>
      <c r="HO30" s="6"/>
      <c r="HP30" s="6"/>
      <c r="HQ30" s="6"/>
      <c r="HR30" s="6"/>
      <c r="HS30" s="6"/>
      <c r="HT30" s="6"/>
      <c r="HU30" s="6"/>
      <c r="HV30" s="6"/>
      <c r="HW30" s="6"/>
      <c r="HX30" s="6"/>
      <c r="HY30" s="6"/>
      <c r="HZ30" s="6"/>
      <c r="IA30" s="6"/>
      <c r="IB30" s="6"/>
      <c r="IC30" s="6"/>
      <c r="ID30" s="6"/>
      <c r="IE30" s="6"/>
      <c r="IF30" s="6"/>
      <c r="IG30" s="6"/>
      <c r="IH30" s="7"/>
      <c r="II30" s="7"/>
      <c r="IJ30" s="7"/>
      <c r="IK30" s="6"/>
      <c r="IL30" s="6"/>
      <c r="IM30" s="6"/>
      <c r="IN30" s="6"/>
      <c r="IO30" s="6"/>
      <c r="IP30" s="6"/>
      <c r="IQ30" s="6"/>
      <c r="IR30" s="6"/>
      <c r="IS30" s="6"/>
      <c r="IT30" s="6"/>
      <c r="IU30" s="6"/>
      <c r="IV30" s="6"/>
      <c r="IW30" s="6"/>
      <c r="IX30" s="6"/>
      <c r="IY30" s="6"/>
      <c r="IZ30" s="6"/>
      <c r="JA30" s="6"/>
      <c r="JB30" s="6"/>
      <c r="JC30" s="6"/>
      <c r="JD30" s="6"/>
      <c r="JE30" s="6"/>
      <c r="JF30" s="6"/>
      <c r="JG30" s="6"/>
      <c r="JH30" s="6"/>
      <c r="JI30" s="6"/>
      <c r="JJ30" s="6"/>
      <c r="JK30" s="6"/>
      <c r="JL30" s="6"/>
      <c r="JM30" s="6"/>
      <c r="JN30" s="6"/>
      <c r="JO30" s="6"/>
      <c r="JP30" s="6"/>
      <c r="JQ30" s="6"/>
      <c r="JR30" s="7"/>
      <c r="JS30" s="7"/>
      <c r="JT30" s="6"/>
      <c r="JU30" s="6"/>
      <c r="JV30" s="6"/>
      <c r="JW30" s="6"/>
      <c r="JX30" s="6"/>
      <c r="JY30" s="6"/>
      <c r="JZ30" s="6"/>
      <c r="KA30" s="6"/>
      <c r="KB30" s="6"/>
      <c r="KC30" s="6"/>
      <c r="KD30" s="6"/>
      <c r="KE30" s="6"/>
      <c r="KF30" s="6"/>
      <c r="KG30" s="6"/>
      <c r="KH30" s="6"/>
      <c r="KI30" s="6"/>
      <c r="KJ30" s="6"/>
      <c r="KK30" s="6"/>
      <c r="KL30" s="6"/>
      <c r="KM30" s="6"/>
      <c r="KN30" s="6"/>
      <c r="KO30" s="6"/>
      <c r="KP30" s="6"/>
      <c r="KQ30" s="6"/>
      <c r="KR30" s="6"/>
      <c r="KS30" s="6"/>
      <c r="KT30" s="6"/>
      <c r="KU30" s="6"/>
      <c r="KV30" s="6"/>
      <c r="KW30" s="6"/>
      <c r="KX30" s="6"/>
      <c r="KY30" s="6"/>
      <c r="KZ30" s="6"/>
      <c r="LA30" s="6"/>
      <c r="LB30" s="6"/>
      <c r="LC30" s="6"/>
      <c r="LD30" s="6"/>
      <c r="LE30" s="6"/>
      <c r="LF30" s="6"/>
      <c r="LG30" s="6"/>
      <c r="LH30" s="6"/>
      <c r="LI30" s="6"/>
      <c r="LJ30" s="6"/>
      <c r="LK30" s="6"/>
      <c r="LL30" s="6"/>
      <c r="LM30" s="6"/>
      <c r="LN30" s="6"/>
      <c r="LO30" s="6"/>
      <c r="LP30" s="6"/>
      <c r="LQ30" s="6"/>
      <c r="LR30" s="6"/>
      <c r="LS30" s="6"/>
      <c r="LT30" s="6"/>
      <c r="LU30" s="6"/>
      <c r="LV30" s="6"/>
      <c r="LW30" s="6"/>
      <c r="LX30" s="51"/>
      <c r="LY30" s="51"/>
      <c r="LZ30" s="51"/>
      <c r="MA30" s="51"/>
      <c r="MB30" s="51"/>
      <c r="MC30" s="51"/>
      <c r="MD30" s="51"/>
      <c r="ME30" s="6"/>
      <c r="MF30" s="6"/>
      <c r="MG30" s="6"/>
      <c r="MH30" s="6"/>
      <c r="MI30" s="6"/>
      <c r="MJ30" s="6"/>
      <c r="MK30" s="6"/>
      <c r="ML30" s="6"/>
      <c r="MM30" s="6"/>
      <c r="MN30" s="6"/>
      <c r="MO30" s="6"/>
      <c r="MP30" s="6"/>
      <c r="MQ30" s="6"/>
      <c r="MR30" s="6"/>
      <c r="MS30" s="6"/>
      <c r="MT30" s="6"/>
      <c r="MU30" s="6"/>
      <c r="MV30" s="6"/>
      <c r="MW30" s="6"/>
      <c r="MX30" s="6"/>
      <c r="MY30" s="6"/>
      <c r="MZ30" s="6"/>
      <c r="NA30" s="6"/>
      <c r="NB30" s="6"/>
      <c r="NC30" s="6"/>
      <c r="ND30" s="6"/>
      <c r="NE30" s="6"/>
      <c r="NF30" s="6"/>
      <c r="NG30" s="6"/>
      <c r="NN30" s="6"/>
      <c r="NS30" s="6"/>
      <c r="NT30" s="6"/>
      <c r="NU30" s="6"/>
      <c r="NV30" s="6"/>
      <c r="NW30" s="6"/>
      <c r="NX30" s="6"/>
      <c r="NY30" s="6"/>
      <c r="NZ30" s="6"/>
      <c r="OA30" s="6"/>
      <c r="OB30" s="6"/>
      <c r="OC30" s="6"/>
      <c r="OD30" s="6"/>
      <c r="OE30" s="6"/>
      <c r="OF30" s="6"/>
      <c r="OG30" s="6"/>
      <c r="OH30" s="6"/>
      <c r="OI30" s="6"/>
      <c r="OJ30" s="6"/>
      <c r="OK30" s="6"/>
      <c r="OL30" s="6"/>
      <c r="OM30" s="6"/>
      <c r="ON30" s="6"/>
      <c r="OO30" s="6"/>
      <c r="OP30" s="6"/>
      <c r="OQ30" s="6"/>
      <c r="OR30" s="6"/>
      <c r="OS30" s="6"/>
      <c r="OT30" s="6"/>
      <c r="OU30" s="6"/>
      <c r="OV30" s="6"/>
      <c r="OW30" s="6"/>
      <c r="OX30" s="6"/>
      <c r="OY30" s="6"/>
      <c r="OZ30" s="6"/>
      <c r="QQ30" s="8"/>
      <c r="QR30" s="8"/>
      <c r="QS30" s="8"/>
      <c r="QT30" s="8"/>
      <c r="QU30" s="8"/>
      <c r="QV30" s="8"/>
      <c r="QW30" s="8"/>
      <c r="QX30" s="8"/>
      <c r="QY30" s="6"/>
      <c r="QZ30" s="6"/>
      <c r="RA30" s="6"/>
      <c r="RB30" s="6"/>
      <c r="RC30" s="6"/>
      <c r="RD30" s="6"/>
      <c r="RE30" s="6"/>
      <c r="RF30" s="6"/>
      <c r="RG30" s="6"/>
      <c r="RH30" s="6"/>
      <c r="RI30" s="6"/>
      <c r="RJ30" s="6"/>
      <c r="RK30" s="6"/>
      <c r="RL30" s="6"/>
      <c r="RM30" s="6"/>
      <c r="RN30" s="6"/>
      <c r="RO30" s="6"/>
      <c r="RP30" s="6"/>
      <c r="RQ30" s="6"/>
      <c r="RR30" s="6"/>
      <c r="RS30" s="6"/>
      <c r="RT30" s="6"/>
      <c r="RU30" s="6"/>
      <c r="RV30" s="6"/>
      <c r="RW30" s="6"/>
      <c r="RX30" s="6"/>
      <c r="RY30" s="6"/>
      <c r="RZ30" s="6"/>
      <c r="SA30" s="6"/>
      <c r="SB30" s="6"/>
      <c r="SC30" s="6"/>
      <c r="SD30" s="6"/>
      <c r="SE30" s="6"/>
      <c r="SF30" s="6"/>
      <c r="SG30" s="6"/>
      <c r="SH30" s="6"/>
      <c r="SI30" s="6"/>
      <c r="SJ30" s="6"/>
      <c r="SK30" s="6"/>
      <c r="SL30" s="6"/>
      <c r="SM30" s="7"/>
      <c r="SN30" s="7"/>
      <c r="SO30" s="7"/>
      <c r="SP30" s="7"/>
      <c r="SQ30" s="7"/>
      <c r="SR30" s="6"/>
      <c r="SS30" s="6"/>
      <c r="ST30" s="6"/>
      <c r="SU30" s="6"/>
      <c r="SV30" s="6"/>
      <c r="SW30" s="6"/>
      <c r="SX30" s="6"/>
      <c r="SY30" s="6"/>
      <c r="SZ30" s="6"/>
      <c r="TA30" s="6"/>
      <c r="TB30" s="6"/>
      <c r="TC30" s="6"/>
      <c r="TD30" s="6"/>
      <c r="TE30" s="6"/>
      <c r="TF30" s="6"/>
      <c r="TG30" s="6"/>
      <c r="TH30" s="6"/>
      <c r="TI30" s="6"/>
      <c r="TJ30" s="6"/>
      <c r="TK30" s="6"/>
      <c r="TL30" s="6"/>
      <c r="TM30" s="6"/>
      <c r="TN30" s="6"/>
      <c r="TO30" s="6"/>
      <c r="TP30" s="6"/>
      <c r="TQ30" s="6"/>
      <c r="TR30" s="6"/>
      <c r="TS30" s="6"/>
      <c r="TT30" s="6"/>
      <c r="TU30" s="6"/>
      <c r="TV30" s="6"/>
      <c r="TW30" s="6"/>
      <c r="TX30" s="6"/>
      <c r="TY30" s="6"/>
      <c r="TZ30" s="6"/>
      <c r="UA30" s="6"/>
      <c r="UB30" s="6"/>
      <c r="UC30" s="6"/>
      <c r="UD30" s="6"/>
      <c r="UE30" s="6"/>
      <c r="UF30" s="6"/>
      <c r="UG30" s="6"/>
      <c r="UH30" s="6"/>
      <c r="UI30" s="6"/>
      <c r="UJ30" s="6"/>
      <c r="UK30" s="6"/>
      <c r="UL30" s="6"/>
      <c r="UM30" s="6"/>
      <c r="UN30" s="6"/>
      <c r="UO30" s="6"/>
      <c r="UP30" s="6"/>
      <c r="UQ30" s="6"/>
      <c r="UR30" s="6"/>
      <c r="US30" s="6"/>
      <c r="UT30" s="6"/>
      <c r="UU30" s="6"/>
      <c r="UV30" s="6"/>
      <c r="UW30" s="6"/>
      <c r="UX30" s="6"/>
      <c r="UY30" s="6"/>
      <c r="UZ30" s="6"/>
      <c r="VA30" s="6"/>
      <c r="VB30" s="6"/>
      <c r="VC30" s="6"/>
      <c r="VD30" s="6"/>
      <c r="VE30" s="6"/>
      <c r="VF30" s="6"/>
      <c r="VG30" s="6"/>
      <c r="VH30" s="6"/>
      <c r="VI30" s="6"/>
      <c r="VJ30" s="6"/>
      <c r="VK30" s="6"/>
      <c r="VL30" s="6"/>
      <c r="VM30" s="6"/>
      <c r="VN30" s="6"/>
      <c r="VO30" s="6"/>
      <c r="VP30" s="6"/>
      <c r="VQ30" s="6"/>
      <c r="VR30" s="6"/>
      <c r="VS30" s="6"/>
      <c r="VT30" s="6"/>
      <c r="VU30" s="6"/>
      <c r="VV30" s="6"/>
      <c r="VW30" s="6"/>
      <c r="VX30" s="6"/>
      <c r="VY30" s="6"/>
      <c r="VZ30" s="6"/>
      <c r="WA30" s="6"/>
      <c r="WB30" s="6"/>
      <c r="WC30" s="6"/>
      <c r="WD30" s="6"/>
      <c r="WE30" s="6"/>
      <c r="WF30" s="6"/>
      <c r="WG30" s="6"/>
      <c r="WH30" s="6"/>
      <c r="WI30" s="6"/>
      <c r="WJ30" s="6"/>
      <c r="WK30" s="6"/>
      <c r="WL30" s="6"/>
      <c r="WM30" s="6"/>
      <c r="WN30" s="6"/>
      <c r="WO30" s="6"/>
      <c r="WP30" s="6"/>
      <c r="WQ30" s="6"/>
      <c r="WR30" s="6"/>
      <c r="WS30" s="6"/>
      <c r="WT30" s="6"/>
      <c r="WU30" s="6"/>
      <c r="WV30" s="6"/>
      <c r="WW30" s="6"/>
      <c r="WX30" s="6"/>
      <c r="WY30" s="6"/>
      <c r="WZ30" s="6"/>
      <c r="XA30" s="6"/>
      <c r="XB30" s="6"/>
      <c r="XC30" s="6"/>
      <c r="XD30" s="6"/>
      <c r="XE30" s="6"/>
      <c r="XF30" s="6"/>
      <c r="XG30" s="6"/>
      <c r="XH30" s="6"/>
      <c r="XI30" s="6"/>
      <c r="XJ30" s="6"/>
      <c r="XK30" s="6"/>
      <c r="XL30" s="6"/>
      <c r="XM30" s="6"/>
      <c r="XN30" s="6"/>
      <c r="XO30" s="6"/>
      <c r="XP30" s="6"/>
      <c r="XQ30" s="6"/>
      <c r="XR30" s="6"/>
      <c r="XS30" s="6"/>
      <c r="XT30" s="6"/>
      <c r="XU30" s="6"/>
      <c r="XV30" s="6"/>
      <c r="XW30" s="6"/>
      <c r="XX30" s="6"/>
      <c r="XY30" s="6"/>
      <c r="XZ30" s="6"/>
      <c r="YA30" s="6"/>
      <c r="YB30" s="6"/>
      <c r="YC30" s="6"/>
      <c r="YD30" s="6"/>
      <c r="YE30" s="6"/>
      <c r="YF30" s="6"/>
      <c r="YG30" s="6"/>
      <c r="YH30" s="6"/>
      <c r="YI30" s="6"/>
      <c r="YJ30" s="6"/>
      <c r="YK30" s="6"/>
      <c r="YL30" s="6"/>
      <c r="YM30" s="6"/>
      <c r="YN30" s="6"/>
      <c r="YO30" s="6"/>
      <c r="YP30" s="6"/>
      <c r="YQ30" s="6"/>
      <c r="YR30" s="6"/>
      <c r="YS30" s="6"/>
      <c r="YT30" s="6"/>
      <c r="YU30" s="6"/>
      <c r="YV30" s="6"/>
      <c r="YW30" s="6"/>
      <c r="YX30" s="6"/>
      <c r="YY30" s="6"/>
      <c r="YZ30" s="6"/>
      <c r="ZA30" s="6"/>
      <c r="ZB30" s="6"/>
      <c r="ZC30" s="6"/>
      <c r="ZD30" s="6"/>
      <c r="ZE30" s="6"/>
      <c r="ZF30" s="6"/>
      <c r="ZG30" s="6"/>
      <c r="ZH30" s="6"/>
      <c r="ZI30" s="6"/>
      <c r="ZJ30" s="6"/>
      <c r="ZK30" s="6"/>
      <c r="ZL30" s="6"/>
      <c r="ZM30" s="6"/>
      <c r="ZN30" s="6"/>
      <c r="ZO30" s="6"/>
      <c r="ZP30" s="6"/>
      <c r="ZQ30" s="6"/>
      <c r="ZR30" s="6"/>
      <c r="ZS30" s="6"/>
      <c r="ZT30" s="6"/>
      <c r="ZU30" s="6"/>
      <c r="ZV30" s="6"/>
      <c r="ZW30" s="6"/>
      <c r="ZX30" s="6"/>
      <c r="ZY30" s="6"/>
      <c r="ZZ30" s="6"/>
      <c r="AAA30" s="6"/>
      <c r="AAB30" s="6"/>
      <c r="AAC30" s="6"/>
      <c r="AAD30" s="6"/>
      <c r="AAE30" s="6"/>
      <c r="AAF30" s="6"/>
      <c r="AAG30" s="6"/>
      <c r="AAH30" s="6"/>
      <c r="AAI30" s="6"/>
      <c r="AAJ30" s="6"/>
      <c r="AAK30" s="6"/>
      <c r="AAL30" s="6"/>
      <c r="AAM30" s="6"/>
      <c r="AAN30" s="6"/>
      <c r="AAO30" s="6"/>
      <c r="AAP30" s="6"/>
      <c r="AAQ30" s="6"/>
      <c r="AAR30" s="6"/>
      <c r="AAS30" s="6"/>
      <c r="AAT30" s="6"/>
      <c r="AAU30" s="6"/>
      <c r="AAV30" s="6"/>
      <c r="AAW30" s="6"/>
      <c r="AAX30" s="6"/>
      <c r="AAY30" s="6"/>
      <c r="AAZ30" s="6"/>
      <c r="ABA30" s="6"/>
      <c r="ABB30" s="6"/>
      <c r="ABC30" s="6"/>
      <c r="ABD30" s="6"/>
      <c r="ABE30" s="6"/>
      <c r="ABF30" s="6"/>
      <c r="ABG30" s="6"/>
      <c r="ABH30" s="6"/>
      <c r="ABI30" s="6"/>
      <c r="ABJ30" s="6"/>
      <c r="ABK30" s="6"/>
      <c r="ABL30" s="6"/>
      <c r="ABM30" s="6"/>
      <c r="ABN30" s="6"/>
      <c r="ABO30" s="6"/>
      <c r="ABP30" s="6"/>
      <c r="ABQ30" s="6"/>
      <c r="ABR30" s="6"/>
      <c r="ABS30" s="6"/>
      <c r="ABT30" s="6"/>
      <c r="ABU30" s="6"/>
      <c r="ABV30" s="6"/>
      <c r="ABW30" s="6"/>
      <c r="ABX30" s="6"/>
      <c r="ABY30" s="6"/>
      <c r="ABZ30" s="6"/>
      <c r="ACA30" s="6"/>
      <c r="ACB30" s="6"/>
      <c r="ACC30" s="6"/>
      <c r="ACD30" s="6"/>
      <c r="ACE30" s="6"/>
      <c r="ACF30" s="6"/>
      <c r="ACG30" s="6"/>
      <c r="ACH30" s="6"/>
      <c r="ACI30" s="6"/>
      <c r="ACJ30" s="6"/>
      <c r="ACK30" s="6"/>
      <c r="ACL30" s="6"/>
      <c r="ACM30" s="6"/>
      <c r="ACN30" s="6"/>
      <c r="ACO30" s="6"/>
      <c r="ACP30" s="6"/>
      <c r="ACQ30" s="6"/>
      <c r="ACR30" s="6"/>
      <c r="ACS30" s="6"/>
      <c r="ACT30" s="6"/>
      <c r="ACU30" s="6"/>
      <c r="ACV30" s="6"/>
      <c r="ACW30" s="6"/>
      <c r="ACX30" s="6"/>
      <c r="ACY30" s="6"/>
      <c r="ACZ30" s="6"/>
      <c r="ADA30" s="6"/>
      <c r="ADB30" s="6"/>
      <c r="ADC30" s="6"/>
      <c r="ADD30" s="6"/>
      <c r="ADE30" s="6"/>
      <c r="ADF30" s="6"/>
      <c r="ADG30" s="6"/>
      <c r="ADH30" s="6"/>
      <c r="ADI30" s="6"/>
      <c r="ADJ30" s="6"/>
      <c r="ADK30" s="6"/>
      <c r="ADL30" s="6"/>
      <c r="ADM30" s="6"/>
      <c r="ADN30" s="6"/>
      <c r="ANH30">
        <v>58</v>
      </c>
      <c r="ANJ30">
        <v>1</v>
      </c>
      <c r="ANK30">
        <v>22.6</v>
      </c>
      <c r="ANM30">
        <v>1</v>
      </c>
      <c r="ANN30">
        <v>27</v>
      </c>
      <c r="AUP30">
        <v>1</v>
      </c>
      <c r="AUU30">
        <v>1</v>
      </c>
      <c r="AUV30">
        <v>1</v>
      </c>
      <c r="AUY30">
        <v>1</v>
      </c>
      <c r="AXT30" t="s">
        <v>391</v>
      </c>
      <c r="AXU30" s="2">
        <v>1</v>
      </c>
      <c r="AXX30">
        <v>1</v>
      </c>
      <c r="AXZ30">
        <v>1</v>
      </c>
      <c r="AYA30">
        <v>1</v>
      </c>
      <c r="AYB30">
        <v>1</v>
      </c>
      <c r="AYC30">
        <v>0</v>
      </c>
      <c r="AYD30">
        <v>7</v>
      </c>
      <c r="BGF30" s="2">
        <v>2</v>
      </c>
      <c r="BGG30">
        <v>1</v>
      </c>
      <c r="BGH30">
        <v>1</v>
      </c>
      <c r="BGK30">
        <v>2</v>
      </c>
      <c r="BGL30">
        <v>2</v>
      </c>
      <c r="BGM30">
        <v>1</v>
      </c>
      <c r="BGN30">
        <v>0</v>
      </c>
      <c r="BGO30">
        <v>5</v>
      </c>
      <c r="BZB30">
        <v>7.5</v>
      </c>
      <c r="BZC30">
        <v>1</v>
      </c>
      <c r="BZF30">
        <v>1</v>
      </c>
      <c r="BZG30">
        <v>1</v>
      </c>
      <c r="BZH30">
        <v>2</v>
      </c>
      <c r="BZI30">
        <v>2</v>
      </c>
      <c r="BZJ30">
        <v>0</v>
      </c>
      <c r="BZK30">
        <v>4</v>
      </c>
      <c r="BZL30">
        <v>1</v>
      </c>
      <c r="BZM30">
        <v>1</v>
      </c>
      <c r="BZP30">
        <v>1</v>
      </c>
      <c r="BZQ30">
        <v>1</v>
      </c>
      <c r="BZR30">
        <v>3</v>
      </c>
      <c r="BZS30">
        <v>3</v>
      </c>
      <c r="BZT30">
        <v>0</v>
      </c>
      <c r="BZU30">
        <v>4</v>
      </c>
      <c r="CVT30" t="s">
        <v>387</v>
      </c>
      <c r="CVU30">
        <v>3</v>
      </c>
      <c r="CVX30">
        <v>1</v>
      </c>
      <c r="CVZ30">
        <v>9</v>
      </c>
      <c r="CWA30">
        <v>18</v>
      </c>
      <c r="CWB30">
        <v>10</v>
      </c>
      <c r="CWC30">
        <v>0</v>
      </c>
      <c r="CWD30">
        <v>5</v>
      </c>
      <c r="DDD30" t="s">
        <v>383</v>
      </c>
      <c r="DDE30">
        <v>1</v>
      </c>
      <c r="DDH30">
        <v>1</v>
      </c>
      <c r="DDJ30">
        <v>16</v>
      </c>
      <c r="DDK30">
        <v>18</v>
      </c>
      <c r="DDL30">
        <v>3</v>
      </c>
      <c r="DDM30">
        <v>999</v>
      </c>
      <c r="DDN30">
        <v>5</v>
      </c>
      <c r="DGS30">
        <v>10</v>
      </c>
      <c r="DGT30">
        <v>1</v>
      </c>
      <c r="DGU30">
        <v>1</v>
      </c>
      <c r="DGX30">
        <v>2</v>
      </c>
      <c r="DGY30">
        <v>2</v>
      </c>
      <c r="DGZ30">
        <v>1</v>
      </c>
      <c r="DHA30">
        <v>0</v>
      </c>
      <c r="DHB30">
        <v>5</v>
      </c>
      <c r="DHM30">
        <v>250</v>
      </c>
      <c r="DHN30">
        <v>1</v>
      </c>
      <c r="DHQ30">
        <v>1</v>
      </c>
      <c r="DHR30">
        <v>22</v>
      </c>
      <c r="DHS30">
        <v>18</v>
      </c>
      <c r="DHT30">
        <v>0</v>
      </c>
      <c r="DHU30">
        <v>999</v>
      </c>
      <c r="DHV30">
        <v>5</v>
      </c>
      <c r="DKZ30" s="2">
        <v>1</v>
      </c>
      <c r="DLA30">
        <v>4</v>
      </c>
      <c r="DLD30">
        <v>1</v>
      </c>
      <c r="DLE30">
        <v>22</v>
      </c>
      <c r="DLF30">
        <v>18</v>
      </c>
      <c r="DLG30">
        <v>0</v>
      </c>
      <c r="DLH30">
        <v>999</v>
      </c>
      <c r="DLI30">
        <v>5</v>
      </c>
      <c r="DSV30" s="2">
        <v>1</v>
      </c>
      <c r="DSW30">
        <v>1</v>
      </c>
      <c r="DSZ30">
        <v>11</v>
      </c>
      <c r="DTA30">
        <v>9</v>
      </c>
      <c r="DTB30">
        <v>0</v>
      </c>
      <c r="DTC30">
        <v>1</v>
      </c>
      <c r="DTD30">
        <v>5</v>
      </c>
      <c r="EAG30" t="s">
        <v>382</v>
      </c>
      <c r="EAH30">
        <v>1</v>
      </c>
      <c r="EAK30">
        <v>1</v>
      </c>
      <c r="EAL30">
        <v>10</v>
      </c>
      <c r="EAM30">
        <v>9</v>
      </c>
      <c r="EAN30">
        <v>0</v>
      </c>
      <c r="EAO30">
        <v>0</v>
      </c>
      <c r="EAP30">
        <v>5</v>
      </c>
      <c r="EED30">
        <v>2</v>
      </c>
      <c r="EEE30">
        <v>1</v>
      </c>
      <c r="EEF30">
        <v>1</v>
      </c>
      <c r="EEI30">
        <v>1</v>
      </c>
      <c r="EEJ30">
        <v>2</v>
      </c>
      <c r="EEK30">
        <v>2</v>
      </c>
      <c r="EEL30">
        <v>0</v>
      </c>
      <c r="EEM30">
        <v>5</v>
      </c>
      <c r="EFI30" t="s">
        <v>381</v>
      </c>
      <c r="EFJ30">
        <v>3</v>
      </c>
      <c r="EFM30">
        <v>1</v>
      </c>
      <c r="EFN30">
        <v>16</v>
      </c>
      <c r="EFO30">
        <v>18</v>
      </c>
      <c r="EFP30">
        <v>3</v>
      </c>
      <c r="EFQ30">
        <v>999</v>
      </c>
      <c r="EFR30">
        <v>3</v>
      </c>
      <c r="FDS30">
        <v>2</v>
      </c>
      <c r="FDT30">
        <v>1</v>
      </c>
      <c r="FDU30">
        <v>1</v>
      </c>
      <c r="FDX30">
        <v>1</v>
      </c>
      <c r="FDY30">
        <v>2</v>
      </c>
      <c r="FDZ30">
        <v>2</v>
      </c>
      <c r="FEA30">
        <v>0</v>
      </c>
      <c r="FEB30">
        <v>4</v>
      </c>
      <c r="FQJ30">
        <v>1</v>
      </c>
      <c r="FQK30">
        <v>1</v>
      </c>
      <c r="FQL30">
        <v>1</v>
      </c>
      <c r="FQO30">
        <v>1</v>
      </c>
      <c r="FQP30">
        <v>2</v>
      </c>
      <c r="FQQ30">
        <v>2</v>
      </c>
      <c r="FQR30" s="2">
        <v>0</v>
      </c>
      <c r="FQS30">
        <v>5</v>
      </c>
      <c r="FUM30">
        <v>4</v>
      </c>
      <c r="FUO30">
        <v>1</v>
      </c>
      <c r="FUS30">
        <v>2</v>
      </c>
      <c r="FWH30">
        <v>1</v>
      </c>
      <c r="GCM30">
        <v>1</v>
      </c>
      <c r="GDI30">
        <v>1</v>
      </c>
      <c r="GEK30">
        <v>1</v>
      </c>
      <c r="GFE30">
        <v>1</v>
      </c>
    </row>
    <row r="31" spans="1:1015 1048:3035 3169:4013 4179:5068" x14ac:dyDescent="0.25">
      <c r="A31" s="50">
        <v>99000897</v>
      </c>
      <c r="GY31" s="50"/>
      <c r="GZ31" s="50"/>
      <c r="HA31" s="50"/>
      <c r="HB31" s="50"/>
      <c r="HC31" s="50"/>
      <c r="LX31" s="50"/>
      <c r="LY31" s="50"/>
      <c r="LZ31" s="50"/>
      <c r="MA31" s="50"/>
      <c r="MB31" s="50"/>
      <c r="MC31" s="50"/>
      <c r="MD31" s="50"/>
      <c r="ANH31">
        <v>36</v>
      </c>
      <c r="ANJ31">
        <v>1</v>
      </c>
      <c r="ANM31">
        <v>1</v>
      </c>
      <c r="ANN31">
        <v>19</v>
      </c>
      <c r="AXT31" s="2">
        <v>75</v>
      </c>
      <c r="AXU31">
        <v>3</v>
      </c>
      <c r="AXY31">
        <v>1</v>
      </c>
      <c r="AXZ31">
        <v>2</v>
      </c>
      <c r="AYA31">
        <v>0</v>
      </c>
      <c r="AYB31">
        <v>0</v>
      </c>
      <c r="AYC31">
        <v>999</v>
      </c>
      <c r="AYD31">
        <v>5</v>
      </c>
      <c r="BKN31">
        <v>500</v>
      </c>
      <c r="BKO31">
        <v>3</v>
      </c>
      <c r="BKR31">
        <v>1</v>
      </c>
      <c r="BKS31" s="35">
        <v>4</v>
      </c>
      <c r="BKT31">
        <v>2</v>
      </c>
      <c r="BKU31">
        <v>0</v>
      </c>
      <c r="BKV31">
        <v>999</v>
      </c>
      <c r="BKW31">
        <v>4</v>
      </c>
      <c r="FUL31">
        <v>1</v>
      </c>
      <c r="FWH31">
        <v>1</v>
      </c>
      <c r="FXQ31">
        <v>1</v>
      </c>
      <c r="GCL31">
        <v>1</v>
      </c>
      <c r="GDI31">
        <v>1</v>
      </c>
      <c r="GEK31">
        <v>1</v>
      </c>
      <c r="GFE31">
        <v>1</v>
      </c>
    </row>
    <row r="32" spans="1:1015 1048:3035 3169:4013 4179:5068" x14ac:dyDescent="0.25">
      <c r="A32" s="50">
        <v>99001245</v>
      </c>
      <c r="LX32" s="50"/>
      <c r="LY32" s="50"/>
      <c r="LZ32" s="50"/>
      <c r="MA32" s="50"/>
      <c r="MB32" s="50"/>
      <c r="MC32" s="50"/>
      <c r="MD32" s="50"/>
      <c r="ANH32">
        <v>4</v>
      </c>
      <c r="ANJ32">
        <v>1</v>
      </c>
      <c r="ANM32">
        <v>1</v>
      </c>
      <c r="ANN32">
        <v>8</v>
      </c>
      <c r="AOG32">
        <v>1</v>
      </c>
      <c r="ASV32">
        <v>1</v>
      </c>
      <c r="AXT32">
        <v>250</v>
      </c>
      <c r="AXU32" s="2">
        <v>2</v>
      </c>
      <c r="AXY32">
        <v>1</v>
      </c>
      <c r="AXZ32" s="35">
        <v>3</v>
      </c>
      <c r="AYA32">
        <v>1</v>
      </c>
      <c r="AYB32">
        <v>0</v>
      </c>
      <c r="AYC32">
        <v>999</v>
      </c>
      <c r="AYD32">
        <v>4</v>
      </c>
      <c r="BKD32">
        <v>75</v>
      </c>
      <c r="BKE32" s="2">
        <v>1</v>
      </c>
      <c r="BKH32">
        <v>1</v>
      </c>
      <c r="BKI32" s="15">
        <v>5</v>
      </c>
      <c r="BKJ32">
        <v>999</v>
      </c>
      <c r="BKK32">
        <v>0</v>
      </c>
      <c r="BKL32">
        <v>0</v>
      </c>
      <c r="BKM32">
        <v>3</v>
      </c>
      <c r="DTE32">
        <v>1</v>
      </c>
      <c r="DTF32" s="2">
        <v>1</v>
      </c>
      <c r="DTI32">
        <v>1</v>
      </c>
      <c r="DTJ32">
        <v>2</v>
      </c>
      <c r="DTK32">
        <v>1</v>
      </c>
      <c r="DTL32">
        <v>0</v>
      </c>
      <c r="DTM32">
        <v>0</v>
      </c>
      <c r="DTN32">
        <v>5</v>
      </c>
      <c r="FWH32">
        <v>1</v>
      </c>
      <c r="FXA32">
        <v>1</v>
      </c>
      <c r="GDI32">
        <v>1</v>
      </c>
      <c r="GEK32">
        <v>1</v>
      </c>
      <c r="GFC32">
        <v>1</v>
      </c>
      <c r="GFE32">
        <v>1</v>
      </c>
      <c r="GFG32">
        <v>1</v>
      </c>
    </row>
    <row r="33" spans="1:1020 1048:2039 2052:4013 4106:5074" x14ac:dyDescent="0.25">
      <c r="A33" s="50">
        <v>99001902</v>
      </c>
      <c r="LX33" s="50"/>
      <c r="LY33" s="50"/>
      <c r="LZ33" s="50"/>
      <c r="MA33" s="50"/>
      <c r="MB33" s="50"/>
      <c r="MC33" s="50"/>
      <c r="MD33" s="50"/>
      <c r="ANH33">
        <v>1</v>
      </c>
      <c r="ANI33">
        <v>1</v>
      </c>
      <c r="ANM33">
        <v>1</v>
      </c>
      <c r="ANN33">
        <v>17</v>
      </c>
      <c r="ANS33">
        <v>1</v>
      </c>
      <c r="ASU33">
        <v>1</v>
      </c>
      <c r="AXY33">
        <v>1</v>
      </c>
      <c r="AXZ33">
        <v>11</v>
      </c>
      <c r="AYA33">
        <v>15</v>
      </c>
      <c r="AYB33">
        <v>5</v>
      </c>
      <c r="AYC33">
        <v>0</v>
      </c>
      <c r="AYD33">
        <v>4</v>
      </c>
      <c r="BKR33">
        <v>1</v>
      </c>
      <c r="BKS33">
        <v>8</v>
      </c>
      <c r="BKT33">
        <v>14</v>
      </c>
      <c r="BKU33">
        <v>7</v>
      </c>
      <c r="BKV33">
        <v>0</v>
      </c>
      <c r="BKW33">
        <v>3</v>
      </c>
      <c r="FWH33">
        <v>1</v>
      </c>
      <c r="FWZ33">
        <v>1</v>
      </c>
      <c r="GDI33">
        <v>1</v>
      </c>
      <c r="GEK33">
        <v>1</v>
      </c>
      <c r="GFG33">
        <v>1</v>
      </c>
    </row>
    <row r="34" spans="1:1020 1048:2039 2052:4013 4106:5074" x14ac:dyDescent="0.25">
      <c r="A34" s="50">
        <v>99001912</v>
      </c>
      <c r="LX34" s="50"/>
      <c r="LY34" s="50"/>
      <c r="LZ34" s="50"/>
      <c r="MA34" s="50"/>
      <c r="MB34" s="50"/>
      <c r="MC34" s="50"/>
      <c r="MD34" s="50"/>
      <c r="ANH34">
        <v>37</v>
      </c>
      <c r="ANJ34">
        <v>1</v>
      </c>
      <c r="ANM34">
        <v>1</v>
      </c>
      <c r="ANN34">
        <v>35</v>
      </c>
      <c r="AWX34">
        <v>1</v>
      </c>
      <c r="AXB34">
        <v>3</v>
      </c>
      <c r="AXC34">
        <v>1</v>
      </c>
      <c r="AXD34">
        <v>0</v>
      </c>
      <c r="AXE34">
        <v>999</v>
      </c>
      <c r="AXF34">
        <v>3</v>
      </c>
      <c r="AXZ34">
        <v>2</v>
      </c>
      <c r="AYA34">
        <v>3</v>
      </c>
      <c r="AYB34">
        <v>2</v>
      </c>
      <c r="AYC34">
        <v>0</v>
      </c>
      <c r="AYD34">
        <v>4</v>
      </c>
      <c r="BKS34">
        <v>2</v>
      </c>
      <c r="BKT34">
        <v>3</v>
      </c>
      <c r="BKU34">
        <v>2</v>
      </c>
      <c r="BKV34">
        <v>0</v>
      </c>
      <c r="BKW34">
        <v>3</v>
      </c>
    </row>
    <row r="35" spans="1:1020 1048:2039 2052:4013 4106:5074" x14ac:dyDescent="0.25">
      <c r="A35" s="50">
        <v>99001913</v>
      </c>
      <c r="JS35" s="50"/>
      <c r="JT35" s="50"/>
      <c r="JU35" s="50"/>
      <c r="JV35" s="50"/>
      <c r="JW35" s="50"/>
      <c r="JX35" s="50"/>
      <c r="JY35" s="50"/>
      <c r="LX35" s="50"/>
      <c r="LY35" s="50"/>
      <c r="LZ35" s="50"/>
      <c r="MA35" s="50"/>
      <c r="MB35" s="50"/>
      <c r="MC35" s="50"/>
      <c r="MD35" s="50"/>
      <c r="ANH35">
        <v>20</v>
      </c>
      <c r="ANI35">
        <v>1</v>
      </c>
      <c r="ANK35">
        <v>21</v>
      </c>
      <c r="ANM35">
        <v>1</v>
      </c>
      <c r="ANN35">
        <v>27</v>
      </c>
      <c r="ANS35">
        <v>1</v>
      </c>
      <c r="ANT35">
        <v>1</v>
      </c>
      <c r="ANV35">
        <v>1</v>
      </c>
      <c r="AOG35">
        <v>1</v>
      </c>
      <c r="ATB35">
        <v>1</v>
      </c>
      <c r="AXX35">
        <v>1</v>
      </c>
      <c r="AXZ35">
        <v>3</v>
      </c>
      <c r="AYA35">
        <v>1</v>
      </c>
      <c r="AYB35">
        <v>0</v>
      </c>
      <c r="AYC35">
        <v>1</v>
      </c>
      <c r="AYD35">
        <v>5</v>
      </c>
      <c r="AYJ35">
        <v>1</v>
      </c>
      <c r="AYK35">
        <v>1</v>
      </c>
      <c r="AYL35">
        <v>7</v>
      </c>
      <c r="AYM35">
        <v>7</v>
      </c>
      <c r="AYN35">
        <v>0</v>
      </c>
      <c r="AYO35">
        <v>5</v>
      </c>
      <c r="DNB35">
        <v>1</v>
      </c>
      <c r="DNC35">
        <v>29</v>
      </c>
      <c r="DND35">
        <v>27</v>
      </c>
      <c r="DNE35">
        <v>0</v>
      </c>
      <c r="DNF35">
        <v>1</v>
      </c>
      <c r="DNG35">
        <v>6</v>
      </c>
      <c r="DSU35">
        <v>200</v>
      </c>
      <c r="DSY35">
        <v>1</v>
      </c>
      <c r="DSZ35">
        <v>3</v>
      </c>
      <c r="DTA35">
        <v>1</v>
      </c>
      <c r="DTB35">
        <v>0</v>
      </c>
      <c r="DTC35">
        <v>1</v>
      </c>
      <c r="DTD35">
        <v>5</v>
      </c>
      <c r="DZB35">
        <v>200</v>
      </c>
      <c r="DZF35">
        <v>1</v>
      </c>
      <c r="DZG35">
        <v>3</v>
      </c>
      <c r="DZH35">
        <v>1</v>
      </c>
      <c r="DZI35">
        <v>0</v>
      </c>
      <c r="DZJ35">
        <v>1</v>
      </c>
      <c r="DZK35">
        <v>5</v>
      </c>
      <c r="EQS35">
        <v>1</v>
      </c>
      <c r="EQT35">
        <v>3</v>
      </c>
      <c r="EQU35">
        <v>1</v>
      </c>
      <c r="EQV35">
        <v>0</v>
      </c>
      <c r="EQW35">
        <v>1</v>
      </c>
      <c r="EQX35">
        <v>5</v>
      </c>
      <c r="FWH35">
        <v>1</v>
      </c>
      <c r="FWO35">
        <v>1</v>
      </c>
      <c r="FXQ35">
        <v>1</v>
      </c>
      <c r="GDI35">
        <v>1</v>
      </c>
      <c r="GFE35">
        <v>1</v>
      </c>
      <c r="GFG35">
        <v>1</v>
      </c>
    </row>
    <row r="36" spans="1:1020 1048:2039 2052:4013 4106:5074" x14ac:dyDescent="0.25">
      <c r="A36" s="50">
        <v>99001937</v>
      </c>
      <c r="JS36" s="50"/>
      <c r="JT36" s="50"/>
      <c r="JU36" s="50"/>
      <c r="JV36" s="50"/>
      <c r="JW36" s="50"/>
      <c r="JX36" s="50"/>
      <c r="JY36" s="50"/>
      <c r="LX36" s="50"/>
      <c r="LY36" s="50"/>
      <c r="LZ36" s="50"/>
      <c r="MA36" s="50"/>
      <c r="MB36" s="50"/>
      <c r="MC36" s="50"/>
      <c r="MD36" s="50"/>
      <c r="ANH36">
        <v>83</v>
      </c>
      <c r="ANI36">
        <v>1</v>
      </c>
      <c r="ANK36">
        <v>26.5</v>
      </c>
      <c r="ANM36">
        <v>1</v>
      </c>
      <c r="ANN36">
        <v>32</v>
      </c>
      <c r="ANT36">
        <v>1</v>
      </c>
      <c r="AOG36">
        <v>1</v>
      </c>
      <c r="AOK36">
        <v>1</v>
      </c>
      <c r="AOQ36">
        <v>1</v>
      </c>
      <c r="APC36">
        <v>1</v>
      </c>
      <c r="ARD36">
        <v>1</v>
      </c>
      <c r="ARX36">
        <v>1</v>
      </c>
      <c r="ARZ36">
        <v>1</v>
      </c>
      <c r="ASM36">
        <v>1</v>
      </c>
      <c r="ASR36">
        <v>1</v>
      </c>
      <c r="AWD36">
        <v>1</v>
      </c>
      <c r="AXT36">
        <v>500</v>
      </c>
      <c r="AXX36">
        <v>1</v>
      </c>
      <c r="AXZ36">
        <v>1</v>
      </c>
      <c r="AYA36">
        <v>21</v>
      </c>
      <c r="AYB36">
        <v>21</v>
      </c>
      <c r="AYD36">
        <v>5</v>
      </c>
      <c r="CND36">
        <v>1</v>
      </c>
      <c r="CNH36">
        <v>2</v>
      </c>
      <c r="CNI36">
        <v>18</v>
      </c>
      <c r="CNJ36">
        <v>17</v>
      </c>
      <c r="CNK36" s="2">
        <v>0</v>
      </c>
      <c r="CNL36">
        <v>5</v>
      </c>
      <c r="CNM36">
        <v>600</v>
      </c>
      <c r="CNN36">
        <v>1</v>
      </c>
      <c r="CNQ36">
        <v>1</v>
      </c>
      <c r="CNR36" s="15">
        <v>23</v>
      </c>
      <c r="CNS36">
        <v>999</v>
      </c>
      <c r="CNT36">
        <v>6</v>
      </c>
      <c r="CNV36">
        <v>6</v>
      </c>
      <c r="CPC36">
        <v>1</v>
      </c>
      <c r="CPF36">
        <v>1</v>
      </c>
      <c r="CPG36" s="36">
        <v>29</v>
      </c>
      <c r="CPH36">
        <v>28</v>
      </c>
      <c r="CPI36">
        <v>0</v>
      </c>
      <c r="CPJ36">
        <v>999</v>
      </c>
      <c r="CPK36">
        <v>6</v>
      </c>
      <c r="DCS36">
        <v>500</v>
      </c>
      <c r="DCU36">
        <v>1</v>
      </c>
      <c r="DCX36">
        <v>2</v>
      </c>
      <c r="DCY36">
        <v>5</v>
      </c>
      <c r="DCZ36">
        <v>0</v>
      </c>
      <c r="DDB36">
        <v>5</v>
      </c>
      <c r="DFI36">
        <v>1</v>
      </c>
      <c r="DFJ36">
        <v>1</v>
      </c>
      <c r="DFK36">
        <v>28</v>
      </c>
      <c r="DFL36">
        <v>28</v>
      </c>
      <c r="DFN36">
        <v>6</v>
      </c>
      <c r="DHQ36">
        <v>1</v>
      </c>
      <c r="DHR36">
        <v>1</v>
      </c>
      <c r="DHS36">
        <v>20</v>
      </c>
      <c r="DHT36">
        <v>20</v>
      </c>
      <c r="DHU36" s="2">
        <v>0</v>
      </c>
      <c r="DHV36">
        <v>5</v>
      </c>
      <c r="DJA36">
        <v>1</v>
      </c>
      <c r="DJB36">
        <v>2</v>
      </c>
      <c r="DJE36">
        <v>1</v>
      </c>
      <c r="DJF36">
        <v>15</v>
      </c>
      <c r="DJG36">
        <v>20</v>
      </c>
      <c r="DJH36">
        <v>6</v>
      </c>
      <c r="DJJ36">
        <v>5</v>
      </c>
      <c r="DJK36">
        <v>1</v>
      </c>
      <c r="DJL36">
        <v>3</v>
      </c>
      <c r="DJO36">
        <v>1</v>
      </c>
      <c r="DJP36">
        <v>14</v>
      </c>
      <c r="DJQ36">
        <v>19</v>
      </c>
      <c r="DJR36">
        <v>6</v>
      </c>
      <c r="DJT36">
        <v>5</v>
      </c>
      <c r="DJZ36">
        <v>16</v>
      </c>
      <c r="DKA36">
        <v>21</v>
      </c>
      <c r="DKB36">
        <v>6</v>
      </c>
      <c r="DKD36">
        <v>6</v>
      </c>
      <c r="DLT36">
        <v>1</v>
      </c>
      <c r="DLU36">
        <v>3</v>
      </c>
      <c r="DLX36">
        <v>1</v>
      </c>
      <c r="DLY36">
        <v>12</v>
      </c>
      <c r="DLZ36">
        <v>17</v>
      </c>
      <c r="DMA36">
        <v>6</v>
      </c>
      <c r="DMC36">
        <v>4</v>
      </c>
      <c r="DMH36">
        <v>1</v>
      </c>
      <c r="DMI36">
        <v>9</v>
      </c>
      <c r="DMJ36">
        <v>16</v>
      </c>
      <c r="DMK36">
        <v>6</v>
      </c>
      <c r="DML36" s="2">
        <v>0</v>
      </c>
      <c r="DMM36">
        <v>5</v>
      </c>
      <c r="DPW36">
        <v>1</v>
      </c>
      <c r="DPX36">
        <v>8</v>
      </c>
      <c r="DPY36">
        <v>19</v>
      </c>
      <c r="DPZ36">
        <v>6</v>
      </c>
      <c r="DQA36" s="2">
        <v>0</v>
      </c>
      <c r="DQB36">
        <v>4</v>
      </c>
      <c r="ERD36" s="15">
        <v>21</v>
      </c>
      <c r="ERE36">
        <v>999</v>
      </c>
      <c r="ERF36">
        <v>3</v>
      </c>
      <c r="ERH36">
        <v>6</v>
      </c>
      <c r="ESM36" s="39" t="s">
        <v>408</v>
      </c>
      <c r="ESO36">
        <v>1</v>
      </c>
      <c r="ESP36" s="15">
        <v>21</v>
      </c>
      <c r="ESQ36">
        <v>999</v>
      </c>
      <c r="ESR36">
        <v>3</v>
      </c>
      <c r="EST36">
        <v>6</v>
      </c>
      <c r="ESU36">
        <v>5</v>
      </c>
      <c r="ESV36">
        <v>1</v>
      </c>
      <c r="ESY36">
        <v>1</v>
      </c>
      <c r="ESZ36" s="35">
        <v>14</v>
      </c>
      <c r="ETA36">
        <v>27</v>
      </c>
      <c r="ETB36">
        <v>0</v>
      </c>
      <c r="ETD36">
        <v>6</v>
      </c>
      <c r="GDI36">
        <v>1</v>
      </c>
      <c r="GEK36">
        <v>1</v>
      </c>
      <c r="GFE36">
        <v>1</v>
      </c>
    </row>
    <row r="37" spans="1:1020 1048:2039 2052:4013 4106:5074" x14ac:dyDescent="0.25">
      <c r="A37" s="50">
        <v>99001943</v>
      </c>
      <c r="JS37" s="50"/>
      <c r="JT37" s="50"/>
      <c r="JU37" s="50"/>
      <c r="JV37" s="50"/>
      <c r="JW37" s="50"/>
      <c r="JX37" s="50"/>
      <c r="JY37" s="50"/>
      <c r="LX37" s="50"/>
      <c r="LY37" s="50"/>
      <c r="LZ37" s="50"/>
      <c r="MA37" s="50"/>
      <c r="MB37" s="50"/>
      <c r="MC37" s="50"/>
      <c r="MD37" s="50"/>
      <c r="ANH37">
        <v>53</v>
      </c>
      <c r="ANJ37">
        <v>1</v>
      </c>
      <c r="ANK37">
        <v>19.600000000000001</v>
      </c>
      <c r="ANM37">
        <v>1</v>
      </c>
      <c r="ANN37">
        <v>35</v>
      </c>
      <c r="AQP37">
        <v>1</v>
      </c>
      <c r="AUY37">
        <v>1</v>
      </c>
      <c r="AXY37">
        <v>1</v>
      </c>
      <c r="AXZ37">
        <v>2</v>
      </c>
      <c r="AYA37">
        <v>4</v>
      </c>
      <c r="AYB37">
        <v>3</v>
      </c>
      <c r="AYC37">
        <v>0</v>
      </c>
      <c r="AYD37">
        <v>4</v>
      </c>
      <c r="BDD37">
        <v>1</v>
      </c>
      <c r="BDH37">
        <v>1</v>
      </c>
      <c r="BDI37">
        <v>22</v>
      </c>
      <c r="BDJ37">
        <v>21</v>
      </c>
      <c r="BDL37">
        <v>7</v>
      </c>
      <c r="BGR37">
        <v>1</v>
      </c>
      <c r="BGV37">
        <v>1</v>
      </c>
      <c r="BGW37">
        <v>22</v>
      </c>
      <c r="BGX37">
        <v>22</v>
      </c>
      <c r="BGY37">
        <v>0</v>
      </c>
      <c r="BGZ37">
        <v>7</v>
      </c>
      <c r="BHW37">
        <v>1</v>
      </c>
      <c r="BHZ37">
        <v>1</v>
      </c>
      <c r="BIA37">
        <v>22</v>
      </c>
      <c r="BIB37">
        <v>22</v>
      </c>
      <c r="BIC37">
        <v>0</v>
      </c>
      <c r="BID37">
        <v>7</v>
      </c>
      <c r="BZD37">
        <v>1</v>
      </c>
      <c r="BZG37">
        <v>2</v>
      </c>
      <c r="BZH37">
        <v>22</v>
      </c>
      <c r="BZI37">
        <v>22</v>
      </c>
      <c r="BZJ37">
        <v>0</v>
      </c>
      <c r="BZK37">
        <v>7</v>
      </c>
      <c r="BZX37">
        <v>1</v>
      </c>
      <c r="CAA37">
        <v>1</v>
      </c>
      <c r="CAB37">
        <v>21</v>
      </c>
      <c r="CAC37">
        <v>21</v>
      </c>
      <c r="CAD37">
        <v>0</v>
      </c>
      <c r="CAE37">
        <v>7</v>
      </c>
      <c r="CNG37">
        <v>1</v>
      </c>
      <c r="CNH37">
        <v>1</v>
      </c>
      <c r="CNI37">
        <v>22</v>
      </c>
      <c r="CNJ37">
        <v>22</v>
      </c>
      <c r="CNK37">
        <v>0</v>
      </c>
      <c r="CNL37">
        <v>7</v>
      </c>
      <c r="CNY37">
        <v>1</v>
      </c>
      <c r="COB37">
        <v>2</v>
      </c>
      <c r="COC37">
        <v>22</v>
      </c>
      <c r="COD37">
        <v>22</v>
      </c>
      <c r="COE37">
        <v>0</v>
      </c>
      <c r="COF37">
        <v>7</v>
      </c>
      <c r="COI37">
        <v>1</v>
      </c>
      <c r="COL37">
        <v>1</v>
      </c>
      <c r="COM37">
        <v>22</v>
      </c>
      <c r="CON37">
        <v>22</v>
      </c>
      <c r="COO37">
        <v>0</v>
      </c>
      <c r="COP37">
        <v>7</v>
      </c>
      <c r="CTJ37">
        <v>0.25</v>
      </c>
      <c r="CTK37">
        <v>1</v>
      </c>
      <c r="CTN37">
        <v>1</v>
      </c>
      <c r="CTO37" s="15">
        <v>12</v>
      </c>
      <c r="CTP37">
        <v>999</v>
      </c>
      <c r="CTQ37">
        <v>5</v>
      </c>
      <c r="CTR37">
        <v>0</v>
      </c>
      <c r="CTS37">
        <v>6</v>
      </c>
      <c r="CUE37">
        <v>10</v>
      </c>
      <c r="CUI37">
        <v>1</v>
      </c>
      <c r="CUJ37">
        <v>5</v>
      </c>
      <c r="CUK37">
        <v>24</v>
      </c>
      <c r="CUL37">
        <v>20</v>
      </c>
      <c r="CUM37">
        <v>0</v>
      </c>
      <c r="CUN37">
        <v>6</v>
      </c>
      <c r="DDF37">
        <v>1</v>
      </c>
      <c r="DDJ37">
        <v>3</v>
      </c>
      <c r="DDK37">
        <v>22</v>
      </c>
      <c r="DDL37">
        <v>20</v>
      </c>
      <c r="DDM37">
        <v>0</v>
      </c>
      <c r="DDN37">
        <v>6</v>
      </c>
      <c r="DGU37">
        <v>1</v>
      </c>
      <c r="DGX37">
        <v>3</v>
      </c>
      <c r="DGY37">
        <v>22</v>
      </c>
      <c r="DGZ37">
        <v>20</v>
      </c>
      <c r="DHA37">
        <v>0</v>
      </c>
      <c r="DHB37">
        <v>6</v>
      </c>
      <c r="DZC37">
        <v>2</v>
      </c>
      <c r="DZG37">
        <v>4</v>
      </c>
      <c r="DZH37">
        <v>3</v>
      </c>
      <c r="DZI37">
        <v>0</v>
      </c>
      <c r="DZJ37">
        <v>0</v>
      </c>
      <c r="DZK37">
        <v>4</v>
      </c>
      <c r="EAI37">
        <v>1</v>
      </c>
      <c r="EAL37">
        <v>3</v>
      </c>
      <c r="EAM37">
        <v>22</v>
      </c>
      <c r="EAN37">
        <v>20</v>
      </c>
      <c r="EAO37">
        <v>0</v>
      </c>
      <c r="EAP37">
        <v>6</v>
      </c>
      <c r="EFK37">
        <v>1</v>
      </c>
      <c r="EFM37">
        <v>1</v>
      </c>
      <c r="EFN37" s="35">
        <v>22</v>
      </c>
      <c r="EFO37">
        <v>19</v>
      </c>
      <c r="EFP37">
        <v>0</v>
      </c>
      <c r="EFQ37">
        <v>999</v>
      </c>
      <c r="EFR37">
        <v>3</v>
      </c>
      <c r="EWF37" t="s">
        <v>423</v>
      </c>
      <c r="EWG37">
        <v>2</v>
      </c>
      <c r="EWJ37">
        <v>1</v>
      </c>
      <c r="EWK37">
        <v>4</v>
      </c>
      <c r="EWL37">
        <v>4</v>
      </c>
      <c r="EWM37">
        <v>0</v>
      </c>
      <c r="EWN37">
        <v>0</v>
      </c>
      <c r="EWO37">
        <v>7</v>
      </c>
      <c r="EWZ37" t="s">
        <v>426</v>
      </c>
      <c r="EXA37">
        <v>1</v>
      </c>
      <c r="EXD37">
        <v>1</v>
      </c>
      <c r="EXE37" s="36">
        <v>27</v>
      </c>
      <c r="EXF37">
        <v>999</v>
      </c>
      <c r="EXG37">
        <v>0</v>
      </c>
      <c r="EXH37">
        <v>999</v>
      </c>
      <c r="EXI37">
        <v>6</v>
      </c>
      <c r="FUL37">
        <v>1</v>
      </c>
      <c r="FUM37">
        <v>2</v>
      </c>
      <c r="FUS37">
        <v>4</v>
      </c>
      <c r="FWH37">
        <v>1</v>
      </c>
      <c r="GDI37">
        <v>1</v>
      </c>
      <c r="GFE37">
        <v>1</v>
      </c>
      <c r="GFG37">
        <v>1</v>
      </c>
    </row>
    <row r="38" spans="1:1020 1048:2039 2052:4013 4106:5074" x14ac:dyDescent="0.25">
      <c r="A38" s="50">
        <v>99001927</v>
      </c>
      <c r="JS38" s="50"/>
      <c r="JT38" s="50"/>
      <c r="JU38" s="50"/>
      <c r="JV38" s="50"/>
      <c r="JW38" s="50"/>
      <c r="JX38" s="50"/>
      <c r="JY38" s="50"/>
      <c r="LX38" s="50"/>
      <c r="LY38" s="50"/>
      <c r="LZ38" s="50"/>
      <c r="MA38" s="50"/>
      <c r="MB38" s="50"/>
      <c r="MC38" s="50"/>
      <c r="MD38" s="50"/>
      <c r="ANH38">
        <v>50</v>
      </c>
      <c r="ANJ38">
        <v>1</v>
      </c>
      <c r="ANK38">
        <v>26.7</v>
      </c>
      <c r="ANM38">
        <v>1</v>
      </c>
      <c r="ANN38">
        <v>47</v>
      </c>
      <c r="ANO38">
        <v>1</v>
      </c>
      <c r="ANT38">
        <v>1</v>
      </c>
      <c r="ANW38">
        <v>1</v>
      </c>
      <c r="AOG38">
        <v>1</v>
      </c>
      <c r="APD38">
        <v>1</v>
      </c>
      <c r="AQA38">
        <v>1</v>
      </c>
      <c r="ASV38">
        <v>1</v>
      </c>
      <c r="AXU38">
        <v>3</v>
      </c>
      <c r="AXX38">
        <v>1</v>
      </c>
      <c r="AXZ38">
        <v>3</v>
      </c>
      <c r="AYA38">
        <v>0</v>
      </c>
      <c r="AYB38">
        <v>0</v>
      </c>
      <c r="AYC38">
        <v>2</v>
      </c>
      <c r="AYD38">
        <v>4</v>
      </c>
      <c r="BPY38">
        <v>150</v>
      </c>
      <c r="BPZ38">
        <v>2</v>
      </c>
      <c r="BQC38">
        <v>1</v>
      </c>
      <c r="BQD38">
        <v>2</v>
      </c>
      <c r="BQE38">
        <v>1</v>
      </c>
      <c r="BQF38">
        <v>0</v>
      </c>
      <c r="BQG38">
        <v>0</v>
      </c>
      <c r="BQH38">
        <v>5</v>
      </c>
      <c r="BQT38">
        <v>2</v>
      </c>
      <c r="BQW38">
        <v>1</v>
      </c>
      <c r="BQX38">
        <v>3</v>
      </c>
      <c r="BQY38">
        <v>0</v>
      </c>
      <c r="BQZ38">
        <v>0</v>
      </c>
      <c r="BRA38">
        <v>2</v>
      </c>
      <c r="BRB38">
        <v>4</v>
      </c>
      <c r="DSU38">
        <v>200</v>
      </c>
      <c r="DSV38">
        <v>3</v>
      </c>
      <c r="DSY38">
        <v>1</v>
      </c>
      <c r="DSZ38">
        <v>4</v>
      </c>
      <c r="DTA38">
        <v>1</v>
      </c>
      <c r="DTB38">
        <v>0</v>
      </c>
      <c r="DTC38" s="2">
        <v>2</v>
      </c>
      <c r="DTD38">
        <v>5</v>
      </c>
      <c r="DTO38">
        <v>15</v>
      </c>
      <c r="DTP38">
        <v>3</v>
      </c>
      <c r="DTS38">
        <v>1</v>
      </c>
      <c r="DTT38">
        <v>2</v>
      </c>
      <c r="DTU38">
        <v>1</v>
      </c>
      <c r="DTV38">
        <v>0</v>
      </c>
      <c r="DTW38">
        <v>0</v>
      </c>
      <c r="DTX38">
        <v>5</v>
      </c>
      <c r="FWH38">
        <v>1</v>
      </c>
      <c r="FXA38">
        <v>1</v>
      </c>
      <c r="GDI38">
        <v>1</v>
      </c>
      <c r="GEK38">
        <v>1</v>
      </c>
      <c r="GET38">
        <v>1</v>
      </c>
      <c r="GFE38">
        <v>1</v>
      </c>
      <c r="GFG38">
        <v>1</v>
      </c>
    </row>
    <row r="39" spans="1:1020 1048:2039 2052:4013 4106:5074" x14ac:dyDescent="0.25">
      <c r="A39" s="50">
        <v>1505</v>
      </c>
      <c r="B39" s="7"/>
      <c r="C39" s="7"/>
      <c r="D39" s="7"/>
      <c r="E39" s="7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  <c r="CT39" s="6"/>
      <c r="CU39" s="6"/>
      <c r="CV39" s="6"/>
      <c r="CW39" s="6"/>
      <c r="CX39" s="6"/>
      <c r="CY39" s="6"/>
      <c r="CZ39" s="6"/>
      <c r="DA39" s="6"/>
      <c r="DB39" s="6"/>
      <c r="DC39" s="6"/>
      <c r="DD39" s="6"/>
      <c r="DE39" s="6"/>
      <c r="DF39" s="6"/>
      <c r="DG39" s="6"/>
      <c r="DH39" s="6"/>
      <c r="DI39" s="6"/>
      <c r="DJ39" s="6"/>
      <c r="DK39" s="6"/>
      <c r="DL39" s="6"/>
      <c r="DM39" s="6"/>
      <c r="DN39" s="6"/>
      <c r="DO39" s="7"/>
      <c r="DP39" s="7"/>
      <c r="DQ39" s="7"/>
      <c r="DR39" s="7"/>
      <c r="DS39" s="7"/>
      <c r="DT39" s="7"/>
      <c r="DU39" s="7"/>
      <c r="DV39" s="7"/>
      <c r="DW39" s="7"/>
      <c r="DX39" s="7"/>
      <c r="DY39" s="7"/>
      <c r="DZ39" s="7"/>
      <c r="EA39" s="7"/>
      <c r="EB39" s="7"/>
      <c r="EC39" s="7"/>
      <c r="ED39" s="7"/>
      <c r="EE39" s="7"/>
      <c r="EF39" s="7"/>
      <c r="EG39" s="7"/>
      <c r="EH39" s="7"/>
      <c r="EI39" s="7"/>
      <c r="EJ39" s="7"/>
      <c r="EK39" s="7"/>
      <c r="EL39" s="7"/>
      <c r="EM39" s="7"/>
      <c r="EN39" s="7"/>
      <c r="EO39" s="7"/>
      <c r="EP39" s="7"/>
      <c r="EQ39" s="7"/>
      <c r="ER39" s="7"/>
      <c r="ES39" s="7"/>
      <c r="ET39" s="7"/>
      <c r="EU39" s="7"/>
      <c r="EV39" s="7"/>
      <c r="EW39" s="7"/>
      <c r="EX39" s="7"/>
      <c r="EY39" s="6"/>
      <c r="EZ39" s="6"/>
      <c r="FA39" s="6"/>
      <c r="FB39" s="6"/>
      <c r="FC39" s="6"/>
      <c r="FD39" s="6"/>
      <c r="FE39" s="6"/>
      <c r="FF39" s="6"/>
      <c r="FG39" s="6"/>
      <c r="FH39" s="6"/>
      <c r="FI39" s="6"/>
      <c r="FJ39" s="6"/>
      <c r="FK39" s="6"/>
      <c r="FL39" s="6"/>
      <c r="FM39" s="6"/>
      <c r="FN39" s="6"/>
      <c r="FO39" s="6"/>
      <c r="FP39" s="6"/>
      <c r="FQ39" s="6"/>
      <c r="FR39" s="6"/>
      <c r="FS39" s="6"/>
      <c r="FT39" s="6"/>
      <c r="FU39" s="6"/>
      <c r="FV39" s="6"/>
      <c r="FW39" s="6"/>
      <c r="FX39" s="6"/>
      <c r="FY39" s="6"/>
      <c r="FZ39" s="6"/>
      <c r="GA39" s="6"/>
      <c r="GB39" s="6"/>
      <c r="GC39" s="6"/>
      <c r="GD39" s="6"/>
      <c r="GE39" s="6"/>
      <c r="GF39" s="6"/>
      <c r="GG39" s="6"/>
      <c r="GH39" s="6"/>
      <c r="GI39" s="6"/>
      <c r="GJ39" s="6"/>
      <c r="GK39" s="6"/>
      <c r="GL39" s="6"/>
      <c r="GM39" s="6"/>
      <c r="GN39" s="6"/>
      <c r="GO39" s="6"/>
      <c r="GP39" s="6"/>
      <c r="GQ39" s="6"/>
      <c r="GR39" s="6"/>
      <c r="GS39" s="6"/>
      <c r="GT39" s="6"/>
      <c r="GU39" s="6"/>
      <c r="GV39" s="6"/>
      <c r="GW39" s="6"/>
      <c r="GX39" s="6"/>
      <c r="GY39" s="6"/>
      <c r="GZ39" s="6"/>
      <c r="HA39" s="7"/>
      <c r="HB39" s="7"/>
      <c r="HC39" s="7"/>
      <c r="HD39" s="6"/>
      <c r="HE39" s="6"/>
      <c r="HF39" s="6"/>
      <c r="HG39" s="6"/>
      <c r="HH39" s="6"/>
      <c r="HI39" s="6"/>
      <c r="HJ39" s="6"/>
      <c r="HK39" s="6"/>
      <c r="HL39" s="6"/>
      <c r="HM39" s="6"/>
      <c r="HN39" s="6"/>
      <c r="HO39" s="6"/>
      <c r="HP39" s="6"/>
      <c r="HQ39" s="6"/>
      <c r="HR39" s="6"/>
      <c r="HS39" s="6"/>
      <c r="HT39" s="6"/>
      <c r="HU39" s="6"/>
      <c r="HV39" s="6"/>
      <c r="HW39" s="6"/>
      <c r="HX39" s="6"/>
      <c r="HY39" s="6"/>
      <c r="HZ39" s="6"/>
      <c r="IA39" s="6"/>
      <c r="IB39" s="6"/>
      <c r="IC39" s="6"/>
      <c r="ID39" s="6"/>
      <c r="IE39" s="6"/>
      <c r="IF39" s="6"/>
      <c r="IG39" s="6"/>
      <c r="IH39" s="7"/>
      <c r="II39" s="7"/>
      <c r="IJ39" s="7"/>
      <c r="IK39" s="6"/>
      <c r="IL39" s="6"/>
      <c r="IM39" s="6"/>
      <c r="IN39" s="6"/>
      <c r="IO39" s="6"/>
      <c r="IP39" s="6"/>
      <c r="IQ39" s="6"/>
      <c r="IR39" s="6"/>
      <c r="IS39" s="6"/>
      <c r="IT39" s="6"/>
      <c r="IU39" s="6"/>
      <c r="IV39" s="6"/>
      <c r="IW39" s="6"/>
      <c r="IX39" s="6"/>
      <c r="IY39" s="6"/>
      <c r="IZ39" s="6"/>
      <c r="JA39" s="6"/>
      <c r="JB39" s="6"/>
      <c r="JC39" s="6"/>
      <c r="JD39" s="6"/>
      <c r="JE39" s="6"/>
      <c r="JF39" s="6"/>
      <c r="JG39" s="6"/>
      <c r="JH39" s="6"/>
      <c r="JI39" s="6"/>
      <c r="JJ39" s="6"/>
      <c r="JK39" s="6"/>
      <c r="JL39" s="6"/>
      <c r="JM39" s="6"/>
      <c r="JN39" s="6"/>
      <c r="JO39" s="6"/>
      <c r="JP39" s="6"/>
      <c r="JQ39" s="6"/>
      <c r="JR39" s="7"/>
      <c r="JS39" s="55"/>
      <c r="JT39" s="51"/>
      <c r="JU39" s="51"/>
      <c r="JV39" s="51"/>
      <c r="JW39" s="51"/>
      <c r="JX39" s="51"/>
      <c r="JY39" s="51"/>
      <c r="JZ39" s="6"/>
      <c r="KA39" s="6"/>
      <c r="KB39" s="6"/>
      <c r="KC39" s="6"/>
      <c r="KD39" s="6"/>
      <c r="KE39" s="6"/>
      <c r="KF39" s="6"/>
      <c r="KG39" s="6"/>
      <c r="KH39" s="6"/>
      <c r="KI39" s="6"/>
      <c r="KJ39" s="6"/>
      <c r="KK39" s="6"/>
      <c r="KL39" s="6"/>
      <c r="KM39" s="6"/>
      <c r="KN39" s="6"/>
      <c r="KO39" s="6"/>
      <c r="KP39" s="6"/>
      <c r="KQ39" s="6"/>
      <c r="KR39" s="6"/>
      <c r="KS39" s="6"/>
      <c r="KT39" s="6"/>
      <c r="KU39" s="6"/>
      <c r="KV39" s="6"/>
      <c r="KW39" s="6"/>
      <c r="KX39" s="6"/>
      <c r="KY39" s="6"/>
      <c r="KZ39" s="6"/>
      <c r="LA39" s="6"/>
      <c r="LB39" s="6"/>
      <c r="LC39" s="6"/>
      <c r="LD39" s="6"/>
      <c r="LE39" s="6"/>
      <c r="LF39" s="6"/>
      <c r="LG39" s="6"/>
      <c r="LH39" s="6"/>
      <c r="LI39" s="6"/>
      <c r="LJ39" s="6"/>
      <c r="LK39" s="6"/>
      <c r="LL39" s="6"/>
      <c r="LM39" s="6"/>
      <c r="LN39" s="6"/>
      <c r="LO39" s="6"/>
      <c r="LP39" s="6"/>
      <c r="LQ39" s="6"/>
      <c r="LR39" s="6"/>
      <c r="LS39" s="6"/>
      <c r="LT39" s="6"/>
      <c r="LU39" s="6"/>
      <c r="LV39" s="6"/>
      <c r="LW39" s="6"/>
      <c r="LX39" s="51"/>
      <c r="LY39" s="51"/>
      <c r="LZ39" s="51"/>
      <c r="MA39" s="51"/>
      <c r="MB39" s="51"/>
      <c r="MC39" s="51"/>
      <c r="MD39" s="51"/>
      <c r="ME39" s="6"/>
      <c r="MF39" s="6"/>
      <c r="MG39" s="6"/>
      <c r="MH39" s="6"/>
      <c r="MI39" s="6"/>
      <c r="MJ39" s="6"/>
      <c r="MK39" s="6"/>
      <c r="ML39" s="6"/>
      <c r="MM39" s="6"/>
      <c r="MN39" s="6"/>
      <c r="MO39" s="6"/>
      <c r="MP39" s="6"/>
      <c r="MQ39" s="6"/>
      <c r="MR39" s="6"/>
      <c r="MS39" s="6"/>
      <c r="MT39" s="6"/>
      <c r="MU39" s="6"/>
      <c r="MV39" s="6"/>
      <c r="MW39" s="6"/>
      <c r="MX39" s="6"/>
      <c r="MY39" s="6"/>
      <c r="MZ39" s="6"/>
      <c r="NA39" s="6"/>
      <c r="NB39" s="6"/>
      <c r="NC39" s="6"/>
      <c r="ND39" s="6"/>
      <c r="NE39" s="6"/>
      <c r="NF39" s="6"/>
      <c r="NG39" s="6"/>
      <c r="NH39" s="6"/>
      <c r="NI39" s="6"/>
      <c r="NJ39" s="6"/>
      <c r="NK39" s="6"/>
      <c r="NL39" s="6"/>
      <c r="NM39" s="6"/>
      <c r="NN39" s="6"/>
      <c r="NO39" s="6"/>
      <c r="NP39" s="6"/>
      <c r="NQ39" s="6"/>
      <c r="NR39" s="6"/>
      <c r="NS39" s="6"/>
      <c r="NT39" s="6"/>
      <c r="NU39" s="6"/>
      <c r="NV39" s="6"/>
      <c r="NW39" s="6"/>
      <c r="NX39" s="6"/>
      <c r="NY39" s="6"/>
      <c r="NZ39" s="6"/>
      <c r="OA39" s="6"/>
      <c r="OB39" s="6"/>
      <c r="OC39" s="6"/>
      <c r="OD39" s="6"/>
      <c r="OE39" s="6"/>
      <c r="OF39" s="6"/>
      <c r="OG39" s="6"/>
      <c r="OH39" s="6"/>
      <c r="OI39" s="6"/>
      <c r="OJ39" s="6"/>
      <c r="OK39" s="6"/>
      <c r="OL39" s="6"/>
      <c r="OM39" s="6"/>
      <c r="ON39" s="6"/>
      <c r="OO39" s="6"/>
      <c r="OP39" s="6"/>
      <c r="OQ39" s="6"/>
      <c r="OR39" s="6"/>
      <c r="OS39" s="6"/>
      <c r="OT39" s="6"/>
      <c r="OU39" s="6"/>
      <c r="OV39" s="6"/>
      <c r="OW39" s="6"/>
      <c r="OX39" s="6"/>
      <c r="OY39" s="6"/>
      <c r="OZ39" s="6"/>
      <c r="PL39" s="50"/>
      <c r="PM39" s="50"/>
      <c r="PN39" s="50"/>
      <c r="PO39" s="50"/>
      <c r="PP39" s="50"/>
      <c r="PQ39" s="50"/>
      <c r="PR39" s="50"/>
      <c r="PS39" s="50"/>
      <c r="PT39" s="50"/>
      <c r="PU39" s="50"/>
      <c r="PV39" s="50"/>
      <c r="PW39" s="50"/>
      <c r="QQ39" s="8"/>
      <c r="QR39" s="8"/>
      <c r="QS39" s="8"/>
      <c r="QT39" s="8"/>
      <c r="QU39" s="8"/>
      <c r="QV39" s="8"/>
      <c r="QW39" s="8"/>
      <c r="QX39" s="8"/>
      <c r="QY39" s="6"/>
      <c r="QZ39" s="6"/>
      <c r="RA39" s="6"/>
      <c r="RB39" s="6"/>
      <c r="RC39" s="6"/>
      <c r="RD39" s="6"/>
      <c r="RE39" s="6"/>
      <c r="RF39" s="6"/>
      <c r="RG39" s="6"/>
      <c r="RH39" s="6"/>
      <c r="RI39" s="6"/>
      <c r="RJ39" s="6"/>
      <c r="RK39" s="6"/>
      <c r="RL39" s="6"/>
      <c r="RM39" s="6"/>
      <c r="RN39" s="6"/>
      <c r="RO39" s="6"/>
      <c r="RP39" s="6"/>
      <c r="RQ39" s="6"/>
      <c r="RR39" s="6"/>
      <c r="RS39" s="6"/>
      <c r="RT39" s="6"/>
      <c r="RU39" s="6"/>
      <c r="RV39" s="6"/>
      <c r="RW39" s="6"/>
      <c r="RX39" s="6"/>
      <c r="RY39" s="6"/>
      <c r="RZ39" s="6"/>
      <c r="SA39" s="6"/>
      <c r="SB39" s="6"/>
      <c r="SC39" s="6"/>
      <c r="SD39" s="6"/>
      <c r="SE39" s="6"/>
      <c r="SF39" s="6"/>
      <c r="SG39" s="6"/>
      <c r="SH39" s="6"/>
      <c r="SI39" s="6"/>
      <c r="SJ39" s="6"/>
      <c r="SK39" s="6"/>
      <c r="SL39" s="6"/>
      <c r="SM39" s="7"/>
      <c r="SN39" s="7"/>
      <c r="SO39" s="7"/>
      <c r="SP39" s="7"/>
      <c r="SQ39" s="7"/>
      <c r="SR39" s="6"/>
      <c r="SS39" s="6"/>
      <c r="ST39" s="6"/>
      <c r="SU39" s="6"/>
      <c r="SV39" s="6"/>
      <c r="SW39" s="6"/>
      <c r="SX39" s="6"/>
      <c r="SY39" s="6"/>
      <c r="SZ39" s="6"/>
      <c r="TA39" s="6"/>
      <c r="TB39" s="6"/>
      <c r="TC39" s="6"/>
      <c r="TD39" s="6"/>
      <c r="TE39" s="6"/>
      <c r="TF39" s="6"/>
      <c r="TG39" s="6"/>
      <c r="TH39" s="6"/>
      <c r="TI39" s="6"/>
      <c r="TJ39" s="6"/>
      <c r="TK39" s="6"/>
      <c r="TL39" s="6"/>
      <c r="TM39" s="6"/>
      <c r="TN39" s="6"/>
      <c r="TO39" s="6"/>
      <c r="TP39" s="6"/>
      <c r="TQ39" s="6"/>
      <c r="TR39" s="6"/>
      <c r="TS39" s="6"/>
      <c r="TT39" s="6"/>
      <c r="TU39" s="6"/>
      <c r="TV39" s="6"/>
      <c r="TW39" s="6"/>
      <c r="TX39" s="6"/>
      <c r="TY39" s="6"/>
      <c r="TZ39" s="6"/>
      <c r="UA39" s="6"/>
      <c r="UB39" s="6"/>
      <c r="UC39" s="6"/>
      <c r="UD39" s="6"/>
      <c r="UE39" s="6"/>
      <c r="UF39" s="6"/>
      <c r="UG39" s="6"/>
      <c r="UH39" s="6"/>
      <c r="UI39" s="6"/>
      <c r="UJ39" s="6"/>
      <c r="UK39" s="6"/>
      <c r="UL39" s="6"/>
      <c r="UM39" s="6"/>
      <c r="UN39" s="6"/>
      <c r="UO39" s="6"/>
      <c r="UP39" s="6"/>
      <c r="UQ39" s="6"/>
      <c r="UR39" s="6"/>
      <c r="US39" s="6"/>
      <c r="UT39" s="6"/>
      <c r="UU39" s="6"/>
      <c r="UV39" s="6"/>
      <c r="UW39" s="6"/>
      <c r="UX39" s="6"/>
      <c r="UY39" s="6"/>
      <c r="UZ39" s="6"/>
      <c r="VA39" s="6"/>
      <c r="VB39" s="6"/>
      <c r="VC39" s="6"/>
      <c r="VD39" s="6"/>
      <c r="VE39" s="6"/>
      <c r="VF39" s="6"/>
      <c r="VG39" s="6"/>
      <c r="VH39" s="6"/>
      <c r="VI39" s="6"/>
      <c r="VJ39" s="6"/>
      <c r="VK39" s="6"/>
      <c r="VL39" s="6"/>
      <c r="VM39" s="6"/>
      <c r="VN39" s="6"/>
      <c r="VO39" s="6"/>
      <c r="VP39" s="6"/>
      <c r="VQ39" s="6"/>
      <c r="VR39" s="6"/>
      <c r="VS39" s="6"/>
      <c r="VT39" s="6"/>
      <c r="VU39" s="6"/>
      <c r="VV39" s="6"/>
      <c r="VW39" s="6"/>
      <c r="VX39" s="6"/>
      <c r="VY39" s="6"/>
      <c r="VZ39" s="6"/>
      <c r="WA39" s="6"/>
      <c r="WB39" s="6"/>
      <c r="WC39" s="6"/>
      <c r="WD39" s="6"/>
      <c r="WE39" s="6"/>
      <c r="WF39" s="6"/>
      <c r="WG39" s="6"/>
      <c r="WH39" s="6"/>
      <c r="WI39" s="6"/>
      <c r="WJ39" s="6"/>
      <c r="WK39" s="6"/>
      <c r="WL39" s="6"/>
      <c r="WM39" s="6"/>
      <c r="WN39" s="6"/>
      <c r="WO39" s="6"/>
      <c r="WP39" s="6"/>
      <c r="WQ39" s="6"/>
      <c r="WR39" s="6"/>
      <c r="WS39" s="6"/>
      <c r="WT39" s="6"/>
      <c r="WU39" s="6"/>
      <c r="WV39" s="6"/>
      <c r="WW39" s="6"/>
      <c r="WX39" s="6"/>
      <c r="WY39" s="6"/>
      <c r="WZ39" s="6"/>
      <c r="XA39" s="6"/>
      <c r="XB39" s="6"/>
      <c r="XC39" s="6"/>
      <c r="XD39" s="6"/>
      <c r="XE39" s="6"/>
      <c r="XF39" s="6"/>
      <c r="XG39" s="6"/>
      <c r="XH39" s="6"/>
      <c r="XI39" s="6"/>
      <c r="XJ39" s="6"/>
      <c r="XK39" s="6"/>
      <c r="XL39" s="6"/>
      <c r="XM39" s="6"/>
      <c r="XN39" s="6"/>
      <c r="XO39" s="6"/>
      <c r="XP39" s="6"/>
      <c r="XQ39" s="6"/>
      <c r="XR39" s="6"/>
      <c r="XS39" s="6"/>
      <c r="XT39" s="6"/>
      <c r="XU39" s="6"/>
      <c r="XV39" s="6"/>
      <c r="XW39" s="6"/>
      <c r="XX39" s="6"/>
      <c r="XY39" s="6"/>
      <c r="XZ39" s="6"/>
      <c r="YA39" s="6"/>
      <c r="YB39" s="6"/>
      <c r="YC39" s="6"/>
      <c r="YD39" s="6"/>
      <c r="YE39" s="6"/>
      <c r="YF39" s="6"/>
      <c r="YG39" s="6"/>
      <c r="YH39" s="6"/>
      <c r="YI39" s="6"/>
      <c r="YJ39" s="6"/>
      <c r="YK39" s="6"/>
      <c r="YL39" s="6"/>
      <c r="YM39" s="6"/>
      <c r="YN39" s="6"/>
      <c r="YO39" s="6"/>
      <c r="YP39" s="6"/>
      <c r="YQ39" s="6"/>
      <c r="YR39" s="6"/>
      <c r="YS39" s="6"/>
      <c r="YT39" s="6"/>
      <c r="YU39" s="6"/>
      <c r="YV39" s="6"/>
      <c r="YW39" s="6"/>
      <c r="YX39" s="6"/>
      <c r="YY39" s="6"/>
      <c r="YZ39" s="6"/>
      <c r="ZA39" s="6"/>
      <c r="ZB39" s="6"/>
      <c r="ZC39" s="6"/>
      <c r="ZD39" s="6"/>
      <c r="ZE39" s="6"/>
      <c r="ZF39" s="6"/>
      <c r="ZG39" s="6"/>
      <c r="ZH39" s="6"/>
      <c r="ZI39" s="6"/>
      <c r="ZJ39" s="6"/>
      <c r="ZK39" s="6"/>
      <c r="ZL39" s="6"/>
      <c r="ZM39" s="6"/>
      <c r="ZN39" s="6"/>
      <c r="ZO39" s="6"/>
      <c r="ZP39" s="6"/>
      <c r="ZQ39" s="6"/>
      <c r="ZR39" s="6"/>
      <c r="ZS39" s="6"/>
      <c r="ZT39" s="6"/>
      <c r="ZU39" s="6"/>
      <c r="ZV39" s="6"/>
      <c r="ZW39" s="6"/>
      <c r="ZX39" s="6"/>
      <c r="ZY39" s="6"/>
      <c r="ZZ39" s="6"/>
      <c r="AAA39" s="6"/>
      <c r="AAB39" s="6"/>
      <c r="AAC39" s="6"/>
      <c r="AAD39" s="6"/>
      <c r="AAE39" s="6"/>
      <c r="AAF39" s="6"/>
      <c r="AAG39" s="6"/>
      <c r="AAH39" s="6"/>
      <c r="AAI39" s="6"/>
      <c r="AAJ39" s="6"/>
      <c r="AAK39" s="6"/>
      <c r="AAL39" s="6"/>
      <c r="AAM39" s="6"/>
      <c r="AAN39" s="6"/>
      <c r="AAO39" s="6"/>
      <c r="AAP39" s="6"/>
      <c r="AAQ39" s="6"/>
      <c r="AAR39" s="6"/>
      <c r="AAS39" s="6"/>
      <c r="AAT39" s="6"/>
      <c r="AAU39" s="6"/>
      <c r="AAV39" s="6"/>
      <c r="AAW39" s="6"/>
      <c r="AAX39" s="6"/>
      <c r="AAY39" s="6"/>
      <c r="AAZ39" s="6"/>
      <c r="ABA39" s="6"/>
      <c r="ABB39" s="6"/>
      <c r="ABC39" s="6"/>
      <c r="ABD39" s="6"/>
      <c r="ABE39" s="6"/>
      <c r="ABF39" s="6"/>
      <c r="ABG39" s="6"/>
      <c r="ABH39" s="6"/>
      <c r="ABI39" s="6"/>
      <c r="ABJ39" s="6"/>
      <c r="ABK39" s="6"/>
      <c r="ABL39" s="6"/>
      <c r="ABM39" s="6"/>
      <c r="ABN39" s="6"/>
      <c r="ABO39" s="6"/>
      <c r="ABP39" s="6"/>
      <c r="ABQ39" s="6"/>
      <c r="ABR39" s="6"/>
      <c r="ABS39" s="6"/>
      <c r="ABT39" s="6"/>
      <c r="ABU39" s="6"/>
      <c r="ABV39" s="6"/>
      <c r="ABW39" s="6"/>
      <c r="ABX39" s="6"/>
      <c r="ABY39" s="6"/>
      <c r="ABZ39" s="6"/>
      <c r="ACA39" s="6"/>
      <c r="ACB39" s="6"/>
      <c r="ACC39" s="6"/>
      <c r="ACD39" s="6"/>
      <c r="ACE39" s="6"/>
      <c r="ACF39" s="6"/>
      <c r="ACG39" s="6"/>
      <c r="ACH39" s="6"/>
      <c r="ACI39" s="6"/>
      <c r="ACJ39" s="6"/>
      <c r="ACK39" s="6"/>
      <c r="ACL39" s="6"/>
      <c r="ACM39" s="6"/>
      <c r="ACN39" s="6"/>
      <c r="ACO39" s="6"/>
      <c r="ACP39" s="6"/>
      <c r="ACQ39" s="6"/>
      <c r="ACR39" s="6"/>
      <c r="ACS39" s="6"/>
      <c r="ACT39" s="6"/>
      <c r="ACU39" s="6"/>
      <c r="ACV39" s="6"/>
      <c r="ACW39" s="6"/>
      <c r="ACX39" s="6"/>
      <c r="ACY39" s="6"/>
      <c r="ACZ39" s="6"/>
      <c r="ADA39" s="6"/>
      <c r="ADB39" s="6"/>
      <c r="ADC39" s="6"/>
      <c r="ADD39" s="6"/>
      <c r="ADE39" s="6"/>
      <c r="ADF39" s="6"/>
      <c r="ADG39" s="6"/>
      <c r="ADH39" s="6"/>
      <c r="ADI39" s="6"/>
      <c r="ADJ39" s="6"/>
      <c r="ADK39" s="6"/>
      <c r="ADL39" s="6"/>
      <c r="ADM39" s="6"/>
      <c r="ADN39" s="6"/>
      <c r="ADO39">
        <v>1</v>
      </c>
      <c r="ANH39">
        <v>15</v>
      </c>
      <c r="ANI39">
        <v>1</v>
      </c>
      <c r="ANK39">
        <v>26.1</v>
      </c>
      <c r="ANN39">
        <v>22</v>
      </c>
      <c r="ANS39">
        <v>1</v>
      </c>
      <c r="ANT39">
        <v>1</v>
      </c>
      <c r="AXT39">
        <v>500</v>
      </c>
      <c r="AXU39">
        <v>3</v>
      </c>
      <c r="AXX39">
        <v>1</v>
      </c>
      <c r="AXZ39">
        <v>6</v>
      </c>
      <c r="AYA39">
        <v>1</v>
      </c>
      <c r="AYB39">
        <v>0</v>
      </c>
      <c r="AYC39">
        <v>4</v>
      </c>
      <c r="AYD39">
        <v>5</v>
      </c>
      <c r="DSU39">
        <v>200</v>
      </c>
      <c r="DSV39">
        <v>1</v>
      </c>
      <c r="DSY39">
        <v>1</v>
      </c>
      <c r="DSZ39">
        <v>1</v>
      </c>
      <c r="DTA39">
        <v>2</v>
      </c>
      <c r="DTB39">
        <v>2</v>
      </c>
      <c r="DTC39">
        <v>0</v>
      </c>
      <c r="DTD39">
        <v>5</v>
      </c>
      <c r="DZN39">
        <v>3</v>
      </c>
      <c r="DZQ39">
        <v>1</v>
      </c>
      <c r="DZR39">
        <v>6</v>
      </c>
      <c r="DZS39">
        <v>1</v>
      </c>
      <c r="DZT39">
        <v>0</v>
      </c>
      <c r="DZU39">
        <v>4</v>
      </c>
      <c r="DZV39">
        <v>5</v>
      </c>
      <c r="EAG39">
        <v>10</v>
      </c>
      <c r="EAH39">
        <v>3</v>
      </c>
      <c r="EAK39">
        <v>1</v>
      </c>
      <c r="EAL39">
        <v>6</v>
      </c>
      <c r="EAM39">
        <v>1</v>
      </c>
      <c r="EAN39">
        <v>0</v>
      </c>
      <c r="EAO39">
        <v>4</v>
      </c>
      <c r="EAP39">
        <v>5</v>
      </c>
      <c r="FWN39">
        <v>1</v>
      </c>
      <c r="GEK39">
        <v>1</v>
      </c>
      <c r="GFE39">
        <v>1</v>
      </c>
      <c r="GGE39">
        <v>1</v>
      </c>
      <c r="GHD39">
        <v>1</v>
      </c>
    </row>
    <row r="40" spans="1:1020 1048:2039 2052:4013 4106:5074" x14ac:dyDescent="0.25">
      <c r="A40" s="50">
        <v>1000197</v>
      </c>
      <c r="B40" s="7"/>
      <c r="C40" s="7"/>
      <c r="D40" s="7"/>
      <c r="E40" s="7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  <c r="CT40" s="6"/>
      <c r="CU40" s="6"/>
      <c r="CV40" s="6"/>
      <c r="CW40" s="6"/>
      <c r="CX40" s="6"/>
      <c r="CY40" s="6"/>
      <c r="CZ40" s="6"/>
      <c r="DA40" s="6"/>
      <c r="DB40" s="6"/>
      <c r="DC40" s="6"/>
      <c r="DD40" s="6"/>
      <c r="DE40" s="6"/>
      <c r="DF40" s="6"/>
      <c r="DG40" s="6"/>
      <c r="DH40" s="6"/>
      <c r="DI40" s="6"/>
      <c r="DJ40" s="6"/>
      <c r="DK40" s="6"/>
      <c r="DL40" s="6"/>
      <c r="DM40" s="6"/>
      <c r="DN40" s="6"/>
      <c r="DO40" s="7"/>
      <c r="DP40" s="7"/>
      <c r="DQ40" s="7"/>
      <c r="DR40" s="7"/>
      <c r="DS40" s="7"/>
      <c r="DT40" s="7"/>
      <c r="DU40" s="7"/>
      <c r="DV40" s="7"/>
      <c r="DW40" s="7"/>
      <c r="DX40" s="7"/>
      <c r="DY40" s="7"/>
      <c r="DZ40" s="7"/>
      <c r="EA40" s="7"/>
      <c r="EB40" s="7"/>
      <c r="EC40" s="7"/>
      <c r="ED40" s="7"/>
      <c r="EE40" s="7"/>
      <c r="EF40" s="7"/>
      <c r="EG40" s="7"/>
      <c r="EH40" s="7"/>
      <c r="EI40" s="7"/>
      <c r="EJ40" s="7"/>
      <c r="EK40" s="7"/>
      <c r="EL40" s="7"/>
      <c r="EM40" s="7"/>
      <c r="EN40" s="7"/>
      <c r="EO40" s="7"/>
      <c r="EP40" s="7"/>
      <c r="EQ40" s="7"/>
      <c r="ER40" s="7"/>
      <c r="ES40" s="7"/>
      <c r="ET40" s="7"/>
      <c r="EU40" s="7"/>
      <c r="EV40" s="7"/>
      <c r="EW40" s="7"/>
      <c r="EX40" s="7"/>
      <c r="EY40" s="6"/>
      <c r="EZ40" s="6"/>
      <c r="FA40" s="6"/>
      <c r="FB40" s="6"/>
      <c r="FC40" s="6"/>
      <c r="FD40" s="6"/>
      <c r="FE40" s="6"/>
      <c r="FF40" s="6"/>
      <c r="FG40" s="6"/>
      <c r="FH40" s="6"/>
      <c r="FI40" s="6"/>
      <c r="FJ40" s="6"/>
      <c r="FK40" s="6"/>
      <c r="FL40" s="6"/>
      <c r="FM40" s="6"/>
      <c r="FN40" s="6"/>
      <c r="FO40" s="6"/>
      <c r="FP40" s="6"/>
      <c r="FQ40" s="6"/>
      <c r="FR40" s="6"/>
      <c r="FS40" s="6"/>
      <c r="FT40" s="6"/>
      <c r="FU40" s="6"/>
      <c r="FV40" s="6"/>
      <c r="FW40" s="6"/>
      <c r="FX40" s="6"/>
      <c r="FY40" s="6"/>
      <c r="FZ40" s="6"/>
      <c r="GA40" s="6"/>
      <c r="GB40" s="6"/>
      <c r="GC40" s="6"/>
      <c r="GD40" s="6"/>
      <c r="GE40" s="6"/>
      <c r="GF40" s="6"/>
      <c r="GG40" s="6"/>
      <c r="GH40" s="6"/>
      <c r="GI40" s="6"/>
      <c r="GJ40" s="6"/>
      <c r="GK40" s="6"/>
      <c r="GL40" s="6"/>
      <c r="GM40" s="6"/>
      <c r="GN40" s="6"/>
      <c r="GO40" s="6"/>
      <c r="GP40" s="6"/>
      <c r="GQ40" s="6"/>
      <c r="GR40" s="6"/>
      <c r="GS40" s="6"/>
      <c r="GT40" s="6"/>
      <c r="GU40" s="6"/>
      <c r="GV40" s="6"/>
      <c r="GW40" s="6"/>
      <c r="GX40" s="6"/>
      <c r="GY40" s="6"/>
      <c r="GZ40" s="6"/>
      <c r="HA40" s="7"/>
      <c r="HB40" s="7"/>
      <c r="HC40" s="7"/>
      <c r="HD40" s="6"/>
      <c r="HE40" s="6"/>
      <c r="HF40" s="6"/>
      <c r="HG40" s="6"/>
      <c r="HH40" s="6"/>
      <c r="HI40" s="6"/>
      <c r="HJ40" s="6"/>
      <c r="HK40" s="6"/>
      <c r="HL40" s="6"/>
      <c r="HM40" s="6"/>
      <c r="HN40" s="6"/>
      <c r="HO40" s="6"/>
      <c r="HP40" s="6"/>
      <c r="HQ40" s="6"/>
      <c r="HR40" s="6"/>
      <c r="HS40" s="6"/>
      <c r="HT40" s="6"/>
      <c r="HU40" s="6"/>
      <c r="HV40" s="6"/>
      <c r="HW40" s="6"/>
      <c r="HX40" s="6"/>
      <c r="HY40" s="6"/>
      <c r="HZ40" s="6"/>
      <c r="IA40" s="6"/>
      <c r="IB40" s="6"/>
      <c r="IC40" s="6"/>
      <c r="ID40" s="6"/>
      <c r="IE40" s="6"/>
      <c r="IF40" s="6"/>
      <c r="IG40" s="6"/>
      <c r="IH40" s="7"/>
      <c r="II40" s="7"/>
      <c r="IJ40" s="7"/>
      <c r="IK40" s="6"/>
      <c r="IL40" s="6"/>
      <c r="IM40" s="6"/>
      <c r="IN40" s="6"/>
      <c r="IO40" s="6"/>
      <c r="IP40" s="6"/>
      <c r="IQ40" s="6"/>
      <c r="IR40" s="6"/>
      <c r="IS40" s="6"/>
      <c r="IT40" s="6"/>
      <c r="IU40" s="6"/>
      <c r="IV40" s="6"/>
      <c r="IW40" s="6"/>
      <c r="IX40" s="6"/>
      <c r="IY40" s="6"/>
      <c r="IZ40" s="6"/>
      <c r="JA40" s="6"/>
      <c r="JB40" s="6"/>
      <c r="JC40" s="6"/>
      <c r="JD40" s="6"/>
      <c r="JE40" s="6"/>
      <c r="JF40" s="6"/>
      <c r="JG40" s="6"/>
      <c r="JH40" s="6"/>
      <c r="JI40" s="6"/>
      <c r="JJ40" s="6"/>
      <c r="JK40" s="6"/>
      <c r="JL40" s="6"/>
      <c r="JM40" s="6"/>
      <c r="JN40" s="6"/>
      <c r="JO40" s="6"/>
      <c r="JP40" s="6"/>
      <c r="JQ40" s="6"/>
      <c r="JR40" s="7"/>
      <c r="JS40" s="55"/>
      <c r="JT40" s="51"/>
      <c r="JU40" s="51"/>
      <c r="JV40" s="51"/>
      <c r="JW40" s="51"/>
      <c r="JX40" s="51"/>
      <c r="JY40" s="51"/>
      <c r="JZ40" s="6"/>
      <c r="KA40" s="6"/>
      <c r="KB40" s="6"/>
      <c r="KC40" s="6"/>
      <c r="KD40" s="6"/>
      <c r="KE40" s="6"/>
      <c r="KF40" s="6"/>
      <c r="KG40" s="6"/>
      <c r="KH40" s="6"/>
      <c r="KI40" s="6"/>
      <c r="KJ40" s="6"/>
      <c r="KK40" s="6"/>
      <c r="KL40" s="6"/>
      <c r="KM40" s="6"/>
      <c r="KN40" s="6"/>
      <c r="KO40" s="6"/>
      <c r="KP40" s="6"/>
      <c r="KQ40" s="6"/>
      <c r="KR40" s="6"/>
      <c r="KS40" s="6"/>
      <c r="KT40" s="6"/>
      <c r="KU40" s="6"/>
      <c r="KV40" s="6"/>
      <c r="KW40" s="6"/>
      <c r="KX40" s="6"/>
      <c r="KY40" s="6"/>
      <c r="KZ40" s="6"/>
      <c r="LA40" s="6"/>
      <c r="LB40" s="6"/>
      <c r="LC40" s="6"/>
      <c r="LD40" s="6"/>
      <c r="LE40" s="6"/>
      <c r="LF40" s="6"/>
      <c r="LG40" s="6"/>
      <c r="LH40" s="6"/>
      <c r="LI40" s="6"/>
      <c r="LJ40" s="6"/>
      <c r="LK40" s="6"/>
      <c r="LL40" s="6"/>
      <c r="LM40" s="6"/>
      <c r="LN40" s="6"/>
      <c r="LO40" s="6"/>
      <c r="LP40" s="6"/>
      <c r="LQ40" s="6"/>
      <c r="LR40" s="6"/>
      <c r="LS40" s="6"/>
      <c r="LT40" s="6"/>
      <c r="LU40" s="6"/>
      <c r="LV40" s="6"/>
      <c r="LW40" s="6"/>
      <c r="LX40" s="51"/>
      <c r="LY40" s="51"/>
      <c r="LZ40" s="51"/>
      <c r="MA40" s="51"/>
      <c r="MB40" s="51"/>
      <c r="MC40" s="51"/>
      <c r="MD40" s="51"/>
      <c r="ME40" s="6"/>
      <c r="MF40" s="6"/>
      <c r="MG40" s="6"/>
      <c r="MH40" s="6"/>
      <c r="MI40" s="6"/>
      <c r="MJ40" s="6"/>
      <c r="MK40" s="6"/>
      <c r="ML40" s="6"/>
      <c r="MM40" s="6"/>
      <c r="MN40" s="6"/>
      <c r="MO40" s="6"/>
      <c r="MP40" s="6"/>
      <c r="MQ40" s="6"/>
      <c r="MR40" s="6"/>
      <c r="MS40" s="6"/>
      <c r="MT40" s="6"/>
      <c r="MU40" s="6"/>
      <c r="MV40" s="6"/>
      <c r="MW40" s="6"/>
      <c r="MX40" s="6"/>
      <c r="MY40" s="6"/>
      <c r="MZ40" s="6"/>
      <c r="NA40" s="6"/>
      <c r="NB40" s="6"/>
      <c r="NC40" s="6"/>
      <c r="ND40" s="6"/>
      <c r="NE40" s="6"/>
      <c r="NF40" s="6"/>
      <c r="NG40" s="6"/>
      <c r="NH40" s="6"/>
      <c r="NI40" s="6"/>
      <c r="NJ40" s="6"/>
      <c r="NK40" s="6"/>
      <c r="NL40" s="6"/>
      <c r="NM40" s="6"/>
      <c r="NN40" s="6"/>
      <c r="NO40" s="6"/>
      <c r="NP40" s="6"/>
      <c r="NQ40" s="6"/>
      <c r="NR40" s="6"/>
      <c r="NS40" s="6"/>
      <c r="NT40" s="6"/>
      <c r="NU40" s="6"/>
      <c r="NV40" s="6"/>
      <c r="NW40" s="6"/>
      <c r="NX40" s="6"/>
      <c r="NY40" s="6"/>
      <c r="NZ40" s="6"/>
      <c r="OA40" s="6"/>
      <c r="OB40" s="6"/>
      <c r="OC40" s="6"/>
      <c r="OD40" s="6"/>
      <c r="OE40" s="6"/>
      <c r="OF40" s="6"/>
      <c r="OG40" s="6"/>
      <c r="OH40" s="6"/>
      <c r="OI40" s="6"/>
      <c r="OJ40" s="6"/>
      <c r="OK40" s="6"/>
      <c r="OL40" s="6"/>
      <c r="OM40" s="6"/>
      <c r="ON40" s="6"/>
      <c r="OO40" s="6"/>
      <c r="OP40" s="6"/>
      <c r="OQ40" s="6"/>
      <c r="OR40" s="6"/>
      <c r="OS40" s="6"/>
      <c r="OT40" s="6"/>
      <c r="OU40" s="6"/>
      <c r="OV40" s="6"/>
      <c r="OW40" s="6"/>
      <c r="OX40" s="6"/>
      <c r="OY40" s="6"/>
      <c r="OZ40" s="6"/>
      <c r="PL40" s="50"/>
      <c r="PM40" s="50"/>
      <c r="PN40" s="50"/>
      <c r="PO40" s="50"/>
      <c r="PP40" s="50"/>
      <c r="PQ40" s="50"/>
      <c r="PR40" s="50"/>
      <c r="PS40" s="50"/>
      <c r="PT40" s="50"/>
      <c r="PU40" s="50"/>
      <c r="PV40" s="50"/>
      <c r="PW40" s="50"/>
      <c r="QQ40" s="8"/>
      <c r="QR40" s="8"/>
      <c r="QS40" s="8"/>
      <c r="QT40" s="8"/>
      <c r="QU40" s="8"/>
      <c r="QV40" s="8"/>
      <c r="QW40" s="8"/>
      <c r="QX40" s="8"/>
      <c r="QY40" s="6"/>
      <c r="QZ40" s="6"/>
      <c r="RA40" s="6"/>
      <c r="RB40" s="6"/>
      <c r="RC40" s="6"/>
      <c r="RD40" s="6"/>
      <c r="RE40" s="6"/>
      <c r="RF40" s="6"/>
      <c r="RG40" s="6"/>
      <c r="RH40" s="6"/>
      <c r="RI40" s="6"/>
      <c r="RJ40" s="6"/>
      <c r="RK40" s="6"/>
      <c r="RL40" s="6"/>
      <c r="RM40" s="6"/>
      <c r="RN40" s="6"/>
      <c r="RO40" s="6"/>
      <c r="RP40" s="6"/>
      <c r="RQ40" s="6"/>
      <c r="RR40" s="6"/>
      <c r="RS40" s="6"/>
      <c r="RT40" s="6"/>
      <c r="RU40" s="6"/>
      <c r="RV40" s="6"/>
      <c r="RW40" s="6"/>
      <c r="RX40" s="6"/>
      <c r="RY40" s="6"/>
      <c r="RZ40" s="6"/>
      <c r="SA40" s="6"/>
      <c r="SB40" s="6"/>
      <c r="SC40" s="6"/>
      <c r="SD40" s="6"/>
      <c r="SE40" s="6"/>
      <c r="SF40" s="6"/>
      <c r="SG40" s="6"/>
      <c r="SH40" s="6"/>
      <c r="SI40" s="6"/>
      <c r="SJ40" s="6"/>
      <c r="SK40" s="6"/>
      <c r="SL40" s="6"/>
      <c r="SM40" s="7"/>
      <c r="SN40" s="7"/>
      <c r="SO40" s="7"/>
      <c r="SP40" s="7"/>
      <c r="SQ40" s="7"/>
      <c r="SR40" s="6"/>
      <c r="SS40" s="6"/>
      <c r="ST40" s="6"/>
      <c r="SU40" s="6"/>
      <c r="SV40" s="6"/>
      <c r="SW40" s="6"/>
      <c r="SX40" s="6"/>
      <c r="SY40" s="6"/>
      <c r="SZ40" s="6"/>
      <c r="TA40" s="6"/>
      <c r="TB40" s="6"/>
      <c r="TC40" s="6"/>
      <c r="TD40" s="6"/>
      <c r="TE40" s="6"/>
      <c r="TF40" s="6"/>
      <c r="TG40" s="6"/>
      <c r="TH40" s="6"/>
      <c r="TI40" s="6"/>
      <c r="TJ40" s="6"/>
      <c r="TK40" s="6"/>
      <c r="TL40" s="6"/>
      <c r="TM40" s="6"/>
      <c r="TN40" s="6"/>
      <c r="TO40" s="6"/>
      <c r="TP40" s="6"/>
      <c r="TQ40" s="6"/>
      <c r="TR40" s="6"/>
      <c r="TS40" s="6"/>
      <c r="TT40" s="6"/>
      <c r="TU40" s="6"/>
      <c r="TV40" s="6"/>
      <c r="TW40" s="6"/>
      <c r="TX40" s="6"/>
      <c r="TY40" s="6"/>
      <c r="TZ40" s="6"/>
      <c r="UA40" s="6"/>
      <c r="UB40" s="6"/>
      <c r="UC40" s="6"/>
      <c r="UD40" s="6"/>
      <c r="UE40" s="6"/>
      <c r="UF40" s="6"/>
      <c r="UG40" s="6"/>
      <c r="UH40" s="6"/>
      <c r="UI40" s="6"/>
      <c r="UJ40" s="6"/>
      <c r="UK40" s="6"/>
      <c r="UL40" s="6"/>
      <c r="UM40" s="6"/>
      <c r="UN40" s="6"/>
      <c r="UO40" s="6"/>
      <c r="UP40" s="6"/>
      <c r="UQ40" s="6"/>
      <c r="UR40" s="6"/>
      <c r="US40" s="6"/>
      <c r="UT40" s="6"/>
      <c r="UU40" s="6"/>
      <c r="UV40" s="6"/>
      <c r="UW40" s="6"/>
      <c r="UX40" s="6"/>
      <c r="UY40" s="6"/>
      <c r="UZ40" s="6"/>
      <c r="VA40" s="6"/>
      <c r="VB40" s="6"/>
      <c r="VC40" s="6"/>
      <c r="VD40" s="6"/>
      <c r="VE40" s="6"/>
      <c r="VF40" s="6"/>
      <c r="VG40" s="6"/>
      <c r="VH40" s="6"/>
      <c r="VI40" s="6"/>
      <c r="VJ40" s="6"/>
      <c r="VK40" s="6"/>
      <c r="VL40" s="6"/>
      <c r="VM40" s="6"/>
      <c r="VN40" s="6"/>
      <c r="VO40" s="6"/>
      <c r="VP40" s="6"/>
      <c r="VQ40" s="6"/>
      <c r="VR40" s="6"/>
      <c r="VS40" s="6"/>
      <c r="VT40" s="6"/>
      <c r="VU40" s="6"/>
      <c r="VV40" s="6"/>
      <c r="VW40" s="6"/>
      <c r="VX40" s="6"/>
      <c r="VY40" s="6"/>
      <c r="VZ40" s="6"/>
      <c r="WA40" s="6"/>
      <c r="WB40" s="6"/>
      <c r="WC40" s="6"/>
      <c r="WD40" s="6"/>
      <c r="WE40" s="6"/>
      <c r="WF40" s="6"/>
      <c r="WG40" s="6"/>
      <c r="WH40" s="6"/>
      <c r="WI40" s="6"/>
      <c r="WJ40" s="6"/>
      <c r="WK40" s="6"/>
      <c r="WL40" s="6"/>
      <c r="WM40" s="6"/>
      <c r="WN40" s="6"/>
      <c r="WO40" s="6"/>
      <c r="WP40" s="6"/>
      <c r="WQ40" s="6"/>
      <c r="WR40" s="6"/>
      <c r="WS40" s="6"/>
      <c r="WT40" s="6"/>
      <c r="WU40" s="6"/>
      <c r="WV40" s="6"/>
      <c r="WW40" s="6"/>
      <c r="WX40" s="6"/>
      <c r="WY40" s="6"/>
      <c r="WZ40" s="6"/>
      <c r="XA40" s="6"/>
      <c r="XB40" s="6"/>
      <c r="XC40" s="6"/>
      <c r="XD40" s="6"/>
      <c r="XE40" s="6"/>
      <c r="XF40" s="6"/>
      <c r="XG40" s="6"/>
      <c r="XH40" s="6"/>
      <c r="XI40" s="6"/>
      <c r="XJ40" s="6"/>
      <c r="XK40" s="6"/>
      <c r="XL40" s="6"/>
      <c r="XM40" s="6"/>
      <c r="XN40" s="6"/>
      <c r="XO40" s="6"/>
      <c r="XP40" s="6"/>
      <c r="XQ40" s="6"/>
      <c r="XR40" s="6"/>
      <c r="XS40" s="6"/>
      <c r="XT40" s="6"/>
      <c r="XU40" s="6"/>
      <c r="XV40" s="6"/>
      <c r="XW40" s="6"/>
      <c r="XX40" s="6"/>
      <c r="XY40" s="6"/>
      <c r="XZ40" s="6"/>
      <c r="YA40" s="6"/>
      <c r="YB40" s="6"/>
      <c r="YC40" s="6"/>
      <c r="YD40" s="6"/>
      <c r="YE40" s="6"/>
      <c r="YF40" s="6"/>
      <c r="YG40" s="6"/>
      <c r="YH40" s="6"/>
      <c r="YI40" s="6"/>
      <c r="YJ40" s="6"/>
      <c r="YK40" s="6"/>
      <c r="YL40" s="6"/>
      <c r="YM40" s="6"/>
      <c r="YN40" s="6"/>
      <c r="YO40" s="6"/>
      <c r="YP40" s="6"/>
      <c r="YQ40" s="6"/>
      <c r="YR40" s="6"/>
      <c r="YS40" s="6"/>
      <c r="YT40" s="6"/>
      <c r="YU40" s="6"/>
      <c r="YV40" s="6"/>
      <c r="YW40" s="6"/>
      <c r="YX40" s="6"/>
      <c r="YY40" s="6"/>
      <c r="YZ40" s="6"/>
      <c r="ZA40" s="6"/>
      <c r="ZB40" s="6"/>
      <c r="ZC40" s="6"/>
      <c r="ZD40" s="6"/>
      <c r="ZE40" s="6"/>
      <c r="ZF40" s="6"/>
      <c r="ZG40" s="6"/>
      <c r="ZH40" s="6"/>
      <c r="ZI40" s="6"/>
      <c r="ZJ40" s="6"/>
      <c r="ZK40" s="6"/>
      <c r="ZL40" s="6"/>
      <c r="ZM40" s="6"/>
      <c r="ZN40" s="6"/>
      <c r="ZO40" s="6"/>
      <c r="ZP40" s="6"/>
      <c r="ZQ40" s="6"/>
      <c r="ZR40" s="6"/>
      <c r="ZS40" s="6"/>
      <c r="ZT40" s="6"/>
      <c r="ZU40" s="6"/>
      <c r="ZV40" s="6"/>
      <c r="ZW40" s="6"/>
      <c r="ZX40" s="6"/>
      <c r="ZY40" s="6"/>
      <c r="ZZ40" s="6"/>
      <c r="AAA40" s="6"/>
      <c r="AAB40" s="6"/>
      <c r="AAC40" s="6"/>
      <c r="AAD40" s="6"/>
      <c r="AAE40" s="6"/>
      <c r="AAF40" s="6"/>
      <c r="AAG40" s="6"/>
      <c r="AAH40" s="6"/>
      <c r="AAI40" s="6"/>
      <c r="AAJ40" s="6"/>
      <c r="AAK40" s="6"/>
      <c r="AAL40" s="6"/>
      <c r="AAM40" s="6"/>
      <c r="AAN40" s="6"/>
      <c r="AAO40" s="6"/>
      <c r="AAP40" s="6"/>
      <c r="AAQ40" s="6"/>
      <c r="AAR40" s="6"/>
      <c r="AAS40" s="6"/>
      <c r="AAT40" s="6"/>
      <c r="AAU40" s="6"/>
      <c r="AAV40" s="6"/>
      <c r="AAW40" s="6"/>
      <c r="AAX40" s="6"/>
      <c r="AAY40" s="6"/>
      <c r="AAZ40" s="6"/>
      <c r="ABA40" s="6"/>
      <c r="ABB40" s="6"/>
      <c r="ABC40" s="6"/>
      <c r="ABD40" s="6"/>
      <c r="ABE40" s="6"/>
      <c r="ABF40" s="6"/>
      <c r="ABG40" s="6"/>
      <c r="ABH40" s="6"/>
      <c r="ABI40" s="6"/>
      <c r="ABJ40" s="6"/>
      <c r="ABK40" s="6"/>
      <c r="ABL40" s="6"/>
      <c r="ABM40" s="6"/>
      <c r="ABN40" s="6"/>
      <c r="ABO40" s="6"/>
      <c r="ABP40" s="6"/>
      <c r="ABQ40" s="6"/>
      <c r="ABR40" s="6"/>
      <c r="ABS40" s="6"/>
      <c r="ABT40" s="6"/>
      <c r="ABU40" s="6"/>
      <c r="ABV40" s="6"/>
      <c r="ABW40" s="6"/>
      <c r="ABX40" s="6"/>
      <c r="ABY40" s="6"/>
      <c r="ABZ40" s="6"/>
      <c r="ACA40" s="6"/>
      <c r="ACB40" s="6"/>
      <c r="ACC40" s="6"/>
      <c r="ACD40" s="6"/>
      <c r="ACE40" s="6"/>
      <c r="ACF40" s="6"/>
      <c r="ACG40" s="6"/>
      <c r="ACH40" s="6"/>
      <c r="ACI40" s="6"/>
      <c r="ACJ40" s="6"/>
      <c r="ACK40" s="6"/>
      <c r="ACL40" s="6"/>
      <c r="ACM40" s="6"/>
      <c r="ACN40" s="6"/>
      <c r="ACO40" s="6"/>
      <c r="ACP40" s="6"/>
      <c r="ACQ40" s="6"/>
      <c r="ACR40" s="6"/>
      <c r="ACS40" s="6"/>
      <c r="ACT40" s="6"/>
      <c r="ACU40" s="6"/>
      <c r="ACV40" s="6"/>
      <c r="ACW40" s="6"/>
      <c r="ACX40" s="6"/>
      <c r="ACY40" s="6"/>
      <c r="ACZ40" s="6"/>
      <c r="ADA40" s="6"/>
      <c r="ADB40" s="6"/>
      <c r="ADC40" s="6"/>
      <c r="ADD40" s="6"/>
      <c r="ADE40" s="6"/>
      <c r="ADF40" s="6"/>
      <c r="ADG40" s="6"/>
      <c r="ADH40" s="6"/>
      <c r="ADI40" s="6"/>
      <c r="ADJ40" s="6"/>
      <c r="ADK40" s="6"/>
      <c r="ADL40" s="6"/>
      <c r="ADM40" s="6"/>
      <c r="ADN40" s="6"/>
      <c r="ANH40">
        <v>53</v>
      </c>
      <c r="ANJ40">
        <v>1</v>
      </c>
      <c r="ANK40">
        <v>31.2</v>
      </c>
      <c r="ANL40">
        <v>1</v>
      </c>
      <c r="ANN40">
        <v>17</v>
      </c>
      <c r="ANS40">
        <v>1</v>
      </c>
      <c r="ASC40">
        <v>1</v>
      </c>
      <c r="ASG40">
        <v>1</v>
      </c>
      <c r="ASU40">
        <v>1</v>
      </c>
      <c r="AXU40">
        <v>5</v>
      </c>
      <c r="AXX40">
        <v>1</v>
      </c>
      <c r="AXZ40">
        <v>2</v>
      </c>
      <c r="AYA40">
        <v>5</v>
      </c>
      <c r="AYB40">
        <v>4</v>
      </c>
      <c r="AYC40">
        <v>0</v>
      </c>
      <c r="AYD40">
        <v>4</v>
      </c>
      <c r="AYF40" s="50">
        <v>100</v>
      </c>
      <c r="AYG40">
        <v>1</v>
      </c>
      <c r="AYJ40">
        <v>1</v>
      </c>
      <c r="AYK40" s="15">
        <v>19</v>
      </c>
      <c r="AYL40">
        <v>999</v>
      </c>
      <c r="AYM40">
        <v>9</v>
      </c>
      <c r="AYN40">
        <v>0</v>
      </c>
      <c r="AYO40">
        <v>5</v>
      </c>
      <c r="BKP40">
        <v>1</v>
      </c>
      <c r="BKS40">
        <v>1</v>
      </c>
      <c r="BKT40">
        <v>3</v>
      </c>
      <c r="BKU40">
        <v>3</v>
      </c>
      <c r="BKV40">
        <v>0</v>
      </c>
      <c r="BKW40">
        <v>3</v>
      </c>
      <c r="CJZ40">
        <v>40</v>
      </c>
      <c r="CKA40">
        <v>1</v>
      </c>
      <c r="CKD40">
        <v>1</v>
      </c>
      <c r="CKE40" s="36">
        <v>29</v>
      </c>
      <c r="CKF40">
        <v>999</v>
      </c>
      <c r="CKG40">
        <v>0</v>
      </c>
      <c r="CKH40">
        <v>999</v>
      </c>
      <c r="CKI40">
        <v>6</v>
      </c>
      <c r="CMM40" s="36"/>
      <c r="DTZ40">
        <v>5</v>
      </c>
      <c r="DUC40">
        <v>1</v>
      </c>
      <c r="DUD40">
        <v>1</v>
      </c>
      <c r="DUE40">
        <v>4</v>
      </c>
      <c r="DUF40">
        <v>4</v>
      </c>
      <c r="DUG40">
        <v>0</v>
      </c>
      <c r="DUH40">
        <v>4</v>
      </c>
      <c r="EWZ40">
        <v>100</v>
      </c>
      <c r="EXA40">
        <v>1</v>
      </c>
      <c r="EXD40">
        <v>1</v>
      </c>
      <c r="EXE40">
        <v>29</v>
      </c>
      <c r="EXF40">
        <v>999</v>
      </c>
      <c r="EXG40">
        <v>0</v>
      </c>
      <c r="EXH40">
        <v>999</v>
      </c>
      <c r="EXI40">
        <v>6</v>
      </c>
      <c r="FAX40">
        <v>1</v>
      </c>
      <c r="FBA40">
        <v>1</v>
      </c>
      <c r="FBC40">
        <v>29</v>
      </c>
      <c r="FBD40">
        <v>999</v>
      </c>
      <c r="FBE40">
        <v>0</v>
      </c>
      <c r="FBF40">
        <v>999</v>
      </c>
      <c r="FBG40">
        <v>6</v>
      </c>
      <c r="FKT40">
        <v>1</v>
      </c>
      <c r="FKW40">
        <v>1</v>
      </c>
      <c r="FKX40" s="15">
        <v>19</v>
      </c>
      <c r="FKY40">
        <v>999</v>
      </c>
      <c r="FKZ40">
        <v>9</v>
      </c>
      <c r="FLA40">
        <v>0</v>
      </c>
      <c r="FLB40">
        <v>6</v>
      </c>
    </row>
    <row r="41" spans="1:1020 1048:2039 2052:4013 4106:5074" x14ac:dyDescent="0.25">
      <c r="A41" s="50">
        <v>96018835</v>
      </c>
      <c r="B41" s="7"/>
      <c r="C41" s="7"/>
      <c r="D41" s="7"/>
      <c r="E41" s="7"/>
      <c r="F41">
        <v>3.9</v>
      </c>
      <c r="G41">
        <v>4.0999999999999996</v>
      </c>
      <c r="H41">
        <v>3.7</v>
      </c>
      <c r="J41">
        <v>3.9</v>
      </c>
      <c r="M41">
        <v>8.4</v>
      </c>
      <c r="O41">
        <v>7.2</v>
      </c>
      <c r="Q41">
        <v>8.3000000000000007</v>
      </c>
      <c r="R41">
        <v>12.1</v>
      </c>
      <c r="DO41" s="7"/>
      <c r="DP41" s="7"/>
      <c r="DQ41" s="7"/>
      <c r="DR41" s="7"/>
      <c r="DS41">
        <v>3.9</v>
      </c>
      <c r="DX41">
        <v>3.5</v>
      </c>
      <c r="EY41">
        <v>515</v>
      </c>
      <c r="EZ41">
        <v>311</v>
      </c>
      <c r="FA41">
        <v>288</v>
      </c>
      <c r="FC41">
        <v>381</v>
      </c>
      <c r="FI41">
        <v>187</v>
      </c>
      <c r="FK41">
        <v>326</v>
      </c>
      <c r="FY41" s="6"/>
      <c r="FZ41" s="6"/>
      <c r="GA41" s="6"/>
      <c r="GB41" s="6"/>
      <c r="GC41" s="6"/>
      <c r="GD41" s="6"/>
      <c r="GE41" s="6"/>
      <c r="GF41" s="6"/>
      <c r="GG41" s="6"/>
      <c r="GH41" s="6"/>
      <c r="GI41" s="6"/>
      <c r="GJ41" s="6"/>
      <c r="GK41" s="6"/>
      <c r="GL41" s="6"/>
      <c r="GM41" s="6"/>
      <c r="GN41" s="6"/>
      <c r="GO41" s="6"/>
      <c r="GP41" s="6"/>
      <c r="GQ41" s="6"/>
      <c r="GR41" s="6"/>
      <c r="GS41" s="6"/>
      <c r="GT41" s="6"/>
      <c r="GU41" s="6"/>
      <c r="GV41" s="6"/>
      <c r="GW41" s="6"/>
      <c r="GX41" s="6"/>
      <c r="GY41" s="6"/>
      <c r="GZ41" s="6"/>
      <c r="HA41" s="7"/>
      <c r="HB41" s="7"/>
      <c r="HC41" s="7"/>
      <c r="HD41">
        <v>2082</v>
      </c>
      <c r="IH41" s="7"/>
      <c r="II41" s="7"/>
      <c r="IJ41" s="7"/>
      <c r="IK41" s="6"/>
      <c r="IL41" s="6"/>
      <c r="IM41" s="6"/>
      <c r="IN41">
        <v>1</v>
      </c>
      <c r="IP41" s="6"/>
      <c r="IQ41" s="6"/>
      <c r="IR41" s="6"/>
      <c r="IS41" s="6"/>
      <c r="IT41" s="6"/>
      <c r="IU41" s="6"/>
      <c r="IV41" s="6"/>
      <c r="IW41" s="6"/>
      <c r="IX41" s="6"/>
      <c r="IY41" s="6"/>
      <c r="IZ41" s="6"/>
      <c r="JA41" s="6"/>
      <c r="JB41" s="6"/>
      <c r="JC41" s="6"/>
      <c r="JD41" s="6"/>
      <c r="JE41" s="6"/>
      <c r="JF41" s="6"/>
      <c r="JG41" s="6"/>
      <c r="JH41" s="6"/>
      <c r="JI41" s="6"/>
      <c r="JJ41" s="6"/>
      <c r="JK41" s="6"/>
      <c r="JL41" s="6"/>
      <c r="JM41" s="6"/>
      <c r="JN41" s="6"/>
      <c r="JO41" s="6"/>
      <c r="JP41" s="6"/>
      <c r="JQ41" s="6"/>
      <c r="JR41" s="7"/>
      <c r="JS41" s="55"/>
      <c r="JT41" s="50">
        <v>1400</v>
      </c>
      <c r="JU41" s="50">
        <v>1988</v>
      </c>
      <c r="JV41" s="50">
        <v>1758</v>
      </c>
      <c r="JW41" s="50"/>
      <c r="JX41" s="50">
        <v>332</v>
      </c>
      <c r="JY41" s="50"/>
      <c r="JZ41">
        <v>24</v>
      </c>
      <c r="KB41">
        <v>90</v>
      </c>
      <c r="KC41">
        <v>99</v>
      </c>
      <c r="KR41">
        <v>273</v>
      </c>
      <c r="KS41">
        <v>1000</v>
      </c>
      <c r="KV41" s="6">
        <v>892</v>
      </c>
      <c r="KW41" s="6"/>
      <c r="KX41" s="6"/>
      <c r="KY41" s="6"/>
      <c r="KZ41" s="6"/>
      <c r="LA41" s="6"/>
      <c r="LB41" s="6">
        <v>342</v>
      </c>
      <c r="LC41" s="6"/>
      <c r="LD41" s="6"/>
      <c r="LE41" s="6"/>
      <c r="LF41" s="6"/>
      <c r="LG41" s="6"/>
      <c r="LH41" s="6"/>
      <c r="LI41" s="6"/>
      <c r="LJ41" s="6"/>
      <c r="LK41" s="6"/>
      <c r="LL41" s="6"/>
      <c r="LM41" s="6"/>
      <c r="LN41" s="6"/>
      <c r="LO41" s="6"/>
      <c r="LP41" s="6"/>
      <c r="LQ41" s="6"/>
      <c r="LR41" s="6"/>
      <c r="LS41" s="6"/>
      <c r="LT41" s="6"/>
      <c r="LU41" s="6"/>
      <c r="LV41" s="6"/>
      <c r="LW41" s="6"/>
      <c r="LX41" s="51"/>
      <c r="LY41" s="51"/>
      <c r="LZ41" s="51"/>
      <c r="MA41" s="51"/>
      <c r="MB41" s="51"/>
      <c r="MC41" s="51"/>
      <c r="MD41" s="51"/>
      <c r="ME41" s="6"/>
      <c r="MF41" s="6"/>
      <c r="MG41" s="6"/>
      <c r="MH41" s="6"/>
      <c r="MI41" s="6"/>
      <c r="MJ41" s="6"/>
      <c r="MK41" s="6"/>
      <c r="ML41" s="6"/>
      <c r="MM41" s="6"/>
      <c r="MN41" s="6"/>
      <c r="MO41" s="6"/>
      <c r="MP41" s="6"/>
      <c r="MQ41" s="6"/>
      <c r="MR41" s="6"/>
      <c r="MS41" s="6"/>
      <c r="MT41" s="6"/>
      <c r="MU41" s="6"/>
      <c r="MV41" s="6"/>
      <c r="MW41" s="6"/>
      <c r="MX41" s="6"/>
      <c r="MY41" s="6"/>
      <c r="MZ41" s="6"/>
      <c r="NA41" s="6"/>
      <c r="NB41" s="6"/>
      <c r="NC41" s="6"/>
      <c r="ND41" s="6"/>
      <c r="NE41" s="6"/>
      <c r="NF41" s="6"/>
      <c r="NG41" s="6"/>
      <c r="NH41" s="6"/>
      <c r="NI41" s="6"/>
      <c r="NJ41" s="6"/>
      <c r="NK41" s="6"/>
      <c r="NL41" s="6"/>
      <c r="NM41" s="6"/>
      <c r="NN41" s="6"/>
      <c r="NO41" s="6"/>
      <c r="NP41" s="6"/>
      <c r="NQ41" s="6"/>
      <c r="NR41" s="6"/>
      <c r="NS41">
        <v>32.5</v>
      </c>
      <c r="NW41" s="6"/>
      <c r="NX41" s="6"/>
      <c r="NY41" s="6"/>
      <c r="NZ41" s="6"/>
      <c r="OA41" s="6"/>
      <c r="OB41" s="6"/>
      <c r="OC41" s="6"/>
      <c r="OD41" s="6"/>
      <c r="OE41" s="6"/>
      <c r="OF41" s="6"/>
      <c r="OG41" s="6"/>
      <c r="OH41" s="6"/>
      <c r="OI41" s="6"/>
      <c r="OJ41" s="6"/>
      <c r="OK41" s="6"/>
      <c r="OL41" s="6"/>
      <c r="OM41" s="6"/>
      <c r="ON41" s="6"/>
      <c r="OO41" s="6"/>
      <c r="OP41" s="6"/>
      <c r="OQ41" s="6"/>
      <c r="OR41" s="6"/>
      <c r="OS41" s="6"/>
      <c r="OT41" s="6"/>
      <c r="OU41" s="6"/>
      <c r="OV41" s="6"/>
      <c r="OW41" s="6"/>
      <c r="OX41" s="6"/>
      <c r="OY41" s="6"/>
      <c r="OZ41" s="6"/>
      <c r="PL41" s="50"/>
      <c r="PM41" s="50"/>
      <c r="PN41" s="50"/>
      <c r="PO41" s="50"/>
      <c r="PP41" s="50"/>
      <c r="PQ41" s="50"/>
      <c r="PR41" s="50"/>
      <c r="PS41" s="50"/>
      <c r="PT41" s="50"/>
      <c r="PU41" s="50"/>
      <c r="PV41" s="50">
        <v>200</v>
      </c>
      <c r="PW41" s="50"/>
      <c r="QQ41" s="8"/>
      <c r="QR41" s="8"/>
      <c r="QS41" s="8"/>
      <c r="QT41" s="8"/>
      <c r="QU41" s="8"/>
      <c r="QV41" s="8"/>
      <c r="QW41" s="8"/>
      <c r="QX41" s="8"/>
      <c r="QY41">
        <v>90000</v>
      </c>
      <c r="QZ41">
        <v>123000</v>
      </c>
      <c r="RA41">
        <v>107000</v>
      </c>
      <c r="RB41" s="23">
        <v>99000</v>
      </c>
      <c r="RC41" s="23"/>
      <c r="RD41" s="23">
        <v>156000</v>
      </c>
      <c r="RE41" s="23"/>
      <c r="RF41" s="23"/>
      <c r="RG41" s="23">
        <v>239000</v>
      </c>
      <c r="RH41" s="23"/>
      <c r="RI41" s="23"/>
      <c r="RJ41" s="23">
        <v>86000</v>
      </c>
      <c r="RK41" s="23"/>
      <c r="RL41" s="23">
        <v>61000</v>
      </c>
      <c r="RM41" s="6"/>
      <c r="RN41" s="6"/>
      <c r="RO41" s="6">
        <v>97000</v>
      </c>
      <c r="RP41" s="6"/>
      <c r="RQ41" s="6"/>
      <c r="RR41" s="6"/>
      <c r="RS41" s="6"/>
      <c r="RT41" s="6"/>
      <c r="RU41" s="6"/>
      <c r="RV41" s="6"/>
      <c r="RW41" s="6"/>
      <c r="RX41" s="6"/>
      <c r="RY41" s="6"/>
      <c r="RZ41" s="6"/>
      <c r="SA41" s="6"/>
      <c r="SB41" s="6"/>
      <c r="SC41" s="6"/>
      <c r="SD41" s="6"/>
      <c r="SE41" s="6"/>
      <c r="SF41" s="6"/>
      <c r="SG41" s="6"/>
      <c r="SH41" s="6"/>
      <c r="SI41" s="6"/>
      <c r="SJ41" s="6"/>
      <c r="SK41" s="6"/>
      <c r="SL41" s="6"/>
      <c r="SM41" s="7"/>
      <c r="SN41" s="7"/>
      <c r="SO41" s="7"/>
      <c r="SP41" s="7"/>
      <c r="SQ41" s="7"/>
      <c r="SR41" s="6"/>
      <c r="SS41" s="6"/>
      <c r="ST41" s="6"/>
      <c r="SU41" s="6"/>
      <c r="SV41">
        <v>66</v>
      </c>
      <c r="TE41" s="6"/>
      <c r="TF41" s="6"/>
      <c r="TG41" s="6"/>
      <c r="TH41" s="6"/>
      <c r="TI41" s="6"/>
      <c r="TJ41" s="6"/>
      <c r="TK41" s="6"/>
      <c r="TL41" s="6"/>
      <c r="TM41" s="6"/>
      <c r="TN41" s="6"/>
      <c r="TO41" s="6"/>
      <c r="TP41" s="6"/>
      <c r="TQ41" s="6"/>
      <c r="TR41" s="6"/>
      <c r="TS41" s="6"/>
      <c r="TT41" s="6"/>
      <c r="TU41" s="6"/>
      <c r="TV41" s="6"/>
      <c r="TW41" s="6"/>
      <c r="TX41" s="6"/>
      <c r="TY41" s="6"/>
      <c r="TZ41" s="6"/>
      <c r="UA41" s="6"/>
      <c r="UB41" s="6"/>
      <c r="UC41" s="6"/>
      <c r="UD41" s="6"/>
      <c r="UE41" s="6"/>
      <c r="UF41" s="6"/>
      <c r="UG41" s="6"/>
      <c r="UH41" s="6"/>
      <c r="UI41" s="6"/>
      <c r="UJ41" s="6"/>
      <c r="UK41" s="6"/>
      <c r="UL41" s="6"/>
      <c r="UM41" s="6"/>
      <c r="UN41" s="6"/>
      <c r="UO41" s="6"/>
      <c r="UP41" s="6"/>
      <c r="UQ41" s="6"/>
      <c r="UR41" s="6"/>
      <c r="US41" s="6"/>
      <c r="UT41" s="6"/>
      <c r="UU41" s="6"/>
      <c r="UV41" s="6"/>
      <c r="UW41" s="6"/>
      <c r="UX41" s="6"/>
      <c r="UY41" s="6"/>
      <c r="UZ41" s="6"/>
      <c r="VA41" s="6"/>
      <c r="VB41" s="6"/>
      <c r="VC41" s="6"/>
      <c r="VD41" s="6"/>
      <c r="VE41" s="6"/>
      <c r="VF41" s="6"/>
      <c r="VG41" s="6"/>
      <c r="VH41" s="6"/>
      <c r="VI41" s="6"/>
      <c r="VJ41" s="6"/>
      <c r="VK41" s="6"/>
      <c r="VL41" s="6"/>
      <c r="VM41" s="6"/>
      <c r="VN41" s="6">
        <v>25</v>
      </c>
      <c r="VO41" s="6"/>
      <c r="VP41" s="6">
        <v>22</v>
      </c>
      <c r="VQ41" s="6"/>
      <c r="VR41" s="6"/>
      <c r="VS41" s="6"/>
      <c r="VT41" s="6"/>
      <c r="VU41" s="6"/>
      <c r="VV41" s="6"/>
      <c r="VW41" s="6"/>
      <c r="VX41" s="6"/>
      <c r="VY41" s="6"/>
      <c r="VZ41" s="6"/>
      <c r="WA41" s="6"/>
      <c r="WB41" s="6"/>
      <c r="WC41">
        <v>0.3</v>
      </c>
      <c r="WD41">
        <v>0.3</v>
      </c>
      <c r="ADM41" s="6"/>
      <c r="ADN41" s="6"/>
      <c r="AEY41">
        <v>141.5</v>
      </c>
      <c r="AGE41">
        <v>4.4000000000000004</v>
      </c>
      <c r="AJD41">
        <v>2.15</v>
      </c>
      <c r="AJE41">
        <v>2.5499999999999998</v>
      </c>
      <c r="AJF41">
        <v>1.28</v>
      </c>
      <c r="AJG41" s="50"/>
      <c r="AJK41">
        <v>39.5</v>
      </c>
      <c r="AJL41">
        <v>38.700000000000003</v>
      </c>
      <c r="ALD41">
        <v>30</v>
      </c>
      <c r="ALR41">
        <v>0.2</v>
      </c>
      <c r="ALZ41">
        <v>290</v>
      </c>
      <c r="ANH41">
        <v>34</v>
      </c>
      <c r="ANJ41">
        <v>1</v>
      </c>
      <c r="ANK41">
        <v>19</v>
      </c>
      <c r="ANL41">
        <v>1</v>
      </c>
      <c r="ANN41">
        <v>14</v>
      </c>
      <c r="ANT41">
        <v>1</v>
      </c>
      <c r="ANY41">
        <v>1</v>
      </c>
      <c r="ATB41">
        <v>1</v>
      </c>
      <c r="ATH41">
        <v>1</v>
      </c>
      <c r="AVU41">
        <v>1</v>
      </c>
      <c r="AVY41">
        <v>1</v>
      </c>
      <c r="AWD41">
        <v>1</v>
      </c>
      <c r="AXU41">
        <v>3</v>
      </c>
      <c r="AXX41">
        <v>1</v>
      </c>
      <c r="AXZ41" s="36">
        <v>29</v>
      </c>
      <c r="AYA41">
        <v>999</v>
      </c>
      <c r="AYB41">
        <v>0</v>
      </c>
      <c r="AYC41">
        <v>999</v>
      </c>
      <c r="AYD41">
        <v>5</v>
      </c>
      <c r="AYQ41">
        <v>10</v>
      </c>
      <c r="AYR41">
        <v>1</v>
      </c>
      <c r="AYT41">
        <v>1</v>
      </c>
      <c r="AYV41">
        <v>1</v>
      </c>
      <c r="AYW41">
        <v>0</v>
      </c>
      <c r="AYX41">
        <v>0</v>
      </c>
      <c r="AYY41">
        <v>0</v>
      </c>
      <c r="AYZ41">
        <v>4</v>
      </c>
      <c r="BDP41">
        <v>1</v>
      </c>
      <c r="BDR41">
        <v>1</v>
      </c>
      <c r="BDS41">
        <v>0</v>
      </c>
      <c r="BDT41">
        <v>0</v>
      </c>
      <c r="BDU41">
        <v>0</v>
      </c>
      <c r="BDV41">
        <v>4</v>
      </c>
      <c r="BMB41" s="2">
        <v>100</v>
      </c>
      <c r="BMC41">
        <v>1</v>
      </c>
      <c r="BMF41">
        <v>1</v>
      </c>
      <c r="BMG41">
        <v>2</v>
      </c>
      <c r="BMH41">
        <v>1</v>
      </c>
      <c r="BMI41">
        <v>0</v>
      </c>
      <c r="BMJ41">
        <v>0</v>
      </c>
      <c r="BMK41">
        <v>4</v>
      </c>
      <c r="CML41">
        <v>1</v>
      </c>
      <c r="CMM41" s="36">
        <v>29</v>
      </c>
      <c r="CMN41">
        <v>999</v>
      </c>
      <c r="CMO41">
        <v>0</v>
      </c>
      <c r="CMP41">
        <v>999</v>
      </c>
      <c r="CMQ41">
        <v>6</v>
      </c>
      <c r="EDO41" s="35">
        <v>17</v>
      </c>
      <c r="EDP41">
        <v>15</v>
      </c>
      <c r="EDQ41">
        <v>0</v>
      </c>
      <c r="EDR41">
        <v>999</v>
      </c>
      <c r="EDS41">
        <v>6</v>
      </c>
      <c r="EEY41">
        <v>400</v>
      </c>
      <c r="EEZ41" s="2">
        <v>1</v>
      </c>
      <c r="EFC41">
        <v>1</v>
      </c>
      <c r="EFD41">
        <v>8</v>
      </c>
      <c r="EFE41">
        <v>15</v>
      </c>
      <c r="EFF41">
        <v>8</v>
      </c>
      <c r="EFG41">
        <v>0</v>
      </c>
      <c r="EFH41">
        <v>3</v>
      </c>
      <c r="FCR41">
        <v>1</v>
      </c>
      <c r="FCS41" s="35">
        <v>17</v>
      </c>
      <c r="FCT41">
        <v>15</v>
      </c>
      <c r="FCU41">
        <v>0</v>
      </c>
      <c r="FCV41">
        <v>999</v>
      </c>
      <c r="FCW41">
        <v>5</v>
      </c>
      <c r="FWO41">
        <v>1</v>
      </c>
      <c r="FWP41">
        <v>1</v>
      </c>
      <c r="FWU41">
        <v>1</v>
      </c>
      <c r="FZH41">
        <v>1</v>
      </c>
      <c r="FZV41">
        <v>1</v>
      </c>
      <c r="GAD41">
        <v>1</v>
      </c>
      <c r="GAG41">
        <v>1</v>
      </c>
      <c r="GAP41">
        <v>1</v>
      </c>
      <c r="GAV41">
        <v>1</v>
      </c>
      <c r="GCC41">
        <v>50</v>
      </c>
      <c r="GCL41">
        <v>1</v>
      </c>
      <c r="GEK41">
        <v>1</v>
      </c>
      <c r="GFF41">
        <v>1</v>
      </c>
      <c r="GFP41">
        <v>1</v>
      </c>
      <c r="GGU41">
        <v>1</v>
      </c>
      <c r="GHE41">
        <v>1</v>
      </c>
      <c r="GKS41">
        <v>1850</v>
      </c>
      <c r="GKT41">
        <v>1</v>
      </c>
      <c r="GKW41">
        <v>1</v>
      </c>
      <c r="GKX41">
        <v>1</v>
      </c>
      <c r="GLC41">
        <v>1</v>
      </c>
      <c r="GLD41">
        <v>1</v>
      </c>
    </row>
    <row r="42" spans="1:1020 1048:2039 2052:4013 4106:5074" x14ac:dyDescent="0.25">
      <c r="A42" s="50">
        <v>98008326</v>
      </c>
      <c r="B42" s="7"/>
      <c r="C42" s="7"/>
      <c r="D42" s="7"/>
      <c r="E42" s="7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  <c r="CT42" s="6"/>
      <c r="CU42" s="6"/>
      <c r="CV42" s="6"/>
      <c r="CW42" s="6"/>
      <c r="CX42" s="6"/>
      <c r="CY42" s="6"/>
      <c r="CZ42" s="6"/>
      <c r="DA42" s="6"/>
      <c r="DB42" s="6"/>
      <c r="DC42" s="6"/>
      <c r="DD42" s="6"/>
      <c r="DE42" s="6"/>
      <c r="DF42" s="6"/>
      <c r="DG42" s="6"/>
      <c r="DH42" s="6"/>
      <c r="DI42" s="6"/>
      <c r="DJ42" s="6"/>
      <c r="DK42" s="6"/>
      <c r="DL42" s="6"/>
      <c r="DM42" s="6"/>
      <c r="DN42" s="6"/>
      <c r="DO42" s="7"/>
      <c r="DP42" s="7"/>
      <c r="DQ42" s="7"/>
      <c r="DR42" s="7"/>
      <c r="DS42" s="7"/>
      <c r="DT42" s="7"/>
      <c r="DU42" s="7"/>
      <c r="DV42" s="7"/>
      <c r="DW42" s="7"/>
      <c r="DX42" s="7"/>
      <c r="DY42" s="7"/>
      <c r="DZ42" s="7"/>
      <c r="EA42" s="7"/>
      <c r="EB42" s="7"/>
      <c r="EC42" s="7"/>
      <c r="ED42" s="7"/>
      <c r="EE42" s="7"/>
      <c r="EF42" s="7"/>
      <c r="EG42" s="7"/>
      <c r="EH42" s="7"/>
      <c r="EI42" s="7"/>
      <c r="EJ42" s="7"/>
      <c r="EK42" s="7"/>
      <c r="EL42" s="7"/>
      <c r="EM42" s="7"/>
      <c r="EN42" s="7"/>
      <c r="EO42" s="7"/>
      <c r="EP42" s="7"/>
      <c r="EQ42" s="7"/>
      <c r="ER42" s="7"/>
      <c r="ES42" s="7"/>
      <c r="ET42" s="7"/>
      <c r="EU42" s="7"/>
      <c r="EV42" s="7"/>
      <c r="EW42" s="7"/>
      <c r="EX42" s="7"/>
      <c r="EY42" s="6"/>
      <c r="EZ42" s="6"/>
      <c r="FA42" s="6"/>
      <c r="FB42" s="6"/>
      <c r="FC42" s="6"/>
      <c r="FD42" s="6"/>
      <c r="FE42" s="6"/>
      <c r="FF42" s="6"/>
      <c r="FG42" s="6"/>
      <c r="FH42" s="6"/>
      <c r="FI42" s="6"/>
      <c r="FJ42" s="6"/>
      <c r="FK42" s="6"/>
      <c r="FL42" s="6"/>
      <c r="FM42" s="6"/>
      <c r="FN42" s="6"/>
      <c r="FO42" s="6"/>
      <c r="FP42" s="6"/>
      <c r="FQ42" s="6"/>
      <c r="FR42" s="6"/>
      <c r="FS42" s="6"/>
      <c r="FT42" s="6"/>
      <c r="FU42" s="6"/>
      <c r="FV42" s="6"/>
      <c r="FW42" s="6"/>
      <c r="FX42" s="6"/>
      <c r="FY42" s="6"/>
      <c r="FZ42" s="6"/>
      <c r="GA42" s="6"/>
      <c r="GB42" s="6"/>
      <c r="GC42" s="6"/>
      <c r="GD42" s="6"/>
      <c r="GE42" s="6"/>
      <c r="GF42" s="6"/>
      <c r="GG42" s="6"/>
      <c r="GH42" s="6"/>
      <c r="GI42" s="6"/>
      <c r="GJ42" s="6"/>
      <c r="GK42" s="6"/>
      <c r="GL42" s="6"/>
      <c r="GM42" s="6"/>
      <c r="GN42" s="6"/>
      <c r="GO42" s="6"/>
      <c r="GP42" s="6"/>
      <c r="GQ42" s="6"/>
      <c r="GR42" s="6"/>
      <c r="GS42" s="6"/>
      <c r="GT42" s="6"/>
      <c r="GU42" s="6"/>
      <c r="GV42" s="6"/>
      <c r="GW42" s="6"/>
      <c r="GX42" s="6"/>
      <c r="GY42" s="6"/>
      <c r="GZ42" s="6"/>
      <c r="HA42" s="7"/>
      <c r="HB42" s="7"/>
      <c r="HC42" s="7"/>
      <c r="HD42" s="6"/>
      <c r="HE42" s="6"/>
      <c r="HF42" s="6"/>
      <c r="HG42" s="6"/>
      <c r="HH42" s="6"/>
      <c r="HI42" s="6"/>
      <c r="HJ42" s="6"/>
      <c r="HK42" s="6"/>
      <c r="HL42" s="6"/>
      <c r="HM42" s="6"/>
      <c r="HN42" s="6"/>
      <c r="HO42" s="6"/>
      <c r="HP42" s="6"/>
      <c r="HQ42" s="6"/>
      <c r="HR42" s="6"/>
      <c r="HS42" s="6"/>
      <c r="HT42" s="6"/>
      <c r="HU42" s="6"/>
      <c r="HV42" s="6"/>
      <c r="HW42" s="6"/>
      <c r="HX42" s="6"/>
      <c r="HY42" s="6"/>
      <c r="HZ42" s="6"/>
      <c r="IA42" s="6"/>
      <c r="IB42" s="6"/>
      <c r="IC42" s="6"/>
      <c r="ID42" s="6"/>
      <c r="IE42" s="6"/>
      <c r="IF42" s="6"/>
      <c r="IG42" s="6"/>
      <c r="IH42" s="7"/>
      <c r="II42" s="7"/>
      <c r="IJ42" s="7"/>
      <c r="IK42" s="6"/>
      <c r="IL42" s="6"/>
      <c r="IM42" s="6"/>
      <c r="IN42" s="6"/>
      <c r="IO42" s="6"/>
      <c r="IP42" s="6"/>
      <c r="IQ42" s="6"/>
      <c r="IR42" s="6"/>
      <c r="IS42" s="6"/>
      <c r="IT42" s="6"/>
      <c r="IU42" s="6"/>
      <c r="IV42" s="6"/>
      <c r="IW42" s="6"/>
      <c r="IX42" s="6"/>
      <c r="IY42" s="6"/>
      <c r="IZ42" s="6"/>
      <c r="JA42" s="6"/>
      <c r="JB42" s="6"/>
      <c r="JC42" s="6"/>
      <c r="JD42" s="6"/>
      <c r="JE42" s="6"/>
      <c r="JF42" s="6"/>
      <c r="JG42" s="6"/>
      <c r="JH42" s="6"/>
      <c r="JI42" s="6"/>
      <c r="JJ42" s="6"/>
      <c r="JK42" s="6"/>
      <c r="JL42" s="6"/>
      <c r="JM42" s="6"/>
      <c r="JN42" s="6"/>
      <c r="JO42" s="6"/>
      <c r="JP42" s="6"/>
      <c r="JQ42" s="6"/>
      <c r="JR42" s="7"/>
      <c r="JS42" s="55"/>
      <c r="JT42" s="51"/>
      <c r="JU42" s="51"/>
      <c r="JV42" s="51"/>
      <c r="JW42" s="51"/>
      <c r="JX42" s="51"/>
      <c r="JY42" s="51"/>
      <c r="JZ42" s="6"/>
      <c r="KA42" s="6"/>
      <c r="KB42" s="6"/>
      <c r="KC42" s="6"/>
      <c r="KD42" s="6"/>
      <c r="KE42" s="6"/>
      <c r="KF42" s="6"/>
      <c r="KG42" s="6"/>
      <c r="KH42" s="6"/>
      <c r="KI42" s="6"/>
      <c r="KJ42" s="6"/>
      <c r="KK42" s="6"/>
      <c r="KL42" s="6"/>
      <c r="KM42" s="6"/>
      <c r="KN42" s="6"/>
      <c r="KO42" s="6"/>
      <c r="KP42" s="6"/>
      <c r="KQ42" s="6"/>
      <c r="KR42" s="6"/>
      <c r="KS42" s="6"/>
      <c r="KT42" s="6"/>
      <c r="KU42" s="6"/>
      <c r="KV42" s="6"/>
      <c r="KW42" s="6"/>
      <c r="KX42" s="6"/>
      <c r="KY42" s="6"/>
      <c r="KZ42" s="6"/>
      <c r="LA42" s="6"/>
      <c r="LB42" s="6"/>
      <c r="LC42" s="6"/>
      <c r="LD42" s="6"/>
      <c r="LE42" s="6"/>
      <c r="LF42" s="6"/>
      <c r="LG42" s="6"/>
      <c r="LH42" s="6"/>
      <c r="LI42" s="6"/>
      <c r="LJ42" s="6"/>
      <c r="LK42" s="6"/>
      <c r="LL42" s="6"/>
      <c r="LM42" s="6"/>
      <c r="LN42" s="6"/>
      <c r="LO42" s="6"/>
      <c r="LP42" s="6"/>
      <c r="LQ42" s="6"/>
      <c r="LR42" s="6"/>
      <c r="LS42" s="6"/>
      <c r="LT42" s="6"/>
      <c r="LU42" s="6"/>
      <c r="LV42" s="6"/>
      <c r="LW42" s="6"/>
      <c r="LX42" s="51"/>
      <c r="LY42" s="51"/>
      <c r="LZ42" s="51"/>
      <c r="MA42" s="51"/>
      <c r="MB42" s="51"/>
      <c r="MC42" s="51"/>
      <c r="MD42" s="51"/>
      <c r="ME42" s="6"/>
      <c r="MF42" s="6"/>
      <c r="MG42" s="6"/>
      <c r="MH42" s="6"/>
      <c r="MI42" s="6"/>
      <c r="MJ42" s="6"/>
      <c r="MK42" s="6"/>
      <c r="ML42" s="6"/>
      <c r="MM42" s="6"/>
      <c r="MN42" s="6"/>
      <c r="MO42" s="6"/>
      <c r="MP42" s="6"/>
      <c r="MQ42" s="6"/>
      <c r="MR42" s="6"/>
      <c r="MS42" s="6"/>
      <c r="MT42" s="6"/>
      <c r="MU42" s="6"/>
      <c r="MV42" s="6"/>
      <c r="MW42" s="6"/>
      <c r="MX42" s="6"/>
      <c r="MY42" s="6"/>
      <c r="MZ42" s="6"/>
      <c r="NA42" s="6"/>
      <c r="NB42" s="6"/>
      <c r="NC42" s="6"/>
      <c r="ND42" s="6"/>
      <c r="NE42" s="6"/>
      <c r="NF42" s="6"/>
      <c r="NG42" s="6"/>
      <c r="NH42">
        <v>25.4</v>
      </c>
      <c r="NN42" s="6"/>
      <c r="NS42" s="6"/>
      <c r="NT42" s="6"/>
      <c r="NU42" s="6"/>
      <c r="NV42" s="6"/>
      <c r="NW42" s="6"/>
      <c r="NX42" s="6"/>
      <c r="NY42" s="6"/>
      <c r="NZ42" s="6"/>
      <c r="OA42" s="6"/>
      <c r="OB42" s="6"/>
      <c r="OC42" s="6"/>
      <c r="OD42" s="6"/>
      <c r="OE42" s="6"/>
      <c r="OF42" s="6"/>
      <c r="OG42" s="6"/>
      <c r="OH42" s="6"/>
      <c r="OI42" s="6"/>
      <c r="OJ42" s="6"/>
      <c r="OK42" s="6"/>
      <c r="OL42" s="6"/>
      <c r="OM42" s="6"/>
      <c r="ON42" s="6"/>
      <c r="OO42" s="6"/>
      <c r="OP42" s="6"/>
      <c r="OQ42" s="6"/>
      <c r="OR42" s="6"/>
      <c r="OS42" s="6"/>
      <c r="OT42" s="6"/>
      <c r="OU42" s="6"/>
      <c r="OV42" s="6"/>
      <c r="OW42" s="6"/>
      <c r="OX42" s="6"/>
      <c r="OY42" s="6"/>
      <c r="OZ42" s="6"/>
      <c r="PL42" s="50"/>
      <c r="PM42" s="50"/>
      <c r="PN42" s="50"/>
      <c r="PO42" s="50"/>
      <c r="PP42" s="50"/>
      <c r="PQ42" s="50"/>
      <c r="PR42" s="50"/>
      <c r="PS42" s="50"/>
      <c r="PT42" s="50"/>
      <c r="PU42" s="50"/>
      <c r="PV42" s="50"/>
      <c r="PW42" s="50"/>
      <c r="QQ42" s="8"/>
      <c r="QR42" s="8"/>
      <c r="QS42" s="8"/>
      <c r="QT42" s="8"/>
      <c r="QU42" s="8"/>
      <c r="QV42" s="8"/>
      <c r="QW42" s="8"/>
      <c r="QX42" s="8"/>
      <c r="QY42" s="6"/>
      <c r="QZ42" s="6"/>
      <c r="RA42" s="6"/>
      <c r="RB42" s="6"/>
      <c r="RC42" s="6"/>
      <c r="RD42" s="6"/>
      <c r="RE42" s="6"/>
      <c r="RF42" s="6"/>
      <c r="RG42" s="6"/>
      <c r="RH42" s="6"/>
      <c r="RI42" s="6"/>
      <c r="RJ42" s="6"/>
      <c r="RK42" s="6"/>
      <c r="RL42" s="6"/>
      <c r="RM42" s="6"/>
      <c r="RN42" s="6"/>
      <c r="RO42" s="6"/>
      <c r="RP42" s="6"/>
      <c r="RQ42" s="6"/>
      <c r="RR42" s="6"/>
      <c r="RS42" s="6"/>
      <c r="RT42" s="6"/>
      <c r="RU42" s="6"/>
      <c r="SM42" s="7"/>
      <c r="SN42" s="7"/>
      <c r="SO42" s="7"/>
      <c r="SP42" s="7"/>
      <c r="SQ42" s="7"/>
      <c r="SR42" s="6"/>
      <c r="SS42" s="6"/>
      <c r="ST42" s="6"/>
      <c r="SU42" s="6"/>
      <c r="SV42" s="6"/>
      <c r="SW42" s="6"/>
      <c r="SX42" s="6"/>
      <c r="SY42" s="6"/>
      <c r="SZ42" s="6"/>
      <c r="TA42" s="6"/>
      <c r="TB42" s="6"/>
      <c r="TC42" s="6"/>
      <c r="TD42" s="6"/>
      <c r="TE42" s="6"/>
      <c r="TF42" s="6"/>
      <c r="TG42" s="6"/>
      <c r="TH42" s="6"/>
      <c r="TI42" s="6"/>
      <c r="TJ42" s="6"/>
      <c r="TK42" s="6"/>
      <c r="TL42" s="6"/>
      <c r="TM42" s="6"/>
      <c r="TN42" s="6"/>
      <c r="TO42" s="6"/>
      <c r="TP42" s="6"/>
      <c r="TQ42" s="6"/>
      <c r="TR42" s="6"/>
      <c r="TS42" s="6"/>
      <c r="TT42" s="6"/>
      <c r="TU42" s="6"/>
      <c r="TV42" s="6"/>
      <c r="TW42" s="6"/>
      <c r="TX42" s="6"/>
      <c r="TY42" s="6"/>
      <c r="TZ42" s="6"/>
      <c r="UA42" s="6"/>
      <c r="UB42" s="6"/>
      <c r="UC42" s="6"/>
      <c r="UD42" s="6"/>
      <c r="UE42" s="6"/>
      <c r="UF42" s="6"/>
      <c r="UG42" s="6"/>
      <c r="UH42" s="6"/>
      <c r="UI42" s="6"/>
      <c r="UJ42" s="6"/>
      <c r="UK42" s="6"/>
      <c r="UL42" s="6"/>
      <c r="UM42" s="6"/>
      <c r="UN42" s="6"/>
      <c r="UO42" s="6"/>
      <c r="UP42" s="6"/>
      <c r="UQ42" s="6"/>
      <c r="UR42" s="6"/>
      <c r="US42" s="6"/>
      <c r="UT42" s="6"/>
      <c r="UU42" s="6"/>
      <c r="UV42" s="6"/>
      <c r="UW42" s="6"/>
      <c r="UX42" s="6"/>
      <c r="UY42" s="6"/>
      <c r="UZ42" s="6"/>
      <c r="VA42" s="6"/>
      <c r="VB42" s="6"/>
      <c r="VC42" s="6"/>
      <c r="VD42" s="6"/>
      <c r="VE42" s="6"/>
      <c r="VF42" s="6"/>
      <c r="VG42" s="6"/>
      <c r="VH42" s="6"/>
      <c r="VI42" s="6"/>
      <c r="VJ42" s="6"/>
      <c r="VK42" s="6"/>
      <c r="VL42" s="6"/>
      <c r="VM42" s="6"/>
      <c r="VN42" s="6"/>
      <c r="VO42" s="6"/>
      <c r="VP42" s="6"/>
      <c r="VQ42" s="6"/>
      <c r="VR42" s="6"/>
      <c r="VS42" s="6"/>
      <c r="VT42" s="6"/>
      <c r="VU42" s="6"/>
      <c r="VV42" s="6"/>
      <c r="VW42" s="6"/>
      <c r="VX42" s="6"/>
      <c r="VY42" s="6"/>
      <c r="VZ42" s="6"/>
      <c r="WA42" s="6"/>
      <c r="WB42" s="6"/>
      <c r="WC42" s="6"/>
      <c r="WD42" s="6"/>
      <c r="WE42" s="6"/>
      <c r="WF42" s="6"/>
      <c r="WG42" s="6"/>
      <c r="WH42" s="6"/>
      <c r="WI42" s="6"/>
      <c r="WJ42" s="6"/>
      <c r="WK42" s="6"/>
      <c r="WL42" s="6"/>
      <c r="WM42" s="6"/>
      <c r="WN42" s="6"/>
      <c r="WO42" s="6"/>
      <c r="WP42" s="6"/>
      <c r="WQ42" s="6"/>
      <c r="WR42" s="6"/>
      <c r="WS42" s="6"/>
      <c r="WT42" s="6"/>
      <c r="WU42" s="6"/>
      <c r="WV42" s="6"/>
      <c r="WW42" s="6"/>
      <c r="WX42" s="6"/>
      <c r="WY42" s="6"/>
      <c r="WZ42" s="6"/>
      <c r="XA42" s="6"/>
      <c r="XB42" s="6"/>
      <c r="XC42" s="6"/>
      <c r="XD42" s="6"/>
      <c r="XE42" s="6"/>
      <c r="XF42" s="6"/>
      <c r="XG42" s="6"/>
      <c r="XH42" s="6"/>
      <c r="XI42" s="6"/>
      <c r="XJ42" s="6"/>
      <c r="XK42" s="6"/>
      <c r="XL42" s="6"/>
      <c r="XM42" s="6"/>
      <c r="XN42" s="6"/>
      <c r="XO42" s="6"/>
      <c r="XP42" s="6"/>
      <c r="XQ42" s="6"/>
      <c r="XR42" s="6"/>
      <c r="XS42" s="6"/>
      <c r="XT42" s="6"/>
      <c r="XU42" s="6"/>
      <c r="XV42" s="6"/>
      <c r="XW42" s="6"/>
      <c r="XX42" s="6"/>
      <c r="XY42" s="6"/>
      <c r="XZ42" s="6"/>
      <c r="YA42" s="6"/>
      <c r="YB42" s="6"/>
      <c r="YC42" s="6"/>
      <c r="YD42" s="6"/>
      <c r="YE42" s="6"/>
      <c r="YF42" s="6"/>
      <c r="YG42" s="6"/>
      <c r="YH42" s="6"/>
      <c r="YI42" s="6"/>
      <c r="YJ42" s="6"/>
      <c r="YK42" s="6"/>
      <c r="YL42" s="6"/>
      <c r="YM42" s="6"/>
      <c r="YN42" s="6"/>
      <c r="YO42" s="6"/>
      <c r="YP42" s="6"/>
      <c r="YQ42" s="6"/>
      <c r="YR42" s="6"/>
      <c r="YS42" s="6"/>
      <c r="YT42" s="6"/>
      <c r="YU42" s="6"/>
      <c r="YV42" s="6"/>
      <c r="YW42" s="6"/>
      <c r="YX42" s="6"/>
      <c r="YY42" s="6"/>
      <c r="YZ42" s="6"/>
      <c r="ZA42" s="6"/>
      <c r="ZB42" s="6"/>
      <c r="ZC42" s="6"/>
      <c r="ZD42" s="6"/>
      <c r="ZE42" s="6"/>
      <c r="ZF42" s="6"/>
      <c r="ZG42" s="6"/>
      <c r="ZH42" s="6"/>
      <c r="ZI42" s="6"/>
      <c r="ZJ42" s="6"/>
      <c r="ZK42" s="6"/>
      <c r="ZL42" s="6"/>
      <c r="ZM42" s="6"/>
      <c r="ZN42" s="6"/>
      <c r="ZO42" s="6"/>
      <c r="ZP42" s="6"/>
      <c r="ZQ42" s="6"/>
      <c r="ZR42" s="6"/>
      <c r="ZS42" s="6"/>
      <c r="ZT42" s="6"/>
      <c r="ZU42" s="6"/>
      <c r="ZV42" s="6"/>
      <c r="ZW42" s="6"/>
      <c r="ZX42" s="6"/>
      <c r="ZY42" s="6"/>
      <c r="ZZ42" s="6"/>
      <c r="AAA42" s="6"/>
      <c r="AAB42" s="6"/>
      <c r="AAC42" s="6"/>
      <c r="AAD42" s="6"/>
      <c r="AAE42" s="6"/>
      <c r="AAF42" s="6"/>
      <c r="AAG42" s="6"/>
      <c r="AAH42" s="6"/>
      <c r="AAI42" s="6"/>
      <c r="AAJ42" s="6"/>
      <c r="AAK42" s="6"/>
      <c r="AAL42" s="6"/>
      <c r="AAM42" s="6"/>
      <c r="AAN42" s="6"/>
      <c r="AAO42" s="6"/>
      <c r="AAP42" s="6"/>
      <c r="AAQ42" s="6"/>
      <c r="AAR42" s="6"/>
      <c r="AAS42" s="6"/>
      <c r="AAT42" s="6"/>
      <c r="AAU42" s="6"/>
      <c r="AAV42" s="6"/>
      <c r="AAW42" s="6"/>
      <c r="AAX42" s="6"/>
      <c r="AAY42" s="6"/>
      <c r="AAZ42" s="6"/>
      <c r="ABA42" s="6"/>
      <c r="ABB42" s="6"/>
      <c r="ABC42" s="6"/>
      <c r="ABD42" s="6"/>
      <c r="ABE42" s="6"/>
      <c r="ABF42" s="6"/>
      <c r="ABG42" s="6"/>
      <c r="ABH42" s="6"/>
      <c r="ABI42" s="6"/>
      <c r="ABJ42" s="6"/>
      <c r="ABK42" s="6"/>
      <c r="ABL42" s="6"/>
      <c r="ABM42" s="6"/>
      <c r="ABN42" s="6"/>
      <c r="ABO42" s="6"/>
      <c r="ABP42" s="6"/>
      <c r="ABQ42" s="6"/>
      <c r="ABR42" s="6"/>
      <c r="ABS42" s="6"/>
      <c r="ABT42" s="6"/>
      <c r="ABU42" s="6"/>
      <c r="ABV42" s="6"/>
      <c r="ABW42" s="6"/>
      <c r="ABX42" s="6"/>
      <c r="ABY42" s="6"/>
      <c r="ABZ42" s="6"/>
      <c r="ACA42" s="6"/>
      <c r="ACB42" s="6"/>
      <c r="ACC42" s="6"/>
      <c r="ACD42" s="6"/>
      <c r="ACE42" s="6"/>
      <c r="ACF42" s="6"/>
      <c r="ACG42" s="6"/>
      <c r="ACH42" s="6"/>
      <c r="ACI42" s="6"/>
      <c r="ACJ42" s="6"/>
      <c r="ACK42" s="6"/>
      <c r="ACL42" s="6"/>
      <c r="ACM42" s="6"/>
      <c r="ACN42" s="6"/>
      <c r="ACO42" s="6"/>
      <c r="ACP42" s="6"/>
      <c r="ACQ42" s="6"/>
      <c r="ACR42" s="6"/>
      <c r="ACS42" s="6"/>
      <c r="ACT42" s="6"/>
      <c r="ACU42" s="6"/>
      <c r="ACV42" s="6"/>
      <c r="ACW42" s="6"/>
      <c r="ACX42" s="6"/>
      <c r="ACY42" s="6"/>
      <c r="ACZ42" s="6"/>
      <c r="ADA42" s="6"/>
      <c r="ADB42" s="6"/>
      <c r="ADC42" s="6"/>
      <c r="ADD42" s="6"/>
      <c r="ADE42" s="6"/>
      <c r="ADF42" s="6"/>
      <c r="ADG42" s="6"/>
      <c r="ADH42" s="6"/>
      <c r="ADI42" s="6"/>
      <c r="ADJ42" s="6"/>
      <c r="ADK42" s="6"/>
      <c r="ADL42" s="6"/>
      <c r="ADM42" s="6"/>
      <c r="ADN42" s="6"/>
      <c r="ANH42">
        <v>88</v>
      </c>
      <c r="ANJ42">
        <v>1</v>
      </c>
      <c r="ANK42">
        <v>21.5</v>
      </c>
      <c r="ANM42">
        <v>1</v>
      </c>
      <c r="ANN42">
        <v>43</v>
      </c>
      <c r="ANT42">
        <v>1</v>
      </c>
      <c r="AOK42">
        <v>1</v>
      </c>
      <c r="APU42">
        <v>1</v>
      </c>
      <c r="AQD42">
        <v>1</v>
      </c>
      <c r="AQW42">
        <v>1</v>
      </c>
      <c r="AQY42">
        <v>1</v>
      </c>
      <c r="ARD42">
        <v>1</v>
      </c>
      <c r="ATH42">
        <v>1</v>
      </c>
      <c r="ATJ42">
        <v>1</v>
      </c>
      <c r="AVI42">
        <v>11</v>
      </c>
      <c r="AVV42">
        <v>1</v>
      </c>
      <c r="AXU42" s="2">
        <v>1</v>
      </c>
      <c r="AXX42">
        <v>1</v>
      </c>
      <c r="AXZ42">
        <v>4</v>
      </c>
      <c r="AYA42">
        <v>10</v>
      </c>
      <c r="AYB42">
        <v>7</v>
      </c>
      <c r="AYC42">
        <v>0</v>
      </c>
      <c r="AYD42">
        <v>4</v>
      </c>
      <c r="BTM42">
        <v>1500</v>
      </c>
      <c r="BTN42">
        <v>2</v>
      </c>
      <c r="BTO42">
        <v>1</v>
      </c>
      <c r="BTR42">
        <v>10</v>
      </c>
      <c r="BTS42">
        <v>20</v>
      </c>
      <c r="BTT42">
        <v>11</v>
      </c>
      <c r="BTU42">
        <v>0</v>
      </c>
      <c r="BTV42">
        <v>4</v>
      </c>
      <c r="BTW42">
        <v>100</v>
      </c>
      <c r="BTX42">
        <v>1</v>
      </c>
      <c r="BTY42">
        <v>1</v>
      </c>
      <c r="BUB42">
        <v>9</v>
      </c>
      <c r="BUC42">
        <v>20</v>
      </c>
      <c r="BUD42">
        <v>12</v>
      </c>
      <c r="BUE42">
        <v>0</v>
      </c>
      <c r="BUF42">
        <v>4</v>
      </c>
      <c r="CBN42" s="2">
        <v>1</v>
      </c>
      <c r="CBQ42">
        <v>1</v>
      </c>
      <c r="CBR42">
        <v>2</v>
      </c>
      <c r="CBS42">
        <v>10</v>
      </c>
      <c r="CBT42">
        <v>9</v>
      </c>
      <c r="CBU42">
        <v>0</v>
      </c>
      <c r="CBV42">
        <v>4</v>
      </c>
      <c r="CCQ42" t="s">
        <v>548</v>
      </c>
      <c r="CCR42" s="2">
        <v>1</v>
      </c>
      <c r="CCU42">
        <v>1</v>
      </c>
      <c r="CCV42">
        <v>2</v>
      </c>
      <c r="CCW42">
        <v>10</v>
      </c>
      <c r="CCX42">
        <v>9</v>
      </c>
      <c r="CCY42">
        <v>0</v>
      </c>
      <c r="CCZ42">
        <v>5</v>
      </c>
      <c r="CKK42">
        <v>2</v>
      </c>
      <c r="CKN42">
        <v>1</v>
      </c>
      <c r="CKO42">
        <v>27</v>
      </c>
      <c r="CKP42">
        <v>12</v>
      </c>
      <c r="CKQ42">
        <v>0</v>
      </c>
      <c r="CKR42">
        <v>14</v>
      </c>
      <c r="CKS42">
        <v>5</v>
      </c>
      <c r="CPB42">
        <v>0.125</v>
      </c>
      <c r="CPC42">
        <v>1</v>
      </c>
      <c r="CPD42">
        <v>1</v>
      </c>
      <c r="CPG42">
        <v>14</v>
      </c>
      <c r="CPH42">
        <v>13</v>
      </c>
      <c r="CPI42">
        <v>1</v>
      </c>
      <c r="CPJ42">
        <v>13</v>
      </c>
      <c r="CPK42">
        <v>5</v>
      </c>
      <c r="CVT42">
        <v>2500</v>
      </c>
      <c r="CVU42">
        <v>3</v>
      </c>
      <c r="CVX42">
        <v>1</v>
      </c>
      <c r="CVZ42">
        <v>34</v>
      </c>
      <c r="CWA42">
        <v>19</v>
      </c>
      <c r="CWB42">
        <v>0</v>
      </c>
      <c r="CWC42">
        <v>14</v>
      </c>
      <c r="CWD42">
        <v>5</v>
      </c>
      <c r="DFY42" s="23">
        <v>1</v>
      </c>
      <c r="DFZ42" s="2">
        <v>1</v>
      </c>
      <c r="DGC42">
        <v>1</v>
      </c>
      <c r="DGD42">
        <v>4</v>
      </c>
      <c r="DGE42">
        <v>12</v>
      </c>
      <c r="DGF42">
        <v>9</v>
      </c>
      <c r="DGG42">
        <v>0</v>
      </c>
      <c r="DGH42">
        <v>5</v>
      </c>
      <c r="DNT42">
        <v>200</v>
      </c>
      <c r="DNU42" s="2">
        <v>3</v>
      </c>
      <c r="DNX42">
        <v>1</v>
      </c>
      <c r="DNY42">
        <v>25</v>
      </c>
      <c r="DNZ42">
        <v>10</v>
      </c>
      <c r="DOA42">
        <v>0</v>
      </c>
      <c r="DOB42">
        <v>14</v>
      </c>
      <c r="DOC42">
        <v>5</v>
      </c>
      <c r="DRQ42">
        <v>1</v>
      </c>
      <c r="DRT42">
        <v>1</v>
      </c>
      <c r="DRU42">
        <v>27</v>
      </c>
      <c r="DRV42">
        <v>12</v>
      </c>
      <c r="DRW42">
        <v>0</v>
      </c>
      <c r="DRX42">
        <v>14</v>
      </c>
      <c r="DRY42">
        <v>5</v>
      </c>
      <c r="DZC42">
        <v>2</v>
      </c>
      <c r="DZD42">
        <v>1</v>
      </c>
      <c r="DZG42">
        <v>10</v>
      </c>
      <c r="DZH42">
        <v>7</v>
      </c>
      <c r="DZI42">
        <v>0</v>
      </c>
      <c r="DZJ42">
        <v>2</v>
      </c>
      <c r="DZK42">
        <v>4</v>
      </c>
      <c r="DZW42">
        <v>500</v>
      </c>
      <c r="DZX42">
        <v>3</v>
      </c>
      <c r="DZY42">
        <v>1</v>
      </c>
      <c r="EAB42">
        <v>16</v>
      </c>
      <c r="EAC42">
        <v>12</v>
      </c>
      <c r="EAD42">
        <v>0</v>
      </c>
      <c r="EAE42">
        <v>3</v>
      </c>
      <c r="EAF42">
        <v>5</v>
      </c>
      <c r="EPA42">
        <v>3000</v>
      </c>
      <c r="EPB42">
        <v>2</v>
      </c>
      <c r="EPC42">
        <v>1</v>
      </c>
      <c r="EPF42">
        <v>14</v>
      </c>
      <c r="EPG42">
        <v>26</v>
      </c>
      <c r="EPH42">
        <v>13</v>
      </c>
      <c r="EPI42">
        <v>0</v>
      </c>
      <c r="EPJ42">
        <v>6</v>
      </c>
      <c r="FUJ42">
        <v>1</v>
      </c>
      <c r="FUL42">
        <v>1</v>
      </c>
      <c r="FUM42">
        <v>1</v>
      </c>
      <c r="FUN42">
        <v>1</v>
      </c>
      <c r="FUP42">
        <v>1</v>
      </c>
      <c r="FUQ42">
        <v>1</v>
      </c>
      <c r="GDI42">
        <v>1</v>
      </c>
      <c r="GDN42">
        <v>1</v>
      </c>
      <c r="GDP42">
        <v>1</v>
      </c>
      <c r="GEK42">
        <v>1</v>
      </c>
      <c r="GEO42">
        <v>1</v>
      </c>
      <c r="GEQ42">
        <v>1</v>
      </c>
      <c r="GFC42">
        <v>1</v>
      </c>
      <c r="GHD42">
        <v>1</v>
      </c>
    </row>
    <row r="43" spans="1:1020 1048:2039 2052:4013 4106:5074" x14ac:dyDescent="0.25">
      <c r="A43" s="50">
        <v>99000717</v>
      </c>
      <c r="B43" s="7"/>
      <c r="C43" s="7"/>
      <c r="D43" s="7"/>
      <c r="E43" s="7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  <c r="CT43" s="6"/>
      <c r="CU43" s="6"/>
      <c r="CV43" s="6"/>
      <c r="CW43" s="6"/>
      <c r="CX43" s="6"/>
      <c r="CY43" s="6"/>
      <c r="CZ43" s="6"/>
      <c r="DA43" s="6"/>
      <c r="DB43" s="6"/>
      <c r="DC43" s="6"/>
      <c r="DD43" s="6"/>
      <c r="DE43" s="6"/>
      <c r="DF43" s="6"/>
      <c r="DG43" s="6"/>
      <c r="DH43" s="6"/>
      <c r="DI43" s="6"/>
      <c r="DJ43" s="6"/>
      <c r="DK43" s="6"/>
      <c r="DL43" s="6"/>
      <c r="DM43" s="6"/>
      <c r="DN43" s="6"/>
      <c r="DO43" s="7"/>
      <c r="DP43" s="7"/>
      <c r="DQ43" s="7"/>
      <c r="DR43" s="7"/>
      <c r="DS43" s="7"/>
      <c r="DT43" s="7"/>
      <c r="DU43" s="7"/>
      <c r="DV43" s="7"/>
      <c r="DW43" s="7"/>
      <c r="DX43" s="7"/>
      <c r="DY43" s="7"/>
      <c r="DZ43" s="7"/>
      <c r="EA43" s="7"/>
      <c r="EB43" s="7"/>
      <c r="EC43" s="7"/>
      <c r="ED43" s="7"/>
      <c r="EE43" s="7"/>
      <c r="EF43" s="7"/>
      <c r="EG43" s="7"/>
      <c r="EH43" s="7"/>
      <c r="EI43" s="7"/>
      <c r="EJ43" s="7"/>
      <c r="EK43" s="7"/>
      <c r="EL43" s="7"/>
      <c r="EM43" s="7"/>
      <c r="EN43" s="7"/>
      <c r="EO43" s="7"/>
      <c r="EP43" s="7"/>
      <c r="EQ43" s="7"/>
      <c r="ER43" s="7"/>
      <c r="ES43" s="7"/>
      <c r="ET43" s="7"/>
      <c r="EU43" s="7"/>
      <c r="EV43" s="7"/>
      <c r="EW43" s="7"/>
      <c r="EX43" s="7"/>
      <c r="EY43" s="6"/>
      <c r="EZ43" s="6"/>
      <c r="FA43" s="6"/>
      <c r="FB43" s="6"/>
      <c r="FC43" s="6"/>
      <c r="FD43" s="6"/>
      <c r="FE43" s="6"/>
      <c r="FF43" s="6"/>
      <c r="FG43" s="6"/>
      <c r="FH43" s="6"/>
      <c r="FI43" s="6"/>
      <c r="FJ43" s="6"/>
      <c r="FK43" s="6"/>
      <c r="FL43" s="6"/>
      <c r="FM43" s="6"/>
      <c r="FN43" s="6"/>
      <c r="FO43" s="6"/>
      <c r="FP43" s="6"/>
      <c r="FQ43" s="6"/>
      <c r="FR43" s="6"/>
      <c r="FS43" s="6"/>
      <c r="FT43" s="6"/>
      <c r="FU43" s="6"/>
      <c r="FV43" s="6"/>
      <c r="FW43" s="6"/>
      <c r="FX43" s="6"/>
      <c r="FY43" s="6"/>
      <c r="FZ43" s="6"/>
      <c r="GA43" s="6"/>
      <c r="GB43" s="6"/>
      <c r="GC43" s="6"/>
      <c r="GD43" s="6"/>
      <c r="GE43" s="6"/>
      <c r="GF43" s="6"/>
      <c r="GG43" s="6"/>
      <c r="GH43" s="6"/>
      <c r="GI43" s="6"/>
      <c r="GJ43" s="6"/>
      <c r="GK43" s="6"/>
      <c r="GL43" s="6"/>
      <c r="GM43" s="6"/>
      <c r="GN43" s="6"/>
      <c r="GO43" s="6"/>
      <c r="GP43" s="6"/>
      <c r="GQ43" s="6"/>
      <c r="GR43" s="6"/>
      <c r="GS43" s="6"/>
      <c r="GT43" s="6"/>
      <c r="GU43" s="6"/>
      <c r="GV43" s="6"/>
      <c r="GW43" s="6"/>
      <c r="GX43" s="6"/>
      <c r="GY43" s="6"/>
      <c r="GZ43" s="6"/>
      <c r="HA43" s="7"/>
      <c r="HB43" s="7"/>
      <c r="HC43" s="7"/>
      <c r="HD43" s="6"/>
      <c r="HE43" s="6"/>
      <c r="HF43" s="6"/>
      <c r="HG43" s="6"/>
      <c r="HH43" s="6"/>
      <c r="HI43" s="6"/>
      <c r="HJ43" s="6"/>
      <c r="HK43" s="6"/>
      <c r="HL43" s="6"/>
      <c r="HM43" s="6"/>
      <c r="HN43" s="6"/>
      <c r="HO43" s="6"/>
      <c r="HP43" s="6"/>
      <c r="HQ43" s="6"/>
      <c r="HR43" s="6"/>
      <c r="HS43" s="6"/>
      <c r="HT43" s="6"/>
      <c r="HU43" s="6"/>
      <c r="HV43" s="6"/>
      <c r="HW43" s="6"/>
      <c r="HX43" s="6"/>
      <c r="HY43" s="6"/>
      <c r="HZ43" s="6"/>
      <c r="IA43" s="6"/>
      <c r="IB43" s="6"/>
      <c r="IC43" s="6"/>
      <c r="ID43" s="6"/>
      <c r="IE43" s="6"/>
      <c r="IF43" s="6"/>
      <c r="IG43" s="6"/>
      <c r="IH43" s="7"/>
      <c r="II43" s="7"/>
      <c r="IJ43" s="7"/>
      <c r="IK43" s="6"/>
      <c r="IL43" s="6"/>
      <c r="IM43" s="6"/>
      <c r="IN43" s="6"/>
      <c r="IO43" s="6"/>
      <c r="IP43" s="6"/>
      <c r="IQ43" s="6"/>
      <c r="IR43" s="6"/>
      <c r="IS43" s="6"/>
      <c r="IT43" s="6"/>
      <c r="IU43" s="6"/>
      <c r="IV43" s="6"/>
      <c r="IW43" s="6"/>
      <c r="IX43" s="6"/>
      <c r="IY43" s="6"/>
      <c r="IZ43" s="6"/>
      <c r="JA43" s="6"/>
      <c r="JB43" s="6"/>
      <c r="JC43" s="6"/>
      <c r="JD43" s="6"/>
      <c r="JE43" s="6"/>
      <c r="JF43" s="6"/>
      <c r="JG43" s="6"/>
      <c r="JH43" s="6"/>
      <c r="JI43" s="6"/>
      <c r="JJ43" s="6"/>
      <c r="JK43" s="6"/>
      <c r="JL43" s="6"/>
      <c r="JM43" s="6"/>
      <c r="JN43" s="6"/>
      <c r="JO43" s="6"/>
      <c r="JP43" s="6"/>
      <c r="JQ43" s="6"/>
      <c r="JR43" s="7"/>
      <c r="JS43" s="55"/>
      <c r="JT43" s="51"/>
      <c r="JU43" s="51"/>
      <c r="JV43" s="51"/>
      <c r="JW43" s="51"/>
      <c r="JX43" s="51"/>
      <c r="JY43" s="51"/>
      <c r="JZ43" s="6"/>
      <c r="KA43" s="6"/>
      <c r="KB43" s="6"/>
      <c r="KC43" s="6"/>
      <c r="KD43" s="6"/>
      <c r="KE43" s="6"/>
      <c r="KF43" s="6"/>
      <c r="KG43" s="6"/>
      <c r="KH43" s="6"/>
      <c r="KI43" s="6"/>
      <c r="KJ43" s="6"/>
      <c r="KK43" s="6"/>
      <c r="KL43" s="6"/>
      <c r="KM43" s="6"/>
      <c r="KN43" s="6"/>
      <c r="KO43" s="6"/>
      <c r="KP43" s="6"/>
      <c r="KQ43" s="6"/>
      <c r="KR43" s="6"/>
      <c r="KS43" s="6"/>
      <c r="KT43" s="6"/>
      <c r="KU43" s="6"/>
      <c r="KV43" s="6"/>
      <c r="KW43" s="6"/>
      <c r="KX43" s="6"/>
      <c r="KY43" s="6"/>
      <c r="KZ43" s="6"/>
      <c r="LA43" s="6"/>
      <c r="LB43" s="6"/>
      <c r="LC43" s="6"/>
      <c r="LD43" s="6"/>
      <c r="LE43" s="6"/>
      <c r="LF43" s="6"/>
      <c r="LG43" s="6"/>
      <c r="LH43" s="6"/>
      <c r="LI43" s="6"/>
      <c r="LJ43" s="6"/>
      <c r="LK43" s="6"/>
      <c r="LL43" s="6"/>
      <c r="LM43" s="6"/>
      <c r="LN43" s="6"/>
      <c r="LO43" s="6"/>
      <c r="LP43" s="6"/>
      <c r="LQ43" s="6"/>
      <c r="LR43" s="6"/>
      <c r="LS43" s="6"/>
      <c r="LT43" s="6"/>
      <c r="LU43" s="6"/>
      <c r="LV43" s="6"/>
      <c r="LW43" s="6"/>
      <c r="LX43" s="51"/>
      <c r="LY43" s="51"/>
      <c r="LZ43" s="51"/>
      <c r="MA43" s="51"/>
      <c r="MB43" s="51"/>
      <c r="MC43" s="51"/>
      <c r="MD43" s="51"/>
      <c r="ME43" s="6"/>
      <c r="MF43" s="6"/>
      <c r="MG43" s="6"/>
      <c r="MH43" s="6"/>
      <c r="MI43" s="6"/>
      <c r="MJ43" s="6"/>
      <c r="MK43" s="6"/>
      <c r="ML43" s="6"/>
      <c r="MM43" s="6"/>
      <c r="MN43" s="6"/>
      <c r="MO43" s="6"/>
      <c r="MP43" s="6"/>
      <c r="MQ43" s="6"/>
      <c r="MR43" s="6"/>
      <c r="MS43" s="6"/>
      <c r="MT43" s="6"/>
      <c r="MU43" s="6"/>
      <c r="MV43" s="6"/>
      <c r="MW43" s="6"/>
      <c r="MX43" s="6"/>
      <c r="MY43" s="6"/>
      <c r="MZ43" s="6"/>
      <c r="NA43" s="6"/>
      <c r="NB43" s="6"/>
      <c r="NC43" s="6"/>
      <c r="ND43" s="6"/>
      <c r="NE43" s="6"/>
      <c r="NF43" s="6"/>
      <c r="NG43" s="6"/>
      <c r="NN43" s="6"/>
      <c r="NS43" s="6"/>
      <c r="NT43" s="6"/>
      <c r="NU43" s="6"/>
      <c r="NV43" s="6"/>
      <c r="NW43" s="6"/>
      <c r="NX43" s="6"/>
      <c r="NY43" s="6"/>
      <c r="NZ43" s="6"/>
      <c r="OA43" s="6"/>
      <c r="OB43" s="6"/>
      <c r="OC43" s="6"/>
      <c r="OD43" s="6"/>
      <c r="OE43" s="6"/>
      <c r="OF43" s="6"/>
      <c r="OG43" s="6"/>
      <c r="OH43" s="6"/>
      <c r="OI43" s="6"/>
      <c r="OJ43" s="6"/>
      <c r="OK43" s="6"/>
      <c r="OL43" s="6"/>
      <c r="OM43" s="6"/>
      <c r="ON43" s="6"/>
      <c r="OO43" s="6"/>
      <c r="OP43" s="6"/>
      <c r="OQ43" s="6"/>
      <c r="OR43" s="6"/>
      <c r="OS43" s="6"/>
      <c r="OT43" s="6"/>
      <c r="OU43" s="6"/>
      <c r="OV43" s="6"/>
      <c r="OW43" s="6"/>
      <c r="OX43" s="6"/>
      <c r="OY43" s="6"/>
      <c r="OZ43" s="6"/>
      <c r="PL43" s="50"/>
      <c r="PM43" s="50"/>
      <c r="PN43" s="50"/>
      <c r="PO43" s="50"/>
      <c r="PP43" s="50"/>
      <c r="PQ43" s="50"/>
      <c r="PR43" s="50"/>
      <c r="PS43" s="50"/>
      <c r="PT43" s="50"/>
      <c r="PU43" s="50"/>
      <c r="PV43" s="50"/>
      <c r="PW43" s="50"/>
      <c r="QQ43" s="8"/>
      <c r="QR43" s="8"/>
      <c r="QS43" s="8"/>
      <c r="QT43" s="8"/>
      <c r="QU43" s="8"/>
      <c r="QV43" s="8"/>
      <c r="QW43" s="8"/>
      <c r="QX43" s="8"/>
      <c r="QY43" s="6"/>
      <c r="QZ43" s="6"/>
      <c r="RA43" s="6"/>
      <c r="RB43" s="6"/>
      <c r="RC43" s="6"/>
      <c r="RD43" s="6"/>
      <c r="RE43" s="6"/>
      <c r="RF43" s="6"/>
      <c r="RG43" s="6"/>
      <c r="RH43" s="6"/>
      <c r="RI43" s="6"/>
      <c r="RJ43" s="6"/>
      <c r="RK43" s="6"/>
      <c r="RL43" s="6"/>
      <c r="RM43" s="6"/>
      <c r="RN43" s="6"/>
      <c r="RO43" s="6"/>
      <c r="RP43" s="6"/>
      <c r="RQ43" s="6"/>
      <c r="RR43" s="6"/>
      <c r="RS43" s="6"/>
      <c r="RT43" s="6"/>
      <c r="RU43" s="6"/>
      <c r="RV43" s="6"/>
      <c r="RW43" s="6"/>
      <c r="RX43" s="6"/>
      <c r="RY43" s="6"/>
      <c r="RZ43" s="6"/>
      <c r="SA43" s="6"/>
      <c r="SB43" s="6"/>
      <c r="SC43" s="6"/>
      <c r="SD43" s="6"/>
      <c r="SE43" s="6"/>
      <c r="SF43" s="6"/>
      <c r="SG43" s="6"/>
      <c r="SH43" s="6"/>
      <c r="SI43" s="6"/>
      <c r="SJ43" s="6"/>
      <c r="SK43" s="6"/>
      <c r="SL43" s="6"/>
      <c r="SM43" s="7"/>
      <c r="SN43" s="7"/>
      <c r="SO43" s="7"/>
      <c r="SP43" s="7"/>
      <c r="SQ43" s="7"/>
      <c r="SR43" s="6"/>
      <c r="SS43" s="6"/>
      <c r="ST43" s="6"/>
      <c r="SU43" s="6"/>
      <c r="SV43" s="6"/>
      <c r="SW43" s="6"/>
      <c r="SX43" s="6"/>
      <c r="SY43" s="6"/>
      <c r="SZ43" s="6"/>
      <c r="TA43" s="6"/>
      <c r="TB43" s="6"/>
      <c r="TC43" s="6"/>
      <c r="TD43" s="6"/>
      <c r="TE43" s="6"/>
      <c r="TF43" s="6"/>
      <c r="TG43" s="6"/>
      <c r="TH43" s="6"/>
      <c r="TI43" s="6"/>
      <c r="TJ43" s="6"/>
      <c r="TK43" s="6"/>
      <c r="TL43" s="6"/>
      <c r="TM43" s="6"/>
      <c r="TN43" s="6"/>
      <c r="TO43" s="6"/>
      <c r="TP43" s="6"/>
      <c r="TQ43" s="6"/>
      <c r="TR43" s="6"/>
      <c r="TS43" s="6"/>
      <c r="TT43" s="6"/>
      <c r="TU43" s="6"/>
      <c r="TV43" s="6"/>
      <c r="TW43" s="6"/>
      <c r="TX43" s="6"/>
      <c r="TY43" s="6"/>
      <c r="TZ43" s="6"/>
      <c r="UA43" s="6"/>
      <c r="UB43" s="6"/>
      <c r="UC43" s="6"/>
      <c r="UD43" s="6"/>
      <c r="UE43" s="6"/>
      <c r="UF43" s="6"/>
      <c r="UG43" s="6"/>
      <c r="UH43" s="6"/>
      <c r="UI43" s="6"/>
      <c r="UJ43" s="6"/>
      <c r="UK43" s="6"/>
      <c r="UL43" s="6"/>
      <c r="UM43" s="6"/>
      <c r="UN43" s="6"/>
      <c r="UO43" s="6"/>
      <c r="UP43" s="6"/>
      <c r="UQ43" s="6"/>
      <c r="UR43" s="6"/>
      <c r="US43" s="6"/>
      <c r="UT43" s="6"/>
      <c r="UU43" s="6"/>
      <c r="UV43" s="6"/>
      <c r="UW43" s="6"/>
      <c r="UX43" s="6"/>
      <c r="UY43" s="6"/>
      <c r="UZ43" s="6"/>
      <c r="VA43" s="6"/>
      <c r="VB43" s="6"/>
      <c r="VC43" s="6"/>
      <c r="VD43" s="6"/>
      <c r="VE43" s="6"/>
      <c r="VF43" s="6"/>
      <c r="VG43" s="6"/>
      <c r="VH43" s="6"/>
      <c r="VI43" s="6"/>
      <c r="VJ43" s="6"/>
      <c r="VK43" s="6"/>
      <c r="VL43" s="6"/>
      <c r="VM43" s="6"/>
      <c r="VN43" s="6"/>
      <c r="VO43" s="6"/>
      <c r="VP43" s="6"/>
      <c r="VQ43" s="6"/>
      <c r="VR43" s="6"/>
      <c r="VS43" s="6"/>
      <c r="VT43" s="6"/>
      <c r="VU43" s="6"/>
      <c r="VV43" s="6"/>
      <c r="VW43" s="6"/>
      <c r="VX43" s="6"/>
      <c r="VY43" s="6"/>
      <c r="VZ43" s="6"/>
      <c r="WA43" s="6"/>
      <c r="WB43" s="6"/>
      <c r="WC43" s="6"/>
      <c r="WD43" s="6"/>
      <c r="WE43" s="6"/>
      <c r="WF43" s="6"/>
      <c r="WG43" s="6"/>
      <c r="WH43" s="6"/>
      <c r="WI43" s="6"/>
      <c r="WJ43" s="6"/>
      <c r="WK43" s="6"/>
      <c r="WL43" s="6"/>
      <c r="WM43" s="6"/>
      <c r="WN43" s="6"/>
      <c r="WO43" s="6"/>
      <c r="WP43" s="6"/>
      <c r="WQ43" s="6"/>
      <c r="WR43" s="6"/>
      <c r="WS43" s="6"/>
      <c r="WT43" s="6"/>
      <c r="WU43" s="6"/>
      <c r="WV43" s="6"/>
      <c r="WW43" s="6"/>
      <c r="WX43" s="6"/>
      <c r="WY43" s="6"/>
      <c r="WZ43" s="6"/>
      <c r="XA43" s="6"/>
      <c r="XB43" s="6"/>
      <c r="XC43" s="6"/>
      <c r="XD43" s="6"/>
      <c r="XE43" s="6"/>
      <c r="XF43" s="6"/>
      <c r="XG43" s="6"/>
      <c r="XH43" s="6"/>
      <c r="XI43" s="6"/>
      <c r="XJ43" s="6"/>
      <c r="XK43" s="6"/>
      <c r="XL43" s="6"/>
      <c r="XM43" s="6"/>
      <c r="XN43" s="6"/>
      <c r="XO43" s="6"/>
      <c r="XP43" s="6"/>
      <c r="XQ43" s="6"/>
      <c r="XR43" s="6"/>
      <c r="XS43" s="6"/>
      <c r="XT43" s="6"/>
      <c r="XU43" s="6"/>
      <c r="XV43" s="6"/>
      <c r="XW43" s="6"/>
      <c r="XX43" s="6"/>
      <c r="XY43" s="6"/>
      <c r="XZ43" s="6"/>
      <c r="YA43" s="6"/>
      <c r="YB43" s="6"/>
      <c r="YC43" s="6"/>
      <c r="YD43" s="6"/>
      <c r="YE43" s="6"/>
      <c r="YF43" s="6"/>
      <c r="YG43" s="6"/>
      <c r="YH43" s="6"/>
      <c r="YI43" s="6"/>
      <c r="YJ43" s="6"/>
      <c r="YK43" s="6"/>
      <c r="YL43" s="6"/>
      <c r="YM43" s="6"/>
      <c r="YN43" s="6"/>
      <c r="YO43" s="6"/>
      <c r="YP43" s="6"/>
      <c r="YQ43" s="6"/>
      <c r="YR43" s="6"/>
      <c r="YS43" s="6"/>
      <c r="YT43" s="6"/>
      <c r="YU43" s="6"/>
      <c r="YV43" s="6"/>
      <c r="YW43" s="6"/>
      <c r="YX43" s="6"/>
      <c r="YY43" s="6"/>
      <c r="YZ43" s="6"/>
      <c r="ZA43" s="6"/>
      <c r="ZB43" s="6"/>
      <c r="ZC43" s="6"/>
      <c r="ZD43" s="6"/>
      <c r="ZE43" s="6"/>
      <c r="ZF43" s="6"/>
      <c r="ZG43" s="6"/>
      <c r="ZH43" s="6"/>
      <c r="ZI43" s="6"/>
      <c r="ZJ43" s="6"/>
      <c r="ZK43" s="6"/>
      <c r="ZL43" s="6"/>
      <c r="ZM43" s="6"/>
      <c r="ZN43" s="6"/>
      <c r="ZO43" s="6"/>
      <c r="ZP43" s="6"/>
      <c r="ZQ43" s="6"/>
      <c r="ZR43" s="6"/>
      <c r="ZS43" s="6"/>
      <c r="ZT43" s="6"/>
      <c r="ZU43" s="6"/>
      <c r="ZV43" s="6"/>
      <c r="ZW43" s="6"/>
      <c r="ZX43" s="6"/>
      <c r="ZY43" s="6"/>
      <c r="ZZ43" s="6"/>
      <c r="AAA43" s="6"/>
      <c r="AAB43" s="6"/>
      <c r="AAC43" s="6"/>
      <c r="AAD43" s="6"/>
      <c r="AAE43" s="6"/>
      <c r="AAF43" s="6"/>
      <c r="AAG43" s="6"/>
      <c r="AAH43" s="6"/>
      <c r="AAI43" s="6"/>
      <c r="AAJ43" s="6"/>
      <c r="AAK43" s="6"/>
      <c r="AAL43" s="6"/>
      <c r="AAM43" s="6"/>
      <c r="AAN43" s="6"/>
      <c r="AAO43" s="6"/>
      <c r="AAP43" s="6"/>
      <c r="AAQ43" s="6"/>
      <c r="AAR43" s="6"/>
      <c r="AAS43" s="6"/>
      <c r="AAT43" s="6"/>
      <c r="AAU43" s="6"/>
      <c r="AAV43" s="6"/>
      <c r="AAW43" s="6"/>
      <c r="AAX43" s="6"/>
      <c r="AAY43" s="6"/>
      <c r="AAZ43" s="6"/>
      <c r="ABA43" s="6"/>
      <c r="ABB43" s="6"/>
      <c r="ABC43" s="6"/>
      <c r="ABD43" s="6"/>
      <c r="ABE43" s="6"/>
      <c r="ABF43" s="6"/>
      <c r="ABG43" s="6"/>
      <c r="ABH43" s="6"/>
      <c r="ABI43" s="6"/>
      <c r="ABJ43" s="6"/>
      <c r="ABK43" s="6"/>
      <c r="ABL43" s="6"/>
      <c r="ABM43" s="6"/>
      <c r="ABN43" s="6"/>
      <c r="ABO43" s="6"/>
      <c r="ABP43" s="6"/>
      <c r="ABQ43" s="6"/>
      <c r="ABR43" s="6"/>
      <c r="ABS43" s="6"/>
      <c r="ABT43" s="6"/>
      <c r="ABU43" s="6"/>
      <c r="ABV43" s="6"/>
      <c r="ABW43" s="6"/>
      <c r="ABX43" s="6"/>
      <c r="ABY43" s="6"/>
      <c r="ABZ43" s="6"/>
      <c r="ACA43" s="6"/>
      <c r="ACB43" s="6"/>
      <c r="ACC43" s="6"/>
      <c r="ACD43" s="6"/>
      <c r="ACE43" s="6"/>
      <c r="ACF43" s="6"/>
      <c r="ACG43" s="6"/>
      <c r="ACH43" s="6"/>
      <c r="ACI43" s="6"/>
      <c r="ACJ43" s="6"/>
      <c r="ACK43" s="6"/>
      <c r="ACL43" s="6"/>
      <c r="ACM43" s="6"/>
      <c r="ACN43" s="6"/>
      <c r="ACO43" s="6"/>
      <c r="ACP43" s="6"/>
      <c r="ACQ43" s="6"/>
      <c r="ACR43" s="6"/>
      <c r="ACS43" s="6"/>
      <c r="ACT43" s="6"/>
      <c r="ACU43" s="6"/>
      <c r="ACV43" s="6"/>
      <c r="ACW43" s="6"/>
      <c r="ACX43" s="6"/>
      <c r="ACY43" s="6"/>
      <c r="ACZ43" s="6"/>
      <c r="ADA43" s="6"/>
      <c r="ADB43" s="6"/>
      <c r="ADC43" s="6"/>
      <c r="ADD43" s="6"/>
      <c r="ADE43" s="6"/>
      <c r="ADF43" s="6"/>
      <c r="ADG43" s="6"/>
      <c r="ADH43" s="6"/>
      <c r="ADI43" s="6"/>
      <c r="ADJ43" s="6"/>
      <c r="ADK43" s="6"/>
      <c r="ADL43" s="6"/>
      <c r="ADM43" s="6"/>
      <c r="ADN43" s="6"/>
      <c r="ANH43">
        <v>37</v>
      </c>
      <c r="ANJ43">
        <v>1</v>
      </c>
      <c r="ANK43">
        <v>25.1</v>
      </c>
      <c r="ANN43">
        <v>29</v>
      </c>
      <c r="ATH43">
        <v>1</v>
      </c>
      <c r="AVJ43">
        <v>1</v>
      </c>
      <c r="AWF43">
        <v>1</v>
      </c>
      <c r="AXT43">
        <v>500</v>
      </c>
      <c r="AXU43">
        <v>3</v>
      </c>
      <c r="AXX43">
        <v>1</v>
      </c>
      <c r="AXZ43" s="15">
        <v>26</v>
      </c>
      <c r="AYA43">
        <v>999</v>
      </c>
      <c r="AYB43">
        <v>0</v>
      </c>
      <c r="AYC43">
        <v>4</v>
      </c>
      <c r="AYD43">
        <v>5</v>
      </c>
      <c r="FHG43">
        <v>2</v>
      </c>
      <c r="FHJ43">
        <v>1</v>
      </c>
      <c r="FHK43" s="15">
        <v>28</v>
      </c>
      <c r="FHL43">
        <v>23</v>
      </c>
      <c r="FHM43">
        <v>0</v>
      </c>
      <c r="FHN43">
        <v>4</v>
      </c>
      <c r="FHO43">
        <v>5</v>
      </c>
      <c r="FHP43">
        <v>450</v>
      </c>
      <c r="FHQ43">
        <v>1</v>
      </c>
      <c r="FHT43">
        <v>1</v>
      </c>
      <c r="FHU43" s="36">
        <v>29</v>
      </c>
      <c r="FHV43">
        <v>999</v>
      </c>
      <c r="FHW43">
        <v>0</v>
      </c>
      <c r="FHX43">
        <v>999</v>
      </c>
      <c r="FHY43">
        <v>6</v>
      </c>
      <c r="FHZ43">
        <v>40</v>
      </c>
      <c r="FIA43">
        <v>2</v>
      </c>
      <c r="FID43">
        <v>1</v>
      </c>
      <c r="FIE43" s="36">
        <v>29</v>
      </c>
      <c r="FIF43">
        <v>999</v>
      </c>
      <c r="FIG43">
        <v>0</v>
      </c>
      <c r="FIH43">
        <v>999</v>
      </c>
      <c r="FII43">
        <v>6</v>
      </c>
      <c r="FWH43">
        <v>1</v>
      </c>
      <c r="FWN43">
        <v>1</v>
      </c>
      <c r="FXQ43">
        <v>1</v>
      </c>
      <c r="GBX43">
        <v>1</v>
      </c>
      <c r="GBY43">
        <v>1</v>
      </c>
      <c r="GBZ43">
        <v>1</v>
      </c>
      <c r="GDI43">
        <v>1</v>
      </c>
      <c r="GFE43">
        <v>1</v>
      </c>
    </row>
    <row r="44" spans="1:1020 1048:2039 2052:4013 4106:5074" x14ac:dyDescent="0.25">
      <c r="A44" s="50"/>
      <c r="B44" s="7"/>
      <c r="C44" s="7"/>
      <c r="D44" s="7"/>
      <c r="E44" s="7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  <c r="CT44" s="6"/>
      <c r="CU44" s="6"/>
      <c r="CV44" s="6"/>
      <c r="CW44" s="6"/>
      <c r="CX44" s="6"/>
      <c r="CY44" s="6"/>
      <c r="CZ44" s="6"/>
      <c r="DA44" s="6"/>
      <c r="DB44" s="6"/>
      <c r="DC44" s="6"/>
      <c r="DD44" s="6"/>
      <c r="DE44" s="6"/>
      <c r="DF44" s="6"/>
      <c r="DG44" s="6"/>
      <c r="DH44" s="6"/>
      <c r="DI44" s="6"/>
      <c r="DJ44" s="6"/>
      <c r="DK44" s="6"/>
      <c r="DL44" s="6"/>
      <c r="DM44" s="6"/>
      <c r="DN44" s="6"/>
      <c r="DO44" s="7"/>
      <c r="DP44" s="7"/>
      <c r="DQ44" s="7"/>
      <c r="DR44" s="7"/>
      <c r="DS44" s="7"/>
      <c r="DT44" s="7"/>
      <c r="DU44" s="7"/>
      <c r="DV44" s="7"/>
      <c r="DW44" s="7"/>
      <c r="DX44" s="7"/>
      <c r="DY44" s="7"/>
      <c r="DZ44" s="7"/>
      <c r="EA44" s="7"/>
      <c r="EB44" s="7"/>
      <c r="EC44" s="7"/>
      <c r="ED44" s="7"/>
      <c r="EE44" s="7"/>
      <c r="EF44" s="7"/>
      <c r="EG44" s="7"/>
      <c r="EH44" s="7"/>
      <c r="EI44" s="7"/>
      <c r="EJ44" s="7"/>
      <c r="EK44" s="7"/>
      <c r="EL44" s="7"/>
      <c r="EM44" s="7"/>
      <c r="EN44" s="7"/>
      <c r="EO44" s="7"/>
      <c r="EP44" s="7"/>
      <c r="EQ44" s="7"/>
      <c r="ER44" s="7"/>
      <c r="ES44" s="7"/>
      <c r="ET44" s="7"/>
      <c r="EU44" s="7"/>
      <c r="EV44" s="7"/>
      <c r="EW44" s="7"/>
      <c r="EX44" s="7"/>
      <c r="EY44" s="6"/>
      <c r="EZ44" s="6"/>
      <c r="FA44" s="6"/>
      <c r="FB44" s="6"/>
      <c r="FC44" s="6"/>
      <c r="FD44" s="6"/>
      <c r="FE44" s="6"/>
      <c r="FF44" s="6"/>
      <c r="FG44" s="6"/>
      <c r="FH44" s="6"/>
      <c r="FI44" s="6"/>
      <c r="FJ44" s="6"/>
      <c r="FK44" s="6"/>
      <c r="FL44" s="6"/>
      <c r="FM44" s="6"/>
      <c r="FN44" s="6"/>
      <c r="FO44" s="6"/>
      <c r="FP44" s="6"/>
      <c r="FQ44" s="6"/>
      <c r="FR44" s="6"/>
      <c r="FS44" s="6"/>
      <c r="FT44" s="6"/>
      <c r="FU44" s="6"/>
      <c r="FV44" s="6"/>
      <c r="FW44" s="6"/>
      <c r="FX44" s="6"/>
      <c r="FY44" s="6"/>
      <c r="FZ44" s="6"/>
      <c r="GA44" s="6"/>
      <c r="GB44" s="6"/>
      <c r="GC44" s="6"/>
      <c r="GD44" s="6"/>
      <c r="GE44" s="6"/>
      <c r="GF44" s="6"/>
      <c r="GG44" s="6"/>
      <c r="GH44" s="6"/>
      <c r="GI44" s="6"/>
      <c r="GJ44" s="6"/>
      <c r="GK44" s="6"/>
      <c r="GL44" s="6"/>
      <c r="GM44" s="6"/>
      <c r="GN44" s="6"/>
      <c r="GO44" s="6"/>
      <c r="GP44" s="6"/>
      <c r="GQ44" s="6"/>
      <c r="GR44" s="6"/>
      <c r="GS44" s="6"/>
      <c r="GT44" s="6"/>
      <c r="GU44" s="6"/>
      <c r="GV44" s="6"/>
      <c r="GW44" s="6"/>
      <c r="GX44" s="6"/>
      <c r="GY44" s="6"/>
      <c r="GZ44" s="6"/>
      <c r="HA44" s="7"/>
      <c r="HB44" s="7"/>
      <c r="HC44" s="7"/>
      <c r="HD44" s="6"/>
      <c r="HE44" s="6"/>
      <c r="HF44" s="6"/>
      <c r="HG44" s="6"/>
      <c r="HH44" s="6"/>
      <c r="HI44" s="6"/>
      <c r="HJ44" s="6"/>
      <c r="HK44" s="6"/>
      <c r="HL44" s="6"/>
      <c r="HM44" s="6"/>
      <c r="HN44" s="6"/>
      <c r="HO44" s="6"/>
      <c r="HP44" s="6"/>
      <c r="HQ44" s="6"/>
      <c r="HR44" s="6"/>
      <c r="HS44" s="6"/>
      <c r="HT44" s="6"/>
      <c r="HU44" s="6"/>
      <c r="HV44" s="6"/>
      <c r="HW44" s="6"/>
      <c r="HX44" s="6"/>
      <c r="HY44" s="6"/>
      <c r="HZ44" s="6"/>
      <c r="IA44" s="6"/>
      <c r="IB44" s="6"/>
      <c r="IC44" s="6"/>
      <c r="ID44" s="6"/>
      <c r="IE44" s="6"/>
      <c r="IF44" s="6"/>
      <c r="IG44" s="6"/>
      <c r="IH44" s="7"/>
      <c r="II44" s="7"/>
      <c r="IJ44" s="7"/>
      <c r="IK44" s="6"/>
      <c r="IL44" s="6"/>
      <c r="IM44" s="6"/>
      <c r="IN44" s="6"/>
      <c r="IO44" s="6"/>
      <c r="IP44" s="6"/>
      <c r="IQ44" s="6"/>
      <c r="IR44" s="6"/>
      <c r="IS44" s="6"/>
      <c r="IT44" s="6"/>
      <c r="IU44" s="6"/>
      <c r="IV44" s="6"/>
      <c r="IW44" s="6"/>
      <c r="IX44" s="6"/>
      <c r="IY44" s="6"/>
      <c r="IZ44" s="6"/>
      <c r="JA44" s="6"/>
      <c r="JB44" s="6"/>
      <c r="JC44" s="6"/>
      <c r="JD44" s="6"/>
      <c r="JE44" s="6"/>
      <c r="JF44" s="6"/>
      <c r="JG44" s="6"/>
      <c r="JH44" s="6"/>
      <c r="JI44" s="6"/>
      <c r="JJ44" s="6"/>
      <c r="JK44" s="6"/>
      <c r="JL44" s="6"/>
      <c r="JM44" s="6"/>
      <c r="JN44" s="6"/>
      <c r="JO44" s="6"/>
      <c r="JP44" s="6"/>
      <c r="JQ44" s="6"/>
      <c r="JR44" s="7"/>
      <c r="JS44" s="55"/>
      <c r="JT44" s="51"/>
      <c r="JU44" s="51"/>
      <c r="JV44" s="51"/>
      <c r="JW44" s="51"/>
      <c r="JX44" s="51"/>
      <c r="JY44" s="51"/>
      <c r="JZ44" s="6"/>
      <c r="KA44" s="6"/>
      <c r="KB44" s="6"/>
      <c r="KC44" s="6"/>
      <c r="KD44" s="6"/>
      <c r="KE44" s="6"/>
      <c r="KF44" s="6"/>
      <c r="KG44" s="6"/>
      <c r="KH44" s="6"/>
      <c r="KI44" s="6"/>
      <c r="KJ44" s="6"/>
      <c r="KK44" s="6"/>
      <c r="KL44" s="6"/>
      <c r="KM44" s="6"/>
      <c r="KN44" s="6"/>
      <c r="KO44" s="6"/>
      <c r="KP44" s="6"/>
      <c r="KQ44" s="6"/>
      <c r="KR44" s="6"/>
      <c r="KS44" s="6"/>
      <c r="KT44" s="6"/>
      <c r="KU44" s="6"/>
      <c r="KV44" s="6"/>
      <c r="KW44" s="6"/>
      <c r="KX44" s="6"/>
      <c r="KY44" s="6"/>
      <c r="KZ44" s="6"/>
      <c r="LA44" s="6"/>
      <c r="LB44" s="6"/>
      <c r="LC44" s="6"/>
      <c r="LD44" s="6"/>
      <c r="LE44" s="6"/>
      <c r="LF44" s="6"/>
      <c r="LG44" s="6"/>
      <c r="LH44" s="6"/>
      <c r="LI44" s="6"/>
      <c r="LJ44" s="6"/>
      <c r="LK44" s="6"/>
      <c r="LL44" s="6"/>
      <c r="LM44" s="6"/>
      <c r="LN44" s="6"/>
      <c r="LO44" s="6"/>
      <c r="LP44" s="6"/>
      <c r="LQ44" s="6"/>
      <c r="LR44" s="6"/>
      <c r="LS44" s="6"/>
      <c r="LT44" s="6"/>
      <c r="LU44" s="6"/>
      <c r="LV44" s="6"/>
      <c r="LW44" s="6"/>
      <c r="LX44" s="51"/>
      <c r="LY44" s="51"/>
      <c r="LZ44" s="51"/>
      <c r="MA44" s="51"/>
      <c r="MB44" s="51"/>
      <c r="MC44" s="51"/>
      <c r="MD44" s="51"/>
      <c r="ME44" s="6"/>
      <c r="MF44" s="6"/>
      <c r="MG44" s="6"/>
      <c r="MH44" s="6"/>
      <c r="MI44" s="6"/>
      <c r="MJ44" s="6"/>
      <c r="MK44" s="6"/>
      <c r="ML44" s="6"/>
      <c r="MM44" s="6"/>
      <c r="MN44" s="6"/>
      <c r="MO44" s="6"/>
      <c r="MP44" s="6"/>
      <c r="MQ44" s="6"/>
      <c r="MR44" s="6"/>
      <c r="MS44" s="6"/>
      <c r="MT44" s="6"/>
      <c r="MU44" s="6"/>
      <c r="MV44" s="6"/>
      <c r="MW44" s="6"/>
      <c r="MX44" s="6"/>
      <c r="MY44" s="6"/>
      <c r="MZ44" s="6"/>
      <c r="NA44" s="6"/>
      <c r="NB44" s="6"/>
      <c r="NC44" s="6"/>
      <c r="ND44" s="6"/>
      <c r="NE44" s="6"/>
      <c r="NF44" s="6"/>
      <c r="NG44" s="6"/>
      <c r="NN44" s="6"/>
      <c r="NS44" s="6"/>
      <c r="NT44" s="6"/>
      <c r="NU44" s="6"/>
      <c r="NV44" s="6"/>
      <c r="NW44" s="6"/>
      <c r="NX44" s="6"/>
      <c r="NY44" s="6"/>
      <c r="NZ44" s="6"/>
      <c r="OA44" s="6"/>
      <c r="OB44" s="6"/>
      <c r="OC44" s="6"/>
      <c r="OD44" s="6"/>
      <c r="OE44" s="6"/>
      <c r="OF44" s="6"/>
      <c r="OG44" s="6"/>
      <c r="OH44" s="6"/>
      <c r="OI44" s="6"/>
      <c r="OJ44" s="6"/>
      <c r="OK44" s="6"/>
      <c r="OL44" s="6"/>
      <c r="OM44" s="6"/>
      <c r="ON44" s="6"/>
      <c r="OO44" s="6"/>
      <c r="OP44" s="6"/>
      <c r="OQ44" s="6"/>
      <c r="OR44" s="6"/>
      <c r="OS44" s="6"/>
      <c r="OT44" s="6"/>
      <c r="OU44" s="6"/>
      <c r="OV44" s="6"/>
      <c r="OW44" s="6"/>
      <c r="OX44" s="6"/>
      <c r="OY44" s="6"/>
      <c r="OZ44" s="6"/>
      <c r="PA44" s="6"/>
      <c r="PB44" s="6"/>
      <c r="PC44" s="6"/>
      <c r="PD44" s="6"/>
      <c r="PE44" s="6"/>
      <c r="PF44" s="6"/>
      <c r="PG44" s="6"/>
      <c r="PH44" s="6"/>
      <c r="PI44" s="6"/>
      <c r="PJ44" s="6"/>
      <c r="PK44" s="6"/>
      <c r="PL44" s="51"/>
      <c r="PM44" s="51"/>
      <c r="PN44" s="51"/>
      <c r="PO44" s="51"/>
      <c r="PP44" s="51"/>
      <c r="PQ44" s="51"/>
      <c r="PR44" s="51"/>
      <c r="PS44" s="51"/>
      <c r="PT44" s="51"/>
      <c r="PU44" s="51"/>
      <c r="PV44" s="51"/>
      <c r="PW44" s="51"/>
      <c r="PX44" s="6"/>
      <c r="PY44" s="6"/>
      <c r="PZ44" s="6"/>
      <c r="QA44" s="6"/>
      <c r="QB44" s="6"/>
      <c r="QC44" s="6"/>
      <c r="QD44" s="6"/>
      <c r="QE44" s="6"/>
      <c r="QF44" s="6"/>
      <c r="QG44" s="6"/>
      <c r="QH44" s="6"/>
      <c r="QI44" s="6"/>
      <c r="QJ44" s="6"/>
      <c r="QK44" s="6"/>
      <c r="QL44" s="6"/>
      <c r="QM44" s="6"/>
      <c r="QN44" s="6"/>
      <c r="QO44" s="6"/>
      <c r="QP44" s="6"/>
      <c r="QQ44" s="8"/>
      <c r="QR44" s="8"/>
      <c r="QS44" s="8"/>
      <c r="QT44" s="8"/>
      <c r="QU44" s="8"/>
      <c r="QV44" s="8"/>
      <c r="QW44" s="8"/>
      <c r="QX44" s="8"/>
      <c r="QY44" s="6"/>
      <c r="QZ44" s="6"/>
      <c r="RA44" s="6"/>
      <c r="RB44" s="6"/>
      <c r="RC44" s="6"/>
      <c r="RD44" s="6"/>
      <c r="RE44" s="6"/>
      <c r="RF44" s="6"/>
      <c r="RG44" s="6"/>
      <c r="RH44" s="6"/>
      <c r="RI44" s="6"/>
      <c r="RJ44" s="6"/>
      <c r="RK44" s="6"/>
      <c r="RL44" s="6"/>
      <c r="RM44" s="6"/>
      <c r="RN44" s="6"/>
      <c r="RO44" s="6"/>
      <c r="RP44" s="6"/>
      <c r="RQ44" s="6"/>
      <c r="RR44" s="6"/>
      <c r="RS44" s="6"/>
      <c r="RT44" s="6"/>
      <c r="RU44" s="6"/>
      <c r="RV44" s="6"/>
      <c r="RW44" s="6"/>
      <c r="RX44" s="6"/>
      <c r="RY44" s="6"/>
      <c r="RZ44" s="6"/>
      <c r="SA44" s="6"/>
      <c r="SB44" s="6"/>
      <c r="SC44" s="6"/>
      <c r="SD44" s="6"/>
      <c r="SE44" s="6"/>
      <c r="SF44" s="6"/>
      <c r="SG44" s="6"/>
      <c r="SH44" s="6"/>
      <c r="SI44" s="6"/>
      <c r="SJ44" s="6"/>
      <c r="SK44" s="6"/>
      <c r="SL44" s="6"/>
      <c r="SM44" s="7"/>
      <c r="SN44" s="7"/>
      <c r="SO44" s="7"/>
      <c r="SP44" s="7"/>
      <c r="SQ44" s="7"/>
      <c r="SR44" s="6"/>
      <c r="SS44" s="6"/>
      <c r="ST44" s="6"/>
      <c r="SU44" s="6"/>
      <c r="SV44" s="6"/>
      <c r="SW44" s="6"/>
      <c r="SX44" s="6"/>
      <c r="SY44" s="6"/>
      <c r="SZ44" s="6"/>
      <c r="TA44" s="6"/>
      <c r="TB44" s="6"/>
      <c r="TC44" s="6"/>
      <c r="TD44" s="6"/>
      <c r="TE44" s="6"/>
      <c r="TF44" s="6"/>
      <c r="TG44" s="6"/>
      <c r="TH44" s="6"/>
      <c r="TI44" s="6"/>
      <c r="TJ44" s="6"/>
      <c r="TK44" s="6"/>
      <c r="TL44" s="6"/>
      <c r="TM44" s="6"/>
      <c r="TN44" s="6"/>
      <c r="TO44" s="6"/>
      <c r="TP44" s="6"/>
      <c r="TQ44" s="6"/>
      <c r="TR44" s="6"/>
      <c r="TS44" s="6"/>
      <c r="TT44" s="6"/>
      <c r="TU44" s="6"/>
      <c r="TV44" s="6"/>
      <c r="TW44" s="6"/>
      <c r="TX44" s="6"/>
      <c r="TY44" s="6"/>
      <c r="TZ44" s="6"/>
      <c r="UA44" s="6"/>
      <c r="UB44" s="6"/>
      <c r="UC44" s="6"/>
      <c r="UD44" s="6"/>
      <c r="UE44" s="6"/>
      <c r="UF44" s="6"/>
      <c r="UG44" s="6"/>
      <c r="UH44" s="6"/>
      <c r="UI44" s="6"/>
      <c r="UJ44" s="6"/>
      <c r="UK44" s="6"/>
      <c r="UL44" s="6"/>
      <c r="UM44" s="6"/>
      <c r="UN44" s="6"/>
      <c r="UO44" s="6"/>
      <c r="UP44" s="6"/>
      <c r="UQ44" s="6"/>
      <c r="UR44" s="6"/>
      <c r="US44" s="6"/>
      <c r="UT44" s="6"/>
      <c r="UU44" s="6"/>
      <c r="UV44" s="6"/>
      <c r="UW44" s="6"/>
      <c r="UX44" s="6"/>
      <c r="UY44" s="6"/>
      <c r="UZ44" s="6"/>
      <c r="VA44" s="6"/>
      <c r="VB44" s="6"/>
      <c r="VC44" s="6"/>
      <c r="VD44" s="6"/>
      <c r="VE44" s="6"/>
      <c r="VF44" s="6"/>
      <c r="VG44" s="6"/>
      <c r="VH44" s="6"/>
      <c r="VI44" s="6"/>
      <c r="VJ44" s="6"/>
      <c r="VK44" s="6"/>
      <c r="VL44" s="6"/>
      <c r="VM44" s="6"/>
      <c r="VN44" s="6"/>
      <c r="VO44" s="6"/>
      <c r="VP44" s="6"/>
      <c r="VQ44" s="6"/>
      <c r="VR44" s="6"/>
      <c r="VS44" s="6"/>
      <c r="VT44" s="6"/>
      <c r="VU44" s="6"/>
      <c r="VV44" s="6"/>
      <c r="VW44" s="6"/>
      <c r="VX44" s="6"/>
      <c r="VY44" s="6"/>
      <c r="VZ44" s="6"/>
      <c r="WA44" s="6"/>
      <c r="WB44" s="6"/>
      <c r="WC44" s="6"/>
      <c r="WD44" s="6"/>
      <c r="WE44" s="6"/>
      <c r="WF44" s="6"/>
      <c r="WG44" s="6"/>
      <c r="WH44" s="6"/>
      <c r="WI44" s="6"/>
      <c r="WJ44" s="6"/>
      <c r="WK44" s="6"/>
      <c r="WL44" s="6"/>
      <c r="WM44" s="6"/>
      <c r="WN44" s="6"/>
      <c r="WO44" s="6"/>
      <c r="WP44" s="6"/>
      <c r="WQ44" s="6"/>
      <c r="WR44" s="6"/>
      <c r="WS44" s="6"/>
      <c r="WT44" s="6"/>
      <c r="WU44" s="6"/>
      <c r="WV44" s="6"/>
      <c r="WW44" s="6"/>
      <c r="WX44" s="6"/>
      <c r="WY44" s="6"/>
      <c r="WZ44" s="6"/>
      <c r="XA44" s="6"/>
      <c r="XB44" s="6"/>
      <c r="XC44" s="6"/>
      <c r="XD44" s="6"/>
      <c r="XE44" s="6"/>
      <c r="XF44" s="6"/>
      <c r="XG44" s="6"/>
      <c r="XH44" s="6"/>
      <c r="XI44" s="6"/>
      <c r="XJ44" s="6"/>
      <c r="XK44" s="6"/>
      <c r="XL44" s="6"/>
      <c r="XM44" s="6"/>
      <c r="XN44" s="6"/>
      <c r="XO44" s="6"/>
      <c r="XP44" s="6"/>
      <c r="XQ44" s="6"/>
      <c r="XR44" s="6"/>
      <c r="XS44" s="6"/>
      <c r="XT44" s="6"/>
      <c r="XU44" s="6"/>
      <c r="XV44" s="6"/>
      <c r="XW44" s="6"/>
      <c r="XX44" s="6"/>
      <c r="XY44" s="6"/>
      <c r="XZ44" s="6"/>
      <c r="YA44" s="6"/>
      <c r="YB44" s="6"/>
      <c r="YC44" s="6"/>
      <c r="YD44" s="6"/>
      <c r="YE44" s="6"/>
      <c r="YF44" s="6"/>
      <c r="YG44" s="6"/>
      <c r="YH44" s="6"/>
      <c r="YI44" s="6"/>
      <c r="YJ44" s="6"/>
      <c r="YK44" s="6"/>
      <c r="YL44" s="6"/>
      <c r="YM44" s="6"/>
      <c r="YN44" s="6"/>
      <c r="YO44" s="6"/>
      <c r="YP44" s="6"/>
      <c r="YQ44" s="6"/>
      <c r="YR44" s="6"/>
      <c r="YS44" s="6"/>
      <c r="YT44" s="6"/>
      <c r="YU44" s="6"/>
      <c r="YV44" s="6"/>
      <c r="YW44" s="6"/>
      <c r="YX44" s="6"/>
      <c r="YY44" s="6"/>
      <c r="YZ44" s="6"/>
      <c r="ZA44" s="6"/>
      <c r="ZB44" s="6"/>
      <c r="ZC44" s="6"/>
      <c r="ZD44" s="6"/>
      <c r="ZE44" s="6"/>
      <c r="ZF44" s="6"/>
      <c r="ZG44" s="6"/>
      <c r="ZH44" s="6"/>
      <c r="ZI44" s="6"/>
      <c r="ZJ44" s="6"/>
      <c r="ZK44" s="6"/>
      <c r="ZL44" s="6"/>
      <c r="ZM44" s="6"/>
      <c r="ZN44" s="6"/>
      <c r="ZO44" s="6"/>
      <c r="ZP44" s="6"/>
      <c r="ZQ44" s="6"/>
      <c r="ZR44" s="6"/>
      <c r="ZS44" s="6"/>
      <c r="ZT44" s="6"/>
      <c r="ZU44" s="6"/>
      <c r="ZV44" s="6"/>
      <c r="ZW44" s="6"/>
      <c r="ZX44" s="6"/>
      <c r="ZY44" s="6"/>
      <c r="ZZ44" s="6"/>
      <c r="AAA44" s="6"/>
      <c r="AAB44" s="6"/>
      <c r="AAC44" s="6"/>
      <c r="AAD44" s="6"/>
      <c r="AAE44" s="6"/>
      <c r="AAF44" s="6"/>
      <c r="AAG44" s="6"/>
      <c r="AAH44" s="6"/>
      <c r="AAI44" s="6"/>
      <c r="AAJ44" s="6"/>
      <c r="AAK44" s="6"/>
      <c r="AAL44" s="6"/>
      <c r="AAM44" s="6"/>
      <c r="AAN44" s="6"/>
      <c r="AAO44" s="6"/>
      <c r="AAP44" s="6"/>
      <c r="AAQ44" s="6"/>
      <c r="AAR44" s="6"/>
      <c r="AAS44" s="6"/>
      <c r="AAT44" s="6"/>
      <c r="AAU44" s="6"/>
      <c r="AAV44" s="6"/>
      <c r="AAW44" s="6"/>
      <c r="AAX44" s="6"/>
      <c r="AAY44" s="6"/>
      <c r="AAZ44" s="6"/>
      <c r="ABA44" s="6"/>
      <c r="ABB44" s="6"/>
      <c r="ABC44" s="6"/>
      <c r="ABD44" s="6"/>
      <c r="ABE44" s="6"/>
      <c r="ABF44" s="6"/>
      <c r="ABG44" s="6"/>
      <c r="ABH44" s="6"/>
      <c r="ABI44" s="6"/>
      <c r="ABJ44" s="6"/>
      <c r="ABK44" s="6"/>
      <c r="ABL44" s="6"/>
      <c r="ABM44" s="6"/>
      <c r="ABN44" s="6"/>
      <c r="ABO44" s="6"/>
      <c r="ABP44" s="6"/>
      <c r="ABQ44" s="6"/>
      <c r="ABR44" s="6"/>
      <c r="ABS44" s="6"/>
      <c r="ABT44" s="6"/>
      <c r="ABU44" s="6"/>
      <c r="ABV44" s="6"/>
      <c r="ABW44" s="6"/>
      <c r="ABX44" s="6"/>
      <c r="ABY44" s="6"/>
      <c r="ABZ44" s="6"/>
      <c r="ACA44" s="6"/>
      <c r="ACB44" s="6"/>
      <c r="ACC44" s="6"/>
      <c r="ACD44" s="6"/>
      <c r="ACE44" s="6"/>
      <c r="ACF44" s="6"/>
      <c r="ACG44" s="6"/>
      <c r="ACH44" s="6"/>
      <c r="ACI44" s="6"/>
      <c r="ACJ44" s="6"/>
      <c r="ACK44" s="6"/>
      <c r="ACL44" s="6"/>
      <c r="ACM44" s="6"/>
      <c r="ACN44" s="6"/>
      <c r="ACO44" s="6"/>
      <c r="ACP44" s="6"/>
      <c r="ACQ44" s="6"/>
      <c r="ACR44" s="6"/>
      <c r="ACS44" s="6"/>
      <c r="ACT44" s="6"/>
      <c r="ACU44" s="6"/>
      <c r="ACV44" s="6"/>
      <c r="ACW44" s="6"/>
      <c r="ACX44" s="6"/>
      <c r="ACY44" s="6"/>
      <c r="ACZ44" s="6"/>
      <c r="ADA44" s="6"/>
      <c r="ADB44" s="6"/>
      <c r="ADC44" s="6"/>
      <c r="ADD44" s="6"/>
      <c r="ADE44" s="6"/>
      <c r="ADF44" s="6"/>
      <c r="ADG44" s="6"/>
      <c r="ADH44" s="6"/>
      <c r="ADI44" s="6"/>
      <c r="ADJ44" s="6"/>
      <c r="ADK44" s="6"/>
      <c r="ADL44" s="6"/>
      <c r="ADM44" s="6"/>
      <c r="ADN44" s="6"/>
    </row>
    <row r="45" spans="1:1020 1048:2039 2052:4013 4106:5074" x14ac:dyDescent="0.25">
      <c r="A45" s="25" t="s">
        <v>169</v>
      </c>
      <c r="JS45" s="50"/>
      <c r="JT45" s="50"/>
      <c r="JU45" s="50"/>
      <c r="JV45" s="50"/>
      <c r="JW45" s="50"/>
      <c r="JX45" s="50"/>
      <c r="JY45" s="50"/>
      <c r="LX45" s="50"/>
      <c r="LY45" s="50"/>
      <c r="LZ45" s="50"/>
      <c r="MA45" s="50"/>
      <c r="MB45" s="50"/>
      <c r="MC45" s="50"/>
      <c r="MD45" s="50"/>
      <c r="PL45" s="50"/>
      <c r="PM45" s="50"/>
      <c r="PN45" s="50"/>
      <c r="PO45" s="50"/>
      <c r="PP45" s="50"/>
      <c r="PQ45" s="50"/>
      <c r="PR45" s="50"/>
      <c r="PS45" s="50"/>
      <c r="PT45" s="50"/>
      <c r="PU45" s="50"/>
      <c r="PV45" s="50"/>
      <c r="PW45" s="50"/>
    </row>
    <row r="46" spans="1:1020 1048:2039 2052:4013 4106:5074" x14ac:dyDescent="0.25">
      <c r="A46" s="52" t="s">
        <v>143</v>
      </c>
      <c r="LX46" s="50"/>
      <c r="LY46" s="50"/>
      <c r="LZ46" s="50"/>
      <c r="MA46" s="50"/>
      <c r="MB46" s="50"/>
      <c r="MC46" s="50"/>
      <c r="MD46" s="50"/>
      <c r="PL46" s="50"/>
      <c r="PM46" s="50"/>
      <c r="PN46" s="50"/>
      <c r="PO46" s="50"/>
      <c r="PP46" s="50"/>
      <c r="PQ46" s="50"/>
      <c r="PR46" s="50"/>
      <c r="PS46" s="50"/>
      <c r="PT46" s="50"/>
      <c r="PU46" s="50"/>
      <c r="PV46" s="50"/>
      <c r="PW46" s="50"/>
    </row>
    <row r="47" spans="1:1020 1048:2039 2052:4013 4106:5074" x14ac:dyDescent="0.25">
      <c r="A47" s="50">
        <v>6016435</v>
      </c>
      <c r="LX47" s="50"/>
      <c r="LY47" s="50"/>
      <c r="LZ47" s="50"/>
      <c r="MA47" s="50"/>
      <c r="MB47" s="50"/>
      <c r="MC47" s="50"/>
      <c r="MD47" s="50"/>
      <c r="PL47" s="50"/>
      <c r="PM47" s="50"/>
      <c r="PN47" s="50"/>
      <c r="PO47" s="50"/>
      <c r="PP47" s="50"/>
      <c r="PQ47" s="50"/>
      <c r="PR47" s="50"/>
      <c r="PS47" s="50"/>
      <c r="PT47" s="50"/>
      <c r="PU47" s="50"/>
      <c r="PV47" s="50"/>
      <c r="PW47" s="50"/>
      <c r="QZ47">
        <v>120000</v>
      </c>
      <c r="WJ47">
        <v>7.47</v>
      </c>
      <c r="WK47">
        <v>7.46</v>
      </c>
      <c r="WN47">
        <v>7.45</v>
      </c>
      <c r="WT47">
        <v>0.1</v>
      </c>
      <c r="WU47">
        <v>-0.1</v>
      </c>
      <c r="WV47">
        <v>-0.1</v>
      </c>
      <c r="WZ47">
        <v>22.4</v>
      </c>
      <c r="XA47">
        <v>24.5</v>
      </c>
      <c r="XD47">
        <v>24.5</v>
      </c>
      <c r="XI47">
        <v>66.099999999999994</v>
      </c>
      <c r="XJ47">
        <v>48</v>
      </c>
      <c r="XK47">
        <v>54.9</v>
      </c>
      <c r="XN47">
        <v>31</v>
      </c>
      <c r="XO47">
        <v>38.200000000000003</v>
      </c>
      <c r="XR47">
        <v>34.1</v>
      </c>
      <c r="XV47">
        <v>93.9</v>
      </c>
      <c r="XW47">
        <v>89.8</v>
      </c>
      <c r="XX47">
        <v>91.5</v>
      </c>
      <c r="AFY47">
        <v>3.2</v>
      </c>
      <c r="AJJ47">
        <v>39.799999999999997</v>
      </c>
      <c r="ANH47">
        <v>56</v>
      </c>
      <c r="ANJ47">
        <v>1</v>
      </c>
      <c r="ARW47">
        <v>1</v>
      </c>
      <c r="AUR47">
        <v>1</v>
      </c>
      <c r="AWG47">
        <v>1</v>
      </c>
      <c r="AWU47">
        <v>50</v>
      </c>
      <c r="AWV47">
        <v>2</v>
      </c>
      <c r="AWZ47">
        <v>1</v>
      </c>
      <c r="AXB47">
        <v>1</v>
      </c>
      <c r="AXC47">
        <v>0</v>
      </c>
      <c r="AXD47">
        <v>0</v>
      </c>
      <c r="AXE47">
        <v>0</v>
      </c>
      <c r="AZA47">
        <v>200</v>
      </c>
      <c r="AZB47">
        <v>1</v>
      </c>
      <c r="AZE47">
        <v>1</v>
      </c>
      <c r="AZF47">
        <v>1</v>
      </c>
      <c r="AZG47">
        <v>1</v>
      </c>
      <c r="AZH47">
        <v>1</v>
      </c>
      <c r="AZI47">
        <v>0</v>
      </c>
      <c r="CVV47">
        <v>1</v>
      </c>
      <c r="DQW47">
        <v>2</v>
      </c>
      <c r="DQX47">
        <v>1</v>
      </c>
      <c r="DQY47">
        <v>1</v>
      </c>
      <c r="DQZ47">
        <v>1</v>
      </c>
      <c r="DRA47">
        <v>0</v>
      </c>
      <c r="DRB47">
        <v>0</v>
      </c>
      <c r="DRC47">
        <v>0</v>
      </c>
      <c r="FVJ47">
        <v>1</v>
      </c>
      <c r="FVQ47">
        <v>1</v>
      </c>
      <c r="FWA47">
        <v>1</v>
      </c>
      <c r="FWC47">
        <v>1</v>
      </c>
      <c r="FWD47">
        <v>1</v>
      </c>
      <c r="FWH47">
        <v>1</v>
      </c>
      <c r="FWI47">
        <v>1</v>
      </c>
      <c r="FWJ47">
        <v>1</v>
      </c>
      <c r="FXB47">
        <v>1</v>
      </c>
      <c r="FYC47">
        <v>1</v>
      </c>
      <c r="FYD47">
        <v>1</v>
      </c>
      <c r="FYF47">
        <v>1</v>
      </c>
      <c r="FYG47">
        <v>1</v>
      </c>
      <c r="FYM47">
        <v>1</v>
      </c>
      <c r="FYN47">
        <v>1</v>
      </c>
      <c r="FYO47">
        <v>1</v>
      </c>
      <c r="FYW47">
        <v>1</v>
      </c>
      <c r="FZD47">
        <v>1</v>
      </c>
      <c r="FZE47">
        <v>1</v>
      </c>
      <c r="FZH47">
        <v>1</v>
      </c>
      <c r="GAZ47">
        <v>1</v>
      </c>
      <c r="GBQ47">
        <v>1</v>
      </c>
      <c r="GBV47">
        <v>1</v>
      </c>
      <c r="GBW47">
        <v>1</v>
      </c>
      <c r="GCL47">
        <v>1</v>
      </c>
      <c r="GCN47">
        <v>1</v>
      </c>
      <c r="GCS47">
        <v>1</v>
      </c>
    </row>
    <row r="48" spans="1:1020 1048:2039 2052:4013 4106:5074" x14ac:dyDescent="0.25">
      <c r="A48" s="50">
        <v>8045149</v>
      </c>
      <c r="LX48" s="50"/>
      <c r="LY48" s="50"/>
      <c r="LZ48" s="50"/>
      <c r="MA48" s="50"/>
      <c r="MB48" s="50"/>
      <c r="MC48" s="50"/>
      <c r="MD48" s="50"/>
      <c r="PL48" s="50"/>
      <c r="PM48" s="50"/>
      <c r="PN48" s="50"/>
      <c r="PO48" s="50"/>
      <c r="PP48" s="50"/>
      <c r="PQ48" s="50"/>
      <c r="PR48" s="50"/>
      <c r="PS48" s="50"/>
      <c r="PT48" s="50"/>
      <c r="PU48" s="50"/>
      <c r="PV48" s="50"/>
      <c r="PW48" s="50"/>
      <c r="QJ48">
        <v>70</v>
      </c>
      <c r="AJI48">
        <v>39</v>
      </c>
      <c r="AMF48">
        <v>1</v>
      </c>
      <c r="ANH48">
        <v>69</v>
      </c>
      <c r="ANJ48">
        <v>1</v>
      </c>
      <c r="ANM48">
        <v>1</v>
      </c>
      <c r="AOX48">
        <v>1</v>
      </c>
      <c r="ASK48">
        <v>1</v>
      </c>
      <c r="AWX48">
        <v>1</v>
      </c>
      <c r="AXB48">
        <v>1</v>
      </c>
      <c r="AXC48">
        <v>1</v>
      </c>
      <c r="AXD48">
        <v>1</v>
      </c>
      <c r="AZK48">
        <v>1</v>
      </c>
      <c r="AZQ48">
        <v>1</v>
      </c>
      <c r="AZR48">
        <v>1</v>
      </c>
      <c r="AZS48">
        <v>1</v>
      </c>
      <c r="AZT48">
        <v>0</v>
      </c>
      <c r="FVS48">
        <v>1</v>
      </c>
      <c r="FWH48">
        <v>1</v>
      </c>
      <c r="GCV48">
        <v>1</v>
      </c>
      <c r="GCW48">
        <v>1</v>
      </c>
      <c r="GCZ48">
        <v>1</v>
      </c>
      <c r="GDB48">
        <v>1</v>
      </c>
      <c r="GLN48">
        <v>1</v>
      </c>
      <c r="GMD48">
        <v>1</v>
      </c>
    </row>
    <row r="49" spans="1:1024 1026:1779 2050:3014 3423:4012 4456:5075" x14ac:dyDescent="0.25">
      <c r="A49" s="50">
        <v>10023001</v>
      </c>
      <c r="LX49" s="50"/>
      <c r="LY49" s="50"/>
      <c r="LZ49" s="50"/>
      <c r="MA49" s="50"/>
      <c r="MB49" s="50"/>
      <c r="MC49" s="50"/>
      <c r="MD49" s="50"/>
      <c r="PL49" s="50"/>
      <c r="PM49" s="50">
        <v>4750000</v>
      </c>
      <c r="PN49" s="50"/>
      <c r="PO49" s="50"/>
      <c r="PP49" s="50"/>
      <c r="PQ49" s="50"/>
      <c r="PR49" s="50"/>
      <c r="PS49" s="50"/>
      <c r="PT49" s="50"/>
      <c r="PU49" s="50"/>
      <c r="PV49" s="50"/>
      <c r="PW49" s="50"/>
      <c r="QX49">
        <v>225000</v>
      </c>
      <c r="TY49">
        <v>65</v>
      </c>
      <c r="YN49">
        <v>40</v>
      </c>
      <c r="AAF49">
        <v>82</v>
      </c>
      <c r="ABL49">
        <v>30</v>
      </c>
      <c r="ADJ49">
        <v>11</v>
      </c>
      <c r="ANH49">
        <v>80</v>
      </c>
      <c r="ANI49">
        <v>1</v>
      </c>
      <c r="ANK49">
        <v>28.01</v>
      </c>
      <c r="ANM49">
        <v>1</v>
      </c>
      <c r="ARC49">
        <v>1</v>
      </c>
      <c r="AWC49">
        <v>1</v>
      </c>
      <c r="AWV49">
        <v>2</v>
      </c>
      <c r="AXA49">
        <v>1</v>
      </c>
      <c r="CVI49">
        <v>1</v>
      </c>
      <c r="FWK49">
        <v>1</v>
      </c>
      <c r="GDS49">
        <v>1</v>
      </c>
      <c r="GEK49">
        <v>1</v>
      </c>
      <c r="GGJ49">
        <v>1</v>
      </c>
      <c r="GHL49">
        <v>1</v>
      </c>
    </row>
    <row r="50" spans="1:1024 1026:1779 2050:3014 3423:4012 4456:5075" x14ac:dyDescent="0.25">
      <c r="A50" s="50">
        <v>10027526</v>
      </c>
      <c r="LX50" s="50"/>
      <c r="LY50" s="50"/>
      <c r="LZ50" s="50"/>
      <c r="MA50" s="50"/>
      <c r="MB50" s="50">
        <v>1583</v>
      </c>
      <c r="MC50" s="50"/>
      <c r="MD50" s="50"/>
      <c r="PL50" s="50"/>
      <c r="PM50" s="50"/>
      <c r="PN50" s="50"/>
      <c r="PO50" s="50"/>
      <c r="PP50" s="50"/>
      <c r="PQ50" s="50"/>
      <c r="PR50" s="50"/>
      <c r="PS50" s="50"/>
      <c r="PT50" s="50"/>
      <c r="PU50" s="50"/>
      <c r="PV50" s="50"/>
      <c r="PW50" s="50"/>
      <c r="TZ50">
        <v>59.46</v>
      </c>
      <c r="AJJ50">
        <v>38.5</v>
      </c>
      <c r="ANH50">
        <v>60</v>
      </c>
      <c r="ANI50">
        <v>1</v>
      </c>
      <c r="ANK50">
        <v>18.59</v>
      </c>
      <c r="ANM50">
        <v>1</v>
      </c>
      <c r="AWV50">
        <v>3</v>
      </c>
      <c r="AWZ50">
        <v>1</v>
      </c>
      <c r="AXB50">
        <v>1</v>
      </c>
      <c r="AXC50">
        <v>4</v>
      </c>
      <c r="AXD50">
        <v>4</v>
      </c>
      <c r="AXE50">
        <v>0</v>
      </c>
      <c r="AXT50">
        <v>500</v>
      </c>
      <c r="AXX50">
        <v>1</v>
      </c>
      <c r="AXZ50">
        <v>4</v>
      </c>
      <c r="AYA50">
        <v>4</v>
      </c>
      <c r="AYB50">
        <v>2</v>
      </c>
      <c r="AYC50">
        <v>0</v>
      </c>
      <c r="FWC50">
        <v>1</v>
      </c>
      <c r="FWD50">
        <v>1</v>
      </c>
      <c r="FWG50">
        <v>1</v>
      </c>
      <c r="FWH50">
        <v>1</v>
      </c>
      <c r="FWK50">
        <v>1</v>
      </c>
      <c r="FWX50">
        <v>1</v>
      </c>
      <c r="FXM50">
        <v>1</v>
      </c>
      <c r="GCF50">
        <v>1</v>
      </c>
      <c r="GCG50">
        <v>1</v>
      </c>
      <c r="GDS50">
        <v>1</v>
      </c>
      <c r="GDU50">
        <v>1</v>
      </c>
      <c r="GFL50">
        <v>1</v>
      </c>
      <c r="GHK50">
        <v>1</v>
      </c>
      <c r="GHL50">
        <v>1</v>
      </c>
      <c r="GHM50">
        <v>1</v>
      </c>
      <c r="GHN50">
        <v>1</v>
      </c>
    </row>
    <row r="51" spans="1:1024 1026:1779 2050:3014 3423:4012 4456:5075" x14ac:dyDescent="0.25">
      <c r="A51" s="50">
        <v>14222171</v>
      </c>
      <c r="JL51">
        <v>421</v>
      </c>
      <c r="LX51" s="50"/>
      <c r="LY51" s="50"/>
      <c r="LZ51" s="50"/>
      <c r="MA51" s="50">
        <v>20.6</v>
      </c>
      <c r="MB51" s="50"/>
      <c r="MC51" s="50"/>
      <c r="MD51" s="50"/>
      <c r="PL51" s="50"/>
      <c r="PM51" s="50"/>
      <c r="PN51" s="50"/>
      <c r="PO51" s="50"/>
      <c r="PP51" s="50"/>
      <c r="PQ51" s="50"/>
      <c r="PR51" s="50"/>
      <c r="PS51" s="50"/>
      <c r="PT51" s="50"/>
      <c r="PU51" s="50"/>
      <c r="PV51" s="50"/>
      <c r="PW51" s="50"/>
      <c r="QX51">
        <v>86000000</v>
      </c>
      <c r="YN51">
        <v>36</v>
      </c>
      <c r="ANB51">
        <v>129</v>
      </c>
      <c r="ANC51">
        <v>94</v>
      </c>
      <c r="ANH51">
        <v>72</v>
      </c>
      <c r="ANI51">
        <v>1</v>
      </c>
      <c r="ANM51">
        <v>1</v>
      </c>
      <c r="ANN51">
        <v>5</v>
      </c>
      <c r="AOG51">
        <v>1</v>
      </c>
      <c r="APB51">
        <v>1</v>
      </c>
      <c r="ASA51">
        <v>1</v>
      </c>
      <c r="AVI51">
        <v>1</v>
      </c>
      <c r="AXA51">
        <v>1</v>
      </c>
      <c r="AXB51">
        <v>2</v>
      </c>
      <c r="AXC51">
        <v>0</v>
      </c>
      <c r="AXD51">
        <v>0</v>
      </c>
      <c r="AXE51">
        <v>1</v>
      </c>
      <c r="CKT51">
        <v>5</v>
      </c>
      <c r="CZD51">
        <v>20</v>
      </c>
      <c r="DEA51">
        <v>3</v>
      </c>
      <c r="DEK51">
        <v>1000</v>
      </c>
      <c r="FPP51">
        <v>4</v>
      </c>
      <c r="FWK51">
        <v>1</v>
      </c>
      <c r="FWW51">
        <v>1</v>
      </c>
      <c r="GDE51">
        <v>1</v>
      </c>
      <c r="GEK51">
        <v>1</v>
      </c>
      <c r="GGP51">
        <v>1</v>
      </c>
      <c r="GHX51">
        <v>1</v>
      </c>
      <c r="GIG51">
        <v>1</v>
      </c>
    </row>
    <row r="52" spans="1:1024 1026:1779 2050:3014 3423:4012 4456:5075" x14ac:dyDescent="0.25">
      <c r="A52" s="50">
        <v>1006143</v>
      </c>
      <c r="PL52" s="50"/>
      <c r="PM52" s="50"/>
      <c r="PN52" s="50"/>
      <c r="PO52" s="50"/>
      <c r="PP52" s="50"/>
      <c r="PQ52" s="50"/>
      <c r="PR52" s="50"/>
      <c r="PS52" s="50"/>
      <c r="PT52" s="50"/>
      <c r="PU52" s="50"/>
      <c r="PV52" s="50"/>
      <c r="PW52" s="50"/>
      <c r="YN52">
        <v>51.8</v>
      </c>
      <c r="ABL52">
        <v>32</v>
      </c>
      <c r="AFY52">
        <v>3.46</v>
      </c>
      <c r="AJY52">
        <v>185</v>
      </c>
      <c r="ANH52">
        <v>80</v>
      </c>
      <c r="ANJ52">
        <v>1</v>
      </c>
      <c r="ANK52">
        <v>27.3</v>
      </c>
      <c r="ANM52">
        <v>1</v>
      </c>
      <c r="ANN52">
        <v>1</v>
      </c>
      <c r="APB52">
        <v>1</v>
      </c>
      <c r="ARC52">
        <v>1</v>
      </c>
      <c r="ARZ52">
        <v>1</v>
      </c>
      <c r="AUG52">
        <v>1</v>
      </c>
      <c r="AUH52">
        <v>1</v>
      </c>
      <c r="AWX52">
        <v>1</v>
      </c>
      <c r="AXB52">
        <v>1</v>
      </c>
      <c r="AXC52">
        <v>0</v>
      </c>
      <c r="AXD52">
        <v>0</v>
      </c>
      <c r="AXE52">
        <v>0</v>
      </c>
      <c r="DDG52">
        <v>1</v>
      </c>
      <c r="DDK52">
        <v>0</v>
      </c>
      <c r="DDL52">
        <v>0</v>
      </c>
      <c r="DDM52">
        <v>999</v>
      </c>
      <c r="FWL52">
        <v>1</v>
      </c>
      <c r="FYZ52">
        <v>1</v>
      </c>
      <c r="GDI52">
        <v>1</v>
      </c>
    </row>
    <row r="53" spans="1:1024 1026:1779 2050:3014 3423:4012 4456:5075" x14ac:dyDescent="0.25">
      <c r="A53" s="50">
        <v>6006917</v>
      </c>
      <c r="MA53">
        <v>240</v>
      </c>
      <c r="PL53" s="50"/>
      <c r="PM53" s="50"/>
      <c r="PN53" s="50"/>
      <c r="PO53" s="50"/>
      <c r="PP53" s="50"/>
      <c r="PQ53" s="50"/>
      <c r="PR53" s="50"/>
      <c r="PS53" s="50"/>
      <c r="PT53" s="50"/>
      <c r="PU53" s="50"/>
      <c r="PV53" s="50"/>
      <c r="PW53" s="50"/>
      <c r="AMB53">
        <v>1204.7</v>
      </c>
      <c r="ANH53">
        <v>52</v>
      </c>
      <c r="ANJ53">
        <v>1</v>
      </c>
      <c r="ASP53">
        <v>1</v>
      </c>
      <c r="AWY53">
        <v>1</v>
      </c>
      <c r="BKH53">
        <v>1</v>
      </c>
      <c r="FUW53">
        <v>1</v>
      </c>
      <c r="FWH53">
        <v>1</v>
      </c>
      <c r="GCZ53">
        <v>1</v>
      </c>
      <c r="GDU53">
        <v>1</v>
      </c>
      <c r="GDV53">
        <v>1</v>
      </c>
      <c r="GDW53">
        <v>1</v>
      </c>
      <c r="GDX53">
        <v>1</v>
      </c>
      <c r="GGR53">
        <v>1</v>
      </c>
      <c r="GHK53">
        <v>1</v>
      </c>
      <c r="GHL53">
        <v>1</v>
      </c>
      <c r="GHM53">
        <v>1</v>
      </c>
      <c r="GHN53">
        <v>1</v>
      </c>
      <c r="GHS53">
        <v>1</v>
      </c>
    </row>
    <row r="54" spans="1:1024 1026:1779 2050:3014 3423:4012 4456:5075" x14ac:dyDescent="0.25">
      <c r="A54" s="50"/>
      <c r="PL54" s="50"/>
      <c r="PM54" s="50"/>
      <c r="PN54" s="50"/>
      <c r="PO54" s="50"/>
      <c r="PP54" s="50"/>
      <c r="PQ54" s="50"/>
      <c r="PR54" s="50"/>
      <c r="PS54" s="50"/>
      <c r="PT54" s="50"/>
      <c r="PU54" s="50"/>
      <c r="PV54" s="50"/>
      <c r="PW54" s="50"/>
    </row>
    <row r="55" spans="1:1024 1026:1779 2050:3014 3423:4012 4456:5075" x14ac:dyDescent="0.25">
      <c r="A55" s="52" t="s">
        <v>146</v>
      </c>
      <c r="PL55" s="50"/>
      <c r="PM55" s="50"/>
      <c r="PN55" s="50"/>
      <c r="PO55" s="50"/>
      <c r="PP55" s="50"/>
      <c r="PQ55" s="50"/>
      <c r="PR55" s="50"/>
      <c r="PS55" s="50"/>
      <c r="PT55" s="50"/>
      <c r="PU55" s="50"/>
      <c r="PV55" s="50"/>
      <c r="PW55" s="50"/>
    </row>
    <row r="56" spans="1:1024 1026:1779 2050:3014 3423:4012 4456:5075" x14ac:dyDescent="0.25">
      <c r="A56" s="50">
        <v>8057159</v>
      </c>
      <c r="MH56">
        <v>93.3</v>
      </c>
      <c r="MJ56">
        <v>117</v>
      </c>
      <c r="ML56">
        <v>32</v>
      </c>
      <c r="PL56" s="50"/>
      <c r="PM56" s="50"/>
      <c r="PN56" s="50"/>
      <c r="PO56" s="50"/>
      <c r="PP56" s="50"/>
      <c r="PQ56" s="50"/>
      <c r="PR56" s="50"/>
      <c r="PS56" s="50"/>
      <c r="PT56" s="50"/>
      <c r="PU56" s="50"/>
      <c r="PV56" s="50"/>
      <c r="PW56" s="50"/>
      <c r="QX56" s="50"/>
      <c r="QY56" s="50"/>
      <c r="QZ56" s="50"/>
      <c r="RA56" s="50"/>
      <c r="RB56" s="50"/>
      <c r="AJM56">
        <v>40.200000000000003</v>
      </c>
      <c r="ANH56">
        <v>54</v>
      </c>
      <c r="ANJ56">
        <v>1</v>
      </c>
      <c r="ANM56">
        <v>1</v>
      </c>
      <c r="ANN56">
        <v>11</v>
      </c>
      <c r="AXM56">
        <v>1</v>
      </c>
      <c r="AXN56">
        <v>9</v>
      </c>
      <c r="AXO56">
        <v>8</v>
      </c>
      <c r="AXP56">
        <v>0</v>
      </c>
      <c r="AXQ56">
        <v>0</v>
      </c>
      <c r="ESQ56">
        <v>8</v>
      </c>
      <c r="EWB56">
        <v>8</v>
      </c>
      <c r="FWH56">
        <v>1</v>
      </c>
      <c r="FXC56">
        <v>1</v>
      </c>
      <c r="FXI56">
        <v>1</v>
      </c>
      <c r="GCX56">
        <v>1</v>
      </c>
      <c r="GDD56">
        <v>1</v>
      </c>
      <c r="GEK56">
        <v>1</v>
      </c>
    </row>
    <row r="57" spans="1:1024 1026:1779 2050:3014 3423:4012 4456:5075" x14ac:dyDescent="0.25">
      <c r="A57" s="50">
        <v>9140312</v>
      </c>
      <c r="MD57">
        <v>11.6</v>
      </c>
      <c r="ME57">
        <v>8</v>
      </c>
      <c r="MF57">
        <v>4.7</v>
      </c>
      <c r="PL57" s="50"/>
      <c r="PM57" s="50"/>
      <c r="PN57" s="50"/>
      <c r="PO57" s="50"/>
      <c r="PP57" s="50"/>
      <c r="PQ57" s="50"/>
      <c r="PR57" s="50"/>
      <c r="PS57" s="50"/>
      <c r="PT57" s="50"/>
      <c r="PU57" s="50"/>
      <c r="PV57" s="50"/>
      <c r="PW57" s="50"/>
      <c r="QX57" s="50"/>
      <c r="QY57" s="50"/>
      <c r="QZ57" s="50">
        <v>5000</v>
      </c>
      <c r="RA57" s="50">
        <v>0</v>
      </c>
      <c r="RB57" s="50">
        <v>23000</v>
      </c>
      <c r="RC57">
        <v>60000</v>
      </c>
      <c r="RD57">
        <v>64000</v>
      </c>
      <c r="UB57">
        <v>75.8</v>
      </c>
      <c r="AJH57">
        <v>40.700000000000003</v>
      </c>
      <c r="AJL57">
        <v>38.5</v>
      </c>
      <c r="AKB57">
        <v>162</v>
      </c>
      <c r="AKD57">
        <v>85</v>
      </c>
      <c r="AMI57">
        <v>25</v>
      </c>
      <c r="AMJ57">
        <v>1305</v>
      </c>
      <c r="AML57" s="50">
        <v>350</v>
      </c>
      <c r="AMM57">
        <v>350</v>
      </c>
      <c r="AMN57">
        <v>90</v>
      </c>
      <c r="AMQ57">
        <v>495</v>
      </c>
      <c r="AMR57">
        <v>300</v>
      </c>
      <c r="AMV57">
        <v>100</v>
      </c>
      <c r="AND57">
        <v>7</v>
      </c>
      <c r="ANE57">
        <v>8</v>
      </c>
      <c r="ANF57">
        <v>8</v>
      </c>
      <c r="ANG57">
        <v>1</v>
      </c>
      <c r="ANH57">
        <v>5</v>
      </c>
      <c r="ANI57">
        <v>1</v>
      </c>
      <c r="ANM57">
        <v>1</v>
      </c>
      <c r="ANN57">
        <v>5</v>
      </c>
      <c r="AXH57">
        <v>200</v>
      </c>
      <c r="AXI57">
        <v>4</v>
      </c>
      <c r="AXO57">
        <v>6</v>
      </c>
      <c r="BPK57">
        <v>4</v>
      </c>
      <c r="DCR57">
        <v>1</v>
      </c>
      <c r="FWE57">
        <v>1</v>
      </c>
      <c r="FWX57">
        <v>1</v>
      </c>
      <c r="FZI57">
        <v>1</v>
      </c>
      <c r="FZL57">
        <v>1</v>
      </c>
      <c r="FZU57">
        <v>1</v>
      </c>
      <c r="FZY57">
        <v>1</v>
      </c>
      <c r="GBL57">
        <v>1</v>
      </c>
      <c r="GCS57">
        <v>1</v>
      </c>
      <c r="GDA57">
        <v>1</v>
      </c>
      <c r="GDG57">
        <v>1</v>
      </c>
      <c r="GEK57">
        <v>1</v>
      </c>
      <c r="GGJ57">
        <v>1</v>
      </c>
      <c r="GIL57">
        <v>1</v>
      </c>
    </row>
    <row r="58" spans="1:1024 1026:1779 2050:3014 3423:4012 4456:5075" x14ac:dyDescent="0.25">
      <c r="A58" s="50">
        <v>12008230</v>
      </c>
      <c r="PL58" s="50"/>
      <c r="PM58" s="50"/>
      <c r="PN58" s="50"/>
      <c r="PO58" s="50"/>
      <c r="PP58" s="50"/>
      <c r="PQ58" s="50"/>
      <c r="PR58" s="50"/>
      <c r="PS58" s="50"/>
      <c r="PT58" s="50"/>
      <c r="PU58" s="50"/>
      <c r="PV58" s="50"/>
      <c r="PW58" s="50"/>
      <c r="QX58" s="50"/>
      <c r="QY58" s="50"/>
      <c r="QZ58" s="50"/>
      <c r="RA58" s="50"/>
      <c r="RB58" s="50"/>
      <c r="ADV58">
        <v>0</v>
      </c>
      <c r="AEI58">
        <v>0</v>
      </c>
      <c r="AEJ58">
        <v>0</v>
      </c>
      <c r="ANH58">
        <v>28</v>
      </c>
      <c r="ANI58">
        <v>1</v>
      </c>
      <c r="ANK58">
        <v>26.01</v>
      </c>
      <c r="ANM58">
        <v>1</v>
      </c>
      <c r="ANN58">
        <v>12</v>
      </c>
      <c r="AXN58">
        <v>7</v>
      </c>
      <c r="BKS58">
        <v>3</v>
      </c>
      <c r="BKT58">
        <v>9</v>
      </c>
      <c r="BKU58">
        <v>7</v>
      </c>
      <c r="BKV58">
        <v>0</v>
      </c>
      <c r="FWH58">
        <v>1</v>
      </c>
      <c r="FWK58">
        <v>1</v>
      </c>
      <c r="FWO58">
        <v>1</v>
      </c>
      <c r="FZM58">
        <v>1</v>
      </c>
      <c r="GCO58">
        <v>1</v>
      </c>
      <c r="GDH58">
        <v>1</v>
      </c>
      <c r="GFM58">
        <v>1</v>
      </c>
      <c r="GFN58">
        <v>1</v>
      </c>
      <c r="GFO58">
        <v>1</v>
      </c>
      <c r="GFZ58">
        <v>1</v>
      </c>
      <c r="GGA58">
        <v>1</v>
      </c>
      <c r="GGB58">
        <v>1</v>
      </c>
      <c r="GGC58">
        <v>1</v>
      </c>
    </row>
    <row r="59" spans="1:1024 1026:1779 2050:3014 3423:4012 4456:5075" x14ac:dyDescent="0.25">
      <c r="A59" s="50">
        <v>12088444</v>
      </c>
      <c r="JN59">
        <v>594</v>
      </c>
      <c r="ME59">
        <v>35.5</v>
      </c>
      <c r="MK59">
        <v>1.8</v>
      </c>
      <c r="NC59">
        <v>1.3</v>
      </c>
      <c r="NE59">
        <v>0.6</v>
      </c>
      <c r="PL59" s="50"/>
      <c r="PM59" s="50"/>
      <c r="PN59" s="50"/>
      <c r="PO59" s="50"/>
      <c r="PP59" s="50"/>
      <c r="PQ59" s="50"/>
      <c r="PR59" s="50"/>
      <c r="PS59" s="50"/>
      <c r="PT59" s="50"/>
      <c r="PU59" s="50"/>
      <c r="PV59" s="50"/>
      <c r="PW59" s="50"/>
      <c r="QX59" s="50"/>
      <c r="QY59" s="50"/>
      <c r="QZ59" s="50"/>
      <c r="RA59" s="50"/>
      <c r="RB59" s="50">
        <v>78000</v>
      </c>
      <c r="RH59">
        <v>1770</v>
      </c>
      <c r="SB59">
        <v>2230</v>
      </c>
      <c r="SC59">
        <v>187000</v>
      </c>
      <c r="AIZ59" s="50"/>
      <c r="AJA59" s="50"/>
      <c r="ANH59">
        <v>15</v>
      </c>
      <c r="ANJ59">
        <v>1</v>
      </c>
      <c r="ANK59">
        <v>25.89</v>
      </c>
      <c r="ANM59">
        <v>1</v>
      </c>
      <c r="ANN59">
        <v>12</v>
      </c>
      <c r="APC59">
        <v>1</v>
      </c>
      <c r="ATU59">
        <v>1</v>
      </c>
      <c r="AXH59">
        <v>800</v>
      </c>
      <c r="AXL59">
        <v>1</v>
      </c>
      <c r="AXN59">
        <v>638</v>
      </c>
      <c r="AXO59">
        <v>630</v>
      </c>
      <c r="AXP59">
        <v>0</v>
      </c>
      <c r="AXQ59">
        <v>8</v>
      </c>
      <c r="DCR59">
        <v>1</v>
      </c>
      <c r="DKP59">
        <v>40</v>
      </c>
      <c r="DKQ59">
        <v>1</v>
      </c>
      <c r="DKT59">
        <v>1</v>
      </c>
      <c r="DKU59">
        <v>638</v>
      </c>
      <c r="DKV59">
        <v>630</v>
      </c>
      <c r="DKW59">
        <v>0</v>
      </c>
      <c r="DKX59">
        <v>8</v>
      </c>
      <c r="EAQ59">
        <v>249</v>
      </c>
      <c r="EAV59">
        <v>999</v>
      </c>
      <c r="EAW59">
        <v>999</v>
      </c>
      <c r="EAX59">
        <v>0</v>
      </c>
      <c r="EAY59">
        <v>999</v>
      </c>
      <c r="FOJ59">
        <v>15</v>
      </c>
      <c r="FOK59">
        <v>0.14000000000000001</v>
      </c>
      <c r="FON59">
        <v>1</v>
      </c>
      <c r="FOO59">
        <v>999</v>
      </c>
      <c r="FOP59">
        <v>669</v>
      </c>
      <c r="FOQ59">
        <v>0</v>
      </c>
      <c r="FOR59">
        <v>999</v>
      </c>
      <c r="FWW59">
        <v>1</v>
      </c>
      <c r="GCJ59">
        <v>1</v>
      </c>
      <c r="GCU59">
        <v>1</v>
      </c>
    </row>
    <row r="60" spans="1:1024 1026:1779 2050:3014 3423:4012 4456:5075" x14ac:dyDescent="0.25">
      <c r="A60" s="50">
        <v>13118872</v>
      </c>
      <c r="MF60">
        <v>118.79</v>
      </c>
      <c r="UC60">
        <v>87.62</v>
      </c>
      <c r="ANH60">
        <v>48</v>
      </c>
      <c r="ANJ60">
        <v>1</v>
      </c>
      <c r="ANM60">
        <v>1</v>
      </c>
      <c r="AOR60">
        <v>1</v>
      </c>
      <c r="AQJ60">
        <v>1</v>
      </c>
      <c r="AXL60">
        <v>1</v>
      </c>
      <c r="AXN60">
        <v>3</v>
      </c>
      <c r="AXO60">
        <v>2</v>
      </c>
      <c r="AXP60">
        <v>0</v>
      </c>
      <c r="AXQ60">
        <v>0</v>
      </c>
      <c r="BZV60" s="50">
        <v>25</v>
      </c>
      <c r="BZW60">
        <v>1</v>
      </c>
      <c r="BZZ60">
        <v>1</v>
      </c>
      <c r="CAA60">
        <v>2</v>
      </c>
      <c r="CAB60">
        <v>14</v>
      </c>
      <c r="CAC60">
        <v>13</v>
      </c>
      <c r="CAD60">
        <v>0</v>
      </c>
      <c r="DKF60">
        <v>20</v>
      </c>
      <c r="DKJ60">
        <v>1</v>
      </c>
      <c r="DKK60">
        <v>3</v>
      </c>
      <c r="DKL60">
        <v>0</v>
      </c>
      <c r="DKM60">
        <v>0</v>
      </c>
      <c r="DKN60">
        <v>2</v>
      </c>
      <c r="EHR60" s="50">
        <v>15</v>
      </c>
      <c r="EHS60">
        <v>1</v>
      </c>
      <c r="EHV60">
        <v>1</v>
      </c>
      <c r="EHW60">
        <v>5</v>
      </c>
      <c r="EHX60">
        <v>4</v>
      </c>
      <c r="EHY60">
        <v>0</v>
      </c>
      <c r="EHZ60">
        <v>0</v>
      </c>
      <c r="EIB60">
        <v>40</v>
      </c>
      <c r="EIC60">
        <v>1</v>
      </c>
      <c r="EIF60">
        <v>1</v>
      </c>
      <c r="EIG60">
        <v>2</v>
      </c>
      <c r="EIH60">
        <v>1</v>
      </c>
      <c r="EII60">
        <v>0</v>
      </c>
      <c r="EIJ60">
        <v>0</v>
      </c>
      <c r="ETW60">
        <v>25</v>
      </c>
      <c r="ETX60">
        <v>1</v>
      </c>
      <c r="EUA60">
        <v>1</v>
      </c>
      <c r="EUB60">
        <v>2</v>
      </c>
      <c r="EUC60">
        <v>14</v>
      </c>
      <c r="EUD60">
        <v>13</v>
      </c>
      <c r="EUE60">
        <v>0</v>
      </c>
      <c r="EWZ60">
        <v>75</v>
      </c>
      <c r="EXA60">
        <v>1</v>
      </c>
      <c r="EXD60">
        <v>1</v>
      </c>
      <c r="EXF60">
        <v>18</v>
      </c>
      <c r="EXG60">
        <v>0</v>
      </c>
      <c r="EXH60">
        <v>999</v>
      </c>
      <c r="FXS60">
        <v>1</v>
      </c>
      <c r="FYE60">
        <v>1</v>
      </c>
      <c r="GCT60">
        <v>1</v>
      </c>
      <c r="GDI60">
        <v>1</v>
      </c>
    </row>
    <row r="61" spans="1:1024 1026:1779 2050:3014 3423:4012 4456:5075" x14ac:dyDescent="0.25">
      <c r="A61" s="50">
        <v>12012030</v>
      </c>
      <c r="JC61">
        <v>0.24</v>
      </c>
      <c r="MO61">
        <v>5</v>
      </c>
      <c r="NY61">
        <v>33</v>
      </c>
      <c r="OD61">
        <v>33</v>
      </c>
      <c r="OW61">
        <v>5.25</v>
      </c>
      <c r="QA61">
        <v>250</v>
      </c>
      <c r="RT61">
        <v>462000</v>
      </c>
      <c r="VR61">
        <v>217</v>
      </c>
      <c r="VV61">
        <v>206</v>
      </c>
      <c r="AKM61">
        <v>85</v>
      </c>
      <c r="ALE61">
        <v>3800</v>
      </c>
      <c r="ALF61">
        <v>4200</v>
      </c>
      <c r="AMO61">
        <v>250</v>
      </c>
      <c r="AMP61">
        <v>250</v>
      </c>
      <c r="AMX61">
        <v>500</v>
      </c>
      <c r="AMY61">
        <v>500</v>
      </c>
      <c r="ANA61">
        <v>226.7</v>
      </c>
      <c r="ANH61">
        <v>4</v>
      </c>
      <c r="ANI61">
        <v>1</v>
      </c>
      <c r="ANM61">
        <v>1</v>
      </c>
      <c r="ANS61">
        <v>1</v>
      </c>
      <c r="AXL61">
        <v>1</v>
      </c>
      <c r="AXN61">
        <v>14</v>
      </c>
      <c r="AXO61">
        <v>4</v>
      </c>
      <c r="AXP61">
        <v>0</v>
      </c>
      <c r="AXQ61">
        <v>10</v>
      </c>
      <c r="GAI61">
        <v>1</v>
      </c>
      <c r="GBF61">
        <v>1</v>
      </c>
      <c r="GBH61">
        <v>1</v>
      </c>
      <c r="GBK61">
        <v>1</v>
      </c>
      <c r="GBN61">
        <v>1</v>
      </c>
      <c r="GBP61">
        <v>1</v>
      </c>
      <c r="GED61">
        <v>1</v>
      </c>
      <c r="GGQ61">
        <v>1</v>
      </c>
      <c r="GHL61">
        <v>1</v>
      </c>
    </row>
    <row r="62" spans="1:1024 1026:1779 2050:3014 3423:4012 4456:5075" x14ac:dyDescent="0.25">
      <c r="A62" s="50"/>
    </row>
    <row r="63" spans="1:1024 1026:1779 2050:3014 3423:4012 4456:5075" x14ac:dyDescent="0.25">
      <c r="A63" s="52" t="s">
        <v>120</v>
      </c>
    </row>
    <row r="64" spans="1:1024 1026:1779 2050:3014 3423:4012 4456:5075" x14ac:dyDescent="0.25">
      <c r="A64" s="50">
        <v>9074418</v>
      </c>
      <c r="MD64">
        <v>250</v>
      </c>
      <c r="UB64">
        <v>87</v>
      </c>
      <c r="ADN64">
        <v>0</v>
      </c>
      <c r="ADO64">
        <v>0</v>
      </c>
      <c r="ADP64">
        <v>0</v>
      </c>
      <c r="ADW64">
        <v>0</v>
      </c>
      <c r="ADY64">
        <v>0</v>
      </c>
      <c r="AEE64">
        <v>0</v>
      </c>
      <c r="AEF64">
        <v>0</v>
      </c>
      <c r="AEH64">
        <v>0</v>
      </c>
      <c r="AJL64">
        <v>39</v>
      </c>
      <c r="AME64" t="s">
        <v>633</v>
      </c>
      <c r="AMF64">
        <v>1</v>
      </c>
      <c r="AMG64">
        <v>1</v>
      </c>
      <c r="ANH64">
        <v>48</v>
      </c>
      <c r="ANI64">
        <v>1</v>
      </c>
      <c r="ANM64">
        <v>1</v>
      </c>
      <c r="ASU64">
        <v>1</v>
      </c>
      <c r="AXZ64">
        <v>5</v>
      </c>
      <c r="AYA64">
        <v>5</v>
      </c>
      <c r="BKS64">
        <v>3</v>
      </c>
      <c r="BKT64">
        <v>3</v>
      </c>
      <c r="BKU64">
        <v>0</v>
      </c>
      <c r="FWH64">
        <v>1</v>
      </c>
      <c r="FZY64">
        <v>1</v>
      </c>
      <c r="GCY64">
        <v>1</v>
      </c>
      <c r="GCZ64">
        <v>1</v>
      </c>
      <c r="GDF64">
        <v>1</v>
      </c>
      <c r="GDI64">
        <v>1</v>
      </c>
      <c r="GFD64">
        <v>1</v>
      </c>
      <c r="GFE64">
        <v>1</v>
      </c>
      <c r="GHR64">
        <v>1</v>
      </c>
      <c r="GKT64">
        <v>1</v>
      </c>
      <c r="GLT64">
        <v>1</v>
      </c>
      <c r="GLU64">
        <v>1</v>
      </c>
      <c r="GLY64">
        <v>1</v>
      </c>
      <c r="GLZ64">
        <v>1</v>
      </c>
      <c r="GMA64">
        <v>1</v>
      </c>
      <c r="GME64">
        <v>1</v>
      </c>
    </row>
    <row r="65" spans="1:986 1048:1997 2570:2883 3383:4032 4111:5065" x14ac:dyDescent="0.25">
      <c r="A65" s="50">
        <v>1263</v>
      </c>
      <c r="ANH65">
        <v>70</v>
      </c>
      <c r="ANJ65">
        <v>1</v>
      </c>
      <c r="ANK65">
        <v>16.7</v>
      </c>
      <c r="ANM65">
        <v>1</v>
      </c>
      <c r="ANN65">
        <v>11</v>
      </c>
      <c r="AVN65">
        <v>1</v>
      </c>
      <c r="AVP65">
        <v>1</v>
      </c>
      <c r="AXT65">
        <v>500</v>
      </c>
      <c r="AXU65">
        <v>4</v>
      </c>
      <c r="AXX65">
        <v>1</v>
      </c>
      <c r="BTW65">
        <v>400</v>
      </c>
      <c r="BTX65">
        <v>2</v>
      </c>
      <c r="BUA65">
        <v>1</v>
      </c>
      <c r="BUB65">
        <v>4</v>
      </c>
      <c r="BUC65">
        <v>4</v>
      </c>
      <c r="BUD65">
        <v>1</v>
      </c>
      <c r="BUE65">
        <v>0</v>
      </c>
      <c r="BUH65">
        <v>2</v>
      </c>
      <c r="BUK65">
        <v>1</v>
      </c>
      <c r="BUL65">
        <v>4</v>
      </c>
      <c r="BUM65">
        <v>4</v>
      </c>
      <c r="BUN65">
        <v>1</v>
      </c>
      <c r="BUO65">
        <v>0</v>
      </c>
      <c r="CVI65">
        <v>1</v>
      </c>
      <c r="CVJ65" s="1" t="s">
        <v>770</v>
      </c>
      <c r="DZC65">
        <v>2</v>
      </c>
      <c r="DZF65">
        <v>1</v>
      </c>
      <c r="DZG65">
        <v>3</v>
      </c>
      <c r="DZH65">
        <v>1</v>
      </c>
      <c r="DZI65">
        <v>0</v>
      </c>
      <c r="DZJ65">
        <v>1</v>
      </c>
      <c r="FZC65">
        <v>1</v>
      </c>
      <c r="GEK65">
        <v>1</v>
      </c>
      <c r="GEN65">
        <v>1</v>
      </c>
      <c r="GES65">
        <v>1</v>
      </c>
    </row>
    <row r="66" spans="1:986 1048:1997 2570:2883 3383:4032 4111:5065" x14ac:dyDescent="0.25">
      <c r="A66" s="50">
        <v>98004910</v>
      </c>
      <c r="EW66">
        <v>486</v>
      </c>
      <c r="ANH66">
        <v>17</v>
      </c>
      <c r="ANJ66">
        <v>1</v>
      </c>
      <c r="ANK66">
        <v>18.3</v>
      </c>
      <c r="ANM66">
        <v>1</v>
      </c>
      <c r="ANT66">
        <v>1</v>
      </c>
      <c r="AXT66">
        <v>500</v>
      </c>
      <c r="AXU66">
        <v>2</v>
      </c>
      <c r="AXX66">
        <v>1</v>
      </c>
      <c r="AXZ66">
        <v>2</v>
      </c>
      <c r="AYA66">
        <v>1</v>
      </c>
      <c r="AYB66">
        <v>0</v>
      </c>
      <c r="AYC66">
        <v>0</v>
      </c>
      <c r="FXS66">
        <v>1</v>
      </c>
      <c r="FYF66">
        <v>1</v>
      </c>
      <c r="GCR66">
        <v>1</v>
      </c>
      <c r="GCU66">
        <v>1</v>
      </c>
    </row>
    <row r="67" spans="1:986 1048:1997 2570:2883 3383:4032 4111:5065" x14ac:dyDescent="0.25">
      <c r="A67" s="50">
        <v>7103068</v>
      </c>
      <c r="B67">
        <v>18.3002</v>
      </c>
      <c r="EW67">
        <v>514.20000000000005</v>
      </c>
      <c r="MA67">
        <v>185</v>
      </c>
      <c r="QJ67">
        <v>93</v>
      </c>
      <c r="VI67">
        <v>16</v>
      </c>
      <c r="AIV67">
        <v>1740</v>
      </c>
      <c r="AJI67">
        <v>38</v>
      </c>
      <c r="AKX67">
        <v>34</v>
      </c>
      <c r="ANH67">
        <v>39</v>
      </c>
      <c r="ANJ67">
        <v>1</v>
      </c>
      <c r="ANM67">
        <v>1</v>
      </c>
      <c r="ATU67">
        <v>1</v>
      </c>
      <c r="AVF67">
        <v>1</v>
      </c>
      <c r="AXH67">
        <v>1800</v>
      </c>
      <c r="AXI67">
        <v>1</v>
      </c>
      <c r="AXT67">
        <v>1000</v>
      </c>
      <c r="AXU67">
        <v>4</v>
      </c>
      <c r="BUQ67">
        <v>1</v>
      </c>
      <c r="BVB67">
        <v>1</v>
      </c>
      <c r="BVM67">
        <v>1</v>
      </c>
      <c r="DCS67">
        <v>250</v>
      </c>
      <c r="DCU67">
        <v>1</v>
      </c>
      <c r="DCX67">
        <v>3</v>
      </c>
      <c r="FWG67">
        <v>1</v>
      </c>
      <c r="FWH67">
        <v>1</v>
      </c>
      <c r="FWJ67">
        <v>1</v>
      </c>
      <c r="FWY67">
        <v>1</v>
      </c>
      <c r="FXD67">
        <v>1</v>
      </c>
      <c r="FZC67">
        <v>1</v>
      </c>
      <c r="FZH67">
        <v>1</v>
      </c>
      <c r="GAA67">
        <v>1</v>
      </c>
      <c r="GDN67">
        <v>1</v>
      </c>
      <c r="GDQ67">
        <v>1</v>
      </c>
      <c r="GFT67">
        <v>1</v>
      </c>
      <c r="GFV67">
        <v>1</v>
      </c>
      <c r="GKY67">
        <v>1</v>
      </c>
    </row>
    <row r="68" spans="1:986 1048:1997 2570:2883 3383:4032 4111:5065" x14ac:dyDescent="0.25">
      <c r="A68" s="50">
        <v>11240728</v>
      </c>
      <c r="E68">
        <v>3.2974999999999999</v>
      </c>
      <c r="F68">
        <v>1.3681000000000001</v>
      </c>
      <c r="H68">
        <v>0.92379999999999995</v>
      </c>
      <c r="EX68">
        <v>122.4</v>
      </c>
      <c r="EY68">
        <v>248.4</v>
      </c>
      <c r="FA68">
        <v>183</v>
      </c>
      <c r="ADI68" s="50"/>
      <c r="ADJ68" s="50"/>
      <c r="ADK68" s="50"/>
      <c r="ADL68" s="50"/>
      <c r="ADM68" s="50"/>
      <c r="ANH68">
        <v>51</v>
      </c>
      <c r="ANI68">
        <v>1</v>
      </c>
      <c r="ANK68">
        <v>26.01</v>
      </c>
      <c r="ANM68">
        <v>1</v>
      </c>
      <c r="ANO68">
        <v>1</v>
      </c>
      <c r="AXS68">
        <v>1</v>
      </c>
      <c r="AXT68">
        <v>1500</v>
      </c>
      <c r="AXX68">
        <v>1</v>
      </c>
      <c r="AXZ68">
        <v>3</v>
      </c>
      <c r="AYA68">
        <v>2</v>
      </c>
      <c r="AYB68">
        <v>0</v>
      </c>
      <c r="AYC68">
        <v>0</v>
      </c>
      <c r="BRY68">
        <v>500</v>
      </c>
      <c r="BSC68">
        <v>1</v>
      </c>
      <c r="BSD68">
        <v>1</v>
      </c>
      <c r="BSE68">
        <v>0</v>
      </c>
      <c r="BSF68">
        <v>0</v>
      </c>
      <c r="GAE68">
        <v>1</v>
      </c>
      <c r="GDI68">
        <v>1</v>
      </c>
      <c r="GLU68">
        <v>1</v>
      </c>
    </row>
    <row r="69" spans="1:986 1048:1997 2570:2883 3383:4032 4111:5065" x14ac:dyDescent="0.25">
      <c r="B69" s="7"/>
      <c r="C69" s="7"/>
      <c r="D69" s="7"/>
      <c r="E69" s="7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  <c r="BP69" s="6"/>
      <c r="BQ69" s="6"/>
      <c r="BR69" s="6"/>
      <c r="BS69" s="6"/>
      <c r="BT69" s="6"/>
      <c r="BU69" s="6"/>
      <c r="BV69" s="6"/>
      <c r="BW69" s="6"/>
      <c r="BX69" s="6"/>
      <c r="BY69" s="6"/>
      <c r="BZ69" s="6"/>
      <c r="CA69" s="6"/>
      <c r="CB69" s="6"/>
      <c r="CC69" s="6"/>
      <c r="CD69" s="6"/>
      <c r="CE69" s="6"/>
      <c r="CF69" s="6"/>
      <c r="CG69" s="6"/>
      <c r="CH69" s="6"/>
      <c r="CI69" s="6"/>
      <c r="CJ69" s="6"/>
      <c r="CK69" s="6"/>
      <c r="CL69" s="6"/>
      <c r="CM69" s="6"/>
      <c r="CN69" s="6"/>
      <c r="CO69" s="6"/>
      <c r="CP69" s="6"/>
      <c r="CQ69" s="6"/>
      <c r="CR69" s="6"/>
      <c r="CS69" s="6"/>
      <c r="CT69" s="6"/>
      <c r="CU69" s="6"/>
      <c r="CV69" s="6"/>
      <c r="CW69" s="6"/>
      <c r="CX69" s="6"/>
      <c r="CY69" s="6"/>
      <c r="CZ69" s="6"/>
      <c r="DA69" s="6"/>
      <c r="DB69" s="6"/>
      <c r="DC69" s="6"/>
      <c r="DD69" s="6"/>
      <c r="DE69" s="6"/>
      <c r="DF69" s="6"/>
      <c r="DG69" s="6"/>
      <c r="DH69" s="6"/>
      <c r="DI69" s="6"/>
      <c r="DJ69" s="6"/>
      <c r="DK69" s="6"/>
      <c r="DL69" s="6"/>
      <c r="DM69" s="6"/>
      <c r="DN69" s="6"/>
      <c r="DO69" s="7"/>
      <c r="DP69" s="7"/>
      <c r="DQ69" s="7"/>
      <c r="DR69" s="7"/>
      <c r="DS69" s="7"/>
      <c r="DT69" s="7"/>
      <c r="DU69" s="7"/>
      <c r="DV69" s="7"/>
      <c r="DW69" s="7"/>
      <c r="DX69" s="7"/>
      <c r="DY69" s="7"/>
      <c r="DZ69" s="7"/>
      <c r="EA69" s="7"/>
      <c r="EB69" s="7"/>
      <c r="EC69" s="7"/>
      <c r="ED69" s="7"/>
      <c r="EE69" s="7"/>
      <c r="EF69" s="7"/>
      <c r="EG69" s="7"/>
      <c r="EH69" s="7"/>
      <c r="EI69" s="7"/>
      <c r="EJ69" s="7"/>
      <c r="EK69" s="7"/>
      <c r="EL69" s="7"/>
      <c r="EM69" s="7"/>
      <c r="EN69" s="7"/>
      <c r="EO69" s="7"/>
      <c r="EP69" s="7"/>
      <c r="EQ69" s="7"/>
      <c r="ER69" s="7"/>
      <c r="ES69" s="7"/>
      <c r="ET69" s="7"/>
      <c r="EU69" s="7"/>
      <c r="EV69" s="7"/>
      <c r="EW69" s="7"/>
      <c r="EX69" s="7"/>
      <c r="EY69" s="6"/>
      <c r="EZ69" s="6"/>
      <c r="FA69" s="6"/>
      <c r="FB69" s="6"/>
      <c r="FC69" s="6"/>
      <c r="FD69" s="6"/>
      <c r="FE69" s="6"/>
      <c r="FF69" s="6"/>
      <c r="FG69" s="6"/>
      <c r="FH69" s="6"/>
      <c r="FI69" s="6"/>
      <c r="FJ69" s="6"/>
      <c r="FK69" s="6"/>
      <c r="FL69" s="6"/>
      <c r="FM69" s="6"/>
      <c r="FN69" s="6"/>
      <c r="FO69" s="6"/>
      <c r="FP69" s="6"/>
      <c r="FQ69" s="6"/>
      <c r="FR69" s="6"/>
      <c r="FS69" s="6"/>
      <c r="FT69" s="6"/>
      <c r="FU69" s="6"/>
      <c r="FV69" s="6"/>
      <c r="FW69" s="6"/>
      <c r="FX69" s="6"/>
      <c r="FY69" s="6"/>
      <c r="FZ69" s="6"/>
      <c r="GA69" s="6"/>
      <c r="GB69" s="6"/>
      <c r="GC69" s="6"/>
      <c r="GD69" s="6"/>
      <c r="GE69" s="6"/>
      <c r="GF69" s="6"/>
      <c r="GG69" s="6"/>
      <c r="GH69" s="6"/>
      <c r="GI69" s="6"/>
      <c r="GJ69" s="6"/>
      <c r="GK69" s="6"/>
      <c r="GL69" s="6"/>
      <c r="GM69" s="6"/>
      <c r="GN69" s="6"/>
      <c r="GO69" s="6"/>
      <c r="GP69" s="6"/>
      <c r="GQ69" s="6"/>
      <c r="GR69" s="6"/>
      <c r="GS69" s="6"/>
      <c r="GT69" s="6"/>
      <c r="GU69" s="6"/>
      <c r="GV69" s="6"/>
      <c r="GW69" s="6"/>
      <c r="GX69" s="6"/>
      <c r="GY69" s="6"/>
      <c r="GZ69" s="6"/>
      <c r="HA69" s="7"/>
      <c r="HB69" s="7"/>
      <c r="HC69" s="7"/>
      <c r="HD69" s="6"/>
      <c r="HE69" s="6"/>
      <c r="HF69" s="6"/>
      <c r="HG69" s="6"/>
      <c r="HH69" s="6"/>
      <c r="HI69" s="6"/>
      <c r="HJ69" s="6"/>
      <c r="HK69" s="6"/>
      <c r="HL69" s="6"/>
      <c r="HM69" s="6"/>
      <c r="HN69" s="6"/>
      <c r="HO69" s="6"/>
      <c r="HP69" s="6"/>
      <c r="HQ69" s="6"/>
      <c r="HR69" s="6"/>
      <c r="HS69" s="6"/>
      <c r="HT69" s="6"/>
      <c r="HU69" s="6"/>
      <c r="HV69" s="6"/>
      <c r="HW69" s="6"/>
      <c r="HX69" s="6"/>
      <c r="HY69" s="6"/>
      <c r="HZ69" s="6"/>
      <c r="IA69" s="6"/>
      <c r="IB69" s="6"/>
      <c r="IC69" s="6"/>
      <c r="ID69" s="6"/>
      <c r="IE69" s="6"/>
      <c r="IF69" s="6"/>
      <c r="IG69" s="6"/>
      <c r="IH69" s="7"/>
      <c r="II69" s="7"/>
      <c r="IJ69" s="7"/>
      <c r="IK69" s="6"/>
      <c r="IL69" s="6"/>
      <c r="IM69" s="6"/>
      <c r="IN69" s="6"/>
      <c r="IO69" s="6"/>
      <c r="IP69" s="6"/>
      <c r="IQ69" s="6"/>
      <c r="IR69" s="6"/>
      <c r="IS69" s="6"/>
      <c r="IT69" s="6"/>
      <c r="IU69" s="6"/>
      <c r="IV69" s="6"/>
      <c r="IW69" s="6"/>
      <c r="IX69" s="6"/>
      <c r="IY69" s="6"/>
      <c r="IZ69" s="6"/>
      <c r="JA69" s="6"/>
      <c r="JB69" s="6"/>
      <c r="JC69" s="6"/>
      <c r="JD69" s="6"/>
      <c r="JE69" s="6"/>
      <c r="JF69" s="6"/>
      <c r="JG69" s="6"/>
      <c r="JH69" s="6"/>
      <c r="JI69" s="6"/>
      <c r="JJ69" s="6"/>
      <c r="JK69" s="6"/>
      <c r="JL69" s="6"/>
      <c r="JM69" s="6"/>
      <c r="JN69" s="6"/>
      <c r="JO69" s="6"/>
      <c r="JP69" s="6"/>
      <c r="JQ69" s="6"/>
      <c r="JR69" s="7"/>
      <c r="JS69" s="7"/>
      <c r="JT69" s="6"/>
      <c r="JU69" s="6"/>
      <c r="JV69" s="6"/>
      <c r="JW69" s="6"/>
      <c r="JX69" s="6"/>
      <c r="JY69" s="6"/>
      <c r="JZ69" s="6"/>
      <c r="KA69" s="6"/>
      <c r="KB69" s="6"/>
      <c r="KC69" s="6"/>
      <c r="KD69" s="6"/>
      <c r="KE69" s="6"/>
      <c r="KF69" s="6"/>
      <c r="KG69" s="6"/>
      <c r="KH69" s="6"/>
      <c r="KI69" s="6"/>
      <c r="KJ69" s="6"/>
      <c r="KK69" s="6"/>
      <c r="KL69" s="6"/>
      <c r="KM69" s="6"/>
      <c r="KN69" s="6"/>
      <c r="KO69" s="6"/>
      <c r="KP69" s="6"/>
      <c r="KQ69" s="6"/>
      <c r="KR69" s="6"/>
      <c r="KS69" s="6"/>
      <c r="KT69" s="6"/>
      <c r="KU69" s="6"/>
      <c r="KV69" s="6"/>
      <c r="KW69" s="6"/>
      <c r="KX69" s="6"/>
      <c r="KY69" s="6"/>
      <c r="KZ69" s="6"/>
      <c r="LA69" s="6"/>
      <c r="LB69" s="6"/>
      <c r="LC69" s="6"/>
      <c r="LD69" s="6"/>
      <c r="LE69" s="6"/>
      <c r="LF69" s="6"/>
      <c r="LG69" s="6"/>
      <c r="LH69" s="6"/>
      <c r="LI69" s="6"/>
      <c r="LJ69" s="6"/>
      <c r="LK69" s="6"/>
      <c r="LL69" s="6"/>
      <c r="LM69" s="6"/>
      <c r="LN69" s="6"/>
      <c r="LO69" s="6"/>
      <c r="LP69" s="6"/>
      <c r="LQ69" s="6"/>
      <c r="LR69" s="6"/>
      <c r="LS69" s="6"/>
      <c r="LT69" s="6"/>
      <c r="LU69" s="6"/>
      <c r="LV69" s="6"/>
      <c r="LW69" s="6"/>
      <c r="LX69" s="6"/>
      <c r="LY69" s="6"/>
      <c r="LZ69" s="6"/>
      <c r="MA69" s="6"/>
      <c r="MB69" s="6"/>
      <c r="MC69" s="6"/>
      <c r="MD69" s="6"/>
      <c r="ME69" s="6"/>
      <c r="MF69" s="6"/>
      <c r="MG69" s="6"/>
      <c r="MH69" s="6"/>
      <c r="MI69" s="6"/>
      <c r="MJ69" s="6"/>
      <c r="MK69" s="6"/>
      <c r="ML69" s="6"/>
      <c r="MM69" s="6"/>
      <c r="MN69" s="6"/>
      <c r="MO69" s="6"/>
      <c r="MP69" s="6"/>
      <c r="MQ69" s="6"/>
      <c r="MR69" s="6"/>
      <c r="MS69" s="6"/>
      <c r="MT69" s="6"/>
      <c r="MU69" s="6"/>
      <c r="MV69" s="6"/>
      <c r="MW69" s="6"/>
      <c r="MX69" s="6"/>
      <c r="MY69" s="6"/>
      <c r="MZ69" s="6"/>
      <c r="NA69" s="6"/>
      <c r="NB69" s="6"/>
      <c r="NC69" s="6"/>
      <c r="ND69" s="6"/>
      <c r="NE69" s="6"/>
      <c r="NF69" s="6"/>
      <c r="NG69" s="6"/>
      <c r="NN69" s="6"/>
      <c r="NS69" s="6"/>
      <c r="NT69" s="6"/>
      <c r="NU69" s="6"/>
      <c r="NV69" s="6"/>
      <c r="NW69" s="6"/>
      <c r="NX69" s="6"/>
      <c r="NY69" s="6"/>
      <c r="NZ69" s="6"/>
      <c r="OA69" s="6"/>
      <c r="OB69" s="6"/>
      <c r="OC69" s="6"/>
      <c r="OD69" s="6"/>
      <c r="OE69" s="6"/>
      <c r="OF69" s="6"/>
      <c r="OG69" s="6"/>
      <c r="OH69" s="6"/>
      <c r="OI69" s="6"/>
      <c r="OJ69" s="6"/>
      <c r="OK69" s="6"/>
      <c r="OL69" s="6"/>
      <c r="OM69" s="6"/>
      <c r="ON69" s="6"/>
      <c r="OO69" s="6"/>
      <c r="OP69" s="6"/>
      <c r="OQ69" s="6"/>
      <c r="OR69" s="6"/>
      <c r="OS69" s="6"/>
      <c r="OT69" s="6"/>
      <c r="OU69" s="6"/>
      <c r="OV69" s="6"/>
      <c r="OW69" s="6"/>
      <c r="OX69" s="6"/>
      <c r="OY69" s="6"/>
      <c r="OZ69" s="6"/>
      <c r="PA69" s="6"/>
      <c r="PB69" s="6"/>
      <c r="PC69" s="6"/>
      <c r="PD69" s="6"/>
      <c r="PE69" s="6"/>
      <c r="PF69" s="6"/>
      <c r="PG69" s="6"/>
      <c r="PH69" s="6"/>
      <c r="PI69" s="6"/>
      <c r="PJ69" s="6"/>
      <c r="PK69" s="6"/>
      <c r="PL69" s="6"/>
      <c r="PM69" s="6"/>
      <c r="PN69" s="6"/>
      <c r="PO69" s="6"/>
      <c r="PP69" s="6"/>
      <c r="PQ69" s="6"/>
      <c r="PR69" s="6"/>
      <c r="PS69" s="6"/>
      <c r="PT69" s="6"/>
      <c r="PU69" s="6"/>
      <c r="PV69" s="6"/>
      <c r="PW69" s="6"/>
      <c r="PX69" s="6"/>
      <c r="PY69" s="6"/>
      <c r="PZ69" s="6"/>
      <c r="QA69" s="6"/>
      <c r="QB69" s="6"/>
      <c r="QC69" s="6"/>
      <c r="QD69" s="6"/>
      <c r="QE69" s="6"/>
      <c r="QF69" s="6"/>
      <c r="QG69" s="6"/>
      <c r="QH69" s="6"/>
      <c r="QI69" s="6"/>
      <c r="QJ69" s="6"/>
      <c r="QK69" s="6"/>
      <c r="QL69" s="6"/>
      <c r="QM69" s="6"/>
      <c r="QN69" s="6"/>
      <c r="QO69" s="6"/>
      <c r="QP69" s="6"/>
      <c r="QQ69" s="8"/>
      <c r="QR69" s="8"/>
      <c r="QS69" s="8"/>
      <c r="QT69" s="8"/>
      <c r="QU69" s="8"/>
      <c r="QV69" s="8"/>
      <c r="QW69" s="8"/>
      <c r="QX69" s="8"/>
      <c r="QY69" s="6"/>
      <c r="QZ69" s="6"/>
      <c r="RA69" s="6"/>
      <c r="RB69" s="6"/>
      <c r="RC69" s="6"/>
      <c r="RD69" s="6"/>
      <c r="RE69" s="6"/>
      <c r="RF69" s="6"/>
      <c r="RG69" s="6"/>
      <c r="RH69" s="6"/>
      <c r="RI69" s="6"/>
      <c r="RJ69" s="6"/>
      <c r="RK69" s="6"/>
      <c r="RL69" s="6"/>
      <c r="RM69" s="6"/>
      <c r="RN69" s="6"/>
      <c r="RO69" s="6"/>
      <c r="RP69" s="6"/>
      <c r="RQ69" s="6"/>
      <c r="RR69" s="6"/>
      <c r="RS69" s="6"/>
      <c r="RT69" s="6"/>
      <c r="RU69" s="6"/>
      <c r="RV69" s="6"/>
      <c r="RW69" s="6"/>
      <c r="RX69" s="6"/>
      <c r="RY69" s="6"/>
      <c r="RZ69" s="6"/>
      <c r="SA69" s="6"/>
      <c r="SB69" s="6"/>
      <c r="SC69" s="6"/>
      <c r="SD69" s="6"/>
      <c r="SE69" s="6"/>
      <c r="SF69" s="6"/>
      <c r="SG69" s="6"/>
      <c r="SH69" s="6"/>
      <c r="SI69" s="6"/>
      <c r="SJ69" s="6"/>
      <c r="SK69" s="6"/>
      <c r="SL69" s="6"/>
      <c r="SM69" s="7"/>
      <c r="SN69" s="7"/>
      <c r="SO69" s="7"/>
      <c r="SP69" s="7"/>
      <c r="SQ69" s="7"/>
      <c r="SR69" s="6"/>
      <c r="SS69" s="6"/>
      <c r="ST69" s="6"/>
      <c r="SU69" s="6"/>
      <c r="SV69" s="6"/>
      <c r="SW69" s="6"/>
      <c r="SX69" s="6"/>
      <c r="SY69" s="6"/>
      <c r="SZ69" s="6"/>
      <c r="TA69" s="6"/>
      <c r="TB69" s="6"/>
      <c r="TC69" s="6"/>
      <c r="TD69" s="6"/>
      <c r="TE69" s="6"/>
      <c r="TF69" s="6"/>
      <c r="TG69" s="6"/>
      <c r="TH69" s="6"/>
      <c r="TI69" s="6"/>
      <c r="TJ69" s="6"/>
      <c r="TK69" s="6"/>
      <c r="TL69" s="6"/>
      <c r="TM69" s="6"/>
      <c r="TN69" s="6"/>
      <c r="TO69" s="6"/>
      <c r="TP69" s="6"/>
      <c r="TQ69" s="6"/>
      <c r="TR69" s="6"/>
      <c r="TS69" s="6"/>
      <c r="TT69" s="6"/>
      <c r="TU69" s="6"/>
      <c r="TV69" s="6"/>
      <c r="TW69" s="6"/>
      <c r="TX69" s="6"/>
      <c r="TY69" s="6"/>
      <c r="TZ69" s="6"/>
      <c r="UA69" s="6"/>
      <c r="UB69" s="6"/>
      <c r="UC69" s="6"/>
      <c r="UD69" s="6"/>
      <c r="UE69" s="6"/>
      <c r="UF69" s="6"/>
      <c r="UG69" s="6"/>
      <c r="UH69" s="6"/>
      <c r="UI69" s="6"/>
      <c r="UJ69" s="6"/>
      <c r="UK69" s="6"/>
      <c r="UL69" s="6"/>
      <c r="UM69" s="6"/>
      <c r="UN69" s="6"/>
      <c r="UO69" s="6"/>
      <c r="UP69" s="6"/>
      <c r="UQ69" s="6"/>
      <c r="UR69" s="6"/>
      <c r="US69" s="6"/>
      <c r="UT69" s="6"/>
      <c r="UU69" s="6"/>
      <c r="UV69" s="6"/>
      <c r="UW69" s="6"/>
      <c r="UX69" s="6"/>
      <c r="UY69" s="6"/>
      <c r="UZ69" s="6"/>
      <c r="VA69" s="6"/>
      <c r="VB69" s="6"/>
      <c r="VC69" s="6"/>
      <c r="VD69" s="6"/>
      <c r="VE69" s="6"/>
      <c r="VF69" s="6"/>
      <c r="VG69" s="6"/>
      <c r="VH69" s="6"/>
      <c r="VI69" s="6"/>
      <c r="VJ69" s="6"/>
      <c r="VK69" s="6"/>
      <c r="VL69" s="6"/>
      <c r="VM69" s="6"/>
      <c r="VN69" s="6"/>
      <c r="VO69" s="6"/>
      <c r="VP69" s="6"/>
      <c r="VQ69" s="6"/>
      <c r="VR69" s="6"/>
      <c r="VS69" s="6"/>
      <c r="VT69" s="6"/>
      <c r="VU69" s="6"/>
      <c r="VV69" s="6"/>
      <c r="VW69" s="6"/>
      <c r="VX69" s="6"/>
      <c r="VY69" s="6"/>
      <c r="VZ69" s="6"/>
      <c r="WA69" s="6"/>
      <c r="WB69" s="6"/>
      <c r="WC69" s="6"/>
      <c r="WD69" s="6"/>
      <c r="WE69" s="6"/>
      <c r="WF69" s="6"/>
      <c r="WG69" s="6"/>
      <c r="WH69" s="6"/>
      <c r="WI69" s="6"/>
      <c r="WJ69" s="6"/>
      <c r="WK69" s="6"/>
      <c r="WL69" s="6"/>
      <c r="WM69" s="6"/>
      <c r="WN69" s="6"/>
      <c r="WO69" s="6"/>
      <c r="WP69" s="6"/>
      <c r="WQ69" s="6"/>
      <c r="WR69" s="6"/>
      <c r="WS69" s="6"/>
      <c r="WT69" s="6"/>
      <c r="WU69" s="6"/>
      <c r="WV69" s="6"/>
      <c r="WW69" s="6"/>
      <c r="WX69" s="6"/>
      <c r="WY69" s="6"/>
      <c r="WZ69" s="6"/>
      <c r="XA69" s="6"/>
      <c r="XB69" s="6"/>
      <c r="XC69" s="6"/>
      <c r="XD69" s="6"/>
      <c r="XE69" s="6"/>
      <c r="XF69" s="6"/>
      <c r="XG69" s="6"/>
      <c r="XH69" s="6"/>
      <c r="XI69" s="6"/>
      <c r="XJ69" s="6"/>
      <c r="XK69" s="6"/>
      <c r="XL69" s="6"/>
      <c r="XM69" s="6"/>
      <c r="XN69" s="6"/>
      <c r="XO69" s="6"/>
      <c r="XP69" s="6"/>
      <c r="XQ69" s="6"/>
      <c r="XR69" s="6"/>
      <c r="XS69" s="6"/>
      <c r="XT69" s="6"/>
      <c r="XU69" s="6"/>
      <c r="XV69" s="6"/>
      <c r="XW69" s="6"/>
      <c r="XX69" s="6"/>
      <c r="XY69" s="6"/>
      <c r="XZ69" s="6"/>
      <c r="YA69" s="6"/>
      <c r="YB69" s="6"/>
      <c r="YC69" s="6"/>
      <c r="YD69" s="6"/>
      <c r="YE69" s="6"/>
      <c r="YF69" s="6"/>
      <c r="YG69" s="6"/>
      <c r="YH69" s="6"/>
      <c r="YI69" s="6"/>
      <c r="YJ69" s="6"/>
      <c r="YK69" s="6"/>
      <c r="YL69" s="6"/>
      <c r="YM69" s="6"/>
      <c r="YN69" s="6"/>
      <c r="YO69" s="6"/>
      <c r="YP69" s="6"/>
      <c r="YQ69" s="6"/>
      <c r="YR69" s="6"/>
      <c r="YS69" s="6"/>
      <c r="YT69" s="6"/>
      <c r="YU69" s="6"/>
      <c r="YV69" s="6"/>
      <c r="YW69" s="6"/>
      <c r="YX69" s="6"/>
      <c r="YY69" s="6"/>
      <c r="YZ69" s="6"/>
      <c r="ZA69" s="6"/>
      <c r="ZB69" s="6"/>
      <c r="ZC69" s="6"/>
      <c r="ZD69" s="6"/>
      <c r="ZE69" s="6"/>
      <c r="ZF69" s="6"/>
      <c r="ZG69" s="6"/>
      <c r="ZH69" s="6"/>
      <c r="ZI69" s="6"/>
      <c r="ZJ69" s="6"/>
      <c r="ZK69" s="6"/>
      <c r="ZL69" s="6"/>
      <c r="ZM69" s="6"/>
      <c r="ZN69" s="6"/>
      <c r="ZO69" s="6"/>
      <c r="ZP69" s="6"/>
      <c r="ZQ69" s="6"/>
      <c r="ZR69" s="6"/>
      <c r="ZS69" s="6"/>
      <c r="ZT69" s="6"/>
      <c r="ZU69" s="6"/>
      <c r="ZV69" s="6"/>
      <c r="ZW69" s="6"/>
      <c r="ZX69" s="6"/>
      <c r="ZY69" s="6"/>
      <c r="ZZ69" s="6"/>
      <c r="AAA69" s="6"/>
      <c r="AAB69" s="6"/>
      <c r="AAC69" s="6"/>
      <c r="AAD69" s="6"/>
      <c r="AAE69" s="6"/>
      <c r="AAF69" s="6"/>
      <c r="AAG69" s="6"/>
      <c r="AAH69" s="6"/>
      <c r="AAI69" s="6"/>
      <c r="AAJ69" s="6"/>
      <c r="AAK69" s="6"/>
      <c r="AAL69" s="6"/>
      <c r="AAM69" s="6"/>
      <c r="AAN69" s="6"/>
      <c r="AAO69" s="6"/>
      <c r="AAP69" s="6"/>
      <c r="AAQ69" s="6"/>
      <c r="AAR69" s="6"/>
      <c r="AAS69" s="6"/>
      <c r="AAT69" s="6"/>
      <c r="AAU69" s="6"/>
      <c r="AAV69" s="6"/>
      <c r="AAW69" s="6"/>
      <c r="AAX69" s="6"/>
      <c r="AAY69" s="6"/>
      <c r="AAZ69" s="6"/>
      <c r="ABA69" s="6"/>
      <c r="ABB69" s="6"/>
      <c r="ABC69" s="6"/>
      <c r="ABD69" s="6"/>
      <c r="ABE69" s="6"/>
      <c r="ABF69" s="6"/>
      <c r="ABG69" s="6"/>
      <c r="ABH69" s="6"/>
      <c r="ABI69" s="6"/>
      <c r="ABJ69" s="6"/>
      <c r="ABK69" s="6"/>
      <c r="ABL69" s="6"/>
      <c r="ABM69" s="6"/>
      <c r="ABN69" s="6"/>
      <c r="ABO69" s="6"/>
      <c r="ABP69" s="6"/>
      <c r="ABQ69" s="6"/>
      <c r="ABR69" s="6"/>
      <c r="ABS69" s="6"/>
      <c r="ABT69" s="6"/>
      <c r="ABU69" s="6"/>
      <c r="ABV69" s="6"/>
      <c r="ABW69" s="6"/>
      <c r="ABX69" s="6"/>
      <c r="ABY69" s="6"/>
      <c r="ABZ69" s="6"/>
      <c r="ACA69" s="6"/>
      <c r="ACB69" s="6"/>
      <c r="ACC69" s="6"/>
      <c r="ACD69" s="6"/>
      <c r="ACE69" s="6"/>
      <c r="ACF69" s="6"/>
      <c r="ACG69" s="6"/>
      <c r="ACH69" s="6"/>
      <c r="ACI69" s="6"/>
      <c r="ACJ69" s="6"/>
      <c r="ACK69" s="6"/>
      <c r="ACL69" s="6"/>
      <c r="ACM69" s="6"/>
      <c r="ACN69" s="6"/>
      <c r="ACO69" s="6"/>
      <c r="ACP69" s="6"/>
      <c r="ACQ69" s="6"/>
      <c r="ACR69" s="6"/>
      <c r="ACS69" s="6"/>
      <c r="ACT69" s="6"/>
      <c r="ACU69" s="6"/>
      <c r="ACV69" s="6"/>
      <c r="ACW69" s="6"/>
      <c r="ACX69" s="6"/>
      <c r="ACY69" s="6"/>
      <c r="ACZ69" s="6"/>
      <c r="ADA69" s="6"/>
      <c r="ADB69" s="6"/>
      <c r="ADC69" s="6"/>
      <c r="ADD69" s="6"/>
      <c r="ADE69" s="6"/>
      <c r="ADF69" s="6"/>
      <c r="ADG69" s="6"/>
      <c r="ADH69" s="6"/>
      <c r="ADI69" s="51"/>
      <c r="ADJ69" s="51"/>
      <c r="ADK69" s="51"/>
      <c r="ADL69" s="51"/>
      <c r="ADM69" s="51"/>
      <c r="ADN69" s="6"/>
    </row>
    <row r="70" spans="1:986 1048:1997 2570:2883 3383:4032 4111:5065" x14ac:dyDescent="0.25">
      <c r="A70" s="26" t="s">
        <v>170</v>
      </c>
      <c r="ADI70" s="50"/>
      <c r="ADJ70" s="50"/>
      <c r="ADK70" s="50"/>
      <c r="ADL70" s="50"/>
      <c r="ADM70" s="50"/>
    </row>
    <row r="71" spans="1:986 1048:1997 2570:2883 3383:4032 4111:5065" x14ac:dyDescent="0.25">
      <c r="A71" s="10" t="s">
        <v>143</v>
      </c>
      <c r="ADI71" s="50"/>
      <c r="ADJ71" s="50"/>
      <c r="ADK71" s="50"/>
      <c r="ADL71" s="50"/>
      <c r="ADM71" s="50"/>
    </row>
    <row r="72" spans="1:986 1048:1997 2570:2883 3383:4032 4111:5065" x14ac:dyDescent="0.25">
      <c r="A72" s="50">
        <v>5015869</v>
      </c>
      <c r="ADI72" s="50"/>
      <c r="ADJ72" s="50"/>
      <c r="ADK72" s="50"/>
      <c r="ADL72" s="50"/>
      <c r="ADM72" s="50"/>
      <c r="ANH72">
        <v>71</v>
      </c>
      <c r="ANJ72">
        <v>1</v>
      </c>
      <c r="AWU72">
        <v>187.5</v>
      </c>
      <c r="AWV72">
        <v>1</v>
      </c>
      <c r="AWY72">
        <v>1</v>
      </c>
      <c r="AXB72">
        <v>6</v>
      </c>
      <c r="AXC72">
        <v>5</v>
      </c>
      <c r="AXD72">
        <v>0</v>
      </c>
      <c r="AXE72">
        <v>0</v>
      </c>
      <c r="CVN72">
        <v>1</v>
      </c>
      <c r="CVO72">
        <v>570</v>
      </c>
      <c r="CVP72">
        <v>570</v>
      </c>
      <c r="GBU72">
        <v>1</v>
      </c>
    </row>
    <row r="73" spans="1:986 1048:1997 2570:2883 3383:4032 4111:5065" x14ac:dyDescent="0.25">
      <c r="A73" s="50">
        <v>5016969</v>
      </c>
      <c r="ND73" s="50"/>
      <c r="NE73" s="50"/>
      <c r="NF73" s="50"/>
      <c r="NG73" s="50"/>
      <c r="NH73" s="50"/>
      <c r="NI73" s="50"/>
      <c r="NJ73" s="50"/>
      <c r="NK73" s="50"/>
      <c r="NL73" s="50"/>
      <c r="NM73" s="50"/>
      <c r="NN73" s="50"/>
      <c r="NO73" s="50"/>
      <c r="NP73" s="50"/>
      <c r="NQ73" s="50"/>
      <c r="NR73" s="50"/>
      <c r="NS73" s="50"/>
      <c r="NT73" s="50"/>
      <c r="NU73" s="50"/>
      <c r="NV73" s="50"/>
      <c r="NW73" s="50"/>
      <c r="NX73" s="50"/>
      <c r="NY73" s="50"/>
      <c r="NZ73" s="50"/>
      <c r="OA73" s="50"/>
      <c r="OB73" s="50"/>
      <c r="OC73" s="50"/>
      <c r="OD73" s="50"/>
      <c r="OE73" s="50"/>
      <c r="ADI73" s="50"/>
      <c r="ADJ73" s="50"/>
      <c r="ADK73" s="50"/>
      <c r="ADL73" s="50"/>
      <c r="ADM73" s="50"/>
      <c r="ANH73">
        <v>82</v>
      </c>
      <c r="ANJ73">
        <v>1</v>
      </c>
      <c r="ANK73">
        <v>29.5</v>
      </c>
      <c r="ANM73">
        <v>1</v>
      </c>
      <c r="AOM73">
        <v>1</v>
      </c>
      <c r="ARC73">
        <v>1</v>
      </c>
      <c r="AUE73">
        <v>1</v>
      </c>
      <c r="AVP73">
        <v>1</v>
      </c>
      <c r="AWU73" s="28">
        <v>50</v>
      </c>
      <c r="AWY73">
        <v>1</v>
      </c>
      <c r="AXB73">
        <v>69</v>
      </c>
      <c r="AXC73">
        <v>79</v>
      </c>
      <c r="AXE73">
        <v>0</v>
      </c>
      <c r="EXX73">
        <v>1</v>
      </c>
      <c r="EXY73">
        <v>79</v>
      </c>
      <c r="EXZ73">
        <v>79</v>
      </c>
      <c r="EYA73">
        <v>0</v>
      </c>
      <c r="EYB73">
        <v>0</v>
      </c>
      <c r="FUM73">
        <v>1</v>
      </c>
      <c r="FUS73">
        <v>1</v>
      </c>
    </row>
    <row r="74" spans="1:986 1048:1997 2570:2883 3383:4032 4111:5065" x14ac:dyDescent="0.25">
      <c r="A74" s="50">
        <v>6023231</v>
      </c>
      <c r="MA74">
        <v>560</v>
      </c>
      <c r="ND74" s="50"/>
      <c r="NE74" s="50"/>
      <c r="NF74" s="50"/>
      <c r="NG74" s="50"/>
      <c r="NH74" s="50"/>
      <c r="NI74" s="50"/>
      <c r="NJ74" s="50"/>
      <c r="NK74" s="50"/>
      <c r="NL74" s="50"/>
      <c r="NM74" s="50"/>
      <c r="NN74" s="50"/>
      <c r="NO74" s="50"/>
      <c r="NP74" s="50"/>
      <c r="NQ74" s="50"/>
      <c r="NR74" s="50"/>
      <c r="NS74" s="50"/>
      <c r="NT74" s="50"/>
      <c r="NU74" s="50"/>
      <c r="NV74" s="50"/>
      <c r="NW74" s="50"/>
      <c r="NX74" s="50"/>
      <c r="NY74" s="50"/>
      <c r="NZ74" s="50"/>
      <c r="OA74" s="50"/>
      <c r="OB74" s="50"/>
      <c r="OC74" s="50"/>
      <c r="OD74" s="50"/>
      <c r="OE74" s="50"/>
      <c r="ADI74" s="50"/>
      <c r="ADJ74" s="50"/>
      <c r="ADK74" s="50"/>
      <c r="ADL74" s="50"/>
      <c r="ADM74" s="50"/>
      <c r="AJI74">
        <v>41</v>
      </c>
      <c r="ANH74">
        <v>31</v>
      </c>
      <c r="ANJ74">
        <v>1</v>
      </c>
      <c r="ANL74">
        <v>1</v>
      </c>
      <c r="ANN74">
        <v>73</v>
      </c>
      <c r="AWT74">
        <v>1</v>
      </c>
      <c r="FVA74">
        <v>1</v>
      </c>
      <c r="FVD74">
        <v>1</v>
      </c>
      <c r="FVG74">
        <v>1</v>
      </c>
      <c r="FVR74">
        <v>1</v>
      </c>
      <c r="FVU74">
        <v>1</v>
      </c>
      <c r="FVV74">
        <v>1</v>
      </c>
      <c r="FWH74">
        <v>1</v>
      </c>
      <c r="FXJ74">
        <v>1</v>
      </c>
      <c r="FXV74">
        <v>1</v>
      </c>
      <c r="FXW74">
        <v>1</v>
      </c>
      <c r="FYJ74">
        <v>1</v>
      </c>
      <c r="FYZ74">
        <v>1</v>
      </c>
      <c r="FZC74">
        <v>1</v>
      </c>
      <c r="FZP74">
        <v>1</v>
      </c>
      <c r="FZS74">
        <v>1</v>
      </c>
      <c r="GAA74">
        <v>1</v>
      </c>
      <c r="GAI74">
        <v>1</v>
      </c>
      <c r="GBJ74">
        <v>1</v>
      </c>
      <c r="GBR74">
        <v>1</v>
      </c>
      <c r="GBS74">
        <v>1</v>
      </c>
    </row>
    <row r="75" spans="1:986 1048:1997 2570:2883 3383:4032 4111:5065" x14ac:dyDescent="0.25">
      <c r="A75" s="50">
        <v>6010712</v>
      </c>
      <c r="HE75" s="50"/>
      <c r="HF75" s="50"/>
      <c r="HG75" s="50"/>
      <c r="HH75" s="50"/>
      <c r="HI75" s="50"/>
      <c r="HJ75" s="50"/>
      <c r="HK75" s="50"/>
      <c r="HL75" s="50"/>
      <c r="HM75" s="50"/>
      <c r="HN75" s="50"/>
      <c r="HO75" s="50"/>
      <c r="HP75" s="50"/>
      <c r="HQ75" s="50"/>
      <c r="HR75" s="50"/>
      <c r="HS75" s="50"/>
      <c r="HT75" s="50"/>
      <c r="HU75" s="50"/>
      <c r="HV75" s="50"/>
      <c r="HW75" s="50"/>
      <c r="HX75" s="50"/>
      <c r="HY75" s="50"/>
      <c r="HZ75" s="50"/>
      <c r="IA75" s="50"/>
      <c r="IB75" s="50"/>
      <c r="IC75" s="50"/>
      <c r="ID75" s="50"/>
      <c r="IE75" s="50"/>
      <c r="IF75" s="50"/>
      <c r="IG75" s="50"/>
      <c r="IH75" s="50"/>
      <c r="II75" s="50"/>
      <c r="IJ75" s="50"/>
      <c r="IK75" s="50"/>
      <c r="ND75" s="50"/>
      <c r="NE75" s="50"/>
      <c r="NF75" s="50"/>
      <c r="NG75" s="50"/>
      <c r="NH75" s="50"/>
      <c r="NI75" s="50"/>
      <c r="NJ75" s="50"/>
      <c r="NK75" s="50"/>
      <c r="NL75" s="50"/>
      <c r="NM75" s="50"/>
      <c r="NN75" s="50"/>
      <c r="NO75" s="50"/>
      <c r="NP75" s="50"/>
      <c r="NQ75" s="50"/>
      <c r="NR75" s="50"/>
      <c r="NS75" s="50"/>
      <c r="NT75" s="50"/>
      <c r="NU75" s="50"/>
      <c r="NV75" s="50"/>
      <c r="NW75" s="50"/>
      <c r="NX75" s="50"/>
      <c r="NY75" s="50"/>
      <c r="NZ75" s="50"/>
      <c r="OA75" s="50"/>
      <c r="OB75" s="50"/>
      <c r="OC75" s="50"/>
      <c r="OD75" s="50"/>
      <c r="OE75" s="50"/>
      <c r="PF75" s="50"/>
      <c r="PG75" s="50"/>
      <c r="PH75" s="50"/>
      <c r="PI75" s="50"/>
      <c r="PJ75" s="50"/>
      <c r="PK75" s="50"/>
      <c r="PL75" s="50"/>
      <c r="PM75" s="50"/>
      <c r="PN75" s="50"/>
      <c r="PO75" s="50"/>
      <c r="PP75" s="50"/>
      <c r="PQ75" s="50"/>
      <c r="PR75" s="50"/>
      <c r="PS75" s="50"/>
      <c r="PT75" s="50"/>
      <c r="PU75" s="50"/>
      <c r="PV75" s="50"/>
      <c r="PW75" s="50"/>
      <c r="PX75" s="50"/>
      <c r="PY75" s="50"/>
      <c r="PZ75" s="50"/>
      <c r="QA75" s="50"/>
      <c r="QB75" s="50"/>
      <c r="QC75" s="50"/>
      <c r="QD75" s="50"/>
      <c r="QE75" s="50"/>
      <c r="QF75" s="50"/>
      <c r="QG75" s="50"/>
      <c r="QH75" s="50"/>
      <c r="QI75" s="50"/>
      <c r="ADI75" s="50"/>
      <c r="ADJ75" s="50"/>
      <c r="ADK75" s="50"/>
      <c r="ADL75" s="50"/>
      <c r="ADM75" s="50"/>
      <c r="ANH75">
        <v>63</v>
      </c>
      <c r="ANJ75">
        <v>1</v>
      </c>
      <c r="ANM75">
        <v>1</v>
      </c>
      <c r="AWT75">
        <v>1</v>
      </c>
      <c r="AZL75" s="50"/>
      <c r="AZM75" s="50"/>
      <c r="AZN75" s="50"/>
      <c r="FZG75">
        <v>1</v>
      </c>
      <c r="GAE75">
        <v>1</v>
      </c>
    </row>
    <row r="76" spans="1:986 1048:1997 2570:2883 3383:4032 4111:5065" x14ac:dyDescent="0.25">
      <c r="A76" s="50">
        <v>6011198</v>
      </c>
      <c r="B76">
        <v>11.2</v>
      </c>
      <c r="HE76" s="50"/>
      <c r="HF76" s="50"/>
      <c r="HG76" s="50"/>
      <c r="HH76" s="50"/>
      <c r="HI76" s="50"/>
      <c r="HJ76" s="50"/>
      <c r="HK76" s="50"/>
      <c r="HL76" s="50"/>
      <c r="HM76" s="50"/>
      <c r="HN76" s="50"/>
      <c r="HO76" s="50"/>
      <c r="HP76" s="50"/>
      <c r="HQ76" s="50"/>
      <c r="HR76" s="50"/>
      <c r="HS76" s="50"/>
      <c r="HT76" s="50"/>
      <c r="HU76" s="50"/>
      <c r="HV76" s="50"/>
      <c r="HW76" s="50"/>
      <c r="HX76" s="50"/>
      <c r="HY76" s="50"/>
      <c r="HZ76" s="50"/>
      <c r="IA76" s="50"/>
      <c r="IB76" s="50"/>
      <c r="IC76" s="50"/>
      <c r="ID76" s="50"/>
      <c r="IE76" s="50"/>
      <c r="IF76" s="50"/>
      <c r="IG76" s="50"/>
      <c r="IH76" s="50"/>
      <c r="II76" s="50"/>
      <c r="IJ76" s="50"/>
      <c r="IK76" s="50"/>
      <c r="ND76" s="50"/>
      <c r="NE76" s="50"/>
      <c r="NF76" s="50"/>
      <c r="NG76" s="50"/>
      <c r="NH76" s="50"/>
      <c r="NI76" s="50"/>
      <c r="NJ76" s="50"/>
      <c r="NK76" s="50"/>
      <c r="NL76" s="50"/>
      <c r="NM76" s="50"/>
      <c r="NN76" s="50"/>
      <c r="NO76" s="50"/>
      <c r="NP76" s="50"/>
      <c r="NQ76" s="50"/>
      <c r="NR76" s="50"/>
      <c r="NS76" s="50"/>
      <c r="NT76" s="50"/>
      <c r="NU76" s="50"/>
      <c r="NV76" s="50"/>
      <c r="NW76" s="50"/>
      <c r="NX76" s="50"/>
      <c r="NY76" s="50"/>
      <c r="NZ76" s="50"/>
      <c r="OA76" s="50"/>
      <c r="OB76" s="50"/>
      <c r="OC76" s="50"/>
      <c r="OD76" s="50"/>
      <c r="OE76" s="50"/>
      <c r="PF76" s="50"/>
      <c r="PG76" s="50"/>
      <c r="PH76" s="50"/>
      <c r="PI76" s="50"/>
      <c r="PJ76" s="50"/>
      <c r="PK76" s="50"/>
      <c r="PL76" s="50"/>
      <c r="PM76" s="50"/>
      <c r="PN76" s="50"/>
      <c r="PO76" s="50"/>
      <c r="PP76" s="50"/>
      <c r="PQ76" s="50"/>
      <c r="PR76" s="50"/>
      <c r="PS76" s="50"/>
      <c r="PT76" s="50"/>
      <c r="PU76" s="50"/>
      <c r="PV76" s="50"/>
      <c r="PW76" s="50"/>
      <c r="PX76" s="50"/>
      <c r="PY76" s="50"/>
      <c r="PZ76" s="50"/>
      <c r="QA76" s="50"/>
      <c r="QB76" s="50"/>
      <c r="QC76" s="50"/>
      <c r="QD76" s="50"/>
      <c r="QE76" s="50"/>
      <c r="QF76" s="50"/>
      <c r="QG76" s="50"/>
      <c r="QH76" s="50"/>
      <c r="QI76" s="50"/>
      <c r="ADI76" s="50"/>
      <c r="ADJ76" s="50">
        <v>25</v>
      </c>
      <c r="ADK76" s="50"/>
      <c r="ADL76" s="50"/>
      <c r="ADM76" s="50"/>
      <c r="ANH76">
        <v>72</v>
      </c>
      <c r="ANJ76">
        <v>1</v>
      </c>
      <c r="ANL76">
        <v>1</v>
      </c>
      <c r="AOA76">
        <v>1</v>
      </c>
      <c r="ARD76">
        <v>1</v>
      </c>
      <c r="AWU76">
        <v>100</v>
      </c>
      <c r="AWV76">
        <v>1</v>
      </c>
      <c r="AZL76" s="50"/>
      <c r="AZM76" s="50"/>
      <c r="AZN76" s="50"/>
      <c r="BBK76">
        <v>1</v>
      </c>
      <c r="FUU76">
        <v>1</v>
      </c>
      <c r="FWJ76">
        <v>1</v>
      </c>
      <c r="FXG76">
        <v>1</v>
      </c>
      <c r="FXK76">
        <v>1</v>
      </c>
      <c r="FYE76">
        <v>1</v>
      </c>
      <c r="FZC76">
        <v>1</v>
      </c>
      <c r="FZG76">
        <v>1</v>
      </c>
      <c r="FZS76">
        <v>1</v>
      </c>
      <c r="GAE76">
        <v>1</v>
      </c>
      <c r="GBA76">
        <v>1</v>
      </c>
      <c r="GBD76">
        <v>1</v>
      </c>
      <c r="GBH76">
        <v>1</v>
      </c>
    </row>
    <row r="77" spans="1:986 1048:1997 2570:2883 3383:4032 4111:5065" x14ac:dyDescent="0.25">
      <c r="A77" s="50">
        <v>6012681</v>
      </c>
      <c r="F77">
        <v>2.7</v>
      </c>
      <c r="HE77" s="50"/>
      <c r="HF77" s="50"/>
      <c r="HG77" s="50"/>
      <c r="HH77" s="50"/>
      <c r="HI77" s="50"/>
      <c r="HJ77" s="50"/>
      <c r="HK77" s="50"/>
      <c r="HL77" s="50"/>
      <c r="HM77" s="50"/>
      <c r="HN77" s="50"/>
      <c r="HO77" s="50"/>
      <c r="HP77" s="50"/>
      <c r="HQ77" s="50"/>
      <c r="HR77" s="50"/>
      <c r="HS77" s="50"/>
      <c r="HT77" s="50"/>
      <c r="HU77" s="50"/>
      <c r="HV77" s="50"/>
      <c r="HW77" s="50"/>
      <c r="HX77" s="50"/>
      <c r="HY77" s="50"/>
      <c r="HZ77" s="50"/>
      <c r="IA77" s="50"/>
      <c r="IB77" s="50"/>
      <c r="IC77" s="50"/>
      <c r="ID77" s="50"/>
      <c r="IE77" s="50"/>
      <c r="IF77" s="50"/>
      <c r="IG77" s="50"/>
      <c r="IH77" s="50"/>
      <c r="II77" s="50"/>
      <c r="IJ77" s="50"/>
      <c r="IK77" s="50"/>
      <c r="ND77" s="50"/>
      <c r="NE77" s="50"/>
      <c r="NF77" s="50"/>
      <c r="NG77" s="50"/>
      <c r="NH77" s="50"/>
      <c r="NI77" s="50"/>
      <c r="NJ77" s="50"/>
      <c r="NK77" s="50"/>
      <c r="NL77" s="50"/>
      <c r="NM77" s="50"/>
      <c r="NN77" s="50"/>
      <c r="NO77" s="50"/>
      <c r="NP77" s="50"/>
      <c r="NQ77" s="50"/>
      <c r="NR77" s="50"/>
      <c r="NS77" s="50"/>
      <c r="NT77" s="50"/>
      <c r="NU77" s="50"/>
      <c r="NV77" s="50"/>
      <c r="NW77" s="50"/>
      <c r="NX77" s="50"/>
      <c r="NY77" s="50"/>
      <c r="NZ77" s="50"/>
      <c r="OA77" s="50"/>
      <c r="OB77" s="50"/>
      <c r="OC77" s="50"/>
      <c r="OD77" s="50"/>
      <c r="OE77" s="50"/>
      <c r="PF77" s="50"/>
      <c r="PG77" s="50"/>
      <c r="PH77" s="50"/>
      <c r="PI77" s="50"/>
      <c r="PJ77" s="50"/>
      <c r="PK77" s="50"/>
      <c r="PL77" s="50"/>
      <c r="PM77" s="50"/>
      <c r="PN77" s="50"/>
      <c r="PO77" s="50">
        <v>2700</v>
      </c>
      <c r="PP77" s="50"/>
      <c r="PQ77" s="50"/>
      <c r="PR77" s="50"/>
      <c r="PS77" s="50"/>
      <c r="PT77" s="50"/>
      <c r="PU77" s="50"/>
      <c r="PV77" s="50"/>
      <c r="PW77" s="50"/>
      <c r="PX77" s="50"/>
      <c r="PY77" s="50"/>
      <c r="PZ77" s="50"/>
      <c r="QA77" s="50"/>
      <c r="QB77" s="50"/>
      <c r="QC77" s="50"/>
      <c r="QD77" s="50"/>
      <c r="QE77" s="50"/>
      <c r="QF77" s="50"/>
      <c r="QG77" s="50"/>
      <c r="QH77" s="50"/>
      <c r="QI77" s="50"/>
      <c r="ADI77" s="50"/>
      <c r="ADJ77" s="50"/>
      <c r="ADK77" s="50"/>
      <c r="ADL77" s="59"/>
      <c r="ADM77" s="50"/>
      <c r="AWU77">
        <v>50</v>
      </c>
      <c r="AWV77">
        <v>2</v>
      </c>
      <c r="AWY77">
        <v>1</v>
      </c>
      <c r="AXB77">
        <v>8</v>
      </c>
      <c r="AXC77">
        <v>1</v>
      </c>
      <c r="AXD77">
        <v>0</v>
      </c>
      <c r="AXE77">
        <v>1</v>
      </c>
      <c r="AXI77">
        <v>1</v>
      </c>
      <c r="AXL77">
        <v>1</v>
      </c>
      <c r="AXN77">
        <v>9</v>
      </c>
      <c r="AXO77">
        <v>16</v>
      </c>
      <c r="AXP77">
        <v>8</v>
      </c>
      <c r="AXQ77">
        <v>0</v>
      </c>
      <c r="AYK77">
        <v>2</v>
      </c>
      <c r="AYL77">
        <v>7</v>
      </c>
      <c r="AYM77">
        <v>6</v>
      </c>
      <c r="AYN77">
        <v>0</v>
      </c>
      <c r="AZL77" s="50">
        <v>500</v>
      </c>
      <c r="AZM77" s="50">
        <v>1</v>
      </c>
      <c r="AZN77" s="50">
        <v>1</v>
      </c>
      <c r="AZQ77">
        <v>1</v>
      </c>
      <c r="AZR77">
        <v>1</v>
      </c>
      <c r="AZS77">
        <v>1</v>
      </c>
      <c r="AZT77">
        <v>0</v>
      </c>
      <c r="BKF77">
        <v>1</v>
      </c>
      <c r="BKI77">
        <v>3</v>
      </c>
      <c r="BKJ77">
        <v>1</v>
      </c>
      <c r="BKK77">
        <v>0</v>
      </c>
      <c r="BKL77">
        <v>1</v>
      </c>
      <c r="CXA77">
        <v>0.35</v>
      </c>
      <c r="CXB77">
        <v>1</v>
      </c>
      <c r="CXD77">
        <v>1</v>
      </c>
      <c r="CXG77">
        <v>1</v>
      </c>
      <c r="CXH77">
        <v>1</v>
      </c>
      <c r="CXI77">
        <v>1</v>
      </c>
      <c r="CXJ77">
        <v>0</v>
      </c>
      <c r="DFP77">
        <v>2</v>
      </c>
      <c r="DFS77">
        <v>1</v>
      </c>
      <c r="DFT77">
        <v>3</v>
      </c>
      <c r="DFU77">
        <v>21</v>
      </c>
      <c r="DFV77">
        <v>19</v>
      </c>
      <c r="DFW77">
        <v>0</v>
      </c>
      <c r="FBC77">
        <v>999</v>
      </c>
      <c r="FUK77">
        <v>1</v>
      </c>
      <c r="FUM77">
        <v>1</v>
      </c>
    </row>
    <row r="78" spans="1:986 1048:1997 2570:2883 3383:4032 4111:5065" x14ac:dyDescent="0.25">
      <c r="A78" s="50">
        <v>6014511</v>
      </c>
      <c r="HE78" s="50"/>
      <c r="HF78" s="50"/>
      <c r="HG78" s="50"/>
      <c r="HH78" s="50"/>
      <c r="HI78" s="50"/>
      <c r="HJ78" s="50"/>
      <c r="HK78" s="50"/>
      <c r="HL78" s="50"/>
      <c r="HM78" s="50"/>
      <c r="HN78" s="50"/>
      <c r="HO78" s="50"/>
      <c r="HP78" s="50"/>
      <c r="HQ78" s="50"/>
      <c r="HR78" s="50"/>
      <c r="HS78" s="50"/>
      <c r="HT78" s="50"/>
      <c r="HU78" s="50"/>
      <c r="HV78" s="50"/>
      <c r="HW78" s="50"/>
      <c r="HX78" s="50"/>
      <c r="HY78" s="50"/>
      <c r="HZ78" s="50"/>
      <c r="IA78" s="50"/>
      <c r="IB78" s="50"/>
      <c r="IC78" s="50"/>
      <c r="ID78" s="50"/>
      <c r="IE78" s="50"/>
      <c r="IF78" s="50"/>
      <c r="IG78" s="50"/>
      <c r="IH78" s="50"/>
      <c r="II78" s="50"/>
      <c r="IJ78" s="50"/>
      <c r="IK78" s="50"/>
      <c r="ND78" s="50"/>
      <c r="NE78" s="50"/>
      <c r="NF78" s="50"/>
      <c r="NG78" s="50"/>
      <c r="NH78" s="50"/>
      <c r="NI78" s="50"/>
      <c r="NJ78" s="50"/>
      <c r="NK78" s="50"/>
      <c r="NL78" s="50"/>
      <c r="NM78" s="50"/>
      <c r="NN78" s="50"/>
      <c r="NO78" s="50"/>
      <c r="NP78" s="50"/>
      <c r="NQ78" s="50"/>
      <c r="NR78" s="50"/>
      <c r="NS78" s="50"/>
      <c r="NT78" s="50"/>
      <c r="NU78" s="50"/>
      <c r="NV78" s="50"/>
      <c r="NW78" s="50"/>
      <c r="NX78" s="50"/>
      <c r="NY78" s="50"/>
      <c r="NZ78" s="50"/>
      <c r="OA78" s="50"/>
      <c r="OB78" s="50"/>
      <c r="OC78" s="50"/>
      <c r="OD78" s="50"/>
      <c r="OE78" s="50"/>
      <c r="PF78" s="50"/>
      <c r="PG78" s="50"/>
      <c r="PH78" s="50"/>
      <c r="PI78" s="50"/>
      <c r="PJ78" s="50"/>
      <c r="PK78" s="50"/>
      <c r="PL78" s="50"/>
      <c r="PM78" s="50"/>
      <c r="PN78" s="50"/>
      <c r="PO78" s="50"/>
      <c r="PP78" s="50"/>
      <c r="PQ78" s="50">
        <v>3130000</v>
      </c>
      <c r="PR78" s="50"/>
      <c r="PS78" s="50"/>
      <c r="PT78" s="50"/>
      <c r="PU78" s="50"/>
      <c r="PV78" s="50"/>
      <c r="PW78" s="50"/>
      <c r="PX78" s="50"/>
      <c r="PY78" s="50"/>
      <c r="PZ78" s="50"/>
      <c r="QA78" s="50"/>
      <c r="QB78" s="50"/>
      <c r="QC78" s="50"/>
      <c r="QD78" s="50"/>
      <c r="QE78" s="50"/>
      <c r="QF78" s="50"/>
      <c r="QG78" s="50"/>
      <c r="QH78" s="50"/>
      <c r="QI78" s="50"/>
      <c r="RB78">
        <v>9000</v>
      </c>
      <c r="ADI78" s="50"/>
      <c r="ADJ78" s="50"/>
      <c r="ADK78" s="50"/>
      <c r="ADL78" s="50"/>
      <c r="ADM78" s="50"/>
      <c r="AWY78">
        <v>1</v>
      </c>
      <c r="AXB78">
        <v>22</v>
      </c>
      <c r="AXC78">
        <v>62</v>
      </c>
      <c r="AXD78">
        <v>41</v>
      </c>
      <c r="AXE78">
        <v>0</v>
      </c>
      <c r="AXU78">
        <v>3</v>
      </c>
      <c r="AXX78">
        <v>1</v>
      </c>
      <c r="AXZ78">
        <v>11</v>
      </c>
      <c r="AYA78">
        <v>72</v>
      </c>
      <c r="AYB78">
        <v>62</v>
      </c>
      <c r="AYC78">
        <v>0</v>
      </c>
      <c r="AYG78">
        <v>3</v>
      </c>
      <c r="AYJ78">
        <v>1</v>
      </c>
      <c r="AYK78">
        <v>1</v>
      </c>
      <c r="AYL78">
        <v>82</v>
      </c>
      <c r="AYM78">
        <v>72</v>
      </c>
      <c r="AYN78">
        <v>0</v>
      </c>
      <c r="AZL78" s="50"/>
      <c r="AZM78" s="50"/>
      <c r="AZN78" s="50"/>
      <c r="BQC78">
        <v>1</v>
      </c>
      <c r="BQD78">
        <v>9</v>
      </c>
      <c r="BQE78">
        <v>72</v>
      </c>
      <c r="BQF78">
        <v>64</v>
      </c>
      <c r="BQG78">
        <v>0</v>
      </c>
      <c r="BTG78">
        <v>1</v>
      </c>
      <c r="BTH78">
        <v>26</v>
      </c>
      <c r="BTI78">
        <v>84</v>
      </c>
      <c r="BTJ78">
        <v>59</v>
      </c>
      <c r="BTK78">
        <v>0</v>
      </c>
      <c r="CTV78">
        <v>1</v>
      </c>
      <c r="CTY78">
        <v>1</v>
      </c>
      <c r="CTZ78">
        <v>61</v>
      </c>
      <c r="CUA78">
        <v>60</v>
      </c>
      <c r="CUB78">
        <v>0</v>
      </c>
      <c r="CUC78">
        <v>0</v>
      </c>
      <c r="DCW78">
        <v>1</v>
      </c>
      <c r="DCX78">
        <v>53</v>
      </c>
      <c r="DCY78">
        <v>41</v>
      </c>
      <c r="DCZ78">
        <v>0</v>
      </c>
      <c r="DDA78">
        <v>11</v>
      </c>
      <c r="FDN78">
        <v>63</v>
      </c>
      <c r="FDO78">
        <v>169</v>
      </c>
      <c r="FDP78">
        <v>100</v>
      </c>
      <c r="FSJ78">
        <v>1</v>
      </c>
      <c r="FSM78">
        <v>1</v>
      </c>
      <c r="FSO78">
        <v>999</v>
      </c>
      <c r="FSP78">
        <v>0</v>
      </c>
      <c r="FSQ78">
        <v>11</v>
      </c>
      <c r="FUK78">
        <v>1</v>
      </c>
    </row>
    <row r="79" spans="1:986 1048:1997 2570:2883 3383:4032 4111:5065" x14ac:dyDescent="0.25">
      <c r="A79" s="50">
        <v>6045127</v>
      </c>
      <c r="HE79" s="50"/>
      <c r="HF79" s="50"/>
      <c r="HG79" s="50"/>
      <c r="HH79" s="50"/>
      <c r="HI79" s="50"/>
      <c r="HJ79" s="50"/>
      <c r="HK79" s="50"/>
      <c r="HL79" s="50"/>
      <c r="HM79" s="50"/>
      <c r="HN79" s="50"/>
      <c r="HO79" s="50"/>
      <c r="HP79" s="50"/>
      <c r="HQ79" s="50"/>
      <c r="HR79" s="50"/>
      <c r="HS79" s="50"/>
      <c r="HT79" s="50"/>
      <c r="HU79" s="50"/>
      <c r="HV79" s="50"/>
      <c r="HW79" s="50"/>
      <c r="HX79" s="50"/>
      <c r="HY79" s="50"/>
      <c r="HZ79" s="50"/>
      <c r="IA79" s="50"/>
      <c r="IB79" s="50"/>
      <c r="IC79" s="50"/>
      <c r="ID79" s="50"/>
      <c r="IE79" s="50"/>
      <c r="IF79" s="50"/>
      <c r="IG79" s="50"/>
      <c r="IH79" s="50">
        <v>7.3189000000000002</v>
      </c>
      <c r="II79" s="50"/>
      <c r="IJ79" s="50"/>
      <c r="IK79" s="50"/>
      <c r="MA79">
        <v>365.4</v>
      </c>
      <c r="ND79" s="50"/>
      <c r="NE79" s="50"/>
      <c r="NF79" s="50"/>
      <c r="NG79" s="50"/>
      <c r="NH79" s="50"/>
      <c r="NI79" s="50"/>
      <c r="NJ79" s="50"/>
      <c r="NK79" s="50"/>
      <c r="NL79" s="50"/>
      <c r="NM79" s="50"/>
      <c r="NN79" s="57">
        <v>157.35720000000001</v>
      </c>
      <c r="NO79" s="50"/>
      <c r="NP79" s="50"/>
      <c r="NQ79" s="50"/>
      <c r="NR79" s="50"/>
      <c r="NS79" s="50"/>
      <c r="NT79" s="50"/>
      <c r="NU79" s="50"/>
      <c r="NV79" s="50"/>
      <c r="NW79" s="50"/>
      <c r="NX79" s="50"/>
      <c r="NY79" s="50"/>
      <c r="NZ79" s="50"/>
      <c r="OA79" s="50"/>
      <c r="OB79" s="50"/>
      <c r="OC79" s="50"/>
      <c r="OD79" s="50"/>
      <c r="OE79" s="50"/>
      <c r="PF79" s="50"/>
      <c r="PG79" s="50"/>
      <c r="PH79" s="50"/>
      <c r="PI79" s="50"/>
      <c r="PJ79" s="50"/>
      <c r="PK79" s="50"/>
      <c r="PL79" s="50"/>
      <c r="PM79" s="50"/>
      <c r="PN79" s="50"/>
      <c r="PO79" s="50"/>
      <c r="PP79" s="50"/>
      <c r="PQ79" s="50"/>
      <c r="PR79" s="50"/>
      <c r="PS79" s="50"/>
      <c r="PT79" s="50"/>
      <c r="PU79" s="50"/>
      <c r="PV79" s="50"/>
      <c r="PW79" s="50"/>
      <c r="PX79" s="50"/>
      <c r="PY79" s="50"/>
      <c r="PZ79" s="50"/>
      <c r="QA79" s="50"/>
      <c r="QB79" s="50"/>
      <c r="QC79" s="50"/>
      <c r="QD79" s="50"/>
      <c r="QE79" s="50"/>
      <c r="QF79" s="50"/>
      <c r="QG79" s="50"/>
      <c r="QH79" s="50"/>
      <c r="QI79" s="50"/>
      <c r="ADI79" s="50"/>
      <c r="ADJ79" s="50"/>
      <c r="ADK79" s="50"/>
      <c r="ADL79" s="50"/>
      <c r="ADM79" s="50"/>
      <c r="AJI79">
        <v>38.9</v>
      </c>
      <c r="AWY79">
        <v>1</v>
      </c>
      <c r="AXX79">
        <v>1</v>
      </c>
      <c r="AYJ79">
        <v>1</v>
      </c>
      <c r="AZL79" s="50"/>
      <c r="AZM79" s="50"/>
      <c r="AZN79" s="50"/>
      <c r="GBK79">
        <v>1</v>
      </c>
    </row>
    <row r="80" spans="1:986 1048:1997 2570:2883 3383:4032 4111:5065" x14ac:dyDescent="0.25">
      <c r="A80" s="50">
        <v>7000458</v>
      </c>
      <c r="J80">
        <v>0.3</v>
      </c>
      <c r="FC80">
        <v>80</v>
      </c>
      <c r="HE80" s="50"/>
      <c r="HF80" s="50"/>
      <c r="HG80" s="50"/>
      <c r="HH80" s="50"/>
      <c r="HI80" s="50"/>
      <c r="HJ80" s="50"/>
      <c r="HK80" s="50"/>
      <c r="HL80" s="50"/>
      <c r="HM80" s="50"/>
      <c r="HN80" s="50"/>
      <c r="HO80" s="50"/>
      <c r="HP80" s="50"/>
      <c r="HQ80" s="50"/>
      <c r="HR80" s="50"/>
      <c r="HS80" s="50"/>
      <c r="HT80" s="50"/>
      <c r="HU80" s="50"/>
      <c r="HV80" s="50"/>
      <c r="HW80" s="50"/>
      <c r="HX80" s="50"/>
      <c r="HY80" s="50"/>
      <c r="HZ80" s="50"/>
      <c r="IA80" s="50"/>
      <c r="IB80" s="50"/>
      <c r="IC80" s="50"/>
      <c r="ID80" s="50"/>
      <c r="IE80" s="50"/>
      <c r="IF80" s="50"/>
      <c r="IG80" s="50"/>
      <c r="IH80" s="50"/>
      <c r="II80" s="50"/>
      <c r="IJ80" s="50"/>
      <c r="IK80" s="50"/>
      <c r="IN80">
        <v>1.03</v>
      </c>
      <c r="KV80" s="50">
        <v>3490</v>
      </c>
      <c r="MG80">
        <v>3</v>
      </c>
      <c r="ND80" s="50"/>
      <c r="NE80" s="50"/>
      <c r="NF80" s="50"/>
      <c r="NG80" s="50"/>
      <c r="NH80" s="50"/>
      <c r="NI80" s="50"/>
      <c r="NJ80" s="50"/>
      <c r="NK80" s="50"/>
      <c r="NL80" s="50"/>
      <c r="NM80" s="50"/>
      <c r="NN80" s="50"/>
      <c r="NO80" s="50"/>
      <c r="NP80" s="50"/>
      <c r="NQ80" s="50"/>
      <c r="NR80" s="50"/>
      <c r="NS80" s="50"/>
      <c r="NT80" s="50"/>
      <c r="NU80" s="50"/>
      <c r="NV80" s="50"/>
      <c r="NW80" s="50"/>
      <c r="NX80" s="50"/>
      <c r="NY80" s="50"/>
      <c r="NZ80" s="50"/>
      <c r="OA80" s="50"/>
      <c r="OB80" s="50"/>
      <c r="OC80" s="50"/>
      <c r="OD80" s="50"/>
      <c r="OE80" s="50"/>
      <c r="PF80" s="50"/>
      <c r="PG80" s="50"/>
      <c r="PH80" s="50"/>
      <c r="PI80" s="50"/>
      <c r="PJ80" s="50"/>
      <c r="PK80" s="50"/>
      <c r="PL80" s="50"/>
      <c r="PM80" s="50"/>
      <c r="PN80" s="50"/>
      <c r="PO80" s="50"/>
      <c r="PP80" s="50"/>
      <c r="PQ80" s="50"/>
      <c r="PR80" s="50"/>
      <c r="PS80" s="50"/>
      <c r="PT80" s="50"/>
      <c r="PU80" s="50"/>
      <c r="PV80" s="50"/>
      <c r="PW80" s="50"/>
      <c r="PX80" s="50"/>
      <c r="PY80" s="50"/>
      <c r="PZ80" s="50"/>
      <c r="QA80" s="50"/>
      <c r="QB80" s="50"/>
      <c r="QC80" s="50"/>
      <c r="QD80" s="50"/>
      <c r="QE80" s="50"/>
      <c r="QF80" s="50"/>
      <c r="QG80" s="50"/>
      <c r="QH80" s="50"/>
      <c r="QI80" s="50"/>
      <c r="ADI80" s="50"/>
      <c r="ADJ80" s="50"/>
      <c r="ADK80" s="50"/>
      <c r="ADL80" s="50"/>
      <c r="ADM80" s="50"/>
      <c r="AWU80">
        <v>150</v>
      </c>
      <c r="AWV80">
        <v>1</v>
      </c>
      <c r="AWY80">
        <v>1</v>
      </c>
      <c r="AXB80">
        <v>35</v>
      </c>
      <c r="AXC80">
        <v>46</v>
      </c>
      <c r="AXD80">
        <v>0</v>
      </c>
      <c r="AXE80">
        <v>4</v>
      </c>
      <c r="AZL80" s="50"/>
      <c r="AZM80" s="50">
        <v>1</v>
      </c>
      <c r="AZN80" s="50"/>
      <c r="AZP80">
        <v>1</v>
      </c>
      <c r="AZQ80">
        <v>35</v>
      </c>
      <c r="AZR80">
        <v>46</v>
      </c>
      <c r="AZS80">
        <v>0</v>
      </c>
      <c r="AZT80">
        <v>4</v>
      </c>
      <c r="AZV80">
        <v>100</v>
      </c>
      <c r="AZZ80">
        <v>1</v>
      </c>
      <c r="BAA80">
        <v>35</v>
      </c>
      <c r="BAB80">
        <v>46</v>
      </c>
      <c r="BAC80">
        <v>0</v>
      </c>
      <c r="BAD80">
        <v>4</v>
      </c>
      <c r="BFV80">
        <v>20</v>
      </c>
      <c r="BFW80">
        <v>1</v>
      </c>
      <c r="BFZ80">
        <v>1</v>
      </c>
      <c r="BGA80">
        <v>35</v>
      </c>
      <c r="BGB80">
        <v>46</v>
      </c>
      <c r="BGC80">
        <v>0</v>
      </c>
      <c r="BGD80">
        <v>4</v>
      </c>
      <c r="BKX80">
        <v>1200</v>
      </c>
      <c r="BKY80">
        <v>1</v>
      </c>
      <c r="BKZ80">
        <v>1</v>
      </c>
      <c r="BLC80">
        <v>35</v>
      </c>
      <c r="BLD80">
        <v>46</v>
      </c>
      <c r="BLE80">
        <v>0</v>
      </c>
      <c r="BLF80">
        <v>4</v>
      </c>
      <c r="BNG80">
        <v>150</v>
      </c>
      <c r="BNH80">
        <v>1</v>
      </c>
      <c r="BNK80">
        <v>1</v>
      </c>
      <c r="BNL80">
        <v>35</v>
      </c>
      <c r="BNM80">
        <v>46</v>
      </c>
      <c r="BNN80">
        <v>0</v>
      </c>
      <c r="BNO80">
        <v>4</v>
      </c>
      <c r="BXM80">
        <v>3</v>
      </c>
      <c r="BXN80">
        <v>1</v>
      </c>
      <c r="BXQ80">
        <v>1</v>
      </c>
      <c r="BXR80">
        <v>35</v>
      </c>
      <c r="BXS80">
        <v>46</v>
      </c>
      <c r="BXT80">
        <v>0</v>
      </c>
      <c r="BXU80">
        <v>4</v>
      </c>
      <c r="CVT80" s="50"/>
      <c r="CVX80">
        <v>1</v>
      </c>
      <c r="CVZ80">
        <v>35</v>
      </c>
      <c r="CWA80">
        <v>46</v>
      </c>
      <c r="CWB80">
        <v>0</v>
      </c>
      <c r="CWC80">
        <v>4</v>
      </c>
    </row>
    <row r="81" spans="1:987 1294:2007 2054:3064 3118:4012 4105:4612" x14ac:dyDescent="0.25">
      <c r="A81" s="50">
        <v>7015502</v>
      </c>
      <c r="EX81">
        <v>167</v>
      </c>
      <c r="HE81" s="50"/>
      <c r="HF81" s="50"/>
      <c r="HG81" s="50"/>
      <c r="HH81" s="50"/>
      <c r="HI81" s="50"/>
      <c r="HJ81" s="50"/>
      <c r="HK81" s="50"/>
      <c r="HL81" s="50"/>
      <c r="HM81" s="50"/>
      <c r="HN81" s="50"/>
      <c r="HO81" s="50"/>
      <c r="HP81" s="50"/>
      <c r="HQ81" s="50"/>
      <c r="HR81" s="50"/>
      <c r="HS81" s="50"/>
      <c r="HT81" s="50"/>
      <c r="HU81" s="50"/>
      <c r="HV81" s="50"/>
      <c r="HW81" s="50"/>
      <c r="HX81" s="50"/>
      <c r="HY81" s="50"/>
      <c r="HZ81" s="50"/>
      <c r="IA81" s="50"/>
      <c r="IB81" s="50"/>
      <c r="IC81" s="50"/>
      <c r="ID81" s="50"/>
      <c r="IE81" s="50"/>
      <c r="IF81" s="50"/>
      <c r="IG81" s="50"/>
      <c r="IH81" s="50"/>
      <c r="II81" s="50"/>
      <c r="IJ81" s="50"/>
      <c r="IK81" s="50"/>
      <c r="ND81" s="50"/>
      <c r="NE81" s="50"/>
      <c r="NF81" s="50"/>
      <c r="NG81" s="50"/>
      <c r="NH81" s="50"/>
      <c r="NI81" s="50"/>
      <c r="NJ81" s="50"/>
      <c r="NK81" s="50"/>
      <c r="NL81" s="50"/>
      <c r="NM81" s="50"/>
      <c r="NN81" s="50"/>
      <c r="NO81" s="50"/>
      <c r="NP81" s="50"/>
      <c r="NQ81" s="50"/>
      <c r="NR81" s="50"/>
      <c r="NS81" s="50"/>
      <c r="NT81" s="50"/>
      <c r="NU81" s="50"/>
      <c r="NV81" s="50"/>
      <c r="NW81" s="50"/>
      <c r="NX81" s="50"/>
      <c r="NY81" s="50"/>
      <c r="NZ81" s="50"/>
      <c r="OA81" s="50"/>
      <c r="OB81" s="50"/>
      <c r="OC81" s="50"/>
      <c r="OD81" s="50"/>
      <c r="OE81" s="50"/>
      <c r="PF81" s="50"/>
      <c r="PG81" s="50"/>
      <c r="PH81" s="50"/>
      <c r="PI81" s="50"/>
      <c r="PJ81" s="50"/>
      <c r="PK81" s="50"/>
      <c r="PL81" s="50"/>
      <c r="PM81" s="50"/>
      <c r="PN81" s="50"/>
      <c r="PO81" s="50"/>
      <c r="PP81" s="50"/>
      <c r="PQ81" s="50"/>
      <c r="PR81" s="50"/>
      <c r="PS81" s="50"/>
      <c r="PT81" s="50"/>
      <c r="PU81" s="50"/>
      <c r="PV81" s="50"/>
      <c r="PW81" s="50"/>
      <c r="PX81" s="50"/>
      <c r="PY81" s="50"/>
      <c r="PZ81" s="50"/>
      <c r="QA81" s="50"/>
      <c r="QB81" s="50"/>
      <c r="QC81" s="50"/>
      <c r="QD81" s="50"/>
      <c r="QE81" s="50"/>
      <c r="QF81" s="50"/>
      <c r="QG81" s="50"/>
      <c r="QH81" s="50"/>
      <c r="QI81" s="50"/>
      <c r="ADI81" s="50"/>
      <c r="ADJ81" s="50"/>
      <c r="ADK81" s="50"/>
      <c r="ADL81" s="50"/>
      <c r="ADM81" s="50"/>
      <c r="AWY81">
        <v>1</v>
      </c>
      <c r="AXB81">
        <v>5</v>
      </c>
      <c r="AXC81">
        <v>11</v>
      </c>
      <c r="AXD81">
        <v>6</v>
      </c>
      <c r="AXE81">
        <v>0</v>
      </c>
      <c r="AZL81" s="50"/>
      <c r="AZM81" s="50"/>
      <c r="AZN81" s="50"/>
    </row>
    <row r="82" spans="1:987 1294:2007 2054:3064 3118:4012 4105:4612" x14ac:dyDescent="0.25">
      <c r="A82" s="50">
        <v>7025847</v>
      </c>
      <c r="HE82" s="50"/>
      <c r="HF82" s="50"/>
      <c r="HG82" s="50"/>
      <c r="HH82" s="50"/>
      <c r="HI82" s="50"/>
      <c r="HJ82" s="50"/>
      <c r="HK82" s="50"/>
      <c r="HL82" s="50"/>
      <c r="HM82" s="50"/>
      <c r="HN82" s="50"/>
      <c r="HO82" s="50"/>
      <c r="HP82" s="50"/>
      <c r="HQ82" s="50"/>
      <c r="HR82" s="50"/>
      <c r="HS82" s="50"/>
      <c r="HT82" s="50"/>
      <c r="HU82" s="50"/>
      <c r="HV82" s="50"/>
      <c r="HW82" s="50"/>
      <c r="HX82" s="50"/>
      <c r="HY82" s="50"/>
      <c r="HZ82" s="50"/>
      <c r="IA82" s="50"/>
      <c r="IB82" s="50"/>
      <c r="IC82" s="50"/>
      <c r="ID82" s="50"/>
      <c r="IE82" s="50"/>
      <c r="IF82" s="50"/>
      <c r="IG82" s="50"/>
      <c r="IH82" s="50">
        <v>1.7</v>
      </c>
      <c r="II82" s="50"/>
      <c r="IJ82" s="50"/>
      <c r="IK82" s="50"/>
      <c r="ND82" s="50"/>
      <c r="NE82" s="50"/>
      <c r="NF82" s="50"/>
      <c r="NG82" s="50"/>
      <c r="NH82" s="50"/>
      <c r="NI82" s="50"/>
      <c r="NJ82" s="50"/>
      <c r="NK82" s="50"/>
      <c r="NL82" s="50"/>
      <c r="NM82" s="50"/>
      <c r="NN82" s="50"/>
      <c r="NO82" s="50"/>
      <c r="NP82" s="50"/>
      <c r="NQ82" s="50"/>
      <c r="NR82" s="50"/>
      <c r="NS82" s="50"/>
      <c r="NT82" s="50"/>
      <c r="NU82" s="50"/>
      <c r="NV82" s="50"/>
      <c r="NW82" s="50"/>
      <c r="NX82" s="50"/>
      <c r="NY82" s="50"/>
      <c r="NZ82" s="50"/>
      <c r="OA82" s="50"/>
      <c r="OB82" s="50"/>
      <c r="OC82" s="50"/>
      <c r="OD82" s="50"/>
      <c r="OE82" s="50"/>
      <c r="PF82" s="50"/>
      <c r="PG82" s="50"/>
      <c r="PH82" s="50"/>
      <c r="PI82" s="50"/>
      <c r="PJ82" s="50"/>
      <c r="PK82" s="50"/>
      <c r="PL82" s="50"/>
      <c r="PM82" s="50"/>
      <c r="PN82" s="50"/>
      <c r="PO82" s="50"/>
      <c r="PP82" s="50"/>
      <c r="PQ82" s="50"/>
      <c r="PR82" s="50"/>
      <c r="PS82" s="50"/>
      <c r="PT82" s="50"/>
      <c r="PU82" s="50"/>
      <c r="PV82" s="50"/>
      <c r="PW82" s="50"/>
      <c r="PX82" s="50"/>
      <c r="PY82" s="50"/>
      <c r="PZ82" s="50"/>
      <c r="QA82" s="50"/>
      <c r="QB82" s="50"/>
      <c r="QC82" s="50"/>
      <c r="QD82" s="50"/>
      <c r="QE82" s="50"/>
      <c r="QF82" s="50"/>
      <c r="QG82" s="50"/>
      <c r="QH82" s="50"/>
      <c r="QI82" s="50"/>
      <c r="VG82">
        <v>14.257</v>
      </c>
      <c r="ADI82" s="50"/>
      <c r="ADJ82" s="50"/>
      <c r="ADK82" s="50"/>
      <c r="ADL82" s="50"/>
      <c r="ADM82" s="50"/>
      <c r="AKY82">
        <v>191.12</v>
      </c>
      <c r="AWU82">
        <v>75</v>
      </c>
      <c r="AWV82">
        <v>1</v>
      </c>
      <c r="AWY82">
        <v>1</v>
      </c>
      <c r="AXB82">
        <v>2</v>
      </c>
      <c r="AXC82">
        <v>5</v>
      </c>
      <c r="AXD82">
        <v>4</v>
      </c>
      <c r="AXE82">
        <v>0</v>
      </c>
      <c r="AZL82" s="50"/>
      <c r="AZM82" s="50"/>
      <c r="AZN82" s="50"/>
    </row>
    <row r="83" spans="1:987 1294:2007 2054:3064 3118:4012 4105:4612" x14ac:dyDescent="0.25">
      <c r="A83" s="50">
        <v>7082707</v>
      </c>
      <c r="HE83" s="50"/>
      <c r="HF83" s="50"/>
      <c r="HG83" s="50"/>
      <c r="HH83" s="50"/>
      <c r="HI83" s="50"/>
      <c r="HJ83" s="50"/>
      <c r="HK83" s="50"/>
      <c r="HL83" s="50"/>
      <c r="HM83" s="50"/>
      <c r="HN83" s="50"/>
      <c r="HO83" s="50"/>
      <c r="HP83" s="50"/>
      <c r="HQ83" s="50"/>
      <c r="HR83" s="50"/>
      <c r="HS83" s="50"/>
      <c r="HT83" s="50"/>
      <c r="HU83" s="50"/>
      <c r="HV83" s="50"/>
      <c r="HW83" s="50"/>
      <c r="HX83" s="50"/>
      <c r="HY83" s="50"/>
      <c r="HZ83" s="50"/>
      <c r="IA83" s="50"/>
      <c r="IB83" s="50"/>
      <c r="IC83" s="50"/>
      <c r="ID83" s="50"/>
      <c r="IE83" s="50"/>
      <c r="IF83" s="50"/>
      <c r="IG83" s="50"/>
      <c r="IH83" s="50"/>
      <c r="II83" s="50"/>
      <c r="IJ83" s="50"/>
      <c r="IK83" s="50"/>
      <c r="IU83">
        <v>0.76919999999999999</v>
      </c>
      <c r="ND83" s="50"/>
      <c r="NE83" s="50"/>
      <c r="NF83" s="50"/>
      <c r="NG83" s="50"/>
      <c r="NH83" s="50"/>
      <c r="NI83" s="50"/>
      <c r="NJ83" s="50"/>
      <c r="NK83" s="50"/>
      <c r="NL83" s="50"/>
      <c r="NM83" s="50"/>
      <c r="NN83" s="50"/>
      <c r="NO83" s="50"/>
      <c r="NP83" s="50"/>
      <c r="NQ83" s="50"/>
      <c r="NR83" s="50"/>
      <c r="NS83" s="50"/>
      <c r="NT83" s="50"/>
      <c r="NU83" s="50"/>
      <c r="NV83" s="50"/>
      <c r="NW83" s="50"/>
      <c r="NX83" s="50"/>
      <c r="NY83" s="50"/>
      <c r="NZ83" s="50"/>
      <c r="OA83" s="50"/>
      <c r="OB83" s="50"/>
      <c r="OC83" s="50"/>
      <c r="OD83" s="50"/>
      <c r="OE83" s="50"/>
      <c r="PF83" s="50"/>
      <c r="PG83" s="50"/>
      <c r="PH83" s="50"/>
      <c r="PI83" s="50"/>
      <c r="PJ83" s="50"/>
      <c r="PK83" s="50"/>
      <c r="PL83" s="50"/>
      <c r="PM83" s="50"/>
      <c r="PN83" s="50"/>
      <c r="PO83" s="50"/>
      <c r="PP83" s="50"/>
      <c r="PQ83" s="50"/>
      <c r="PR83" s="50"/>
      <c r="PS83" s="50"/>
      <c r="PT83" s="50"/>
      <c r="PU83" s="50"/>
      <c r="PV83" s="50"/>
      <c r="PW83" s="50"/>
      <c r="PX83" s="50"/>
      <c r="PY83" s="50"/>
      <c r="PZ83" s="50"/>
      <c r="QA83" s="50"/>
      <c r="QB83" s="50"/>
      <c r="QC83" s="50"/>
      <c r="QD83" s="50"/>
      <c r="QE83" s="50"/>
      <c r="QF83" s="50"/>
      <c r="QG83" s="50"/>
      <c r="QH83" s="50"/>
      <c r="QI83" s="50"/>
      <c r="ADI83" s="50"/>
      <c r="ADJ83" s="50"/>
      <c r="ADK83" s="50"/>
      <c r="ADL83" s="50"/>
      <c r="ADM83" s="50"/>
      <c r="AIO83">
        <v>74.832300000000004</v>
      </c>
      <c r="AJB83">
        <v>317</v>
      </c>
      <c r="AWU83">
        <v>50</v>
      </c>
      <c r="AWY83">
        <v>1</v>
      </c>
      <c r="AXB83">
        <v>720</v>
      </c>
      <c r="AXC83">
        <v>709</v>
      </c>
      <c r="AXD83">
        <v>11</v>
      </c>
      <c r="AZL83" s="50"/>
      <c r="AZM83" s="50"/>
      <c r="AZN83" s="50"/>
      <c r="BMB83">
        <v>400</v>
      </c>
      <c r="BMC83">
        <v>1</v>
      </c>
      <c r="BMF83">
        <v>1</v>
      </c>
      <c r="BMG83">
        <v>25</v>
      </c>
      <c r="BMH83">
        <v>119</v>
      </c>
      <c r="BMI83">
        <v>95</v>
      </c>
      <c r="BMJ83">
        <v>0</v>
      </c>
      <c r="BTC83">
        <v>500</v>
      </c>
      <c r="BTD83">
        <v>1</v>
      </c>
      <c r="BTG83">
        <v>1</v>
      </c>
      <c r="BTH83">
        <v>13</v>
      </c>
      <c r="BTI83">
        <v>85</v>
      </c>
      <c r="BTJ83">
        <v>73</v>
      </c>
      <c r="BTK83">
        <v>0</v>
      </c>
      <c r="CFS83">
        <v>4</v>
      </c>
      <c r="CFT83">
        <v>1</v>
      </c>
      <c r="CFW83">
        <v>1</v>
      </c>
      <c r="CFX83">
        <v>999</v>
      </c>
      <c r="CFY83">
        <v>999</v>
      </c>
      <c r="CFZ83">
        <v>0</v>
      </c>
      <c r="CGA83">
        <v>11</v>
      </c>
      <c r="CHG83">
        <v>20</v>
      </c>
      <c r="CHH83">
        <v>1</v>
      </c>
      <c r="CHK83">
        <v>1</v>
      </c>
      <c r="CHL83">
        <v>999</v>
      </c>
      <c r="CHM83">
        <v>999</v>
      </c>
      <c r="CHN83">
        <v>0</v>
      </c>
      <c r="CHO83" s="35">
        <v>999</v>
      </c>
      <c r="FNO83">
        <v>70</v>
      </c>
      <c r="FNP83">
        <v>1</v>
      </c>
      <c r="FNS83">
        <v>1</v>
      </c>
      <c r="FNT83">
        <v>999</v>
      </c>
      <c r="FNU83">
        <v>999</v>
      </c>
      <c r="FNV83">
        <v>0</v>
      </c>
      <c r="FNW83">
        <v>10</v>
      </c>
    </row>
    <row r="84" spans="1:987 1294:2007 2054:3064 3118:4012 4105:4612" x14ac:dyDescent="0.25">
      <c r="A84" s="50">
        <v>7083159</v>
      </c>
      <c r="HE84" s="50"/>
      <c r="HF84" s="50"/>
      <c r="HG84" s="50"/>
      <c r="HH84" s="50"/>
      <c r="HI84" s="50"/>
      <c r="HJ84" s="50"/>
      <c r="HK84" s="50"/>
      <c r="HL84" s="50"/>
      <c r="HM84" s="50"/>
      <c r="HN84" s="50"/>
      <c r="HO84" s="50"/>
      <c r="HP84" s="50"/>
      <c r="HQ84" s="50"/>
      <c r="HR84" s="50"/>
      <c r="HS84" s="50"/>
      <c r="HT84" s="50"/>
      <c r="HU84" s="50"/>
      <c r="HV84" s="50"/>
      <c r="HW84" s="50"/>
      <c r="HX84" s="50"/>
      <c r="HY84" s="50"/>
      <c r="HZ84" s="50"/>
      <c r="IA84" s="50"/>
      <c r="IB84" s="50"/>
      <c r="IC84" s="50"/>
      <c r="ID84" s="50"/>
      <c r="IE84" s="50"/>
      <c r="IF84" s="50"/>
      <c r="IG84" s="50"/>
      <c r="IH84" s="50"/>
      <c r="II84" s="50"/>
      <c r="IJ84" s="50"/>
      <c r="IK84" s="50"/>
      <c r="ND84" s="50"/>
      <c r="NE84" s="50"/>
      <c r="NF84" s="50"/>
      <c r="NG84" s="50"/>
      <c r="NH84" s="50"/>
      <c r="NI84" s="50"/>
      <c r="NJ84" s="50"/>
      <c r="NK84" s="50"/>
      <c r="NL84" s="50"/>
      <c r="NM84" s="50"/>
      <c r="NN84" s="50"/>
      <c r="NO84" s="50"/>
      <c r="NP84" s="50"/>
      <c r="NQ84" s="50"/>
      <c r="NR84" s="50"/>
      <c r="NS84" s="50"/>
      <c r="NT84" s="50"/>
      <c r="NU84" s="50"/>
      <c r="NV84" s="50"/>
      <c r="NW84" s="50"/>
      <c r="NX84" s="50"/>
      <c r="NY84" s="50"/>
      <c r="NZ84" s="50"/>
      <c r="OA84" s="50"/>
      <c r="OB84" s="50"/>
      <c r="OC84" s="50"/>
      <c r="OD84" s="50"/>
      <c r="OE84" s="50"/>
      <c r="PF84" s="50"/>
      <c r="PG84" s="50"/>
      <c r="PH84" s="50"/>
      <c r="PI84" s="50"/>
      <c r="PJ84" s="50"/>
      <c r="PK84" s="50"/>
      <c r="PL84" s="50"/>
      <c r="PM84" s="50"/>
      <c r="PN84" s="50"/>
      <c r="PO84" s="50"/>
      <c r="PP84" s="50"/>
      <c r="PQ84" s="50"/>
      <c r="PR84" s="50"/>
      <c r="PS84" s="50"/>
      <c r="PT84" s="50"/>
      <c r="PU84" s="50"/>
      <c r="PV84" s="50"/>
      <c r="PW84" s="50"/>
      <c r="PX84" s="50"/>
      <c r="PY84" s="50"/>
      <c r="PZ84" s="50"/>
      <c r="QA84" s="50"/>
      <c r="QB84" s="50"/>
      <c r="QC84" s="50"/>
      <c r="QD84" s="50"/>
      <c r="QE84" s="50"/>
      <c r="QF84" s="50"/>
      <c r="QG84" s="50"/>
      <c r="QH84" s="50"/>
      <c r="QI84" s="50"/>
      <c r="ADI84" s="50"/>
      <c r="ADJ84" s="50"/>
      <c r="ADK84" s="50"/>
      <c r="ADL84" s="50"/>
      <c r="ADM84" s="50"/>
      <c r="AWU84">
        <v>50</v>
      </c>
      <c r="AWV84">
        <v>1</v>
      </c>
      <c r="AWY84">
        <v>1</v>
      </c>
      <c r="AXB84">
        <v>82</v>
      </c>
      <c r="AXC84">
        <v>87</v>
      </c>
      <c r="AXD84">
        <v>6</v>
      </c>
      <c r="AZL84" s="50">
        <v>1500</v>
      </c>
      <c r="AZM84" s="50">
        <v>1</v>
      </c>
      <c r="AZN84" s="50"/>
      <c r="AZP84">
        <v>1</v>
      </c>
      <c r="AZQ84">
        <v>108</v>
      </c>
      <c r="AZR84">
        <v>92</v>
      </c>
      <c r="AZS84">
        <v>0</v>
      </c>
      <c r="AZT84">
        <v>16</v>
      </c>
      <c r="BCG84">
        <v>150</v>
      </c>
      <c r="BCH84">
        <v>1</v>
      </c>
      <c r="BCK84">
        <v>1</v>
      </c>
      <c r="BCL84">
        <v>83</v>
      </c>
      <c r="BCM84">
        <v>592</v>
      </c>
      <c r="BCN84">
        <v>6</v>
      </c>
      <c r="BCO84">
        <v>0</v>
      </c>
      <c r="BFL84">
        <v>50</v>
      </c>
      <c r="BFM84">
        <v>1</v>
      </c>
      <c r="BFQ84">
        <v>87</v>
      </c>
      <c r="BFR84">
        <v>91</v>
      </c>
      <c r="BFS84">
        <v>6</v>
      </c>
      <c r="BFT84">
        <v>0</v>
      </c>
      <c r="BRY84">
        <v>500</v>
      </c>
      <c r="BRZ84">
        <v>1</v>
      </c>
      <c r="BSC84">
        <v>1</v>
      </c>
      <c r="BSD84">
        <v>5</v>
      </c>
      <c r="BSE84">
        <v>14</v>
      </c>
      <c r="BSF84">
        <v>10</v>
      </c>
      <c r="BSG84">
        <v>0</v>
      </c>
    </row>
    <row r="85" spans="1:987 1294:2007 2054:3064 3118:4012 4105:4612" x14ac:dyDescent="0.25">
      <c r="A85" s="50">
        <v>7084659</v>
      </c>
      <c r="HE85" s="50"/>
      <c r="HF85" s="50"/>
      <c r="HG85" s="50"/>
      <c r="HH85" s="50"/>
      <c r="HI85" s="50"/>
      <c r="HJ85" s="50"/>
      <c r="HK85" s="50"/>
      <c r="HL85" s="50"/>
      <c r="HM85" s="50"/>
      <c r="HN85" s="50"/>
      <c r="HO85" s="50"/>
      <c r="HP85" s="50"/>
      <c r="HQ85" s="50"/>
      <c r="HR85" s="50"/>
      <c r="HS85" s="50"/>
      <c r="HT85" s="50"/>
      <c r="HU85" s="50"/>
      <c r="HV85" s="50"/>
      <c r="HW85" s="50"/>
      <c r="HX85" s="50"/>
      <c r="HY85" s="50"/>
      <c r="HZ85" s="50"/>
      <c r="IA85" s="50"/>
      <c r="IB85" s="50"/>
      <c r="IC85" s="50"/>
      <c r="ID85" s="50"/>
      <c r="IE85" s="50"/>
      <c r="IF85" s="50"/>
      <c r="IG85" s="50"/>
      <c r="IH85" s="50"/>
      <c r="II85" s="50">
        <v>3.8121</v>
      </c>
      <c r="IJ85" s="50"/>
      <c r="IK85" s="50"/>
      <c r="ND85" s="50"/>
      <c r="NE85" s="50"/>
      <c r="NF85" s="50"/>
      <c r="NG85" s="50"/>
      <c r="NH85" s="50"/>
      <c r="NI85" s="50"/>
      <c r="NJ85" s="50"/>
      <c r="NK85" s="50"/>
      <c r="NL85" s="50"/>
      <c r="NM85" s="50"/>
      <c r="NN85" s="50"/>
      <c r="NO85" s="50"/>
      <c r="NP85" s="50"/>
      <c r="NQ85" s="50"/>
      <c r="NR85" s="50"/>
      <c r="NS85" s="50"/>
      <c r="NT85" s="50"/>
      <c r="NU85" s="50"/>
      <c r="NV85" s="50"/>
      <c r="NW85" s="50"/>
      <c r="NX85" s="50"/>
      <c r="NY85" s="50"/>
      <c r="NZ85" s="50"/>
      <c r="OA85" s="50"/>
      <c r="OB85" s="50"/>
      <c r="OC85" s="50"/>
      <c r="OD85" s="50"/>
      <c r="OE85" s="50"/>
      <c r="PF85" s="50"/>
      <c r="PG85" s="50"/>
      <c r="PH85" s="50"/>
      <c r="PI85" s="50"/>
      <c r="PJ85" s="50"/>
      <c r="PK85" s="50"/>
      <c r="PL85" s="50"/>
      <c r="PM85" s="50"/>
      <c r="PN85" s="50"/>
      <c r="PO85" s="50"/>
      <c r="PP85" s="50"/>
      <c r="PQ85" s="50"/>
      <c r="PR85" s="50"/>
      <c r="PS85" s="50"/>
      <c r="PT85" s="50"/>
      <c r="PU85" s="50"/>
      <c r="PV85" s="50"/>
      <c r="PW85" s="50"/>
      <c r="PX85" s="50"/>
      <c r="PY85" s="50"/>
      <c r="PZ85" s="50"/>
      <c r="QA85" s="50"/>
      <c r="QB85" s="50"/>
      <c r="QC85" s="50"/>
      <c r="QD85" s="50"/>
      <c r="QE85" s="50"/>
      <c r="QF85" s="50"/>
      <c r="QG85" s="50"/>
      <c r="QH85" s="50"/>
      <c r="QI85" s="50"/>
      <c r="ADI85" s="50"/>
      <c r="ADJ85" s="50"/>
      <c r="ADK85" s="50"/>
      <c r="ADL85" s="50"/>
      <c r="ADM85" s="50"/>
      <c r="AWU85">
        <v>150</v>
      </c>
      <c r="AWV85">
        <v>1</v>
      </c>
      <c r="AWY85">
        <v>1</v>
      </c>
      <c r="AXB85">
        <v>10</v>
      </c>
      <c r="AXC85">
        <v>9</v>
      </c>
      <c r="AXD85">
        <v>0</v>
      </c>
      <c r="AXE85">
        <v>0</v>
      </c>
      <c r="AZL85" s="50"/>
      <c r="AZM85" s="50"/>
      <c r="AZN85" s="50"/>
      <c r="BRY85">
        <v>500</v>
      </c>
      <c r="BRZ85">
        <v>1</v>
      </c>
      <c r="BSC85">
        <v>1</v>
      </c>
      <c r="BSD85">
        <v>10</v>
      </c>
      <c r="BSE85">
        <v>9</v>
      </c>
      <c r="BSF85">
        <v>0</v>
      </c>
      <c r="BSG85">
        <v>0</v>
      </c>
      <c r="DKF85">
        <v>40</v>
      </c>
      <c r="DKG85">
        <v>0.5</v>
      </c>
      <c r="DKJ85">
        <v>1</v>
      </c>
      <c r="DKK85">
        <v>999</v>
      </c>
      <c r="DKL85">
        <v>8</v>
      </c>
      <c r="DKM85">
        <v>0</v>
      </c>
      <c r="DKN85" s="15">
        <v>999</v>
      </c>
      <c r="EUQ85">
        <v>10</v>
      </c>
      <c r="EUR85">
        <v>1</v>
      </c>
      <c r="EUU85">
        <v>1</v>
      </c>
      <c r="EUV85">
        <v>999</v>
      </c>
      <c r="EUW85" s="15">
        <v>999</v>
      </c>
      <c r="EUX85">
        <v>0</v>
      </c>
      <c r="EUY85">
        <v>0</v>
      </c>
      <c r="EWZ85">
        <v>25</v>
      </c>
      <c r="EXA85">
        <v>1</v>
      </c>
      <c r="EXD85">
        <v>1</v>
      </c>
      <c r="EXE85">
        <v>999</v>
      </c>
      <c r="EXF85">
        <v>9</v>
      </c>
      <c r="EXG85">
        <v>0</v>
      </c>
      <c r="EXH85" s="15">
        <v>999</v>
      </c>
    </row>
    <row r="86" spans="1:987 1294:2007 2054:3064 3118:4012 4105:4612" x14ac:dyDescent="0.25">
      <c r="A86" s="50">
        <v>7076814</v>
      </c>
      <c r="F86">
        <v>4.3148999999999997</v>
      </c>
      <c r="HE86" s="50"/>
      <c r="HF86" s="50"/>
      <c r="HG86" s="50"/>
      <c r="HH86" s="50"/>
      <c r="HI86" s="50"/>
      <c r="HJ86" s="50"/>
      <c r="HK86" s="50"/>
      <c r="HL86" s="50"/>
      <c r="HM86" s="50"/>
      <c r="HN86" s="50"/>
      <c r="HO86" s="50"/>
      <c r="HP86" s="50"/>
      <c r="HQ86" s="50"/>
      <c r="HR86" s="50"/>
      <c r="HS86" s="50"/>
      <c r="HT86" s="50"/>
      <c r="HU86" s="50"/>
      <c r="HV86" s="50"/>
      <c r="HW86" s="50"/>
      <c r="HX86" s="50"/>
      <c r="HY86" s="50"/>
      <c r="HZ86" s="50"/>
      <c r="IA86" s="50"/>
      <c r="IB86" s="50"/>
      <c r="IC86" s="50"/>
      <c r="ID86" s="50"/>
      <c r="IE86" s="50"/>
      <c r="IF86" s="50"/>
      <c r="IG86" s="50"/>
      <c r="IH86" s="50"/>
      <c r="II86" s="50"/>
      <c r="IJ86" s="50"/>
      <c r="IK86" s="50"/>
      <c r="ND86" s="50"/>
      <c r="NE86" s="50"/>
      <c r="NF86" s="50"/>
      <c r="NG86" s="50"/>
      <c r="NH86" s="50"/>
      <c r="NI86" s="50"/>
      <c r="NJ86" s="50"/>
      <c r="NK86" s="50"/>
      <c r="NL86" s="50"/>
      <c r="NM86" s="50"/>
      <c r="NN86" s="50"/>
      <c r="NO86" s="50"/>
      <c r="NP86" s="50"/>
      <c r="NQ86" s="50"/>
      <c r="NR86" s="50"/>
      <c r="NS86" s="50"/>
      <c r="NT86" s="50"/>
      <c r="NU86" s="50"/>
      <c r="NV86" s="50"/>
      <c r="NW86" s="50"/>
      <c r="NX86" s="50"/>
      <c r="NY86" s="50"/>
      <c r="NZ86" s="50"/>
      <c r="OA86" s="50"/>
      <c r="OB86" s="50"/>
      <c r="OC86" s="50"/>
      <c r="OD86" s="50"/>
      <c r="OE86" s="50"/>
      <c r="PF86" s="50"/>
      <c r="PG86" s="50"/>
      <c r="PH86" s="50"/>
      <c r="PI86" s="50"/>
      <c r="PJ86" s="50"/>
      <c r="PK86" s="50"/>
      <c r="PL86" s="50"/>
      <c r="PM86" s="50"/>
      <c r="PN86" s="50"/>
      <c r="PO86" s="50">
        <v>18600000000</v>
      </c>
      <c r="PP86" s="50"/>
      <c r="PQ86" s="50"/>
      <c r="PR86" s="50"/>
      <c r="PS86" s="50"/>
      <c r="PT86" s="50"/>
      <c r="PU86" s="50"/>
      <c r="PV86" s="50"/>
      <c r="PW86" s="50"/>
      <c r="PX86" s="50"/>
      <c r="PY86" s="50"/>
      <c r="PZ86" s="50"/>
      <c r="QA86" s="50"/>
      <c r="QB86" s="50"/>
      <c r="QC86" s="50"/>
      <c r="QD86" s="50"/>
      <c r="QE86" s="50"/>
      <c r="QF86" s="50"/>
      <c r="QG86" s="50"/>
      <c r="QH86" s="50"/>
      <c r="QI86" s="50"/>
      <c r="SG86" s="50">
        <v>0</v>
      </c>
      <c r="ADI86" s="50"/>
      <c r="ADJ86" s="50"/>
      <c r="ADK86" s="50"/>
      <c r="ADL86" s="50"/>
      <c r="ADM86" s="50"/>
      <c r="AXA86">
        <v>1</v>
      </c>
      <c r="AXB86">
        <v>999</v>
      </c>
      <c r="AXC86">
        <v>999</v>
      </c>
      <c r="AXD86">
        <v>0</v>
      </c>
      <c r="AXE86">
        <v>16</v>
      </c>
      <c r="AXN86">
        <v>183</v>
      </c>
      <c r="AXO86">
        <v>275</v>
      </c>
      <c r="AXP86">
        <v>92</v>
      </c>
      <c r="AXQ86">
        <v>0</v>
      </c>
      <c r="AZL86" s="50"/>
      <c r="AZM86" s="50"/>
      <c r="AZN86" s="50"/>
      <c r="BNQ86">
        <v>500</v>
      </c>
      <c r="BNR86">
        <v>1</v>
      </c>
      <c r="BNU86">
        <v>1</v>
      </c>
      <c r="BNV86">
        <v>10</v>
      </c>
      <c r="BNW86">
        <v>39</v>
      </c>
      <c r="BNX86">
        <v>28</v>
      </c>
      <c r="BNY86">
        <v>0</v>
      </c>
      <c r="CFW86">
        <v>1</v>
      </c>
      <c r="CFX86">
        <v>999</v>
      </c>
      <c r="CFY86">
        <v>999</v>
      </c>
      <c r="CFZ86">
        <v>0</v>
      </c>
      <c r="CGA86">
        <v>50</v>
      </c>
      <c r="CPB86">
        <v>500</v>
      </c>
      <c r="CPC86">
        <v>1</v>
      </c>
      <c r="CPF86">
        <v>1</v>
      </c>
      <c r="CPG86">
        <v>999</v>
      </c>
      <c r="CPH86">
        <v>999</v>
      </c>
      <c r="CPI86">
        <v>30</v>
      </c>
      <c r="CPJ86">
        <v>0</v>
      </c>
      <c r="CVN86">
        <v>1</v>
      </c>
      <c r="CVO86">
        <v>360</v>
      </c>
      <c r="CVP86">
        <v>999</v>
      </c>
      <c r="CVQ86">
        <v>13</v>
      </c>
      <c r="CVR86">
        <v>0</v>
      </c>
      <c r="DCR86">
        <v>1</v>
      </c>
      <c r="DMS86">
        <v>16</v>
      </c>
      <c r="DMT86">
        <v>13</v>
      </c>
      <c r="DMU86">
        <v>0</v>
      </c>
      <c r="DMV86">
        <v>2</v>
      </c>
      <c r="DOX86">
        <v>1</v>
      </c>
      <c r="FFD86">
        <v>305</v>
      </c>
      <c r="FFE86">
        <v>305</v>
      </c>
      <c r="FFF86">
        <v>0</v>
      </c>
      <c r="FOT86">
        <v>1</v>
      </c>
      <c r="FTI86">
        <v>1</v>
      </c>
      <c r="FTJ86">
        <v>451</v>
      </c>
      <c r="FTK86">
        <v>420</v>
      </c>
      <c r="FTL86">
        <v>0</v>
      </c>
      <c r="FTM86">
        <v>60</v>
      </c>
    </row>
    <row r="87" spans="1:987 1294:2007 2054:3064 3118:4012 4105:4612" x14ac:dyDescent="0.25">
      <c r="A87" s="50">
        <v>7076815</v>
      </c>
      <c r="E87">
        <v>1.4851000000000001</v>
      </c>
      <c r="HE87" s="50"/>
      <c r="HF87" s="50"/>
      <c r="HG87" s="50"/>
      <c r="HH87" s="50"/>
      <c r="HI87" s="50"/>
      <c r="HJ87" s="50"/>
      <c r="HK87" s="50"/>
      <c r="HL87" s="50"/>
      <c r="HM87" s="50"/>
      <c r="HN87" s="50"/>
      <c r="HO87" s="50"/>
      <c r="HP87" s="50"/>
      <c r="HQ87" s="50"/>
      <c r="HR87" s="50"/>
      <c r="HS87" s="50"/>
      <c r="HT87" s="50"/>
      <c r="HU87" s="50"/>
      <c r="HV87" s="50"/>
      <c r="HW87" s="50"/>
      <c r="HX87" s="50"/>
      <c r="HY87" s="50"/>
      <c r="HZ87" s="50"/>
      <c r="IA87" s="50"/>
      <c r="IB87" s="50"/>
      <c r="IC87" s="50"/>
      <c r="ID87" s="50"/>
      <c r="IE87" s="50"/>
      <c r="IF87" s="50"/>
      <c r="IG87" s="50"/>
      <c r="IH87" s="50"/>
      <c r="II87" s="50"/>
      <c r="IJ87" s="50"/>
      <c r="IK87" s="50"/>
      <c r="ND87" s="50"/>
      <c r="NE87" s="50"/>
      <c r="NF87" s="50"/>
      <c r="NG87" s="50"/>
      <c r="NH87" s="50"/>
      <c r="NI87" s="50"/>
      <c r="NJ87" s="50"/>
      <c r="NK87" s="50"/>
      <c r="NL87" s="50"/>
      <c r="NM87" s="50"/>
      <c r="NN87" s="50"/>
      <c r="NO87" s="50"/>
      <c r="NP87" s="50"/>
      <c r="NQ87" s="50"/>
      <c r="NR87" s="50"/>
      <c r="NS87" s="50"/>
      <c r="NT87" s="50"/>
      <c r="NU87" s="50"/>
      <c r="NV87" s="50"/>
      <c r="NW87" s="50"/>
      <c r="NX87" s="50"/>
      <c r="NY87" s="50"/>
      <c r="NZ87" s="50"/>
      <c r="OA87" s="50"/>
      <c r="OB87" s="50"/>
      <c r="OC87" s="50"/>
      <c r="OD87" s="50"/>
      <c r="OE87" s="50"/>
      <c r="PF87" s="50"/>
      <c r="PG87" s="50"/>
      <c r="PH87" s="50"/>
      <c r="PI87" s="50"/>
      <c r="PJ87" s="50"/>
      <c r="PK87" s="50"/>
      <c r="PL87" s="50"/>
      <c r="PM87" s="50"/>
      <c r="PN87" s="50">
        <v>2830000</v>
      </c>
      <c r="PO87" s="50"/>
      <c r="PP87" s="50"/>
      <c r="PQ87" s="50"/>
      <c r="PR87" s="50"/>
      <c r="PS87" s="50"/>
      <c r="PT87" s="50"/>
      <c r="PU87" s="50"/>
      <c r="PV87" s="50"/>
      <c r="PW87" s="50"/>
      <c r="PX87" s="50"/>
      <c r="PY87" s="50"/>
      <c r="PZ87" s="50"/>
      <c r="QA87" s="50"/>
      <c r="QB87" s="50"/>
      <c r="QC87" s="50"/>
      <c r="QD87" s="50"/>
      <c r="QE87" s="50"/>
      <c r="QF87" s="50"/>
      <c r="QG87" s="50"/>
      <c r="QH87" s="50"/>
      <c r="QI87" s="50"/>
      <c r="QY87">
        <v>215000</v>
      </c>
      <c r="SI87">
        <v>7.5</v>
      </c>
      <c r="ADI87" s="50"/>
      <c r="ADJ87" s="50"/>
      <c r="ADK87" s="50"/>
      <c r="ADL87" s="50"/>
      <c r="ADM87" s="50"/>
      <c r="AWU87">
        <v>75</v>
      </c>
      <c r="AWV87">
        <v>1</v>
      </c>
      <c r="AWY87">
        <v>1</v>
      </c>
      <c r="AXB87">
        <v>610</v>
      </c>
      <c r="AXC87">
        <v>610</v>
      </c>
      <c r="AXD87">
        <v>0</v>
      </c>
      <c r="AXE87">
        <v>0</v>
      </c>
      <c r="AZL87" s="50"/>
      <c r="AZM87" s="50"/>
      <c r="AZN87" s="50"/>
      <c r="CGC87">
        <v>80</v>
      </c>
      <c r="CGD87">
        <v>1</v>
      </c>
      <c r="CGG87">
        <v>1</v>
      </c>
      <c r="CGH87">
        <v>999</v>
      </c>
      <c r="CGI87">
        <v>999</v>
      </c>
      <c r="CGJ87">
        <v>0</v>
      </c>
      <c r="CGK87">
        <v>0</v>
      </c>
      <c r="CTY87">
        <v>1</v>
      </c>
      <c r="CTZ87">
        <v>999</v>
      </c>
      <c r="CUA87">
        <v>999</v>
      </c>
      <c r="CUB87">
        <v>0</v>
      </c>
      <c r="CUC87">
        <v>0</v>
      </c>
      <c r="CVN87">
        <v>1</v>
      </c>
      <c r="CVO87">
        <v>750</v>
      </c>
      <c r="CVP87">
        <v>750</v>
      </c>
      <c r="CVQ87">
        <v>0</v>
      </c>
      <c r="CVR87">
        <v>0</v>
      </c>
      <c r="DPM87">
        <v>1</v>
      </c>
      <c r="DPN87">
        <v>999</v>
      </c>
      <c r="DPO87" s="15">
        <v>999</v>
      </c>
      <c r="DPP87">
        <v>0</v>
      </c>
      <c r="DPQ87">
        <v>0</v>
      </c>
      <c r="EWZ87">
        <v>25</v>
      </c>
      <c r="EXA87">
        <v>1</v>
      </c>
      <c r="EXD87">
        <v>1</v>
      </c>
      <c r="EXE87">
        <v>999</v>
      </c>
      <c r="EXF87">
        <v>999</v>
      </c>
      <c r="EXG87">
        <v>0</v>
      </c>
      <c r="EXH87">
        <v>0</v>
      </c>
      <c r="FAW87">
        <v>1</v>
      </c>
      <c r="FAX87">
        <v>1</v>
      </c>
      <c r="FBA87">
        <v>1</v>
      </c>
      <c r="FBC87">
        <v>999</v>
      </c>
      <c r="FBD87" s="15">
        <v>999</v>
      </c>
      <c r="FBE87">
        <v>0</v>
      </c>
      <c r="FBF87">
        <v>0</v>
      </c>
      <c r="FTI87">
        <v>1</v>
      </c>
      <c r="FTJ87">
        <v>999</v>
      </c>
      <c r="FTK87" s="15">
        <v>999</v>
      </c>
      <c r="FTL87">
        <v>0</v>
      </c>
      <c r="FTM87">
        <v>0</v>
      </c>
    </row>
    <row r="88" spans="1:987 1294:2007 2054:3064 3118:4012 4105:4612" x14ac:dyDescent="0.25">
      <c r="A88" s="50">
        <v>7089231</v>
      </c>
      <c r="HE88" s="50"/>
      <c r="HF88" s="50"/>
      <c r="HG88" s="50"/>
      <c r="HH88" s="50"/>
      <c r="HI88" s="50"/>
      <c r="HJ88" s="50"/>
      <c r="HK88" s="50"/>
      <c r="HL88" s="50"/>
      <c r="HM88" s="50"/>
      <c r="HN88" s="50"/>
      <c r="HO88" s="50"/>
      <c r="HP88" s="50"/>
      <c r="HQ88" s="50"/>
      <c r="HR88" s="50"/>
      <c r="HS88" s="50"/>
      <c r="HT88" s="50"/>
      <c r="HU88" s="50"/>
      <c r="HV88" s="50"/>
      <c r="HW88" s="50"/>
      <c r="HX88" s="50"/>
      <c r="HY88" s="50"/>
      <c r="HZ88" s="50"/>
      <c r="IA88" s="50"/>
      <c r="IB88" s="50"/>
      <c r="IC88" s="50"/>
      <c r="ID88" s="50"/>
      <c r="IE88" s="50"/>
      <c r="IF88" s="50"/>
      <c r="IG88" s="50"/>
      <c r="IH88" s="50"/>
      <c r="II88" s="50"/>
      <c r="IJ88" s="50"/>
      <c r="IK88" s="50"/>
      <c r="ND88" s="50"/>
      <c r="NE88" s="50"/>
      <c r="NF88" s="50"/>
      <c r="NG88" s="50"/>
      <c r="NH88" s="50"/>
      <c r="NI88" s="50"/>
      <c r="NJ88" s="50"/>
      <c r="NK88" s="50"/>
      <c r="NL88" s="50"/>
      <c r="NM88" s="50"/>
      <c r="NN88" s="50"/>
      <c r="NO88" s="50"/>
      <c r="NP88" s="50"/>
      <c r="NQ88" s="50"/>
      <c r="NR88" s="50"/>
      <c r="NS88" s="50"/>
      <c r="NT88" s="50"/>
      <c r="NU88" s="50"/>
      <c r="NV88" s="50"/>
      <c r="NW88" s="50"/>
      <c r="NX88" s="50"/>
      <c r="NY88" s="50"/>
      <c r="NZ88" s="50"/>
      <c r="OA88" s="50"/>
      <c r="OB88" s="50"/>
      <c r="OC88" s="50"/>
      <c r="OD88" s="50"/>
      <c r="OE88" s="50"/>
      <c r="PF88" s="50"/>
      <c r="PG88" s="50"/>
      <c r="PH88" s="50"/>
      <c r="PI88" s="50"/>
      <c r="PJ88" s="50"/>
      <c r="PK88" s="50"/>
      <c r="PL88" s="50"/>
      <c r="PM88" s="50">
        <v>3710</v>
      </c>
      <c r="PN88" s="50"/>
      <c r="PO88" s="50"/>
      <c r="PP88" s="50"/>
      <c r="PQ88" s="50"/>
      <c r="PR88" s="50"/>
      <c r="PS88" s="50"/>
      <c r="PT88" s="50"/>
      <c r="PU88" s="50"/>
      <c r="PV88" s="50"/>
      <c r="PW88" s="50"/>
      <c r="PX88" s="50"/>
      <c r="PY88" s="50"/>
      <c r="PZ88" s="50"/>
      <c r="QA88" s="50"/>
      <c r="QB88" s="50"/>
      <c r="QC88" s="50"/>
      <c r="QD88" s="50"/>
      <c r="QE88" s="50"/>
      <c r="QF88" s="50"/>
      <c r="QG88" s="50"/>
      <c r="QH88" s="50"/>
      <c r="QI88" s="50"/>
      <c r="YN88">
        <v>30.5</v>
      </c>
      <c r="ADI88" s="50"/>
      <c r="ADJ88" s="50"/>
      <c r="ADK88" s="50"/>
      <c r="ADL88" s="50"/>
      <c r="ADM88" s="50"/>
      <c r="AWT88">
        <v>1</v>
      </c>
      <c r="AZL88" s="50"/>
      <c r="AZM88" s="50"/>
      <c r="AZN88" s="50"/>
    </row>
    <row r="89" spans="1:987 1294:2007 2054:3064 3118:4012 4105:4612" x14ac:dyDescent="0.25">
      <c r="A89" s="50">
        <v>7116004</v>
      </c>
      <c r="HE89" s="50"/>
      <c r="HF89" s="50"/>
      <c r="HG89" s="50"/>
      <c r="HH89" s="50"/>
      <c r="HI89" s="50"/>
      <c r="HJ89" s="50"/>
      <c r="HK89" s="50"/>
      <c r="HL89" s="50"/>
      <c r="HM89" s="50"/>
      <c r="HN89" s="50"/>
      <c r="HO89" s="50"/>
      <c r="HP89" s="50"/>
      <c r="HQ89" s="50"/>
      <c r="HR89" s="50"/>
      <c r="HS89" s="50"/>
      <c r="HT89" s="50"/>
      <c r="HU89" s="50"/>
      <c r="HV89" s="50"/>
      <c r="HW89" s="50"/>
      <c r="HX89" s="50"/>
      <c r="HY89" s="50"/>
      <c r="HZ89" s="50"/>
      <c r="IA89" s="50"/>
      <c r="IB89" s="50"/>
      <c r="IC89" s="50"/>
      <c r="ID89" s="50"/>
      <c r="IE89" s="50"/>
      <c r="IF89" s="50"/>
      <c r="IG89" s="50"/>
      <c r="IH89" s="50"/>
      <c r="II89" s="50"/>
      <c r="IJ89" s="50"/>
      <c r="IK89" s="50"/>
      <c r="ND89" s="50"/>
      <c r="NE89" s="50"/>
      <c r="NF89" s="50"/>
      <c r="NG89" s="50"/>
      <c r="NH89" s="50"/>
      <c r="NI89" s="50"/>
      <c r="NJ89" s="50"/>
      <c r="NK89" s="50"/>
      <c r="NL89" s="50"/>
      <c r="NM89" s="50"/>
      <c r="NN89" s="50"/>
      <c r="NO89" s="50"/>
      <c r="NP89" s="50"/>
      <c r="NQ89" s="50"/>
      <c r="NR89" s="50"/>
      <c r="NS89" s="50"/>
      <c r="NT89" s="50"/>
      <c r="NU89" s="50"/>
      <c r="NV89" s="50"/>
      <c r="NW89" s="50"/>
      <c r="NX89" s="50"/>
      <c r="NY89" s="50"/>
      <c r="NZ89" s="50"/>
      <c r="OA89" s="50"/>
      <c r="OB89" s="50"/>
      <c r="OC89" s="50"/>
      <c r="OD89" s="50"/>
      <c r="OE89" s="50"/>
      <c r="PF89" s="50"/>
      <c r="PG89" s="50"/>
      <c r="PH89" s="50"/>
      <c r="PI89" s="50"/>
      <c r="PJ89" s="50"/>
      <c r="PK89" s="50"/>
      <c r="PL89" s="50"/>
      <c r="PM89" s="50"/>
      <c r="PN89" s="50"/>
      <c r="PO89" s="50"/>
      <c r="PP89" s="50"/>
      <c r="PQ89" s="50"/>
      <c r="PR89" s="50"/>
      <c r="PS89" s="50"/>
      <c r="PT89" s="50"/>
      <c r="PU89" s="50"/>
      <c r="PV89" s="50"/>
      <c r="PW89" s="50"/>
      <c r="PX89" s="50"/>
      <c r="PY89" s="50"/>
      <c r="PZ89" s="50"/>
      <c r="QA89" s="50"/>
      <c r="QB89" s="50"/>
      <c r="QC89" s="50"/>
      <c r="QD89" s="50"/>
      <c r="QE89" s="50"/>
      <c r="QF89" s="50"/>
      <c r="QG89" s="50"/>
      <c r="QH89" s="50"/>
      <c r="QI89" s="50"/>
      <c r="ADI89" s="50"/>
      <c r="ADJ89" s="50"/>
      <c r="ADK89" s="50"/>
      <c r="ADL89" s="50"/>
      <c r="ADM89" s="50"/>
      <c r="AWY89">
        <v>1</v>
      </c>
      <c r="AXB89">
        <v>3</v>
      </c>
      <c r="AXC89">
        <v>6</v>
      </c>
      <c r="AXD89">
        <v>4</v>
      </c>
      <c r="AXE89">
        <v>0</v>
      </c>
      <c r="AZL89" s="50"/>
      <c r="AZM89" s="50"/>
      <c r="AZN89" s="50"/>
    </row>
    <row r="90" spans="1:987 1294:2007 2054:3064 3118:4012 4105:4612" x14ac:dyDescent="0.25">
      <c r="A90" s="50">
        <v>8003819</v>
      </c>
      <c r="HE90" s="50"/>
      <c r="HF90" s="50"/>
      <c r="HG90" s="50"/>
      <c r="HH90" s="50"/>
      <c r="HI90" s="50"/>
      <c r="HJ90" s="50"/>
      <c r="HK90" s="50"/>
      <c r="HL90" s="50"/>
      <c r="HM90" s="50"/>
      <c r="HN90" s="50"/>
      <c r="HO90" s="50"/>
      <c r="HP90" s="50"/>
      <c r="HQ90" s="50"/>
      <c r="HR90" s="50"/>
      <c r="HS90" s="50"/>
      <c r="HT90" s="50"/>
      <c r="HU90" s="50"/>
      <c r="HV90" s="50"/>
      <c r="HW90" s="50"/>
      <c r="HX90" s="50"/>
      <c r="HY90" s="50"/>
      <c r="HZ90" s="50"/>
      <c r="IA90" s="50"/>
      <c r="IB90" s="50"/>
      <c r="IC90" s="50"/>
      <c r="ID90" s="50"/>
      <c r="IE90" s="50"/>
      <c r="IF90" s="50"/>
      <c r="IG90" s="50"/>
      <c r="IH90" s="50"/>
      <c r="II90" s="50"/>
      <c r="IJ90" s="50"/>
      <c r="IK90" s="50"/>
      <c r="ND90" s="50"/>
      <c r="NE90" s="50"/>
      <c r="NF90" s="50"/>
      <c r="NG90" s="50"/>
      <c r="NH90" s="50"/>
      <c r="NI90" s="50"/>
      <c r="NJ90" s="50"/>
      <c r="NK90" s="50"/>
      <c r="NL90" s="50"/>
      <c r="NM90" s="50"/>
      <c r="NN90" s="50"/>
      <c r="NO90" s="50"/>
      <c r="NP90" s="50"/>
      <c r="NQ90" s="50"/>
      <c r="NR90" s="50"/>
      <c r="NS90" s="50"/>
      <c r="NT90" s="50"/>
      <c r="NU90" s="50"/>
      <c r="NV90" s="50"/>
      <c r="NW90" s="50"/>
      <c r="NX90" s="50"/>
      <c r="NY90" s="50"/>
      <c r="NZ90" s="50"/>
      <c r="OA90" s="50"/>
      <c r="OB90" s="50"/>
      <c r="OC90" s="50"/>
      <c r="OD90" s="50"/>
      <c r="OE90" s="50"/>
      <c r="PF90" s="50"/>
      <c r="PG90" s="50"/>
      <c r="PH90" s="50"/>
      <c r="PI90" s="50"/>
      <c r="PJ90" s="50"/>
      <c r="PK90" s="50"/>
      <c r="PL90" s="50"/>
      <c r="PM90" s="50"/>
      <c r="PN90" s="50"/>
      <c r="PO90" s="50"/>
      <c r="PP90" s="50"/>
      <c r="PQ90" s="50"/>
      <c r="PR90" s="50"/>
      <c r="PS90" s="50"/>
      <c r="PT90" s="50"/>
      <c r="PU90" s="50"/>
      <c r="PV90" s="50"/>
      <c r="PW90" s="50"/>
      <c r="PX90" s="50"/>
      <c r="PY90" s="50"/>
      <c r="PZ90" s="50"/>
      <c r="QA90" s="50"/>
      <c r="QB90" s="50"/>
      <c r="QC90" s="50"/>
      <c r="QD90" s="50"/>
      <c r="QE90" s="50"/>
      <c r="QF90" s="50"/>
      <c r="QG90" s="50"/>
      <c r="QH90" s="50"/>
      <c r="QI90" s="50"/>
      <c r="ADI90" s="50"/>
      <c r="ADJ90" s="50"/>
      <c r="ADK90" s="50"/>
      <c r="ADL90" s="50"/>
      <c r="ADM90" s="50"/>
      <c r="AWT90">
        <v>1</v>
      </c>
      <c r="AZL90" s="50"/>
      <c r="AZM90" s="50"/>
      <c r="AZN90" s="50"/>
    </row>
    <row r="91" spans="1:987 1294:2007 2054:3064 3118:4012 4105:4612" x14ac:dyDescent="0.25">
      <c r="A91" s="50">
        <v>8091779</v>
      </c>
      <c r="B91">
        <v>11.2</v>
      </c>
      <c r="HE91" s="50"/>
      <c r="HF91" s="50"/>
      <c r="HG91" s="50"/>
      <c r="HH91" s="50"/>
      <c r="HI91" s="50"/>
      <c r="HJ91" s="50"/>
      <c r="HK91" s="50"/>
      <c r="HL91" s="50"/>
      <c r="HM91" s="50"/>
      <c r="HN91" s="50"/>
      <c r="HO91" s="50"/>
      <c r="HP91" s="50"/>
      <c r="HQ91" s="50"/>
      <c r="HR91" s="50"/>
      <c r="HS91" s="50"/>
      <c r="HT91" s="50"/>
      <c r="HU91" s="50"/>
      <c r="HV91" s="50"/>
      <c r="HW91" s="50"/>
      <c r="HX91" s="50"/>
      <c r="HY91" s="50"/>
      <c r="HZ91" s="50"/>
      <c r="IA91" s="50"/>
      <c r="IB91" s="50"/>
      <c r="IC91" s="50"/>
      <c r="ID91" s="50"/>
      <c r="IE91" s="50"/>
      <c r="IF91" s="50"/>
      <c r="IG91" s="50"/>
      <c r="IH91" s="50"/>
      <c r="II91" s="50"/>
      <c r="IJ91" s="50"/>
      <c r="IK91" s="50"/>
      <c r="ND91" s="50"/>
      <c r="NE91" s="50"/>
      <c r="NF91" s="50"/>
      <c r="NG91" s="50"/>
      <c r="NH91" s="50"/>
      <c r="NI91" s="50"/>
      <c r="NJ91" s="50"/>
      <c r="NK91" s="50"/>
      <c r="NL91" s="50"/>
      <c r="NM91" s="50"/>
      <c r="NN91" s="50"/>
      <c r="NO91" s="50"/>
      <c r="NP91" s="50"/>
      <c r="NQ91" s="50"/>
      <c r="NR91" s="50"/>
      <c r="NS91" s="50"/>
      <c r="NT91" s="50"/>
      <c r="NU91" s="50"/>
      <c r="NV91" s="50"/>
      <c r="NW91" s="50"/>
      <c r="NX91" s="50"/>
      <c r="NY91" s="50"/>
      <c r="NZ91" s="50"/>
      <c r="OA91" s="50"/>
      <c r="OB91" s="50"/>
      <c r="OC91" s="50"/>
      <c r="OD91" s="50"/>
      <c r="OE91" s="50"/>
      <c r="PF91" s="50"/>
      <c r="PG91" s="50"/>
      <c r="PH91" s="50"/>
      <c r="PI91" s="50"/>
      <c r="PJ91" s="50"/>
      <c r="PK91" s="50"/>
      <c r="PL91" s="50"/>
      <c r="PM91" s="50"/>
      <c r="PN91" s="50"/>
      <c r="PO91" s="50"/>
      <c r="PP91" s="50"/>
      <c r="PQ91" s="50"/>
      <c r="PR91" s="50"/>
      <c r="PS91" s="50"/>
      <c r="PT91" s="50"/>
      <c r="PU91" s="50"/>
      <c r="PV91" s="50"/>
      <c r="PW91" s="50"/>
      <c r="PX91" s="50"/>
      <c r="PY91" s="50"/>
      <c r="PZ91" s="50"/>
      <c r="QA91" s="50"/>
      <c r="QB91" s="50"/>
      <c r="QC91" s="50"/>
      <c r="QD91" s="50"/>
      <c r="QE91" s="50"/>
      <c r="QF91" s="50"/>
      <c r="QG91" s="50"/>
      <c r="QH91" s="50"/>
      <c r="QI91" s="50"/>
      <c r="ADI91" s="50"/>
      <c r="ADJ91" s="50"/>
      <c r="ADK91" s="50"/>
      <c r="ADL91" s="50"/>
      <c r="ADM91" s="50"/>
      <c r="AWY91">
        <v>1</v>
      </c>
      <c r="AXB91">
        <v>8</v>
      </c>
      <c r="AZL91" s="50"/>
      <c r="AZM91" s="50"/>
      <c r="AZN91" s="50"/>
    </row>
    <row r="92" spans="1:987 1294:2007 2054:3064 3118:4012 4105:4612" x14ac:dyDescent="0.25">
      <c r="A92" s="50">
        <v>8097989</v>
      </c>
      <c r="B92">
        <v>4.3727</v>
      </c>
      <c r="HE92" s="50"/>
      <c r="HF92" s="50"/>
      <c r="HG92" s="50"/>
      <c r="HH92" s="50"/>
      <c r="HI92" s="50"/>
      <c r="HJ92" s="50"/>
      <c r="HK92" s="50"/>
      <c r="HL92" s="50"/>
      <c r="HM92" s="50"/>
      <c r="HN92" s="50"/>
      <c r="HO92" s="50"/>
      <c r="HP92" s="50"/>
      <c r="HQ92" s="50"/>
      <c r="HR92" s="50"/>
      <c r="HS92" s="50"/>
      <c r="HT92" s="50"/>
      <c r="HU92" s="50"/>
      <c r="HV92" s="50"/>
      <c r="HW92" s="50"/>
      <c r="HX92" s="50"/>
      <c r="HY92" s="50"/>
      <c r="HZ92" s="50"/>
      <c r="IA92" s="50"/>
      <c r="IB92" s="50"/>
      <c r="IC92" s="50"/>
      <c r="ID92" s="50"/>
      <c r="IE92" s="50"/>
      <c r="IF92" s="50"/>
      <c r="IG92" s="50"/>
      <c r="IH92" s="50"/>
      <c r="II92" s="50"/>
      <c r="IJ92" s="50"/>
      <c r="IK92" s="50"/>
      <c r="ND92" s="50"/>
      <c r="NE92" s="50"/>
      <c r="NF92" s="50"/>
      <c r="NG92" s="50"/>
      <c r="NH92" s="50"/>
      <c r="NI92" s="50"/>
      <c r="NJ92" s="50"/>
      <c r="NK92" s="50"/>
      <c r="NL92" s="50"/>
      <c r="NM92" s="50"/>
      <c r="NN92" s="50"/>
      <c r="NO92" s="50"/>
      <c r="NP92" s="50"/>
      <c r="NQ92" s="50"/>
      <c r="NR92" s="50"/>
      <c r="NS92" s="50"/>
      <c r="NT92" s="50"/>
      <c r="NU92" s="50"/>
      <c r="NV92" s="50"/>
      <c r="NW92" s="50"/>
      <c r="NX92" s="50"/>
      <c r="NY92" s="50"/>
      <c r="NZ92" s="50"/>
      <c r="OA92" s="50"/>
      <c r="OB92" s="50"/>
      <c r="OC92" s="50"/>
      <c r="OD92" s="50"/>
      <c r="OE92" s="50"/>
      <c r="PF92" s="50"/>
      <c r="PG92" s="50"/>
      <c r="PH92" s="50"/>
      <c r="PI92" s="50"/>
      <c r="PJ92" s="50"/>
      <c r="PK92" s="50"/>
      <c r="PL92" s="50"/>
      <c r="PM92" s="50"/>
      <c r="PN92" s="50"/>
      <c r="PO92" s="50"/>
      <c r="PP92" s="50"/>
      <c r="PQ92" s="50"/>
      <c r="PR92" s="50"/>
      <c r="PS92" s="50"/>
      <c r="PT92" s="50"/>
      <c r="PU92" s="50"/>
      <c r="PV92" s="50"/>
      <c r="PW92" s="50"/>
      <c r="PX92" s="50"/>
      <c r="PY92" s="50"/>
      <c r="PZ92" s="50"/>
      <c r="QA92" s="50"/>
      <c r="QB92" s="50"/>
      <c r="QC92" s="50"/>
      <c r="QD92" s="50"/>
      <c r="QE92" s="50"/>
      <c r="QF92" s="50"/>
      <c r="QG92" s="50"/>
      <c r="QH92" s="50"/>
      <c r="QI92" s="50"/>
      <c r="ADI92" s="50"/>
      <c r="ADJ92" s="50"/>
      <c r="ADK92" s="50"/>
      <c r="ADL92" s="50"/>
      <c r="ADM92" s="50"/>
      <c r="AWU92">
        <v>75</v>
      </c>
      <c r="AWV92">
        <v>1</v>
      </c>
      <c r="AZL92" s="50"/>
      <c r="AZM92" s="50"/>
      <c r="AZN92" s="50"/>
      <c r="BKX92">
        <v>900</v>
      </c>
      <c r="BKY92">
        <v>3</v>
      </c>
    </row>
    <row r="93" spans="1:987 1294:2007 2054:3064 3118:4012 4105:4612" x14ac:dyDescent="0.25">
      <c r="A93" s="50">
        <v>8112522</v>
      </c>
      <c r="L93">
        <v>0.74</v>
      </c>
      <c r="N93">
        <v>2.5499999999999998</v>
      </c>
      <c r="P93">
        <v>3.88</v>
      </c>
      <c r="HE93" s="50"/>
      <c r="HF93" s="50"/>
      <c r="HG93" s="50"/>
      <c r="HH93" s="50"/>
      <c r="HI93" s="50"/>
      <c r="HJ93" s="50"/>
      <c r="HK93" s="50"/>
      <c r="HL93" s="50"/>
      <c r="HM93" s="50"/>
      <c r="HN93" s="50"/>
      <c r="HO93" s="50"/>
      <c r="HP93" s="50"/>
      <c r="HQ93" s="50"/>
      <c r="HR93" s="50"/>
      <c r="HS93" s="50"/>
      <c r="HT93" s="50"/>
      <c r="HU93" s="50"/>
      <c r="HV93" s="50"/>
      <c r="HW93" s="50"/>
      <c r="HX93" s="50"/>
      <c r="HY93" s="50"/>
      <c r="HZ93" s="50"/>
      <c r="IA93" s="50"/>
      <c r="IB93" s="50"/>
      <c r="IC93" s="50"/>
      <c r="ID93" s="50"/>
      <c r="IE93" s="50"/>
      <c r="IF93" s="50"/>
      <c r="IG93" s="50"/>
      <c r="IH93" s="50"/>
      <c r="II93" s="50"/>
      <c r="IJ93" s="50"/>
      <c r="IK93" s="50"/>
      <c r="ND93" s="50"/>
      <c r="NE93" s="50"/>
      <c r="NF93" s="50"/>
      <c r="NG93" s="50"/>
      <c r="NH93" s="50"/>
      <c r="NI93" s="50"/>
      <c r="NJ93" s="50"/>
      <c r="NK93" s="50"/>
      <c r="NL93" s="50"/>
      <c r="NM93" s="50"/>
      <c r="NN93" s="50"/>
      <c r="NO93" s="50"/>
      <c r="NP93" s="50"/>
      <c r="NQ93" s="50"/>
      <c r="NR93" s="50"/>
      <c r="NS93" s="50"/>
      <c r="NT93" s="50"/>
      <c r="NU93" s="50"/>
      <c r="NV93" s="50"/>
      <c r="NW93" s="50"/>
      <c r="NX93" s="50"/>
      <c r="NY93" s="50"/>
      <c r="NZ93" s="50"/>
      <c r="OA93" s="50"/>
      <c r="OB93" s="50"/>
      <c r="OC93" s="50"/>
      <c r="OD93" s="50"/>
      <c r="OE93" s="50"/>
      <c r="PF93" s="50"/>
      <c r="PG93" s="50"/>
      <c r="PH93" s="50"/>
      <c r="PI93" s="50"/>
      <c r="PJ93" s="50"/>
      <c r="PK93" s="50"/>
      <c r="PL93" s="50"/>
      <c r="PM93" s="50"/>
      <c r="PN93" s="50"/>
      <c r="PO93" s="50"/>
      <c r="PP93" s="50"/>
      <c r="PQ93" s="50"/>
      <c r="PR93" s="50"/>
      <c r="PS93" s="50"/>
      <c r="PT93" s="50"/>
      <c r="PU93" s="50"/>
      <c r="PV93" s="50"/>
      <c r="PW93" s="50"/>
      <c r="PX93" s="50"/>
      <c r="PY93" s="50"/>
      <c r="PZ93" s="50"/>
      <c r="QA93" s="50"/>
      <c r="QB93" s="50"/>
      <c r="QC93" s="50"/>
      <c r="QD93" s="50"/>
      <c r="QE93" s="50"/>
      <c r="QF93" s="50"/>
      <c r="QG93" s="50"/>
      <c r="QH93" s="50"/>
      <c r="QI93" s="50"/>
      <c r="ADI93" s="50"/>
      <c r="ADJ93" s="50"/>
      <c r="ADK93" s="50"/>
      <c r="ADL93" s="50"/>
      <c r="ADM93" s="50"/>
      <c r="AWU93">
        <v>150</v>
      </c>
      <c r="AWV93">
        <v>1</v>
      </c>
      <c r="AWY93">
        <v>1</v>
      </c>
      <c r="AXB93">
        <v>28</v>
      </c>
      <c r="AXC93">
        <v>21</v>
      </c>
      <c r="AXD93">
        <v>0</v>
      </c>
      <c r="AXE93">
        <v>6</v>
      </c>
      <c r="AZL93" s="50"/>
      <c r="AZM93" s="50"/>
      <c r="AZN93" s="50"/>
      <c r="BYA93">
        <v>1</v>
      </c>
      <c r="BYB93">
        <v>999</v>
      </c>
      <c r="BYC93">
        <v>999</v>
      </c>
      <c r="BYD93">
        <v>0</v>
      </c>
      <c r="BYE93">
        <v>6</v>
      </c>
      <c r="BZZ93">
        <v>1</v>
      </c>
      <c r="CAA93">
        <v>999</v>
      </c>
      <c r="CAB93" s="15">
        <v>999</v>
      </c>
      <c r="CAC93">
        <v>0</v>
      </c>
      <c r="CAD93">
        <v>6</v>
      </c>
      <c r="CBM93">
        <v>60</v>
      </c>
      <c r="CBN93">
        <v>1</v>
      </c>
      <c r="CBQ93">
        <v>1</v>
      </c>
      <c r="CBR93">
        <v>999</v>
      </c>
      <c r="CBS93">
        <v>999</v>
      </c>
      <c r="CBT93">
        <v>0</v>
      </c>
      <c r="CBU93" s="35">
        <v>999</v>
      </c>
      <c r="CCQ93">
        <v>100</v>
      </c>
      <c r="CCR93">
        <v>1</v>
      </c>
      <c r="CCU93">
        <v>1</v>
      </c>
      <c r="CCV93">
        <v>999</v>
      </c>
      <c r="CCW93" s="15">
        <v>999</v>
      </c>
      <c r="CCX93">
        <v>0</v>
      </c>
      <c r="CCY93">
        <v>6</v>
      </c>
      <c r="CHR93">
        <v>2.5</v>
      </c>
      <c r="CHS93">
        <v>2</v>
      </c>
      <c r="CHV93">
        <v>1</v>
      </c>
      <c r="CHW93">
        <v>999</v>
      </c>
      <c r="CHX93" s="15">
        <v>999</v>
      </c>
      <c r="CHY93">
        <v>0</v>
      </c>
      <c r="CHZ93">
        <v>6</v>
      </c>
      <c r="DEK93">
        <v>100</v>
      </c>
      <c r="DEL93">
        <v>2</v>
      </c>
      <c r="DEO93">
        <v>1</v>
      </c>
      <c r="DEP93">
        <v>999</v>
      </c>
      <c r="DEQ93">
        <v>999</v>
      </c>
      <c r="DER93">
        <v>0</v>
      </c>
      <c r="DES93">
        <v>6</v>
      </c>
      <c r="DKG93">
        <v>2</v>
      </c>
      <c r="DKJ93">
        <v>1</v>
      </c>
      <c r="DKK93">
        <v>999</v>
      </c>
      <c r="DKL93">
        <v>999</v>
      </c>
      <c r="DKM93">
        <v>0</v>
      </c>
      <c r="DKN93" s="35">
        <v>999</v>
      </c>
      <c r="DQC93">
        <v>10</v>
      </c>
      <c r="DQG93">
        <v>1</v>
      </c>
      <c r="DQH93">
        <v>999</v>
      </c>
      <c r="DQI93" s="15">
        <v>999</v>
      </c>
      <c r="DQJ93">
        <v>0</v>
      </c>
      <c r="DQK93">
        <v>6</v>
      </c>
      <c r="DVO93">
        <v>125</v>
      </c>
      <c r="DVP93">
        <v>2</v>
      </c>
      <c r="DVQ93">
        <v>1</v>
      </c>
      <c r="DVT93">
        <v>999</v>
      </c>
      <c r="DVU93" s="15">
        <v>999</v>
      </c>
      <c r="DVV93">
        <v>0</v>
      </c>
      <c r="DVW93">
        <v>8</v>
      </c>
      <c r="DXE93">
        <v>1</v>
      </c>
      <c r="DXH93">
        <v>999</v>
      </c>
      <c r="DXI93" s="15">
        <v>999</v>
      </c>
      <c r="DXJ93">
        <v>0</v>
      </c>
      <c r="DXK93">
        <v>8</v>
      </c>
      <c r="FSM93">
        <v>1</v>
      </c>
      <c r="FSN93">
        <v>999</v>
      </c>
      <c r="FSO93" s="15">
        <v>999</v>
      </c>
      <c r="FSP93">
        <v>0</v>
      </c>
      <c r="FSQ93">
        <v>6</v>
      </c>
      <c r="FUJ93">
        <v>1</v>
      </c>
    </row>
    <row r="94" spans="1:987 1294:2007 2054:3064 3118:4012 4105:4612" x14ac:dyDescent="0.25">
      <c r="A94" s="50">
        <v>8127397</v>
      </c>
      <c r="HE94" s="50"/>
      <c r="HF94" s="50"/>
      <c r="HG94" s="50"/>
      <c r="HH94" s="50"/>
      <c r="HI94" s="50"/>
      <c r="HJ94" s="50"/>
      <c r="HK94" s="50"/>
      <c r="HL94" s="50"/>
      <c r="HM94" s="50"/>
      <c r="HN94" s="50"/>
      <c r="HO94" s="50"/>
      <c r="HP94" s="50"/>
      <c r="HQ94" s="50"/>
      <c r="HR94" s="50"/>
      <c r="HS94" s="50"/>
      <c r="HT94" s="50"/>
      <c r="HU94" s="50"/>
      <c r="HV94" s="50"/>
      <c r="HW94" s="50"/>
      <c r="HX94" s="50"/>
      <c r="HY94" s="50"/>
      <c r="HZ94" s="50"/>
      <c r="IA94" s="50"/>
      <c r="IB94" s="50"/>
      <c r="IC94" s="50"/>
      <c r="ID94" s="50"/>
      <c r="IE94" s="50"/>
      <c r="IF94" s="50"/>
      <c r="IG94" s="50"/>
      <c r="IH94" s="50"/>
      <c r="II94" s="50"/>
      <c r="IJ94" s="50"/>
      <c r="IK94" s="50"/>
      <c r="ND94" s="50"/>
      <c r="NE94" s="50"/>
      <c r="NF94" s="50"/>
      <c r="NG94" s="50"/>
      <c r="NH94" s="50"/>
      <c r="NI94" s="50"/>
      <c r="NJ94" s="50"/>
      <c r="NK94" s="50"/>
      <c r="NL94" s="50"/>
      <c r="NM94" s="50"/>
      <c r="NN94" s="50"/>
      <c r="NO94" s="50"/>
      <c r="NP94" s="50"/>
      <c r="NQ94" s="50"/>
      <c r="NR94" s="50"/>
      <c r="NS94" s="50"/>
      <c r="NT94" s="50"/>
      <c r="NU94" s="50"/>
      <c r="NV94" s="50"/>
      <c r="NW94" s="50"/>
      <c r="NX94" s="50"/>
      <c r="NY94" s="50"/>
      <c r="NZ94" s="50"/>
      <c r="OA94" s="50"/>
      <c r="OB94" s="50"/>
      <c r="OC94" s="50"/>
      <c r="OD94" s="50"/>
      <c r="OE94" s="50"/>
      <c r="PF94" s="50"/>
      <c r="PG94" s="50"/>
      <c r="PH94" s="50"/>
      <c r="PI94" s="50"/>
      <c r="PJ94" s="50"/>
      <c r="PK94" s="50"/>
      <c r="PL94" s="50"/>
      <c r="PM94" s="50"/>
      <c r="PN94" s="50"/>
      <c r="PO94" s="50"/>
      <c r="PP94" s="50"/>
      <c r="PQ94" s="50"/>
      <c r="PR94" s="50"/>
      <c r="PS94" s="50"/>
      <c r="PT94" s="50"/>
      <c r="PU94" s="50"/>
      <c r="PV94" s="50"/>
      <c r="PW94" s="50"/>
      <c r="PX94" s="50"/>
      <c r="PY94" s="50"/>
      <c r="PZ94" s="50"/>
      <c r="QA94" s="50"/>
      <c r="QB94" s="50"/>
      <c r="QC94" s="50"/>
      <c r="QD94" s="50"/>
      <c r="QE94" s="50"/>
      <c r="QF94" s="50"/>
      <c r="QG94" s="50"/>
      <c r="QH94" s="50"/>
      <c r="QI94" s="50"/>
      <c r="ADI94" s="50"/>
      <c r="ADJ94" s="50"/>
      <c r="ADK94" s="50"/>
      <c r="ADL94" s="50"/>
      <c r="ADM94" s="50"/>
      <c r="AWU94">
        <v>150</v>
      </c>
      <c r="AWV94">
        <v>1</v>
      </c>
      <c r="AWY94">
        <v>1</v>
      </c>
      <c r="AXB94">
        <v>2</v>
      </c>
      <c r="AXC94">
        <v>1</v>
      </c>
      <c r="AXD94">
        <v>0</v>
      </c>
      <c r="AXE94">
        <v>0</v>
      </c>
      <c r="AZL94" s="50"/>
      <c r="AZM94" s="50"/>
      <c r="AZN94" s="50"/>
    </row>
    <row r="95" spans="1:987 1294:2007 2054:3064 3118:4012 4105:4612" x14ac:dyDescent="0.25">
      <c r="A95" s="50">
        <v>8130998</v>
      </c>
      <c r="HE95" s="50"/>
      <c r="HF95" s="50"/>
      <c r="HG95" s="50"/>
      <c r="HH95" s="50"/>
      <c r="HI95" s="50"/>
      <c r="HJ95" s="50"/>
      <c r="HK95" s="50"/>
      <c r="HL95" s="50"/>
      <c r="HM95" s="50"/>
      <c r="HN95" s="50"/>
      <c r="HO95" s="50"/>
      <c r="HP95" s="50"/>
      <c r="HQ95" s="50"/>
      <c r="HR95" s="50"/>
      <c r="HS95" s="50"/>
      <c r="HT95" s="50"/>
      <c r="HU95" s="50"/>
      <c r="HV95" s="50"/>
      <c r="HW95" s="50"/>
      <c r="HX95" s="50"/>
      <c r="HY95" s="50"/>
      <c r="HZ95" s="50"/>
      <c r="IA95" s="50"/>
      <c r="IB95" s="50"/>
      <c r="IC95" s="50"/>
      <c r="ID95" s="50"/>
      <c r="IE95" s="50"/>
      <c r="IF95" s="50"/>
      <c r="IG95" s="50"/>
      <c r="IH95" s="50"/>
      <c r="II95" s="50"/>
      <c r="IJ95" s="50"/>
      <c r="IK95" s="50"/>
      <c r="ND95" s="50"/>
      <c r="NE95" s="50"/>
      <c r="NF95" s="50"/>
      <c r="NG95" s="50"/>
      <c r="NH95" s="50"/>
      <c r="NI95" s="50"/>
      <c r="NJ95" s="50"/>
      <c r="NK95" s="50"/>
      <c r="NL95" s="50"/>
      <c r="NM95" s="50"/>
      <c r="NN95" s="50"/>
      <c r="NO95" s="50"/>
      <c r="NP95" s="50"/>
      <c r="NQ95" s="50"/>
      <c r="NR95" s="50"/>
      <c r="NS95" s="50"/>
      <c r="NT95" s="50"/>
      <c r="NU95" s="50"/>
      <c r="NV95" s="50"/>
      <c r="NW95" s="50"/>
      <c r="NX95" s="50"/>
      <c r="NY95" s="50"/>
      <c r="NZ95" s="50"/>
      <c r="OA95" s="50"/>
      <c r="OB95" s="50"/>
      <c r="OC95" s="50"/>
      <c r="OD95" s="50"/>
      <c r="OE95" s="50"/>
      <c r="PF95" s="50"/>
      <c r="PG95" s="50"/>
      <c r="PH95" s="50"/>
      <c r="PI95" s="50"/>
      <c r="PJ95" s="50"/>
      <c r="PK95" s="50"/>
      <c r="PL95" s="50"/>
      <c r="PM95" s="50"/>
      <c r="PN95" s="50"/>
      <c r="PO95" s="50"/>
      <c r="PP95" s="50"/>
      <c r="PQ95" s="50"/>
      <c r="PR95" s="50"/>
      <c r="PS95" s="50"/>
      <c r="PT95" s="50"/>
      <c r="PU95" s="50"/>
      <c r="PV95" s="50"/>
      <c r="PW95" s="50"/>
      <c r="PX95" s="50"/>
      <c r="PY95" s="50"/>
      <c r="PZ95" s="50"/>
      <c r="QA95" s="50"/>
      <c r="QB95" s="50"/>
      <c r="QC95" s="50"/>
      <c r="QD95" s="50"/>
      <c r="QE95" s="50"/>
      <c r="QF95" s="50"/>
      <c r="QG95" s="50"/>
      <c r="QH95" s="50"/>
      <c r="QI95" s="50"/>
      <c r="ADI95" s="50"/>
      <c r="ADJ95" s="50"/>
      <c r="ADK95" s="50"/>
      <c r="ADL95" s="50"/>
      <c r="ADM95" s="50"/>
      <c r="AWY95">
        <v>1</v>
      </c>
      <c r="AXB95">
        <v>999</v>
      </c>
      <c r="AXC95">
        <v>2</v>
      </c>
      <c r="AXD95">
        <v>0</v>
      </c>
      <c r="AXE95" s="35">
        <v>999</v>
      </c>
      <c r="AZL95" s="50"/>
      <c r="AZM95" s="50"/>
      <c r="AZN95" s="50"/>
      <c r="BPS95">
        <v>1</v>
      </c>
      <c r="FUJ95">
        <v>1</v>
      </c>
    </row>
    <row r="96" spans="1:987 1294:2007 2054:3064 3118:4012 4105:4612" x14ac:dyDescent="0.25">
      <c r="A96" s="50">
        <v>9002836</v>
      </c>
      <c r="HE96" s="50"/>
      <c r="HF96" s="50"/>
      <c r="HG96" s="50"/>
      <c r="HH96" s="50"/>
      <c r="HI96" s="50"/>
      <c r="HJ96" s="50"/>
      <c r="HK96" s="50"/>
      <c r="HL96" s="50"/>
      <c r="HM96" s="50"/>
      <c r="HN96" s="50"/>
      <c r="HO96" s="50"/>
      <c r="HP96" s="50"/>
      <c r="HQ96" s="50"/>
      <c r="HR96" s="50"/>
      <c r="HS96" s="50"/>
      <c r="HT96" s="50"/>
      <c r="HU96" s="50"/>
      <c r="HV96" s="50"/>
      <c r="HW96" s="50"/>
      <c r="HX96" s="50"/>
      <c r="HY96" s="50"/>
      <c r="HZ96" s="50"/>
      <c r="IA96" s="50"/>
      <c r="IB96" s="50"/>
      <c r="IC96" s="50"/>
      <c r="ID96" s="50"/>
      <c r="IE96" s="50"/>
      <c r="IF96" s="50"/>
      <c r="IG96" s="50"/>
      <c r="IH96" s="50"/>
      <c r="II96" s="50"/>
      <c r="IJ96" s="50"/>
      <c r="IK96" s="50"/>
      <c r="ND96" s="50"/>
      <c r="NE96" s="50"/>
      <c r="NF96" s="50"/>
      <c r="NG96" s="50"/>
      <c r="NH96" s="50"/>
      <c r="NI96" s="50"/>
      <c r="NJ96" s="50"/>
      <c r="NK96" s="50"/>
      <c r="NL96" s="50"/>
      <c r="NM96" s="50"/>
      <c r="NN96" s="50"/>
      <c r="NO96" s="50"/>
      <c r="NP96" s="50"/>
      <c r="NQ96" s="50"/>
      <c r="NR96" s="50"/>
      <c r="NS96" s="50"/>
      <c r="NT96" s="50"/>
      <c r="NU96" s="50"/>
      <c r="NV96" s="50"/>
      <c r="NW96" s="50"/>
      <c r="NX96" s="50"/>
      <c r="NY96" s="50"/>
      <c r="NZ96" s="50"/>
      <c r="OA96" s="50"/>
      <c r="OB96" s="50"/>
      <c r="OC96" s="50"/>
      <c r="OD96" s="50"/>
      <c r="OE96" s="50"/>
      <c r="PF96" s="50"/>
      <c r="PG96" s="50"/>
      <c r="PH96" s="50"/>
      <c r="PI96" s="50"/>
      <c r="PJ96" s="50"/>
      <c r="PK96" s="50"/>
      <c r="PL96" s="50"/>
      <c r="PM96" s="50"/>
      <c r="PN96" s="50"/>
      <c r="PO96" s="50"/>
      <c r="PP96" s="50"/>
      <c r="PQ96" s="50"/>
      <c r="PR96" s="50"/>
      <c r="PS96" s="50"/>
      <c r="PT96" s="50"/>
      <c r="PU96" s="50"/>
      <c r="PV96" s="50"/>
      <c r="PW96" s="50"/>
      <c r="PX96" s="50"/>
      <c r="PY96" s="50"/>
      <c r="PZ96" s="50"/>
      <c r="QA96" s="50"/>
      <c r="QB96" s="50"/>
      <c r="QC96" s="50"/>
      <c r="QD96" s="50"/>
      <c r="QE96" s="50"/>
      <c r="QF96" s="50"/>
      <c r="QG96" s="50"/>
      <c r="QH96" s="50"/>
      <c r="QI96" s="50"/>
      <c r="ADI96" s="50"/>
      <c r="ADJ96" s="50"/>
      <c r="ADK96" s="50"/>
      <c r="ADL96" s="50"/>
      <c r="ADM96" s="50"/>
      <c r="AZL96" s="50"/>
      <c r="AZM96" s="50"/>
      <c r="AZN96" s="50"/>
    </row>
    <row r="97" spans="1:963 1295:1893 2123:3014 3208:4083 4158:4620" x14ac:dyDescent="0.25">
      <c r="A97" s="50">
        <v>9003331</v>
      </c>
      <c r="T97">
        <v>1.9470000000000001</v>
      </c>
      <c r="U97">
        <v>2.9058000000000002</v>
      </c>
      <c r="FS97">
        <v>188.4</v>
      </c>
      <c r="GA97">
        <v>165.6</v>
      </c>
      <c r="HE97" s="50"/>
      <c r="HF97" s="50"/>
      <c r="HG97" s="50"/>
      <c r="HH97" s="50"/>
      <c r="HI97" s="50"/>
      <c r="HJ97" s="50"/>
      <c r="HK97" s="50"/>
      <c r="HL97" s="50"/>
      <c r="HM97" s="50"/>
      <c r="HN97" s="50"/>
      <c r="HO97" s="50"/>
      <c r="HP97" s="50"/>
      <c r="HQ97" s="50"/>
      <c r="HR97" s="50"/>
      <c r="HS97" s="50"/>
      <c r="HT97" s="50"/>
      <c r="HU97" s="50"/>
      <c r="HV97" s="50"/>
      <c r="HW97" s="50"/>
      <c r="HX97" s="50"/>
      <c r="HY97" s="50"/>
      <c r="HZ97" s="50"/>
      <c r="IA97" s="50"/>
      <c r="IB97" s="50"/>
      <c r="IC97" s="50"/>
      <c r="ID97" s="50"/>
      <c r="IE97" s="50"/>
      <c r="IF97" s="50"/>
      <c r="IG97" s="50"/>
      <c r="IH97" s="50"/>
      <c r="II97" s="50"/>
      <c r="IJ97" s="50"/>
      <c r="IK97" s="50"/>
      <c r="JA97">
        <v>4.2680999999999996</v>
      </c>
      <c r="ND97" s="50"/>
      <c r="NE97" s="50"/>
      <c r="NF97" s="50"/>
      <c r="NG97" s="50"/>
      <c r="NH97" s="50"/>
      <c r="NI97" s="50"/>
      <c r="NJ97" s="50"/>
      <c r="NK97" s="50"/>
      <c r="NL97" s="50"/>
      <c r="NM97" s="50"/>
      <c r="NN97" s="50"/>
      <c r="NO97" s="50"/>
      <c r="NP97" s="50"/>
      <c r="NQ97" s="50"/>
      <c r="NR97" s="50"/>
      <c r="NS97" s="50"/>
      <c r="NT97" s="50"/>
      <c r="NU97" s="50"/>
      <c r="NV97" s="50"/>
      <c r="NW97" s="50"/>
      <c r="NX97" s="50"/>
      <c r="NY97" s="50"/>
      <c r="NZ97" s="50"/>
      <c r="OA97" s="50"/>
      <c r="OB97" s="50"/>
      <c r="OC97" s="50"/>
      <c r="OD97" s="50"/>
      <c r="OE97" s="50"/>
      <c r="PF97" s="50"/>
      <c r="PG97" s="50"/>
      <c r="PH97" s="50"/>
      <c r="PI97" s="50"/>
      <c r="PJ97" s="50"/>
      <c r="PK97" s="50"/>
      <c r="PL97" s="50"/>
      <c r="PM97" s="50"/>
      <c r="PN97" s="50"/>
      <c r="PO97" s="50"/>
      <c r="PP97" s="50"/>
      <c r="PQ97" s="50"/>
      <c r="PR97" s="50"/>
      <c r="PS97" s="50"/>
      <c r="PT97" s="50"/>
      <c r="PU97" s="50"/>
      <c r="PV97" s="50"/>
      <c r="PW97" s="50"/>
      <c r="PX97" s="50"/>
      <c r="PY97" s="50"/>
      <c r="PZ97" s="50"/>
      <c r="QA97" s="50"/>
      <c r="QB97" s="50"/>
      <c r="QC97" s="50"/>
      <c r="QD97" s="50"/>
      <c r="QE97" s="50"/>
      <c r="QF97" s="50"/>
      <c r="QG97" s="50"/>
      <c r="QH97" s="50"/>
      <c r="QI97" s="50"/>
      <c r="ZL97">
        <v>47</v>
      </c>
      <c r="ADI97" s="50"/>
      <c r="ADJ97" s="50"/>
      <c r="ADK97" s="50"/>
      <c r="ADL97" s="50"/>
      <c r="ADM97" s="50"/>
      <c r="AZL97" s="50"/>
      <c r="AZM97" s="50"/>
      <c r="AZN97" s="50"/>
    </row>
    <row r="98" spans="1:963 1295:1893 2123:3014 3208:4083 4158:4620" x14ac:dyDescent="0.25">
      <c r="A98" s="50">
        <v>9003370</v>
      </c>
      <c r="EX98">
        <v>168.6</v>
      </c>
      <c r="HE98" s="50"/>
      <c r="HF98" s="50"/>
      <c r="HG98" s="50"/>
      <c r="HH98" s="50"/>
      <c r="HI98" s="50"/>
      <c r="HJ98" s="50"/>
      <c r="HK98" s="50"/>
      <c r="HL98" s="50"/>
      <c r="HM98" s="50"/>
      <c r="HN98" s="50"/>
      <c r="HO98" s="50"/>
      <c r="HP98" s="50"/>
      <c r="HQ98" s="50"/>
      <c r="HR98" s="50"/>
      <c r="HS98" s="50"/>
      <c r="HT98" s="50"/>
      <c r="HU98" s="50"/>
      <c r="HV98" s="50"/>
      <c r="HW98" s="50"/>
      <c r="HX98" s="50"/>
      <c r="HY98" s="50"/>
      <c r="HZ98" s="50"/>
      <c r="IA98" s="50"/>
      <c r="IB98" s="50"/>
      <c r="IC98" s="50"/>
      <c r="ID98" s="50"/>
      <c r="IE98" s="50"/>
      <c r="IF98" s="50"/>
      <c r="IG98" s="50"/>
      <c r="IH98" s="50"/>
      <c r="II98" s="50">
        <v>0.98409999999999997</v>
      </c>
      <c r="IJ98" s="50"/>
      <c r="IK98" s="50"/>
      <c r="ND98" s="50"/>
      <c r="NE98" s="50"/>
      <c r="NF98" s="50"/>
      <c r="NG98" s="50"/>
      <c r="NH98" s="50"/>
      <c r="NI98" s="50"/>
      <c r="NJ98" s="50"/>
      <c r="NK98" s="50"/>
      <c r="NL98" s="50"/>
      <c r="NM98" s="50"/>
      <c r="NN98" s="50"/>
      <c r="NO98" s="57">
        <v>37.837800000000001</v>
      </c>
      <c r="NP98" s="57"/>
      <c r="NQ98" s="57"/>
      <c r="NR98" s="57"/>
      <c r="NS98" s="50"/>
      <c r="NT98" s="50"/>
      <c r="NU98" s="50"/>
      <c r="NV98" s="50"/>
      <c r="NW98" s="50"/>
      <c r="NX98" s="50"/>
      <c r="NY98" s="50"/>
      <c r="NZ98" s="50"/>
      <c r="OA98" s="50"/>
      <c r="OB98" s="50"/>
      <c r="OC98" s="50"/>
      <c r="OD98" s="50"/>
      <c r="OE98" s="50"/>
      <c r="PF98" s="50"/>
      <c r="PG98" s="50"/>
      <c r="PH98" s="50"/>
      <c r="PI98" s="50"/>
      <c r="PJ98" s="50"/>
      <c r="PK98" s="50"/>
      <c r="PL98" s="50"/>
      <c r="PM98" s="50"/>
      <c r="PN98" s="50"/>
      <c r="PO98" s="50"/>
      <c r="PP98" s="50"/>
      <c r="PQ98" s="50"/>
      <c r="PR98" s="50"/>
      <c r="PS98" s="50"/>
      <c r="PT98" s="50"/>
      <c r="PU98" s="50"/>
      <c r="PV98" s="50"/>
      <c r="PW98" s="50"/>
      <c r="PX98" s="50"/>
      <c r="PY98" s="50"/>
      <c r="PZ98" s="50"/>
      <c r="QA98" s="50"/>
      <c r="QB98" s="50"/>
      <c r="QC98" s="50"/>
      <c r="QD98" s="50"/>
      <c r="QE98" s="50"/>
      <c r="QF98" s="50"/>
      <c r="QG98" s="50"/>
      <c r="QH98" s="50"/>
      <c r="QI98" s="50"/>
      <c r="QY98">
        <v>327000</v>
      </c>
      <c r="YO98">
        <v>43</v>
      </c>
      <c r="ADI98" s="50"/>
      <c r="ADJ98" s="50"/>
      <c r="ADK98" s="50"/>
      <c r="ADL98" s="50"/>
      <c r="ADM98" s="50"/>
      <c r="AET98">
        <v>139</v>
      </c>
      <c r="AFZ98">
        <v>4.2</v>
      </c>
      <c r="AHC98">
        <v>2.2400000000000002</v>
      </c>
      <c r="AWU98">
        <v>50</v>
      </c>
      <c r="AWV98">
        <v>1</v>
      </c>
      <c r="AWY98">
        <v>1</v>
      </c>
      <c r="AXB98">
        <v>1</v>
      </c>
      <c r="AXC98">
        <v>0</v>
      </c>
      <c r="AXD98">
        <v>0</v>
      </c>
      <c r="AXE98">
        <v>0</v>
      </c>
      <c r="AYF98">
        <v>100</v>
      </c>
      <c r="AYG98">
        <v>1</v>
      </c>
      <c r="AYJ98">
        <v>1</v>
      </c>
      <c r="AZL98" s="50"/>
      <c r="AZM98" s="50"/>
      <c r="AZN98" s="50"/>
      <c r="CLD98">
        <v>5</v>
      </c>
      <c r="CLE98">
        <v>1</v>
      </c>
      <c r="CLH98">
        <v>1</v>
      </c>
      <c r="CQQ98">
        <v>40</v>
      </c>
      <c r="CQR98">
        <v>1</v>
      </c>
      <c r="CQU98">
        <v>1</v>
      </c>
      <c r="CTU98">
        <v>47.5</v>
      </c>
      <c r="CTV98">
        <v>1</v>
      </c>
      <c r="CTY98">
        <v>1</v>
      </c>
      <c r="CZX98">
        <v>20</v>
      </c>
      <c r="CZY98">
        <v>1</v>
      </c>
      <c r="DAB98">
        <v>1</v>
      </c>
      <c r="DDP98">
        <v>48</v>
      </c>
      <c r="DDT98">
        <v>1</v>
      </c>
    </row>
    <row r="99" spans="1:963 1295:1893 2123:3014 3208:4083 4158:4620" x14ac:dyDescent="0.25">
      <c r="A99" s="50">
        <v>9016278</v>
      </c>
      <c r="C99" s="3">
        <v>29.870799999999999</v>
      </c>
      <c r="D99" s="3">
        <v>28.900200000000002</v>
      </c>
      <c r="G99" s="3">
        <v>25.5442</v>
      </c>
      <c r="K99">
        <v>17.850000000000001</v>
      </c>
      <c r="AB99" s="3">
        <v>29.870799999999999</v>
      </c>
      <c r="AC99" s="3"/>
      <c r="AD99" s="3"/>
      <c r="AE99" s="3"/>
      <c r="AF99" s="3"/>
      <c r="AG99" s="3">
        <v>28.900200000000002</v>
      </c>
      <c r="AH99" s="3"/>
      <c r="AI99" s="3"/>
      <c r="AL99" s="3">
        <v>25.5442</v>
      </c>
      <c r="AP99">
        <v>17.850000000000001</v>
      </c>
      <c r="HE99" s="50"/>
      <c r="HF99" s="50"/>
      <c r="HG99" s="50"/>
      <c r="HH99" s="50"/>
      <c r="HI99" s="50"/>
      <c r="HJ99" s="50"/>
      <c r="HK99" s="50"/>
      <c r="HL99" s="50"/>
      <c r="HM99" s="50"/>
      <c r="HN99" s="50"/>
      <c r="HO99" s="50"/>
      <c r="HP99" s="50"/>
      <c r="HQ99" s="50"/>
      <c r="HR99" s="50"/>
      <c r="HS99" s="50"/>
      <c r="HT99" s="50"/>
      <c r="HU99" s="50"/>
      <c r="HV99" s="50"/>
      <c r="HW99" s="50"/>
      <c r="HX99" s="50"/>
      <c r="HY99" s="50"/>
      <c r="HZ99" s="50"/>
      <c r="IA99" s="57">
        <v>1.9117</v>
      </c>
      <c r="IB99" s="57"/>
      <c r="IC99" s="57"/>
      <c r="ID99" s="50"/>
      <c r="IE99" s="50"/>
      <c r="IF99" s="50"/>
      <c r="IG99" s="50"/>
      <c r="IH99" s="50"/>
      <c r="II99" s="50"/>
      <c r="IJ99" s="50"/>
      <c r="IK99" s="50"/>
      <c r="KK99">
        <v>113.4</v>
      </c>
      <c r="KN99">
        <v>100.8</v>
      </c>
      <c r="LU99">
        <v>72.5</v>
      </c>
      <c r="LY99">
        <v>35.6</v>
      </c>
      <c r="MD99">
        <v>62.7</v>
      </c>
      <c r="ND99" s="50"/>
      <c r="NE99" s="50"/>
      <c r="NF99" s="50"/>
      <c r="NG99" s="50"/>
      <c r="NH99" s="57">
        <v>72.072000000000003</v>
      </c>
      <c r="NI99" s="50"/>
      <c r="NJ99" s="50"/>
      <c r="NK99" s="50"/>
      <c r="NL99" s="57">
        <v>56.456400000000002</v>
      </c>
      <c r="NM99" s="50"/>
      <c r="NN99" s="50"/>
      <c r="NO99" s="50"/>
      <c r="NP99" s="50"/>
      <c r="NQ99" s="57">
        <v>54.654600000000002</v>
      </c>
      <c r="NR99" s="50"/>
      <c r="NS99" s="50"/>
      <c r="NT99" s="50"/>
      <c r="NU99" s="50"/>
      <c r="NV99" s="50"/>
      <c r="NW99" s="50"/>
      <c r="NX99" s="50"/>
      <c r="NY99" s="50"/>
      <c r="NZ99" s="50"/>
      <c r="OA99" s="50"/>
      <c r="OB99" s="50"/>
      <c r="OC99" s="50"/>
      <c r="OD99" s="50"/>
      <c r="OE99" s="50"/>
      <c r="PF99" s="50"/>
      <c r="PG99" s="50">
        <v>4180000</v>
      </c>
      <c r="PH99" s="50"/>
      <c r="PI99" s="50"/>
      <c r="PJ99" s="50"/>
      <c r="PK99" s="50">
        <v>4020000</v>
      </c>
      <c r="PL99" s="50"/>
      <c r="PM99" s="50"/>
      <c r="PN99" s="50"/>
      <c r="PO99" s="50"/>
      <c r="PP99" s="50">
        <v>3630000</v>
      </c>
      <c r="PQ99" s="50"/>
      <c r="PR99" s="50"/>
      <c r="PS99" s="50"/>
      <c r="PT99" s="50"/>
      <c r="PU99" s="50"/>
      <c r="PV99" s="50"/>
      <c r="PW99" s="50"/>
      <c r="PX99" s="50"/>
      <c r="PY99" s="50"/>
      <c r="PZ99" s="50"/>
      <c r="QA99" s="50"/>
      <c r="QB99" s="50"/>
      <c r="QC99" s="50"/>
      <c r="QD99" s="50"/>
      <c r="QE99" s="50"/>
      <c r="QF99" s="50"/>
      <c r="QG99" s="50"/>
      <c r="QH99" s="50"/>
      <c r="QI99" s="50"/>
      <c r="QR99">
        <v>426000</v>
      </c>
      <c r="QV99">
        <v>444000</v>
      </c>
      <c r="YH99">
        <v>36</v>
      </c>
      <c r="YL99">
        <v>32</v>
      </c>
      <c r="YQ99">
        <v>31</v>
      </c>
      <c r="ADI99" s="50"/>
      <c r="ADJ99" s="50"/>
      <c r="ADK99" s="50"/>
      <c r="ADL99" s="50"/>
      <c r="ADM99" s="50"/>
      <c r="AIW99">
        <v>748</v>
      </c>
      <c r="AIX99" s="10"/>
      <c r="AIY99" s="10"/>
      <c r="AWY99">
        <v>1</v>
      </c>
      <c r="AYF99">
        <v>100</v>
      </c>
      <c r="AZL99" s="50"/>
      <c r="AZM99" s="50"/>
      <c r="AZN99" s="50"/>
      <c r="DDT99">
        <v>1</v>
      </c>
      <c r="FOI99">
        <v>1</v>
      </c>
    </row>
    <row r="100" spans="1:963 1295:1893 2123:3014 3208:4083 4158:4620" x14ac:dyDescent="0.25">
      <c r="A100" s="50">
        <v>9030684</v>
      </c>
      <c r="HE100" s="50"/>
      <c r="HF100" s="50"/>
      <c r="HG100" s="50"/>
      <c r="HH100" s="50"/>
      <c r="HI100" s="50"/>
      <c r="HJ100" s="50"/>
      <c r="HK100" s="50"/>
      <c r="HL100" s="50"/>
      <c r="HM100" s="50"/>
      <c r="HN100" s="50"/>
      <c r="HO100" s="50"/>
      <c r="HP100" s="50"/>
      <c r="HQ100" s="50"/>
      <c r="HR100" s="50"/>
      <c r="HS100" s="50"/>
      <c r="HT100" s="50"/>
      <c r="HU100" s="50"/>
      <c r="HV100" s="50"/>
      <c r="HW100" s="50"/>
      <c r="HX100" s="50"/>
      <c r="HY100" s="50"/>
      <c r="HZ100" s="50"/>
      <c r="IA100" s="50"/>
      <c r="IB100" s="50"/>
      <c r="IC100" s="50"/>
      <c r="ID100" s="50"/>
      <c r="IE100" s="50"/>
      <c r="IF100" s="50"/>
      <c r="IG100" s="50"/>
      <c r="IH100" s="50"/>
      <c r="II100" s="57">
        <v>1.4592000000000001</v>
      </c>
      <c r="IJ100" s="57"/>
      <c r="IK100" s="50"/>
      <c r="IN100">
        <v>0.84840000000000004</v>
      </c>
      <c r="ND100" s="50"/>
      <c r="NE100" s="50"/>
      <c r="NF100" s="50"/>
      <c r="NG100" s="50"/>
      <c r="NH100" s="50"/>
      <c r="NI100" s="50"/>
      <c r="NJ100" s="50"/>
      <c r="NK100" s="50"/>
      <c r="NL100" s="50"/>
      <c r="NM100" s="50"/>
      <c r="NN100" s="50"/>
      <c r="NO100" s="57">
        <v>142.34219999999999</v>
      </c>
      <c r="NP100" s="50"/>
      <c r="NQ100" s="50"/>
      <c r="NR100" s="50"/>
      <c r="NS100" s="57">
        <v>29.429400000000001</v>
      </c>
      <c r="NT100" s="50"/>
      <c r="NU100" s="50"/>
      <c r="NV100" s="50"/>
      <c r="NW100" s="50"/>
      <c r="NX100" s="50"/>
      <c r="NY100" s="50"/>
      <c r="NZ100" s="50"/>
      <c r="OA100" s="50"/>
      <c r="OB100" s="50"/>
      <c r="OC100" s="50"/>
      <c r="OD100" s="50"/>
      <c r="OE100" s="50"/>
      <c r="PF100" s="50"/>
      <c r="PG100" s="50"/>
      <c r="PH100" s="50"/>
      <c r="PI100" s="50"/>
      <c r="PJ100" s="50"/>
      <c r="PK100" s="50"/>
      <c r="PL100" s="50"/>
      <c r="PM100" s="50"/>
      <c r="PN100" s="50">
        <v>2600000</v>
      </c>
      <c r="PO100" s="50">
        <v>3100000</v>
      </c>
      <c r="PP100" s="50"/>
      <c r="PQ100" s="50"/>
      <c r="PR100" s="50"/>
      <c r="PS100" s="50"/>
      <c r="PT100" s="50"/>
      <c r="PU100" s="50"/>
      <c r="PV100" s="50"/>
      <c r="PW100" s="50"/>
      <c r="PX100" s="50"/>
      <c r="PY100" s="50">
        <v>4100000</v>
      </c>
      <c r="PZ100" s="50"/>
      <c r="QA100" s="50"/>
      <c r="QB100" s="50"/>
      <c r="QC100" s="50"/>
      <c r="QD100" s="50"/>
      <c r="QE100" s="50"/>
      <c r="QF100" s="50"/>
      <c r="QG100" s="50"/>
      <c r="QH100" s="50"/>
      <c r="QI100" s="50"/>
      <c r="QY100">
        <v>333000</v>
      </c>
      <c r="RJ100">
        <v>350000</v>
      </c>
      <c r="YO100">
        <v>22</v>
      </c>
      <c r="YP100">
        <v>26</v>
      </c>
      <c r="YZ100">
        <v>35</v>
      </c>
      <c r="ADI100" s="50"/>
      <c r="ADJ100" s="50"/>
      <c r="ADK100" s="50"/>
      <c r="ADL100" s="50"/>
      <c r="ADM100" s="50"/>
      <c r="AWY100">
        <v>1</v>
      </c>
      <c r="AYF100">
        <v>100</v>
      </c>
      <c r="AYJ100">
        <v>1</v>
      </c>
      <c r="AZL100" s="50"/>
      <c r="AZM100" s="50"/>
      <c r="AZN100" s="50"/>
      <c r="DDT100">
        <v>1</v>
      </c>
      <c r="FOI100">
        <v>1</v>
      </c>
    </row>
    <row r="101" spans="1:963 1295:1893 2123:3014 3208:4083 4158:4620" x14ac:dyDescent="0.25">
      <c r="A101" s="50">
        <v>9031387</v>
      </c>
      <c r="FS101" s="3">
        <v>47.4</v>
      </c>
      <c r="FT101" s="3"/>
      <c r="FU101" s="3"/>
      <c r="FV101" s="3"/>
      <c r="FW101" s="3"/>
      <c r="FX101" s="3"/>
      <c r="HE101" s="50"/>
      <c r="HF101" s="50"/>
      <c r="HG101" s="50"/>
      <c r="HH101" s="50"/>
      <c r="HI101" s="50"/>
      <c r="HJ101" s="50"/>
      <c r="HK101" s="50"/>
      <c r="HL101" s="50"/>
      <c r="HM101" s="50"/>
      <c r="HN101" s="50"/>
      <c r="HO101" s="50"/>
      <c r="HP101" s="50"/>
      <c r="HQ101" s="50"/>
      <c r="HR101" s="50"/>
      <c r="HS101" s="50"/>
      <c r="HT101" s="50"/>
      <c r="HU101" s="50"/>
      <c r="HV101" s="50"/>
      <c r="HW101" s="50"/>
      <c r="HX101" s="50"/>
      <c r="HY101" s="50"/>
      <c r="HZ101" s="50"/>
      <c r="IA101" s="50"/>
      <c r="IB101" s="50"/>
      <c r="IC101" s="50"/>
      <c r="ID101" s="50"/>
      <c r="IE101" s="50"/>
      <c r="IF101" s="50"/>
      <c r="IG101" s="50"/>
      <c r="IH101" s="50"/>
      <c r="II101" s="50"/>
      <c r="IJ101" s="50"/>
      <c r="IK101" s="50"/>
      <c r="JA101" s="3">
        <v>1.1537999999999999</v>
      </c>
      <c r="ND101" s="50"/>
      <c r="NE101" s="50"/>
      <c r="NF101" s="50"/>
      <c r="NG101" s="50"/>
      <c r="NH101" s="50"/>
      <c r="NI101" s="50"/>
      <c r="NJ101" s="50"/>
      <c r="NK101" s="50"/>
      <c r="NL101" s="50"/>
      <c r="NM101" s="50"/>
      <c r="NN101" s="50"/>
      <c r="NO101" s="50"/>
      <c r="NP101" s="50"/>
      <c r="NQ101" s="50"/>
      <c r="NR101" s="50"/>
      <c r="NS101" s="50"/>
      <c r="NT101" s="50"/>
      <c r="NU101" s="50"/>
      <c r="NV101" s="50"/>
      <c r="NW101" s="50"/>
      <c r="NX101" s="50"/>
      <c r="NY101" s="50"/>
      <c r="NZ101" s="50"/>
      <c r="OA101" s="50"/>
      <c r="OB101" s="50"/>
      <c r="OC101" s="57">
        <v>64.864800000000002</v>
      </c>
      <c r="OD101" s="50"/>
      <c r="OE101" s="50"/>
      <c r="PF101" s="50"/>
      <c r="PG101" s="50"/>
      <c r="PH101" s="50"/>
      <c r="PI101" s="50"/>
      <c r="PJ101" s="50"/>
      <c r="PK101" s="50"/>
      <c r="PL101" s="50"/>
      <c r="PM101" s="50"/>
      <c r="PN101" s="50"/>
      <c r="PO101" s="50"/>
      <c r="PP101" s="50"/>
      <c r="PQ101" s="50"/>
      <c r="PR101" s="50"/>
      <c r="PS101" s="50"/>
      <c r="PT101" s="50"/>
      <c r="PU101" s="50"/>
      <c r="PV101" s="50"/>
      <c r="PW101" s="50"/>
      <c r="PX101" s="50"/>
      <c r="PY101" s="50"/>
      <c r="PZ101" s="50"/>
      <c r="QA101" s="50"/>
      <c r="QB101" s="50"/>
      <c r="QC101" s="50"/>
      <c r="QD101" s="50">
        <v>7000</v>
      </c>
      <c r="QE101" s="50"/>
      <c r="QF101" s="50"/>
      <c r="QG101" s="50"/>
      <c r="QH101" s="50"/>
      <c r="QI101" s="50"/>
      <c r="RQ101">
        <v>328000</v>
      </c>
      <c r="ZF101">
        <v>42</v>
      </c>
      <c r="ADI101" s="50"/>
      <c r="ADJ101" s="50"/>
      <c r="ADK101" s="50"/>
      <c r="ADL101" s="50"/>
      <c r="ADM101" s="50"/>
      <c r="AFK101">
        <v>142</v>
      </c>
      <c r="AGP101">
        <v>3.75</v>
      </c>
      <c r="AHP101">
        <v>2.5299999999999998</v>
      </c>
      <c r="AIG101">
        <v>106</v>
      </c>
      <c r="AWU101">
        <v>75</v>
      </c>
      <c r="AWV101">
        <v>1</v>
      </c>
      <c r="AWY101">
        <v>1</v>
      </c>
      <c r="AXB101">
        <v>42</v>
      </c>
      <c r="AXC101">
        <v>21</v>
      </c>
      <c r="AXD101">
        <v>0</v>
      </c>
      <c r="AXE101">
        <v>20</v>
      </c>
      <c r="AZL101" s="50"/>
      <c r="AZM101" s="50"/>
      <c r="AZN101" s="50"/>
      <c r="BBV101">
        <v>7.5</v>
      </c>
      <c r="BBW101">
        <v>1</v>
      </c>
      <c r="BBZ101">
        <v>1</v>
      </c>
      <c r="BCA101">
        <v>999</v>
      </c>
      <c r="BCB101">
        <v>999</v>
      </c>
      <c r="BCC101">
        <v>0</v>
      </c>
      <c r="BCD101" s="35">
        <v>999</v>
      </c>
      <c r="CLX101">
        <v>10</v>
      </c>
      <c r="CLY101">
        <v>1</v>
      </c>
      <c r="CMB101">
        <v>1</v>
      </c>
      <c r="CMC101">
        <v>999</v>
      </c>
      <c r="CMD101">
        <v>999</v>
      </c>
      <c r="CME101">
        <v>0</v>
      </c>
      <c r="CMF101" s="35">
        <v>999</v>
      </c>
      <c r="CUY101">
        <v>320</v>
      </c>
      <c r="CUZ101">
        <v>1</v>
      </c>
      <c r="CVC101">
        <v>1</v>
      </c>
      <c r="CVD101">
        <v>999</v>
      </c>
      <c r="CVE101">
        <v>213</v>
      </c>
      <c r="CVF101">
        <v>0</v>
      </c>
      <c r="CVG101" s="35">
        <v>999</v>
      </c>
      <c r="CVJ101">
        <v>1.5</v>
      </c>
      <c r="CVK101">
        <v>1</v>
      </c>
      <c r="CVN101">
        <v>1</v>
      </c>
      <c r="CVO101">
        <v>999</v>
      </c>
      <c r="CVP101">
        <v>999</v>
      </c>
      <c r="CVQ101">
        <v>16</v>
      </c>
      <c r="CZX101">
        <v>10</v>
      </c>
      <c r="CZY101">
        <v>1</v>
      </c>
      <c r="DAB101">
        <v>1</v>
      </c>
      <c r="DKF101">
        <v>40</v>
      </c>
      <c r="DKG101">
        <v>1</v>
      </c>
      <c r="DKJ101">
        <v>1</v>
      </c>
      <c r="DKK101">
        <v>999</v>
      </c>
      <c r="DKL101">
        <v>999</v>
      </c>
      <c r="DKM101">
        <v>0</v>
      </c>
      <c r="DKN101" s="35">
        <v>999</v>
      </c>
      <c r="EXT101">
        <v>125</v>
      </c>
      <c r="EXU101">
        <v>1</v>
      </c>
      <c r="EXX101">
        <v>1</v>
      </c>
      <c r="EXY101">
        <v>999</v>
      </c>
      <c r="EXZ101">
        <v>999</v>
      </c>
      <c r="EYA101">
        <v>0</v>
      </c>
      <c r="EYB101" s="35">
        <v>999</v>
      </c>
    </row>
    <row r="102" spans="1:963 1295:1893 2123:3014 3208:4083 4158:4620" x14ac:dyDescent="0.25">
      <c r="A102" s="50">
        <v>9038676</v>
      </c>
      <c r="HE102" s="50"/>
      <c r="HF102" s="50"/>
      <c r="HG102" s="50"/>
      <c r="HH102" s="50"/>
      <c r="HI102" s="50"/>
      <c r="HJ102" s="50"/>
      <c r="HK102" s="50"/>
      <c r="HL102" s="50"/>
      <c r="HM102" s="50"/>
      <c r="HN102" s="50"/>
      <c r="HO102" s="50"/>
      <c r="HP102" s="50"/>
      <c r="HQ102" s="50"/>
      <c r="HR102" s="50"/>
      <c r="HS102" s="50"/>
      <c r="HT102" s="50"/>
      <c r="HU102" s="50"/>
      <c r="HV102" s="50"/>
      <c r="HW102" s="50"/>
      <c r="HX102" s="50"/>
      <c r="HY102" s="50"/>
      <c r="HZ102" s="50"/>
      <c r="IA102" s="50"/>
      <c r="IB102" s="50"/>
      <c r="IC102" s="50"/>
      <c r="ID102" s="50"/>
      <c r="IE102" s="50"/>
      <c r="IF102" s="50"/>
      <c r="IG102" s="50"/>
      <c r="IH102" s="50"/>
      <c r="II102" s="50">
        <v>0.79179999999999995</v>
      </c>
      <c r="IJ102" s="50"/>
      <c r="IK102" s="50">
        <v>0.85970000000000002</v>
      </c>
      <c r="ND102" s="50"/>
      <c r="NE102" s="50"/>
      <c r="NF102" s="50"/>
      <c r="NG102" s="50"/>
      <c r="NH102" s="50"/>
      <c r="NI102" s="50"/>
      <c r="NJ102" s="50"/>
      <c r="NK102" s="50"/>
      <c r="NL102" s="50"/>
      <c r="NM102" s="50"/>
      <c r="NN102" s="50"/>
      <c r="NO102" s="50"/>
      <c r="NP102" s="50"/>
      <c r="NQ102" s="50"/>
      <c r="NR102" s="50"/>
      <c r="NS102" s="50"/>
      <c r="NT102" s="50"/>
      <c r="NU102" s="50"/>
      <c r="NV102" s="50"/>
      <c r="NW102" s="50"/>
      <c r="NX102" s="50"/>
      <c r="NY102" s="50"/>
      <c r="NZ102" s="50"/>
      <c r="OA102" s="50"/>
      <c r="OB102" s="50"/>
      <c r="OC102" s="50"/>
      <c r="OD102" s="50"/>
      <c r="OE102" s="50"/>
      <c r="PF102" s="50"/>
      <c r="PG102" s="50"/>
      <c r="PH102" s="50"/>
      <c r="PI102" s="50"/>
      <c r="PJ102" s="50"/>
      <c r="PK102" s="50"/>
      <c r="PL102" s="50"/>
      <c r="PM102" s="50"/>
      <c r="PN102" s="50"/>
      <c r="PO102" s="50"/>
      <c r="PP102" s="50"/>
      <c r="PQ102" s="50"/>
      <c r="PR102" s="50"/>
      <c r="PS102" s="50"/>
      <c r="PT102" s="50"/>
      <c r="PU102" s="50"/>
      <c r="PV102" s="50"/>
      <c r="PW102" s="50"/>
      <c r="PX102" s="50"/>
      <c r="PY102" s="50"/>
      <c r="PZ102" s="50"/>
      <c r="QA102" s="50"/>
      <c r="QB102" s="50"/>
      <c r="QC102" s="50"/>
      <c r="QD102" s="50"/>
      <c r="QE102" s="50"/>
      <c r="QF102" s="50"/>
      <c r="QG102" s="50"/>
      <c r="QH102" s="50"/>
      <c r="QI102" s="50"/>
      <c r="YO102">
        <v>44.6</v>
      </c>
      <c r="YQ102">
        <v>39.9</v>
      </c>
      <c r="ADI102" s="50"/>
      <c r="ADJ102" s="50"/>
      <c r="ADK102" s="50"/>
      <c r="ADL102" s="50"/>
      <c r="ADM102" s="50"/>
      <c r="AET102">
        <v>140</v>
      </c>
      <c r="AEV102">
        <v>145</v>
      </c>
      <c r="AFZ102">
        <v>3.7</v>
      </c>
      <c r="AGB102">
        <v>4.4000000000000004</v>
      </c>
      <c r="AWU102">
        <v>75</v>
      </c>
      <c r="AWV102">
        <v>1</v>
      </c>
      <c r="AWY102">
        <v>1</v>
      </c>
      <c r="AXB102">
        <v>999</v>
      </c>
      <c r="AXC102">
        <v>999</v>
      </c>
      <c r="AXD102">
        <v>0</v>
      </c>
      <c r="AXE102" s="35">
        <v>999</v>
      </c>
      <c r="AZL102" s="50"/>
      <c r="AZM102" s="50"/>
      <c r="AZN102" s="50"/>
      <c r="CFS102">
        <v>16</v>
      </c>
      <c r="CFT102">
        <v>1</v>
      </c>
      <c r="CFW102">
        <v>1</v>
      </c>
      <c r="CLD102">
        <v>3</v>
      </c>
      <c r="CLE102">
        <v>2</v>
      </c>
      <c r="CLH102">
        <v>1</v>
      </c>
      <c r="CPB102">
        <v>0.05</v>
      </c>
      <c r="CPC102">
        <v>1</v>
      </c>
      <c r="CPF102">
        <v>1</v>
      </c>
      <c r="CSF102">
        <v>200</v>
      </c>
      <c r="CSG102">
        <v>1</v>
      </c>
      <c r="CSJ102">
        <v>1</v>
      </c>
      <c r="CSK102">
        <v>999</v>
      </c>
      <c r="CSL102">
        <v>999</v>
      </c>
      <c r="CSM102">
        <v>0</v>
      </c>
      <c r="CSN102" s="35">
        <v>999</v>
      </c>
      <c r="CSP102">
        <v>120</v>
      </c>
      <c r="CSQ102">
        <v>2</v>
      </c>
      <c r="CST102">
        <v>1</v>
      </c>
      <c r="CSU102">
        <v>999</v>
      </c>
      <c r="CSV102">
        <v>999</v>
      </c>
      <c r="CSW102">
        <v>0</v>
      </c>
      <c r="CSX102" s="35">
        <v>999</v>
      </c>
      <c r="CVJ102">
        <v>1.5</v>
      </c>
      <c r="CVK102">
        <v>1</v>
      </c>
      <c r="CVN102">
        <v>1</v>
      </c>
      <c r="CVO102">
        <v>999</v>
      </c>
      <c r="CVP102">
        <v>999</v>
      </c>
      <c r="CVQ102">
        <v>0</v>
      </c>
      <c r="CVR102">
        <v>0</v>
      </c>
      <c r="DKP102">
        <v>40</v>
      </c>
      <c r="DKQ102">
        <v>1</v>
      </c>
      <c r="DKT102">
        <v>1</v>
      </c>
      <c r="DKU102">
        <v>999</v>
      </c>
      <c r="DKV102">
        <v>999</v>
      </c>
      <c r="DKW102">
        <v>0</v>
      </c>
      <c r="DKX102" s="35">
        <v>999</v>
      </c>
      <c r="EWZ102">
        <v>125</v>
      </c>
      <c r="EXA102">
        <v>1</v>
      </c>
    </row>
    <row r="103" spans="1:963 1295:1893 2123:3014 3208:4083 4158:4620" x14ac:dyDescent="0.25">
      <c r="A103" s="50">
        <v>9039416</v>
      </c>
      <c r="H103">
        <v>0.27479999999999999</v>
      </c>
      <c r="FA103">
        <v>138.6</v>
      </c>
      <c r="HE103" s="50"/>
      <c r="HF103" s="50"/>
      <c r="HG103" s="50"/>
      <c r="HH103" s="50"/>
      <c r="HI103" s="50"/>
      <c r="HJ103" s="50"/>
      <c r="HK103" s="50"/>
      <c r="HL103" s="50"/>
      <c r="HM103" s="50"/>
      <c r="HN103" s="50"/>
      <c r="HO103" s="50"/>
      <c r="HP103" s="50"/>
      <c r="HQ103" s="50"/>
      <c r="HR103" s="50"/>
      <c r="HS103" s="50"/>
      <c r="HT103" s="50"/>
      <c r="HU103" s="50"/>
      <c r="HV103" s="50"/>
      <c r="HW103" s="50"/>
      <c r="HX103" s="50"/>
      <c r="HY103" s="50"/>
      <c r="HZ103" s="50"/>
      <c r="IA103" s="50"/>
      <c r="IB103" s="50"/>
      <c r="IC103" s="50"/>
      <c r="ID103" s="50"/>
      <c r="IE103" s="50"/>
      <c r="IF103" s="50"/>
      <c r="IG103" s="50"/>
      <c r="IH103" s="50"/>
      <c r="II103" s="50"/>
      <c r="IJ103" s="50"/>
      <c r="IK103" s="50"/>
      <c r="IL103" s="3">
        <v>1.3008999999999999</v>
      </c>
      <c r="JW103">
        <v>39.6</v>
      </c>
      <c r="KU103">
        <v>21.6</v>
      </c>
      <c r="ME103">
        <v>136</v>
      </c>
      <c r="MF103">
        <v>111</v>
      </c>
      <c r="MH103">
        <v>42.9</v>
      </c>
      <c r="ND103" s="50"/>
      <c r="NE103" s="50"/>
      <c r="NF103" s="50"/>
      <c r="NG103" s="50"/>
      <c r="NH103" s="50"/>
      <c r="NI103" s="50"/>
      <c r="NJ103" s="50"/>
      <c r="NK103" s="50"/>
      <c r="NL103" s="50"/>
      <c r="NM103" s="50"/>
      <c r="NN103" s="50"/>
      <c r="NO103" s="50"/>
      <c r="NP103" s="50"/>
      <c r="NQ103" s="50"/>
      <c r="NR103" s="50"/>
      <c r="NS103" s="50"/>
      <c r="NT103" s="50"/>
      <c r="NU103" s="50"/>
      <c r="NV103" s="50"/>
      <c r="NW103" s="50"/>
      <c r="NX103" s="50"/>
      <c r="NY103" s="50"/>
      <c r="NZ103" s="50"/>
      <c r="OA103" s="50"/>
      <c r="OB103" s="50"/>
      <c r="OC103" s="50"/>
      <c r="OD103" s="50"/>
      <c r="OE103" s="50"/>
      <c r="PF103" s="50"/>
      <c r="PG103" s="50"/>
      <c r="PH103" s="50"/>
      <c r="PI103" s="50"/>
      <c r="PJ103" s="50"/>
      <c r="PK103" s="50"/>
      <c r="PL103" s="50"/>
      <c r="PM103" s="50"/>
      <c r="PN103" s="50"/>
      <c r="PO103" s="50"/>
      <c r="PP103" s="50"/>
      <c r="PQ103" s="50"/>
      <c r="PR103" s="50">
        <v>3360000</v>
      </c>
      <c r="PS103" s="50"/>
      <c r="PT103" s="50"/>
      <c r="PU103" s="50"/>
      <c r="PV103" s="50"/>
      <c r="PW103" s="50"/>
      <c r="PX103" s="50"/>
      <c r="PY103" s="50"/>
      <c r="PZ103" s="50"/>
      <c r="QA103" s="50"/>
      <c r="QB103" s="50"/>
      <c r="QC103" s="50"/>
      <c r="QD103" s="50"/>
      <c r="QE103" s="50"/>
      <c r="QF103" s="50"/>
      <c r="QG103" s="50"/>
      <c r="QH103" s="50"/>
      <c r="QI103" s="50"/>
      <c r="RB103">
        <v>216000</v>
      </c>
      <c r="RC103">
        <v>207000</v>
      </c>
      <c r="RJ103">
        <v>339000</v>
      </c>
      <c r="RU103">
        <v>414000</v>
      </c>
      <c r="YR103">
        <v>30</v>
      </c>
      <c r="YS103">
        <v>28</v>
      </c>
      <c r="YZ103">
        <v>27</v>
      </c>
      <c r="ZJ103">
        <v>31</v>
      </c>
      <c r="AAK103">
        <v>91.4</v>
      </c>
      <c r="ABQ103">
        <v>30.213750000000001</v>
      </c>
      <c r="ACT103" s="3">
        <v>33.033700000000003</v>
      </c>
      <c r="ACU103" s="3"/>
      <c r="ACV103" s="3"/>
      <c r="ACW103" s="3"/>
      <c r="ACX103" s="3"/>
      <c r="ACY103" s="3"/>
      <c r="ACZ103" s="3"/>
      <c r="ADA103" s="3"/>
      <c r="ADB103" s="3"/>
      <c r="ADI103" s="50"/>
      <c r="ADJ103" s="50"/>
      <c r="ADK103" s="50"/>
      <c r="ADL103" s="50"/>
      <c r="ADM103" s="50"/>
      <c r="AEX103">
        <v>128</v>
      </c>
      <c r="AEY103">
        <v>132</v>
      </c>
      <c r="AGD103">
        <v>5.0999999999999996</v>
      </c>
      <c r="AGE103">
        <v>4.7</v>
      </c>
      <c r="AHH103">
        <v>2.1</v>
      </c>
      <c r="AWU103">
        <v>75</v>
      </c>
      <c r="AWV103">
        <v>1</v>
      </c>
      <c r="AWY103">
        <v>1</v>
      </c>
      <c r="AXB103">
        <v>30</v>
      </c>
      <c r="AXC103">
        <v>30</v>
      </c>
      <c r="AXD103">
        <v>0</v>
      </c>
      <c r="AXE103">
        <v>3</v>
      </c>
      <c r="AZL103" s="50">
        <v>500</v>
      </c>
      <c r="AZM103" s="50">
        <v>3</v>
      </c>
      <c r="AZN103" s="50"/>
      <c r="AZP103">
        <v>1</v>
      </c>
      <c r="AZQ103" s="35">
        <v>999</v>
      </c>
      <c r="AZR103">
        <v>30</v>
      </c>
      <c r="AZS103">
        <v>1</v>
      </c>
      <c r="AZT103">
        <v>999</v>
      </c>
      <c r="BGP103" t="s">
        <v>1011</v>
      </c>
      <c r="BGQ103">
        <v>0.33329999999999999</v>
      </c>
      <c r="BGT103">
        <v>1</v>
      </c>
      <c r="CEO103">
        <v>10</v>
      </c>
      <c r="CEP103">
        <v>1</v>
      </c>
      <c r="CES103">
        <v>1</v>
      </c>
      <c r="CET103" s="35">
        <v>999</v>
      </c>
      <c r="CEU103">
        <v>999</v>
      </c>
      <c r="CEV103">
        <v>0</v>
      </c>
      <c r="CEW103">
        <v>999</v>
      </c>
      <c r="CVT103">
        <v>3000</v>
      </c>
      <c r="CVU103">
        <v>1</v>
      </c>
      <c r="CVX103">
        <v>1</v>
      </c>
      <c r="CVZ103">
        <v>30</v>
      </c>
      <c r="CWA103">
        <v>30</v>
      </c>
      <c r="CWB103">
        <v>0</v>
      </c>
      <c r="CWC103">
        <v>3</v>
      </c>
      <c r="CXX103">
        <v>75</v>
      </c>
      <c r="CXY103">
        <v>1</v>
      </c>
      <c r="CYB103">
        <v>1</v>
      </c>
      <c r="CYC103">
        <v>214</v>
      </c>
      <c r="CYD103">
        <v>183</v>
      </c>
      <c r="CYE103">
        <v>0</v>
      </c>
      <c r="CYF103">
        <v>1</v>
      </c>
      <c r="DKF103">
        <v>40</v>
      </c>
      <c r="DKG103">
        <v>1</v>
      </c>
      <c r="DKJ103">
        <v>1</v>
      </c>
      <c r="DKK103" s="35">
        <v>999</v>
      </c>
      <c r="DKL103">
        <v>30</v>
      </c>
      <c r="DKM103">
        <v>0</v>
      </c>
      <c r="DKN103">
        <v>999</v>
      </c>
      <c r="EJP103">
        <v>25</v>
      </c>
      <c r="EJQ103">
        <v>1</v>
      </c>
      <c r="EJT103">
        <v>1</v>
      </c>
      <c r="EJU103">
        <v>999</v>
      </c>
      <c r="EJV103">
        <v>183</v>
      </c>
      <c r="EJW103">
        <v>0</v>
      </c>
      <c r="EJX103" s="35">
        <v>999</v>
      </c>
      <c r="EPU103">
        <v>10</v>
      </c>
      <c r="EPV103">
        <v>1</v>
      </c>
      <c r="EPY103">
        <v>1</v>
      </c>
      <c r="EPZ103" s="35">
        <v>999</v>
      </c>
      <c r="EQA103">
        <v>183</v>
      </c>
      <c r="EQB103">
        <v>0</v>
      </c>
      <c r="EQC103">
        <v>999</v>
      </c>
      <c r="FLC103">
        <v>50</v>
      </c>
      <c r="FLD103">
        <v>1</v>
      </c>
      <c r="FLG103">
        <v>1</v>
      </c>
      <c r="FLH103">
        <v>70</v>
      </c>
      <c r="FLI103">
        <v>66</v>
      </c>
      <c r="FLJ103">
        <v>0</v>
      </c>
      <c r="FLK103">
        <v>3</v>
      </c>
      <c r="FSI103">
        <v>20000</v>
      </c>
      <c r="FSJ103">
        <v>1</v>
      </c>
      <c r="FSM103">
        <v>1</v>
      </c>
      <c r="FSN103">
        <v>30</v>
      </c>
      <c r="FSO103">
        <v>30</v>
      </c>
      <c r="FSP103">
        <v>0</v>
      </c>
      <c r="FSQ103">
        <v>1</v>
      </c>
    </row>
    <row r="104" spans="1:963 1295:1893 2123:3014 3208:4083 4158:4620" x14ac:dyDescent="0.25">
      <c r="A104" s="50">
        <v>9042861</v>
      </c>
      <c r="AZ104" s="3">
        <v>1.4032</v>
      </c>
      <c r="BA104" s="3"/>
      <c r="BB104" s="3"/>
      <c r="BC104" s="3"/>
      <c r="BD104" s="3"/>
      <c r="BE104" s="3"/>
      <c r="BF104" s="3"/>
      <c r="BG104" s="3"/>
      <c r="BH104" s="3"/>
      <c r="BI104" s="3"/>
      <c r="BJ104" s="3"/>
      <c r="BK104" s="3"/>
      <c r="BL104" s="3"/>
      <c r="BM104" s="3"/>
      <c r="BN104" s="3"/>
      <c r="BO104" s="3"/>
      <c r="BP104" s="3"/>
      <c r="BQ104" s="3"/>
      <c r="BR104" s="3"/>
      <c r="BS104" s="3"/>
      <c r="BT104" s="3"/>
      <c r="BU104" s="3"/>
      <c r="BV104" s="3"/>
      <c r="BW104" s="3"/>
      <c r="BX104" s="3"/>
      <c r="BY104" s="3"/>
      <c r="BZ104" s="3"/>
      <c r="CA104" s="3"/>
      <c r="CB104" s="3"/>
      <c r="CC104" s="3"/>
      <c r="CD104" s="3"/>
      <c r="CE104" s="3"/>
      <c r="CF104" s="3"/>
      <c r="CG104" s="3"/>
      <c r="CH104" s="3"/>
      <c r="CI104" s="3"/>
      <c r="CJ104" s="3"/>
      <c r="CK104" s="3"/>
      <c r="CL104" s="3"/>
      <c r="CM104" s="3"/>
      <c r="CN104" s="3"/>
      <c r="CO104" s="3"/>
      <c r="CP104" s="3"/>
      <c r="CQ104" s="3"/>
      <c r="CR104" s="3"/>
      <c r="CS104" s="3"/>
      <c r="CT104" s="3"/>
      <c r="CU104" s="3"/>
      <c r="CV104" s="3"/>
      <c r="CW104" s="3"/>
      <c r="CX104" s="3"/>
      <c r="CY104" s="3"/>
      <c r="CZ104" s="3"/>
      <c r="DA104" s="3"/>
      <c r="DB104" s="3"/>
      <c r="DC104" s="3"/>
      <c r="DD104" s="3"/>
      <c r="DE104" s="3"/>
      <c r="DF104" s="3"/>
      <c r="DG104" s="3"/>
      <c r="DH104" s="3"/>
      <c r="DI104" s="3"/>
      <c r="DJ104" s="3"/>
      <c r="DK104" s="3"/>
      <c r="DL104" s="3"/>
      <c r="DM104" s="3"/>
      <c r="DN104" s="3"/>
      <c r="HE104" s="50"/>
      <c r="HF104" s="50"/>
      <c r="HG104" s="50"/>
      <c r="HH104" s="50"/>
      <c r="HI104" s="50"/>
      <c r="HJ104" s="50"/>
      <c r="HK104" s="50"/>
      <c r="HL104" s="50"/>
      <c r="HM104" s="50"/>
      <c r="HN104" s="50"/>
      <c r="HO104" s="50"/>
      <c r="HP104" s="50"/>
      <c r="HQ104" s="50"/>
      <c r="HR104" s="50"/>
      <c r="HS104" s="50"/>
      <c r="HT104" s="50"/>
      <c r="HU104" s="50"/>
      <c r="HV104" s="50"/>
      <c r="HW104" s="50"/>
      <c r="HX104" s="50"/>
      <c r="HY104" s="50"/>
      <c r="HZ104" s="50"/>
      <c r="IA104" s="50"/>
      <c r="IB104" s="50"/>
      <c r="IC104" s="50"/>
      <c r="ID104" s="50"/>
      <c r="IE104" s="50"/>
      <c r="IF104" s="50"/>
      <c r="IG104" s="50"/>
      <c r="IH104" s="50"/>
      <c r="II104" s="50"/>
      <c r="IJ104" s="50"/>
      <c r="IK104" s="50"/>
      <c r="IX104">
        <v>0.8145</v>
      </c>
      <c r="ME104">
        <v>192</v>
      </c>
      <c r="MR104">
        <v>3.3</v>
      </c>
      <c r="MT104">
        <v>2</v>
      </c>
      <c r="ND104" s="50"/>
      <c r="NE104" s="50"/>
      <c r="NF104" s="50"/>
      <c r="NG104" s="50"/>
      <c r="NH104" s="50"/>
      <c r="NI104" s="50"/>
      <c r="NJ104" s="50"/>
      <c r="NK104" s="50"/>
      <c r="NL104" s="50"/>
      <c r="NM104" s="50"/>
      <c r="NN104" s="50"/>
      <c r="NO104" s="50"/>
      <c r="NP104" s="50"/>
      <c r="NQ104" s="50"/>
      <c r="NR104" s="50"/>
      <c r="NS104" s="50"/>
      <c r="NT104" s="50"/>
      <c r="NU104" s="50"/>
      <c r="NV104" s="50"/>
      <c r="NW104" s="50"/>
      <c r="NX104" s="50"/>
      <c r="NY104" s="50"/>
      <c r="NZ104" s="50"/>
      <c r="OA104" s="50"/>
      <c r="OB104" s="50"/>
      <c r="OC104" s="50"/>
      <c r="OD104" s="50"/>
      <c r="OE104" s="50"/>
      <c r="PF104" s="50"/>
      <c r="PG104" s="50"/>
      <c r="PH104" s="50"/>
      <c r="PI104" s="50"/>
      <c r="PJ104" s="50"/>
      <c r="PK104" s="50"/>
      <c r="PL104" s="50"/>
      <c r="PM104" s="50"/>
      <c r="PN104" s="50"/>
      <c r="PO104" s="50"/>
      <c r="PP104" s="50"/>
      <c r="PQ104" s="50"/>
      <c r="PR104" s="50"/>
      <c r="PS104" s="50"/>
      <c r="PT104" s="50"/>
      <c r="PU104" s="50"/>
      <c r="PV104" s="50"/>
      <c r="PW104" s="50"/>
      <c r="PX104" s="50"/>
      <c r="PY104" s="50"/>
      <c r="PZ104" s="50"/>
      <c r="QA104" s="50"/>
      <c r="QB104" s="50"/>
      <c r="QC104" s="50"/>
      <c r="QD104" s="50"/>
      <c r="QE104" s="50"/>
      <c r="QF104" s="50"/>
      <c r="QG104" s="50"/>
      <c r="QH104" s="50"/>
      <c r="QI104" s="50"/>
      <c r="VT104">
        <v>60</v>
      </c>
      <c r="ADI104" s="50"/>
      <c r="ADJ104" s="50"/>
      <c r="ADK104" s="50"/>
      <c r="ADL104" s="50"/>
      <c r="ADM104" s="50"/>
      <c r="AWU104">
        <v>100</v>
      </c>
      <c r="AWV104">
        <v>1</v>
      </c>
      <c r="AWZ104">
        <v>1</v>
      </c>
      <c r="AXB104">
        <v>12</v>
      </c>
      <c r="AXC104">
        <v>8</v>
      </c>
      <c r="AXD104">
        <v>0</v>
      </c>
      <c r="AXE104">
        <v>3</v>
      </c>
      <c r="AXH104">
        <v>400</v>
      </c>
      <c r="AXI104">
        <v>1</v>
      </c>
      <c r="AXL104">
        <v>1</v>
      </c>
      <c r="AXN104">
        <v>10</v>
      </c>
      <c r="AXO104">
        <v>17</v>
      </c>
      <c r="AXP104">
        <v>8</v>
      </c>
      <c r="AXQ104">
        <v>0</v>
      </c>
      <c r="AZL104" s="50"/>
      <c r="AZM104" s="50"/>
      <c r="AZN104" s="50"/>
      <c r="BFV104">
        <v>30</v>
      </c>
      <c r="BFW104">
        <v>1</v>
      </c>
      <c r="BFZ104">
        <v>1</v>
      </c>
      <c r="BGA104">
        <v>12</v>
      </c>
      <c r="BGB104">
        <v>8</v>
      </c>
      <c r="BGC104">
        <v>0</v>
      </c>
      <c r="BGD104">
        <v>3</v>
      </c>
      <c r="CYS104">
        <v>40</v>
      </c>
      <c r="CYT104">
        <v>1</v>
      </c>
      <c r="CYW104">
        <v>1</v>
      </c>
      <c r="CYY104" s="35">
        <v>999</v>
      </c>
      <c r="CYZ104">
        <v>17</v>
      </c>
      <c r="CZA104">
        <v>0</v>
      </c>
      <c r="CZB104">
        <v>999</v>
      </c>
      <c r="DKF104">
        <v>40</v>
      </c>
      <c r="DKG104">
        <v>1</v>
      </c>
      <c r="DKJ104">
        <v>1</v>
      </c>
      <c r="DKK104">
        <v>21</v>
      </c>
      <c r="DKL104">
        <v>17</v>
      </c>
      <c r="DKM104">
        <v>0</v>
      </c>
      <c r="DKN104">
        <v>3</v>
      </c>
    </row>
    <row r="105" spans="1:963 1295:1893 2123:3014 3208:4083 4158:4620" x14ac:dyDescent="0.25">
      <c r="A105" s="50">
        <v>9044899</v>
      </c>
      <c r="AJ105">
        <v>0.43</v>
      </c>
      <c r="EC105">
        <v>122</v>
      </c>
      <c r="EX105">
        <v>208</v>
      </c>
      <c r="EZ105">
        <v>225</v>
      </c>
      <c r="FC105">
        <v>189</v>
      </c>
      <c r="FF105">
        <v>179</v>
      </c>
      <c r="HE105" s="50"/>
      <c r="HF105" s="50"/>
      <c r="HG105" s="50"/>
      <c r="HH105" s="50"/>
      <c r="HI105" s="50"/>
      <c r="HJ105" s="50"/>
      <c r="HK105" s="50"/>
      <c r="HL105" s="50"/>
      <c r="HM105" s="50"/>
      <c r="HN105" s="50"/>
      <c r="HO105" s="50"/>
      <c r="HP105" s="50"/>
      <c r="HQ105" s="50"/>
      <c r="HR105" s="50"/>
      <c r="HS105" s="50"/>
      <c r="HT105" s="50"/>
      <c r="HU105" s="50"/>
      <c r="HV105" s="50"/>
      <c r="HW105" s="50"/>
      <c r="HX105" s="50"/>
      <c r="HY105" s="50"/>
      <c r="HZ105" s="50">
        <v>0.9</v>
      </c>
      <c r="IA105" s="50"/>
      <c r="IB105" s="50"/>
      <c r="IC105" s="50"/>
      <c r="ID105" s="50"/>
      <c r="IE105" s="50"/>
      <c r="IF105" s="50"/>
      <c r="IG105" s="50"/>
      <c r="IH105" s="50"/>
      <c r="II105" s="50"/>
      <c r="IJ105" s="50"/>
      <c r="IK105" s="50"/>
      <c r="MA105" s="50"/>
      <c r="MB105" s="50"/>
      <c r="MC105" s="50"/>
      <c r="MD105" s="50"/>
      <c r="ME105" s="50"/>
      <c r="MF105" s="50"/>
      <c r="MG105" s="50"/>
      <c r="MH105" s="50"/>
      <c r="MI105" s="50"/>
      <c r="MJ105" s="50"/>
      <c r="MK105" s="50"/>
      <c r="ML105" s="50"/>
      <c r="MM105" s="50"/>
      <c r="MN105" s="50"/>
      <c r="MO105" s="50"/>
      <c r="MP105" s="50"/>
      <c r="MQ105" s="50"/>
      <c r="MR105" s="50"/>
      <c r="MS105" s="50"/>
      <c r="MT105" s="50"/>
      <c r="MU105" s="50"/>
      <c r="MV105" s="50"/>
      <c r="MW105" s="50"/>
      <c r="MX105" s="50"/>
      <c r="MY105" s="50"/>
      <c r="MZ105" s="50"/>
      <c r="NA105" s="50"/>
      <c r="NB105" s="50"/>
      <c r="NC105" s="50"/>
      <c r="ND105" s="50"/>
      <c r="NE105" s="50"/>
      <c r="NF105" s="50"/>
      <c r="NG105" s="50"/>
      <c r="NH105" s="50"/>
      <c r="NI105" s="50"/>
      <c r="NJ105" s="50"/>
      <c r="NK105" s="50"/>
      <c r="NL105" s="50"/>
      <c r="NM105" s="50"/>
      <c r="NN105" s="50"/>
      <c r="NO105" s="50"/>
      <c r="NP105" s="50"/>
      <c r="NQ105" s="50"/>
      <c r="NR105" s="50"/>
      <c r="NS105" s="50"/>
      <c r="NT105" s="50"/>
      <c r="NU105" s="50"/>
      <c r="NV105" s="50"/>
      <c r="NW105" s="50"/>
      <c r="NX105" s="50"/>
      <c r="NY105" s="50"/>
      <c r="NZ105" s="50"/>
      <c r="OA105" s="50"/>
      <c r="OB105" s="50"/>
      <c r="OC105" s="50"/>
      <c r="OD105" s="50"/>
      <c r="OE105" s="50"/>
      <c r="PF105" s="57">
        <v>44000000000</v>
      </c>
      <c r="PG105" s="50"/>
      <c r="PH105" s="50"/>
      <c r="PI105" s="50"/>
      <c r="PJ105" s="50"/>
      <c r="PK105" s="50"/>
      <c r="PL105" s="50">
        <v>4000000</v>
      </c>
      <c r="PM105" s="50"/>
      <c r="PN105" s="50">
        <v>4800000</v>
      </c>
      <c r="PO105" s="50"/>
      <c r="PP105" s="58">
        <v>4600000</v>
      </c>
      <c r="PQ105" s="50"/>
      <c r="PR105" s="50"/>
      <c r="PS105" s="50"/>
      <c r="PT105" s="50"/>
      <c r="PU105" s="50"/>
      <c r="PV105" s="50">
        <v>4700000</v>
      </c>
      <c r="PW105" s="50"/>
      <c r="PX105" s="50"/>
      <c r="PY105" s="50"/>
      <c r="PZ105" s="50"/>
      <c r="QA105" s="50"/>
      <c r="QB105" s="50"/>
      <c r="QC105" s="50"/>
      <c r="QD105" s="50"/>
      <c r="QE105" s="50"/>
      <c r="QF105" s="50"/>
      <c r="QG105" s="50"/>
      <c r="QH105" s="50"/>
      <c r="QI105" s="50"/>
      <c r="QQ105">
        <v>465000</v>
      </c>
      <c r="QW105">
        <v>360000</v>
      </c>
      <c r="QY105">
        <v>483000</v>
      </c>
      <c r="RA105">
        <v>409000</v>
      </c>
      <c r="RG105">
        <v>332000</v>
      </c>
      <c r="YG105">
        <v>39</v>
      </c>
      <c r="YM105">
        <v>36</v>
      </c>
      <c r="YO105">
        <v>42</v>
      </c>
      <c r="YQ105">
        <v>40</v>
      </c>
      <c r="YW105">
        <v>42</v>
      </c>
      <c r="ADI105" s="50"/>
      <c r="ADJ105" s="50"/>
      <c r="ADK105" s="50"/>
      <c r="ADL105" s="50"/>
      <c r="ADM105" s="50"/>
      <c r="AWU105">
        <v>150</v>
      </c>
      <c r="AWV105">
        <v>1</v>
      </c>
      <c r="AXB105">
        <v>20</v>
      </c>
      <c r="AXC105">
        <v>22</v>
      </c>
      <c r="AXD105">
        <v>3</v>
      </c>
      <c r="AXE105">
        <v>0</v>
      </c>
      <c r="AZL105" s="50"/>
      <c r="AZM105" s="50">
        <v>1</v>
      </c>
      <c r="AZN105" s="50"/>
      <c r="AZQ105">
        <v>20</v>
      </c>
      <c r="AZR105">
        <v>22</v>
      </c>
      <c r="AZS105">
        <v>3</v>
      </c>
      <c r="AZT105">
        <v>0</v>
      </c>
      <c r="BFA105">
        <v>30</v>
      </c>
      <c r="BFB105">
        <v>1</v>
      </c>
      <c r="CXL105">
        <v>1</v>
      </c>
      <c r="CYH105">
        <v>10</v>
      </c>
      <c r="CYI105">
        <v>1</v>
      </c>
      <c r="CYL105">
        <v>1</v>
      </c>
      <c r="CYM105">
        <v>22</v>
      </c>
      <c r="CYN105">
        <v>22</v>
      </c>
      <c r="CYO105">
        <v>1</v>
      </c>
      <c r="CYP105">
        <v>0</v>
      </c>
      <c r="DKF105">
        <v>40</v>
      </c>
      <c r="DKG105">
        <v>1</v>
      </c>
      <c r="DKK105">
        <v>20</v>
      </c>
      <c r="DKL105">
        <v>22</v>
      </c>
      <c r="DKM105">
        <v>3</v>
      </c>
      <c r="DKN105">
        <v>0</v>
      </c>
      <c r="EYY105">
        <v>150</v>
      </c>
      <c r="EYZ105">
        <v>1</v>
      </c>
      <c r="EZD105">
        <v>20</v>
      </c>
      <c r="EZE105">
        <v>22</v>
      </c>
      <c r="EZF105">
        <v>3</v>
      </c>
    </row>
    <row r="106" spans="1:963 1295:1893 2123:3014 3208:4083 4158:4620" x14ac:dyDescent="0.25">
      <c r="A106" s="50">
        <v>9052398</v>
      </c>
      <c r="EX106" s="3">
        <v>483</v>
      </c>
      <c r="EZ106">
        <v>436.8</v>
      </c>
      <c r="HE106" s="50"/>
      <c r="HF106" s="50"/>
      <c r="HG106" s="50"/>
      <c r="HH106" s="50"/>
      <c r="HI106" s="50"/>
      <c r="HJ106" s="50"/>
      <c r="HK106" s="50"/>
      <c r="HL106" s="50"/>
      <c r="HM106" s="50"/>
      <c r="HN106" s="50"/>
      <c r="HO106" s="50"/>
      <c r="HP106" s="50"/>
      <c r="HQ106" s="50"/>
      <c r="HR106" s="50"/>
      <c r="HS106" s="50"/>
      <c r="HT106" s="50"/>
      <c r="HU106" s="50"/>
      <c r="HV106" s="50"/>
      <c r="HW106" s="50"/>
      <c r="HX106" s="50"/>
      <c r="HY106" s="50"/>
      <c r="HZ106" s="50"/>
      <c r="IA106" s="50"/>
      <c r="IB106" s="50"/>
      <c r="IC106" s="50"/>
      <c r="ID106" s="50"/>
      <c r="IE106" s="50"/>
      <c r="IF106" s="50"/>
      <c r="IG106" s="50"/>
      <c r="IH106" s="50"/>
      <c r="II106" s="57">
        <v>1.8552</v>
      </c>
      <c r="IJ106" s="57"/>
      <c r="IK106" s="57">
        <v>1.6267</v>
      </c>
      <c r="MA106" s="50"/>
      <c r="MB106" s="50"/>
      <c r="MC106" s="50"/>
      <c r="MD106" s="50">
        <v>29.1</v>
      </c>
      <c r="ME106" s="50"/>
      <c r="MF106" s="50"/>
      <c r="MG106" s="50"/>
      <c r="MH106" s="50"/>
      <c r="MI106" s="50"/>
      <c r="MJ106" s="50"/>
      <c r="MK106" s="50"/>
      <c r="ML106" s="50"/>
      <c r="MM106" s="50"/>
      <c r="MN106" s="50"/>
      <c r="MO106" s="50"/>
      <c r="MP106" s="50"/>
      <c r="MQ106" s="50"/>
      <c r="MR106" s="50"/>
      <c r="MS106" s="50"/>
      <c r="MT106" s="50"/>
      <c r="MU106" s="50"/>
      <c r="MV106" s="50"/>
      <c r="MW106" s="50"/>
      <c r="MX106" s="50"/>
      <c r="MY106" s="50"/>
      <c r="MZ106" s="50"/>
      <c r="NA106" s="50"/>
      <c r="NB106" s="50"/>
      <c r="NC106" s="50"/>
      <c r="ND106" s="50"/>
      <c r="NE106" s="50"/>
      <c r="NF106" s="50"/>
      <c r="NG106" s="50"/>
      <c r="NH106" s="50"/>
      <c r="NI106" s="50"/>
      <c r="NJ106" s="50"/>
      <c r="NK106" s="50"/>
      <c r="NL106" s="50"/>
      <c r="NM106" s="50"/>
      <c r="NN106" s="50"/>
      <c r="NO106" s="57">
        <v>70.270200000000003</v>
      </c>
      <c r="NP106" s="57"/>
      <c r="NQ106" s="57">
        <v>45.045000000000002</v>
      </c>
      <c r="NR106" s="50"/>
      <c r="NS106" s="50"/>
      <c r="NT106" s="50"/>
      <c r="NU106" s="50"/>
      <c r="NV106" s="50"/>
      <c r="NW106" s="50"/>
      <c r="NX106" s="50"/>
      <c r="NY106" s="50"/>
      <c r="NZ106" s="50"/>
      <c r="OA106" s="50"/>
      <c r="OB106" s="50"/>
      <c r="OC106" s="50"/>
      <c r="OD106" s="50"/>
      <c r="OE106" s="50"/>
      <c r="PF106" s="50"/>
      <c r="PG106" s="50"/>
      <c r="PH106" s="50"/>
      <c r="PI106" s="50"/>
      <c r="PJ106" s="50"/>
      <c r="PK106" s="50"/>
      <c r="PL106" s="50"/>
      <c r="PM106" s="50"/>
      <c r="PN106" s="50"/>
      <c r="PO106" s="50"/>
      <c r="PP106" s="50"/>
      <c r="PQ106" s="50"/>
      <c r="PR106" s="50"/>
      <c r="PS106" s="50"/>
      <c r="PT106" s="50"/>
      <c r="PU106" s="50"/>
      <c r="PV106" s="50"/>
      <c r="PW106" s="50"/>
      <c r="PX106" s="50"/>
      <c r="PY106" s="50"/>
      <c r="PZ106" s="50"/>
      <c r="QA106" s="50"/>
      <c r="QB106" s="50"/>
      <c r="QC106" s="50"/>
      <c r="QD106" s="50"/>
      <c r="QE106" s="50"/>
      <c r="QF106" s="50"/>
      <c r="QG106" s="50"/>
      <c r="QH106" s="50"/>
      <c r="QI106" s="50"/>
      <c r="QY106">
        <v>242000</v>
      </c>
      <c r="VZ106">
        <v>19.97</v>
      </c>
      <c r="WB106">
        <v>16.690000000000001</v>
      </c>
      <c r="YO106">
        <v>38</v>
      </c>
      <c r="ABM106" s="50"/>
      <c r="ADI106" s="50"/>
      <c r="ADJ106" s="50"/>
      <c r="ADK106" s="50"/>
      <c r="ADL106" s="50"/>
      <c r="ADM106" s="50"/>
      <c r="AET106">
        <v>138</v>
      </c>
      <c r="AFZ106">
        <v>3.88</v>
      </c>
      <c r="AHP106">
        <v>3.41</v>
      </c>
      <c r="AWU106">
        <v>50</v>
      </c>
      <c r="AWV106">
        <v>1</v>
      </c>
      <c r="AWY106">
        <v>1</v>
      </c>
      <c r="AXB106">
        <v>732</v>
      </c>
      <c r="AZL106" s="50"/>
      <c r="AZM106" s="50"/>
      <c r="AZN106" s="50"/>
      <c r="BIE106">
        <v>10</v>
      </c>
      <c r="BIF106">
        <v>1</v>
      </c>
      <c r="BII106">
        <v>1</v>
      </c>
      <c r="BIJ106" s="35">
        <v>999</v>
      </c>
      <c r="BIK106">
        <v>122</v>
      </c>
      <c r="BIL106">
        <v>0</v>
      </c>
      <c r="BIM106">
        <v>999</v>
      </c>
      <c r="BKN106">
        <v>875</v>
      </c>
      <c r="BKO106">
        <v>2</v>
      </c>
      <c r="BKR106">
        <v>1</v>
      </c>
      <c r="BKS106">
        <v>11</v>
      </c>
      <c r="BKT106">
        <v>20</v>
      </c>
      <c r="BKU106">
        <v>9</v>
      </c>
      <c r="BKV106">
        <v>0</v>
      </c>
      <c r="CQG106">
        <v>25</v>
      </c>
      <c r="CQH106">
        <v>1</v>
      </c>
      <c r="CQK106">
        <v>1</v>
      </c>
      <c r="CQL106" s="35">
        <v>999</v>
      </c>
      <c r="CQM106">
        <v>244</v>
      </c>
      <c r="CQN106">
        <v>0</v>
      </c>
      <c r="CQO106">
        <v>999</v>
      </c>
      <c r="CUO106">
        <v>100</v>
      </c>
      <c r="CUP106">
        <v>1</v>
      </c>
      <c r="CUS106">
        <v>1</v>
      </c>
      <c r="CUT106" s="35">
        <v>999</v>
      </c>
      <c r="CUU106">
        <v>244</v>
      </c>
      <c r="CUV106">
        <v>0</v>
      </c>
      <c r="CUW106">
        <v>999</v>
      </c>
      <c r="CVT106">
        <v>3000</v>
      </c>
      <c r="CVU106">
        <v>1</v>
      </c>
      <c r="CVX106">
        <v>1</v>
      </c>
      <c r="CVZ106" s="35">
        <v>999</v>
      </c>
      <c r="CWA106">
        <v>244</v>
      </c>
      <c r="CWB106">
        <v>0</v>
      </c>
      <c r="CWC106">
        <v>999</v>
      </c>
      <c r="CZX106">
        <v>40</v>
      </c>
      <c r="CZY106">
        <v>1</v>
      </c>
      <c r="DAB106">
        <v>1</v>
      </c>
      <c r="DAC106">
        <v>580</v>
      </c>
      <c r="DAD106">
        <v>580</v>
      </c>
      <c r="DAE106">
        <v>0</v>
      </c>
      <c r="DAF106">
        <v>0</v>
      </c>
      <c r="DDP106">
        <v>100</v>
      </c>
      <c r="DDQ106">
        <v>1</v>
      </c>
      <c r="DDT106">
        <v>1</v>
      </c>
      <c r="DDV106" s="35">
        <v>999</v>
      </c>
      <c r="DDW106">
        <v>244</v>
      </c>
      <c r="DDX106">
        <v>0</v>
      </c>
      <c r="DDY106">
        <v>999</v>
      </c>
      <c r="DKP106">
        <v>40</v>
      </c>
      <c r="DKQ106">
        <v>1</v>
      </c>
      <c r="DKT106">
        <v>1</v>
      </c>
      <c r="DKU106" s="35">
        <v>999</v>
      </c>
      <c r="DKV106">
        <v>244</v>
      </c>
      <c r="DKW106">
        <v>0</v>
      </c>
      <c r="DKX106">
        <v>999</v>
      </c>
      <c r="FUM106">
        <v>1</v>
      </c>
    </row>
    <row r="107" spans="1:963 1295:1893 2123:3014 3208:4083 4158:4620" x14ac:dyDescent="0.25">
      <c r="A107" s="50">
        <v>9085204</v>
      </c>
      <c r="AL107">
        <v>5.2</v>
      </c>
      <c r="EZ107">
        <v>281</v>
      </c>
      <c r="FL107">
        <v>162</v>
      </c>
      <c r="HE107" s="50"/>
      <c r="HF107" s="50"/>
      <c r="HG107" s="50"/>
      <c r="HH107" s="50"/>
      <c r="HI107" s="50"/>
      <c r="HJ107" s="50"/>
      <c r="HK107" s="50"/>
      <c r="HL107" s="50"/>
      <c r="HM107" s="50"/>
      <c r="HN107" s="50"/>
      <c r="HO107" s="50"/>
      <c r="HP107" s="50"/>
      <c r="HQ107" s="50"/>
      <c r="HR107" s="50"/>
      <c r="HS107" s="50"/>
      <c r="HT107" s="50"/>
      <c r="HU107" s="50"/>
      <c r="HV107" s="50"/>
      <c r="HW107" s="50"/>
      <c r="HX107" s="50"/>
      <c r="HY107" s="50"/>
      <c r="HZ107" s="50"/>
      <c r="IA107" s="50"/>
      <c r="IB107" s="50"/>
      <c r="IC107" s="50"/>
      <c r="ID107" s="50"/>
      <c r="IE107" s="50"/>
      <c r="IF107" s="50"/>
      <c r="IG107" s="50"/>
      <c r="IH107" s="50"/>
      <c r="II107" s="50"/>
      <c r="IJ107" s="50"/>
      <c r="IK107" s="50"/>
      <c r="MA107" s="50"/>
      <c r="MB107" s="50"/>
      <c r="MC107" s="50"/>
      <c r="MD107" s="50"/>
      <c r="ME107" s="50"/>
      <c r="MF107" s="50"/>
      <c r="MG107" s="50"/>
      <c r="MH107" s="50"/>
      <c r="MI107" s="50"/>
      <c r="MJ107" s="50"/>
      <c r="MK107" s="50"/>
      <c r="ML107" s="50"/>
      <c r="MM107" s="50"/>
      <c r="MN107" s="50"/>
      <c r="MO107" s="50"/>
      <c r="MP107" s="50">
        <v>124</v>
      </c>
      <c r="MQ107" s="50"/>
      <c r="MR107" s="50"/>
      <c r="MS107" s="50"/>
      <c r="MT107" s="50"/>
      <c r="MU107" s="50"/>
      <c r="MV107" s="50"/>
      <c r="MW107" s="50"/>
      <c r="MX107" s="50"/>
      <c r="MY107" s="50"/>
      <c r="MZ107" s="50"/>
      <c r="NA107" s="50"/>
      <c r="NB107" s="50"/>
      <c r="NC107" s="50"/>
      <c r="ND107" s="50"/>
      <c r="NE107" s="50"/>
      <c r="NF107" s="50"/>
      <c r="NG107" s="50"/>
      <c r="NH107" s="50"/>
      <c r="NI107" s="50"/>
      <c r="NJ107" s="50"/>
      <c r="NK107" s="50"/>
      <c r="NL107" s="50"/>
      <c r="NM107" s="50"/>
      <c r="NN107" s="50"/>
      <c r="NO107" s="50"/>
      <c r="NP107" s="50"/>
      <c r="NQ107" s="50"/>
      <c r="NR107" s="50"/>
      <c r="NS107" s="50"/>
      <c r="NT107" s="50"/>
      <c r="NU107" s="50"/>
      <c r="NV107" s="50"/>
      <c r="NW107" s="50"/>
      <c r="NX107" s="50"/>
      <c r="NY107" s="50"/>
      <c r="NZ107" s="50"/>
      <c r="OA107" s="50"/>
      <c r="OB107" s="50"/>
      <c r="OC107" s="50"/>
      <c r="OD107" s="50"/>
      <c r="OE107" s="50"/>
      <c r="PF107" s="50"/>
      <c r="PG107" s="50"/>
      <c r="PH107" s="50"/>
      <c r="PI107" s="50"/>
      <c r="PJ107" s="50"/>
      <c r="PK107" s="50"/>
      <c r="PL107" s="50"/>
      <c r="PM107" s="50"/>
      <c r="PN107" s="50"/>
      <c r="PO107" s="50"/>
      <c r="PP107" s="50"/>
      <c r="PQ107" s="50"/>
      <c r="PR107" s="50"/>
      <c r="PS107" s="50"/>
      <c r="PT107" s="50"/>
      <c r="PU107" s="50"/>
      <c r="PV107" s="50"/>
      <c r="PW107" s="50"/>
      <c r="PX107" s="50"/>
      <c r="PY107" s="50"/>
      <c r="PZ107" s="50"/>
      <c r="QA107" s="50"/>
      <c r="QB107" s="50"/>
      <c r="QC107" s="50"/>
      <c r="QD107" s="50"/>
      <c r="QE107" s="50"/>
      <c r="QF107" s="50"/>
      <c r="QG107" s="50"/>
      <c r="QH107" s="50"/>
      <c r="QI107" s="50"/>
      <c r="WG107">
        <v>3.9</v>
      </c>
      <c r="ADI107" s="50"/>
      <c r="ADJ107" s="50"/>
      <c r="ADK107" s="50"/>
      <c r="ADL107" s="50"/>
      <c r="ADM107" s="50"/>
      <c r="AWU107">
        <v>150</v>
      </c>
      <c r="AWV107">
        <v>1</v>
      </c>
      <c r="AXB107">
        <v>153</v>
      </c>
      <c r="AXC107">
        <v>151</v>
      </c>
      <c r="AXD107">
        <v>0</v>
      </c>
      <c r="AXE107">
        <v>3</v>
      </c>
      <c r="AZL107" s="50"/>
      <c r="AZM107" s="50"/>
      <c r="AZN107" s="50"/>
    </row>
    <row r="108" spans="1:963 1295:1893 2123:3014 3208:4083 4158:4620" x14ac:dyDescent="0.25">
      <c r="A108" s="50">
        <v>9090323</v>
      </c>
      <c r="HE108" s="50"/>
      <c r="HF108" s="50"/>
      <c r="HG108" s="50"/>
      <c r="HH108" s="50"/>
      <c r="HI108" s="50"/>
      <c r="HJ108" s="50"/>
      <c r="HK108" s="50"/>
      <c r="HL108" s="50"/>
      <c r="HM108" s="50"/>
      <c r="HN108" s="50"/>
      <c r="HO108" s="50"/>
      <c r="HP108" s="50"/>
      <c r="HQ108" s="50"/>
      <c r="HR108" s="50"/>
      <c r="HS108" s="50"/>
      <c r="HT108" s="50"/>
      <c r="HU108" s="50"/>
      <c r="HV108" s="50"/>
      <c r="HW108" s="50"/>
      <c r="HX108" s="50"/>
      <c r="HY108" s="50"/>
      <c r="HZ108" s="50"/>
      <c r="IA108" s="50"/>
      <c r="IB108" s="50"/>
      <c r="IC108" s="50"/>
      <c r="ID108" s="50"/>
      <c r="IE108" s="50"/>
      <c r="IF108" s="50"/>
      <c r="IG108" s="50"/>
      <c r="IH108" s="50"/>
      <c r="II108" s="50"/>
      <c r="IJ108" s="50"/>
      <c r="IK108" s="50"/>
      <c r="MA108" s="50"/>
      <c r="MB108" s="50"/>
      <c r="MC108" s="50"/>
      <c r="MD108" s="50"/>
      <c r="ME108" s="50"/>
      <c r="MF108" s="50"/>
      <c r="MG108" s="50"/>
      <c r="MH108" s="50"/>
      <c r="MI108" s="50"/>
      <c r="MJ108" s="50"/>
      <c r="MK108" s="50"/>
      <c r="ML108" s="50"/>
      <c r="MM108" s="50"/>
      <c r="MN108" s="50"/>
      <c r="MO108" s="50"/>
      <c r="MP108" s="50"/>
      <c r="MQ108" s="50"/>
      <c r="MR108" s="50"/>
      <c r="MS108" s="50"/>
      <c r="MT108" s="50"/>
      <c r="MU108" s="50"/>
      <c r="MV108" s="50"/>
      <c r="MW108" s="50"/>
      <c r="MX108" s="50"/>
      <c r="MY108" s="50"/>
      <c r="MZ108" s="50"/>
      <c r="NA108" s="50"/>
      <c r="NB108" s="50"/>
      <c r="NC108" s="50"/>
      <c r="ND108" s="50"/>
      <c r="NE108" s="50"/>
      <c r="NF108" s="50"/>
      <c r="NG108" s="50"/>
      <c r="NH108" s="50"/>
      <c r="NI108" s="50"/>
      <c r="NJ108" s="50"/>
      <c r="NK108" s="50"/>
      <c r="NL108" s="50"/>
      <c r="NM108" s="50"/>
      <c r="NN108" s="50"/>
      <c r="NO108" s="50"/>
      <c r="NP108" s="50"/>
      <c r="NQ108" s="50"/>
      <c r="NR108" s="50"/>
      <c r="NS108" s="50"/>
      <c r="NT108" s="50"/>
      <c r="NU108" s="50"/>
      <c r="NV108" s="50"/>
      <c r="NW108" s="50"/>
      <c r="NX108" s="50"/>
      <c r="NY108" s="50"/>
      <c r="NZ108" s="50"/>
      <c r="OA108" s="50"/>
      <c r="OB108" s="50"/>
      <c r="OC108" s="50"/>
      <c r="OD108" s="50"/>
      <c r="OE108" s="50"/>
      <c r="PF108" s="50"/>
      <c r="PG108" s="50"/>
      <c r="PH108" s="50"/>
      <c r="PI108" s="50"/>
      <c r="PJ108" s="50"/>
      <c r="PK108" s="50"/>
      <c r="PL108" s="50"/>
      <c r="PM108" s="50"/>
      <c r="PN108" s="50"/>
      <c r="PO108" s="50"/>
      <c r="PP108" s="50"/>
      <c r="PQ108" s="50"/>
      <c r="PR108" s="50"/>
      <c r="PS108" s="50"/>
      <c r="PT108" s="50"/>
      <c r="PU108" s="50"/>
      <c r="PV108" s="50"/>
      <c r="PW108" s="50"/>
      <c r="PX108" s="50"/>
      <c r="PY108" s="50"/>
      <c r="PZ108" s="50"/>
      <c r="QA108" s="50"/>
      <c r="QB108" s="50"/>
      <c r="QC108" s="50"/>
      <c r="QD108" s="50"/>
      <c r="QE108" s="50"/>
      <c r="QF108" s="50"/>
      <c r="QG108" s="50"/>
      <c r="QH108" s="50"/>
      <c r="QI108" s="50"/>
      <c r="ADI108" s="50"/>
      <c r="ADJ108" s="50"/>
      <c r="ADK108" s="50"/>
      <c r="ADL108" s="50"/>
      <c r="ADM108" s="50"/>
      <c r="AWU108">
        <v>150</v>
      </c>
      <c r="AWV108">
        <v>1</v>
      </c>
      <c r="AWY108">
        <v>1</v>
      </c>
      <c r="AXB108">
        <v>3</v>
      </c>
      <c r="AXC108">
        <v>5</v>
      </c>
      <c r="AXD108">
        <v>3</v>
      </c>
      <c r="AXE108">
        <v>0</v>
      </c>
      <c r="AXH108">
        <v>600</v>
      </c>
      <c r="AXI108">
        <v>1</v>
      </c>
      <c r="AXL108">
        <v>1</v>
      </c>
      <c r="AXN108">
        <v>732</v>
      </c>
      <c r="AXP108">
        <v>9</v>
      </c>
      <c r="AXQ108">
        <v>0</v>
      </c>
      <c r="AXT108">
        <v>1500</v>
      </c>
      <c r="AXU108">
        <v>1</v>
      </c>
      <c r="AXX108">
        <v>1</v>
      </c>
      <c r="AXZ108">
        <v>2</v>
      </c>
      <c r="AYA108">
        <v>4</v>
      </c>
      <c r="AYB108">
        <v>3</v>
      </c>
      <c r="AYC108">
        <v>0</v>
      </c>
      <c r="AZL108" s="50">
        <v>1500</v>
      </c>
      <c r="AZM108" s="50">
        <v>1</v>
      </c>
      <c r="AZN108" s="50"/>
      <c r="AZP108">
        <v>1</v>
      </c>
      <c r="AZQ108">
        <v>2</v>
      </c>
      <c r="AZR108">
        <v>4</v>
      </c>
      <c r="AZS108">
        <v>3</v>
      </c>
      <c r="BCU108">
        <v>1</v>
      </c>
      <c r="BCW108">
        <v>7</v>
      </c>
      <c r="BCX108">
        <v>6</v>
      </c>
      <c r="BCY108">
        <v>0</v>
      </c>
      <c r="BCZ108">
        <v>0</v>
      </c>
      <c r="BTM108">
        <v>1.5</v>
      </c>
      <c r="BTN108">
        <v>1</v>
      </c>
      <c r="BTO108">
        <v>1</v>
      </c>
      <c r="BTR108">
        <v>1</v>
      </c>
      <c r="BTS108">
        <v>6</v>
      </c>
      <c r="BTT108">
        <v>6</v>
      </c>
      <c r="BTU108">
        <v>0</v>
      </c>
      <c r="CLE108">
        <v>1</v>
      </c>
      <c r="CLH108">
        <v>1</v>
      </c>
      <c r="CLI108" s="35">
        <v>999</v>
      </c>
      <c r="CLJ108">
        <v>999</v>
      </c>
      <c r="CLK108">
        <v>0</v>
      </c>
      <c r="CLL108">
        <v>999</v>
      </c>
      <c r="DKP108">
        <v>40</v>
      </c>
      <c r="DKQ108">
        <v>1</v>
      </c>
      <c r="DKU108" s="35">
        <v>999</v>
      </c>
      <c r="DKV108">
        <v>5</v>
      </c>
      <c r="DKW108">
        <v>0</v>
      </c>
      <c r="DKX108">
        <v>999</v>
      </c>
      <c r="DSJ108">
        <v>2</v>
      </c>
      <c r="DSK108">
        <v>1</v>
      </c>
      <c r="DSN108">
        <v>1</v>
      </c>
      <c r="DSP108">
        <v>7</v>
      </c>
      <c r="DSQ108">
        <v>6</v>
      </c>
      <c r="DSR108">
        <v>0</v>
      </c>
      <c r="DSS108">
        <v>0</v>
      </c>
      <c r="FUR108">
        <v>1</v>
      </c>
    </row>
    <row r="109" spans="1:963 1295:1893 2123:3014 3208:4083 4158:4620" x14ac:dyDescent="0.25">
      <c r="A109" s="50">
        <v>9105492</v>
      </c>
      <c r="E109">
        <v>12.8</v>
      </c>
      <c r="F109">
        <v>8.5</v>
      </c>
      <c r="G109">
        <v>6.1</v>
      </c>
      <c r="O109">
        <v>3.7</v>
      </c>
      <c r="EX109">
        <v>101</v>
      </c>
      <c r="EY109">
        <v>92</v>
      </c>
      <c r="EZ109">
        <v>112</v>
      </c>
      <c r="HE109" s="50"/>
      <c r="HF109" s="50"/>
      <c r="HG109" s="50"/>
      <c r="HH109" s="50"/>
      <c r="HI109" s="50"/>
      <c r="HJ109" s="50"/>
      <c r="HK109" s="50"/>
      <c r="HL109" s="50"/>
      <c r="HM109" s="50"/>
      <c r="HN109" s="50"/>
      <c r="HO109" s="50"/>
      <c r="HP109" s="50"/>
      <c r="HQ109" s="50"/>
      <c r="HR109" s="50"/>
      <c r="HS109" s="50"/>
      <c r="HT109" s="50"/>
      <c r="HU109" s="50"/>
      <c r="HV109" s="50"/>
      <c r="HW109" s="50"/>
      <c r="HX109" s="50"/>
      <c r="HY109" s="50"/>
      <c r="HZ109" s="50"/>
      <c r="IA109" s="50"/>
      <c r="IB109" s="50"/>
      <c r="IC109" s="50"/>
      <c r="ID109" s="50"/>
      <c r="IE109" s="50"/>
      <c r="IF109" s="50"/>
      <c r="IG109" s="50"/>
      <c r="IH109" s="50"/>
      <c r="II109" s="50"/>
      <c r="IJ109" s="50"/>
      <c r="IK109" s="50"/>
      <c r="MA109" s="50"/>
      <c r="MB109" s="50"/>
      <c r="MC109" s="50"/>
      <c r="MD109" s="50"/>
      <c r="ME109" s="50"/>
      <c r="MF109" s="50"/>
      <c r="MG109" s="50"/>
      <c r="MH109" s="50"/>
      <c r="MI109" s="50"/>
      <c r="MJ109" s="50"/>
      <c r="MK109" s="50"/>
      <c r="ML109" s="50"/>
      <c r="MM109" s="50"/>
      <c r="MN109" s="50"/>
      <c r="MO109" s="50"/>
      <c r="MP109" s="50"/>
      <c r="MQ109" s="50"/>
      <c r="MR109" s="50"/>
      <c r="MS109" s="50"/>
      <c r="MT109" s="50"/>
      <c r="MU109" s="50"/>
      <c r="MV109" s="50"/>
      <c r="MW109" s="50"/>
      <c r="MX109" s="50"/>
      <c r="MY109" s="50"/>
      <c r="MZ109" s="50"/>
      <c r="NA109" s="50"/>
      <c r="NB109" s="50"/>
      <c r="NC109" s="50"/>
      <c r="ND109" s="50"/>
      <c r="NE109" s="50"/>
      <c r="NF109" s="50"/>
      <c r="NG109" s="50"/>
      <c r="NH109" s="50"/>
      <c r="NI109" s="50"/>
      <c r="NJ109" s="50"/>
      <c r="NK109" s="50"/>
      <c r="NL109" s="50"/>
      <c r="NM109" s="50"/>
      <c r="NN109" s="50"/>
      <c r="NO109" s="50"/>
      <c r="NP109" s="50"/>
      <c r="NQ109" s="50"/>
      <c r="NR109" s="50"/>
      <c r="NS109" s="50"/>
      <c r="NT109" s="50"/>
      <c r="NU109" s="50"/>
      <c r="NV109" s="50"/>
      <c r="NW109" s="50"/>
      <c r="NX109" s="50"/>
      <c r="NY109" s="50"/>
      <c r="NZ109" s="50"/>
      <c r="OA109" s="50"/>
      <c r="OB109" s="50"/>
      <c r="OC109" s="50"/>
      <c r="OD109" s="50"/>
      <c r="OE109" s="50"/>
      <c r="PF109" s="50"/>
      <c r="PG109" s="50"/>
      <c r="PH109" s="50"/>
      <c r="PI109" s="50"/>
      <c r="PJ109" s="50"/>
      <c r="PK109" s="50"/>
      <c r="PL109" s="50"/>
      <c r="PM109" s="50"/>
      <c r="PN109" s="50"/>
      <c r="PO109" s="50"/>
      <c r="PP109" s="50"/>
      <c r="PQ109" s="50"/>
      <c r="PR109" s="50"/>
      <c r="PS109" s="50"/>
      <c r="PT109" s="50"/>
      <c r="PU109" s="50"/>
      <c r="PV109" s="50"/>
      <c r="PW109" s="50"/>
      <c r="PX109" s="50"/>
      <c r="PY109" s="50"/>
      <c r="PZ109" s="50"/>
      <c r="QA109" s="50"/>
      <c r="QB109" s="50"/>
      <c r="QC109" s="50"/>
      <c r="QD109" s="50"/>
      <c r="QE109" s="50"/>
      <c r="QF109" s="50"/>
      <c r="QG109" s="50"/>
      <c r="QH109" s="50"/>
      <c r="QI109" s="50"/>
      <c r="ADI109" s="50"/>
      <c r="ADJ109" s="50"/>
      <c r="ADK109" s="50"/>
      <c r="ADL109" s="50"/>
      <c r="ADM109" s="50"/>
      <c r="AWY109">
        <v>1</v>
      </c>
      <c r="AXB109">
        <v>732</v>
      </c>
      <c r="AXC109">
        <v>732</v>
      </c>
      <c r="AXD109">
        <v>1</v>
      </c>
      <c r="AXE109">
        <v>0</v>
      </c>
      <c r="AYF109">
        <v>100</v>
      </c>
      <c r="AYG109">
        <v>1</v>
      </c>
      <c r="AYJ109">
        <v>1</v>
      </c>
      <c r="AYK109">
        <v>999</v>
      </c>
      <c r="AYL109">
        <v>999</v>
      </c>
      <c r="AYM109">
        <v>1</v>
      </c>
      <c r="AYN109">
        <v>0</v>
      </c>
      <c r="AZL109" s="50"/>
      <c r="AZM109" s="50"/>
      <c r="AZN109" s="50"/>
      <c r="BFL109">
        <v>200</v>
      </c>
      <c r="BFM109">
        <v>1</v>
      </c>
      <c r="BFP109">
        <v>1</v>
      </c>
      <c r="BFQ109">
        <v>2</v>
      </c>
      <c r="BFR109">
        <v>6</v>
      </c>
      <c r="BFS109">
        <v>5</v>
      </c>
      <c r="BSW109">
        <v>1</v>
      </c>
      <c r="BSX109">
        <v>4</v>
      </c>
      <c r="BSY109">
        <v>3</v>
      </c>
      <c r="BSZ109">
        <v>0</v>
      </c>
      <c r="BTA109">
        <v>0</v>
      </c>
      <c r="CTU109">
        <v>95</v>
      </c>
      <c r="CTV109">
        <v>1</v>
      </c>
      <c r="CTY109">
        <v>1</v>
      </c>
      <c r="CTZ109" s="35">
        <v>999</v>
      </c>
      <c r="CUA109">
        <v>999</v>
      </c>
      <c r="CUB109">
        <v>0</v>
      </c>
      <c r="CUC109">
        <v>999</v>
      </c>
      <c r="DCR109">
        <v>250</v>
      </c>
      <c r="DCS109">
        <v>1</v>
      </c>
      <c r="DCU109">
        <v>1</v>
      </c>
      <c r="DCX109">
        <v>1</v>
      </c>
      <c r="DCY109">
        <v>3</v>
      </c>
      <c r="DCZ109">
        <v>3</v>
      </c>
      <c r="DDA109">
        <v>0</v>
      </c>
      <c r="EPK109">
        <v>7.5</v>
      </c>
      <c r="EPL109">
        <v>1</v>
      </c>
      <c r="EPO109">
        <v>1</v>
      </c>
      <c r="EPP109">
        <v>999</v>
      </c>
      <c r="EPQ109">
        <v>999</v>
      </c>
      <c r="EPR109">
        <v>1</v>
      </c>
      <c r="EPS109">
        <v>0</v>
      </c>
      <c r="EUQ109">
        <v>10</v>
      </c>
      <c r="EUR109">
        <v>1</v>
      </c>
      <c r="EUU109">
        <v>1</v>
      </c>
      <c r="EUV109">
        <v>1</v>
      </c>
      <c r="EUW109">
        <v>3</v>
      </c>
      <c r="EUX109">
        <v>3</v>
      </c>
      <c r="EWP109">
        <v>4</v>
      </c>
      <c r="EWQ109">
        <v>1</v>
      </c>
      <c r="EWR109">
        <v>1</v>
      </c>
      <c r="EWU109">
        <v>1</v>
      </c>
      <c r="EWV109">
        <v>3</v>
      </c>
      <c r="EWW109">
        <v>3</v>
      </c>
      <c r="EWX109">
        <v>0</v>
      </c>
      <c r="EZS109">
        <v>600</v>
      </c>
      <c r="EZT109">
        <v>1</v>
      </c>
      <c r="EZW109">
        <v>1</v>
      </c>
      <c r="EZX109" s="35">
        <v>999</v>
      </c>
      <c r="EZY109">
        <v>999</v>
      </c>
      <c r="EZZ109">
        <v>0</v>
      </c>
      <c r="FAA109">
        <v>999</v>
      </c>
    </row>
    <row r="110" spans="1:963 1295:1893 2123:3014 3208:4083 4158:4620" x14ac:dyDescent="0.25">
      <c r="A110" s="50">
        <v>9138470</v>
      </c>
      <c r="F110" s="53"/>
      <c r="HE110" s="50"/>
      <c r="HF110" s="50"/>
      <c r="HG110" s="50"/>
      <c r="HH110" s="50"/>
      <c r="HI110" s="50"/>
      <c r="HJ110" s="50"/>
      <c r="HK110" s="50"/>
      <c r="HL110" s="50"/>
      <c r="HM110" s="50"/>
      <c r="HN110" s="50"/>
      <c r="HO110" s="50"/>
      <c r="HP110" s="50"/>
      <c r="HQ110" s="50"/>
      <c r="HR110" s="50"/>
      <c r="HS110" s="50"/>
      <c r="HT110" s="50"/>
      <c r="HU110" s="50"/>
      <c r="HV110" s="50"/>
      <c r="HW110" s="50"/>
      <c r="HX110" s="50"/>
      <c r="HY110" s="50"/>
      <c r="HZ110" s="50"/>
      <c r="IA110" s="50"/>
      <c r="IB110" s="50"/>
      <c r="IC110" s="50"/>
      <c r="ID110" s="50"/>
      <c r="IE110" s="50"/>
      <c r="IF110" s="50"/>
      <c r="IG110" s="50"/>
      <c r="IH110" s="50"/>
      <c r="II110" s="50"/>
      <c r="IJ110" s="50"/>
      <c r="IK110" s="50"/>
      <c r="MA110" s="50"/>
      <c r="MB110" s="50"/>
      <c r="MC110" s="50"/>
      <c r="MD110" s="50"/>
      <c r="ME110" s="50"/>
      <c r="MF110" s="50"/>
      <c r="MG110" s="50"/>
      <c r="MH110" s="50"/>
      <c r="MI110" s="50"/>
      <c r="MJ110" s="50"/>
      <c r="MK110" s="50"/>
      <c r="ML110" s="50"/>
      <c r="MM110" s="50"/>
      <c r="MN110" s="50"/>
      <c r="MO110" s="50"/>
      <c r="MP110" s="50"/>
      <c r="MQ110" s="50"/>
      <c r="MR110" s="50"/>
      <c r="MS110" s="50"/>
      <c r="MT110" s="50"/>
      <c r="MU110" s="50"/>
      <c r="MV110" s="50"/>
      <c r="MW110" s="50"/>
      <c r="MX110" s="50"/>
      <c r="MY110" s="50"/>
      <c r="MZ110" s="50"/>
      <c r="NA110" s="50"/>
      <c r="NB110" s="50"/>
      <c r="NC110" s="50"/>
      <c r="ND110" s="50"/>
      <c r="NE110" s="50"/>
      <c r="NF110" s="50"/>
      <c r="NG110" s="50"/>
      <c r="NH110" s="50"/>
      <c r="NI110" s="50"/>
      <c r="NJ110" s="50"/>
      <c r="NK110" s="50"/>
      <c r="NL110" s="50"/>
      <c r="NM110" s="50"/>
      <c r="NN110" s="50"/>
      <c r="NO110" s="50"/>
      <c r="NP110" s="50"/>
      <c r="NQ110" s="50"/>
      <c r="NR110" s="50"/>
      <c r="NS110" s="50"/>
      <c r="NT110" s="50"/>
      <c r="NU110" s="50"/>
      <c r="NV110" s="50"/>
      <c r="NW110" s="50"/>
      <c r="NX110" s="50"/>
      <c r="NY110" s="50"/>
      <c r="NZ110" s="50"/>
      <c r="OA110" s="50"/>
      <c r="OB110" s="50"/>
      <c r="OC110" s="50"/>
      <c r="OD110" s="50"/>
      <c r="OE110" s="50"/>
      <c r="PF110" s="50"/>
      <c r="PG110" s="50"/>
      <c r="PH110" s="50"/>
      <c r="PI110" s="50"/>
      <c r="PJ110" s="50"/>
      <c r="PK110" s="50"/>
      <c r="PL110" s="50"/>
      <c r="PM110" s="50"/>
      <c r="PN110" s="50"/>
      <c r="PO110" s="50"/>
      <c r="PP110" s="50"/>
      <c r="PQ110" s="50"/>
      <c r="PR110" s="50"/>
      <c r="PS110" s="50"/>
      <c r="PT110" s="50"/>
      <c r="PU110" s="50"/>
      <c r="PV110" s="50"/>
      <c r="PW110" s="50"/>
      <c r="PX110" s="50"/>
      <c r="PY110" s="50"/>
      <c r="PZ110" s="50"/>
      <c r="QA110" s="50"/>
      <c r="QB110" s="50"/>
      <c r="QC110" s="50"/>
      <c r="QD110" s="50"/>
      <c r="QE110" s="50"/>
      <c r="QF110" s="50"/>
      <c r="QG110" s="50"/>
      <c r="QH110" s="50"/>
      <c r="QI110" s="50"/>
      <c r="ADI110" s="50"/>
      <c r="ADJ110" s="50"/>
      <c r="ADK110" s="50"/>
      <c r="ADL110" s="50"/>
      <c r="ADM110" s="50"/>
      <c r="AWY110">
        <v>1</v>
      </c>
      <c r="AXB110" s="15">
        <v>999</v>
      </c>
      <c r="AXC110">
        <v>999</v>
      </c>
      <c r="AXD110">
        <v>0</v>
      </c>
      <c r="AXE110">
        <v>1</v>
      </c>
      <c r="AZL110" s="50"/>
      <c r="AZM110" s="50"/>
      <c r="AZN110" s="50"/>
      <c r="BCF110">
        <v>1</v>
      </c>
    </row>
    <row r="111" spans="1:963 1295:1893 2123:3014 3208:4083 4158:4620" x14ac:dyDescent="0.25">
      <c r="A111" s="50">
        <v>9150676</v>
      </c>
      <c r="HE111" s="50"/>
      <c r="HF111" s="50"/>
      <c r="HG111" s="50"/>
      <c r="HH111" s="50"/>
      <c r="HI111" s="50"/>
      <c r="HJ111" s="50"/>
      <c r="HK111" s="50"/>
      <c r="HL111" s="50"/>
      <c r="HM111" s="50"/>
      <c r="HN111" s="50"/>
      <c r="HO111" s="50"/>
      <c r="HP111" s="50"/>
      <c r="HQ111" s="50"/>
      <c r="HR111" s="50"/>
      <c r="HS111" s="50"/>
      <c r="HT111" s="50"/>
      <c r="HU111" s="50"/>
      <c r="HV111" s="50"/>
      <c r="HW111" s="50"/>
      <c r="HX111" s="50"/>
      <c r="HY111" s="50"/>
      <c r="HZ111" s="50"/>
      <c r="IA111" s="50"/>
      <c r="IB111" s="50"/>
      <c r="IC111" s="50"/>
      <c r="ID111" s="50"/>
      <c r="IE111" s="50"/>
      <c r="IF111" s="50"/>
      <c r="IG111" s="50"/>
      <c r="IH111" s="50"/>
      <c r="II111" s="50"/>
      <c r="IJ111" s="50"/>
      <c r="IK111" s="50"/>
      <c r="MA111" s="50"/>
      <c r="MB111" s="50"/>
      <c r="MC111" s="50"/>
      <c r="MD111" s="50"/>
      <c r="ME111" s="50"/>
      <c r="MF111" s="50"/>
      <c r="MG111" s="50"/>
      <c r="MH111" s="50"/>
      <c r="MI111" s="50"/>
      <c r="MJ111" s="50"/>
      <c r="MK111" s="50"/>
      <c r="ML111" s="50"/>
      <c r="MM111" s="50"/>
      <c r="MN111" s="50"/>
      <c r="MO111" s="50"/>
      <c r="MP111" s="50"/>
      <c r="MQ111" s="50"/>
      <c r="MR111" s="50"/>
      <c r="MS111" s="50"/>
      <c r="MT111" s="50"/>
      <c r="MU111" s="50"/>
      <c r="MV111" s="50"/>
      <c r="MW111" s="50"/>
      <c r="MX111" s="50"/>
      <c r="MY111" s="50"/>
      <c r="MZ111" s="50"/>
      <c r="NA111" s="50"/>
      <c r="NB111" s="50"/>
      <c r="NC111" s="50"/>
      <c r="ND111" s="50"/>
      <c r="NE111" s="50"/>
      <c r="NF111" s="50"/>
      <c r="NG111" s="50"/>
      <c r="NH111" s="50"/>
      <c r="NI111" s="50"/>
      <c r="NJ111" s="50"/>
      <c r="NK111" s="50"/>
      <c r="NL111" s="50"/>
      <c r="NM111" s="50"/>
      <c r="NN111" s="50"/>
      <c r="NO111" s="50"/>
      <c r="NP111" s="50"/>
      <c r="NQ111" s="50"/>
      <c r="NR111" s="50"/>
      <c r="NS111" s="50"/>
      <c r="NT111" s="50"/>
      <c r="NU111" s="50"/>
      <c r="NV111" s="50"/>
      <c r="NW111" s="50"/>
      <c r="NX111" s="50"/>
      <c r="NY111" s="50"/>
      <c r="NZ111" s="50"/>
      <c r="OA111" s="50"/>
      <c r="OB111" s="50"/>
      <c r="OC111" s="50"/>
      <c r="OD111" s="50"/>
      <c r="OE111" s="50"/>
      <c r="PF111" s="50"/>
      <c r="PG111" s="50"/>
      <c r="PH111" s="50"/>
      <c r="PI111" s="50"/>
      <c r="PJ111" s="50"/>
      <c r="PK111" s="50"/>
      <c r="PL111" s="50"/>
      <c r="PM111" s="50"/>
      <c r="PN111" s="50"/>
      <c r="PO111" s="50"/>
      <c r="PP111" s="50"/>
      <c r="PQ111" s="50"/>
      <c r="PR111" s="50"/>
      <c r="PS111" s="50"/>
      <c r="PT111" s="50"/>
      <c r="PU111" s="50"/>
      <c r="PV111" s="50"/>
      <c r="PW111" s="50"/>
      <c r="PX111" s="50"/>
      <c r="PY111" s="50"/>
      <c r="PZ111" s="50"/>
      <c r="QA111" s="50"/>
      <c r="QB111" s="50"/>
      <c r="QC111" s="50"/>
      <c r="QD111" s="50"/>
      <c r="QE111" s="50"/>
      <c r="QF111" s="50"/>
      <c r="QG111" s="50"/>
      <c r="QH111" s="50"/>
      <c r="QI111" s="50"/>
      <c r="ADI111" s="50"/>
      <c r="ADJ111" s="50"/>
      <c r="ADK111" s="50"/>
      <c r="ADL111" s="50"/>
      <c r="ADM111" s="50"/>
      <c r="AWY111">
        <v>1</v>
      </c>
      <c r="AXB111">
        <v>122</v>
      </c>
      <c r="AXC111">
        <v>46</v>
      </c>
      <c r="AXD111">
        <v>0</v>
      </c>
      <c r="AXE111">
        <v>83</v>
      </c>
    </row>
    <row r="112" spans="1:963 1295:1893 2123:3014 3208:4083 4158:4620" x14ac:dyDescent="0.25">
      <c r="A112" s="50">
        <v>10010926</v>
      </c>
      <c r="AL112">
        <v>0.2324</v>
      </c>
      <c r="AN112">
        <v>0.36030000000000001</v>
      </c>
      <c r="CM112">
        <v>1.9800000000000002E-2</v>
      </c>
      <c r="HE112" s="50"/>
      <c r="HF112" s="50"/>
      <c r="HG112" s="50"/>
      <c r="HH112" s="50"/>
      <c r="HI112" s="50"/>
      <c r="HJ112" s="50"/>
      <c r="HK112" s="50"/>
      <c r="HL112" s="50"/>
      <c r="HM112" s="50"/>
      <c r="HN112" s="50"/>
      <c r="HO112" s="50"/>
      <c r="HP112" s="50"/>
      <c r="HQ112" s="50"/>
      <c r="HR112" s="50"/>
      <c r="HS112" s="50"/>
      <c r="HT112" s="50"/>
      <c r="HU112" s="50"/>
      <c r="HV112" s="50"/>
      <c r="HW112" s="50"/>
      <c r="HX112" s="50"/>
      <c r="HY112" s="50"/>
      <c r="HZ112" s="50"/>
      <c r="IA112" s="50"/>
      <c r="IB112" s="50"/>
      <c r="IC112" s="50"/>
      <c r="ID112" s="50"/>
      <c r="IE112" s="50"/>
      <c r="IF112" s="50"/>
      <c r="IG112" s="50"/>
      <c r="IH112" s="50"/>
      <c r="II112" s="57">
        <v>8.4388000000000005</v>
      </c>
      <c r="IJ112" s="57">
        <v>5.7690999999999999</v>
      </c>
      <c r="IK112" s="50">
        <v>2.4773000000000001</v>
      </c>
      <c r="IQ112" s="3">
        <v>1.1991000000000001</v>
      </c>
      <c r="IR112" s="3"/>
      <c r="IU112" s="3">
        <v>1.2103999999999999</v>
      </c>
      <c r="IV112" s="3"/>
      <c r="MA112" s="50"/>
      <c r="MB112" s="50"/>
      <c r="MC112" s="50"/>
      <c r="MD112" s="50"/>
      <c r="ME112" s="50"/>
      <c r="MF112" s="50"/>
      <c r="MG112" s="50"/>
      <c r="MH112" s="50"/>
      <c r="MI112" s="50"/>
      <c r="MJ112" s="50"/>
      <c r="MK112" s="50"/>
      <c r="ML112" s="50"/>
      <c r="MM112" s="50"/>
      <c r="MN112" s="50"/>
      <c r="MO112" s="50"/>
      <c r="MP112" s="50"/>
      <c r="MQ112" s="50"/>
      <c r="MR112" s="50"/>
      <c r="MS112" s="50"/>
      <c r="MT112" s="50"/>
      <c r="MU112" s="50"/>
      <c r="MV112" s="50"/>
      <c r="MW112" s="50"/>
      <c r="MX112" s="50"/>
      <c r="MY112" s="50"/>
      <c r="MZ112" s="50"/>
      <c r="NA112" s="50"/>
      <c r="NB112" s="50"/>
      <c r="NC112" s="50"/>
      <c r="ND112" s="50"/>
      <c r="NE112" s="50"/>
      <c r="NF112" s="50"/>
      <c r="NG112" s="50"/>
      <c r="NH112" s="50"/>
      <c r="NI112" s="50"/>
      <c r="NJ112" s="50"/>
      <c r="NK112" s="50"/>
      <c r="NL112" s="50"/>
      <c r="NM112" s="50"/>
      <c r="NN112" s="50"/>
      <c r="NO112" s="50"/>
      <c r="NP112" s="57">
        <v>324.32400000000001</v>
      </c>
      <c r="NQ112" s="57">
        <v>180.78059999999999</v>
      </c>
      <c r="NR112" s="57"/>
      <c r="NS112" s="50"/>
      <c r="NT112" s="50"/>
      <c r="NU112" s="57">
        <v>345.94600000000003</v>
      </c>
      <c r="NV112" s="57"/>
      <c r="NW112" s="50"/>
      <c r="NX112" s="57">
        <v>329.72899999999998</v>
      </c>
      <c r="NY112" s="50"/>
      <c r="NZ112" s="50"/>
      <c r="OA112" s="50"/>
      <c r="OB112" s="50"/>
      <c r="OC112" s="50"/>
      <c r="OD112" s="50"/>
      <c r="OE112" s="50"/>
      <c r="PF112" s="50"/>
      <c r="PG112" s="50"/>
      <c r="PH112" s="50"/>
      <c r="PI112" s="50"/>
      <c r="PJ112" s="50"/>
      <c r="PK112" s="50"/>
      <c r="PL112" s="50"/>
      <c r="PM112" s="50"/>
      <c r="PN112" s="50">
        <v>3040000</v>
      </c>
      <c r="PO112" s="50">
        <v>2770000</v>
      </c>
      <c r="PP112" s="50">
        <v>2800000</v>
      </c>
      <c r="PQ112" s="50"/>
      <c r="PR112" s="50"/>
      <c r="PS112" s="50"/>
      <c r="PT112" s="50"/>
      <c r="PU112" s="50"/>
      <c r="PV112" s="57">
        <v>24300000000</v>
      </c>
      <c r="PW112" s="57"/>
      <c r="PX112" s="57"/>
      <c r="PY112" s="50"/>
      <c r="PZ112" s="50">
        <v>3460000</v>
      </c>
      <c r="QA112" s="50"/>
      <c r="QB112" s="57">
        <v>32000000000</v>
      </c>
      <c r="QC112" s="57"/>
      <c r="QD112" s="50"/>
      <c r="QE112" s="50"/>
      <c r="QF112" s="50"/>
      <c r="QG112" s="50"/>
      <c r="QH112" s="50"/>
      <c r="QI112" s="50"/>
      <c r="QY112">
        <v>22000</v>
      </c>
      <c r="QZ112">
        <v>23000</v>
      </c>
      <c r="RA112">
        <v>16000</v>
      </c>
      <c r="RG112">
        <v>16000</v>
      </c>
      <c r="RK112">
        <v>40000</v>
      </c>
      <c r="RM112">
        <v>32000</v>
      </c>
      <c r="SJ112">
        <v>280</v>
      </c>
      <c r="WI112">
        <v>7.23</v>
      </c>
      <c r="WJ112">
        <v>7.33</v>
      </c>
      <c r="WK112">
        <v>7.34</v>
      </c>
      <c r="WL112">
        <v>7.36</v>
      </c>
      <c r="WM112">
        <v>7.45</v>
      </c>
      <c r="WO112">
        <v>7.48</v>
      </c>
      <c r="WQ112">
        <v>7.74</v>
      </c>
      <c r="WS112">
        <v>-16.399999999999999</v>
      </c>
      <c r="WU112">
        <v>-5.9</v>
      </c>
      <c r="WW112">
        <v>6.7</v>
      </c>
      <c r="WY112">
        <v>12.1</v>
      </c>
      <c r="WZ112">
        <v>17.600000000000001</v>
      </c>
      <c r="XA112">
        <v>19.3</v>
      </c>
      <c r="XB112">
        <v>22.4</v>
      </c>
      <c r="XC112">
        <v>24.6</v>
      </c>
      <c r="XE112">
        <v>30.6</v>
      </c>
      <c r="XF112">
        <v>29.6</v>
      </c>
      <c r="XM112">
        <v>24.001999999999999</v>
      </c>
      <c r="XN112">
        <v>31.502600000000001</v>
      </c>
      <c r="XO112">
        <v>36.003</v>
      </c>
      <c r="XP112">
        <v>41.253399999999999</v>
      </c>
      <c r="XQ112">
        <v>34.502800000000001</v>
      </c>
      <c r="XS112">
        <v>40.503300000000003</v>
      </c>
      <c r="XT112">
        <v>42.003500000000003</v>
      </c>
      <c r="YO112">
        <v>30</v>
      </c>
      <c r="YP112">
        <v>27</v>
      </c>
      <c r="YQ112">
        <v>28</v>
      </c>
      <c r="YW112">
        <v>24</v>
      </c>
      <c r="ZA112">
        <v>33</v>
      </c>
      <c r="ZB112">
        <v>30</v>
      </c>
      <c r="ABN112" s="3">
        <v>33.6783</v>
      </c>
      <c r="ABO112" s="3">
        <v>33.356000000000002</v>
      </c>
      <c r="ABP112" s="3"/>
      <c r="ABT112" s="3">
        <v>33.839399999999998</v>
      </c>
      <c r="ABU112" s="3">
        <v>31.744599999999998</v>
      </c>
      <c r="ABV112" s="3"/>
      <c r="ABW112" s="3">
        <v>31.744599999999998</v>
      </c>
      <c r="ABX112" s="3">
        <v>30.777699999999999</v>
      </c>
      <c r="ABY112" s="3"/>
      <c r="ABZ112" s="3"/>
      <c r="ACA112" s="3"/>
      <c r="ACB112" s="3"/>
      <c r="ACC112" s="3"/>
      <c r="ACD112" s="3"/>
      <c r="ACE112" s="3"/>
      <c r="ACF112" s="3"/>
      <c r="ACG112" s="3"/>
      <c r="ACH112" s="3"/>
      <c r="ACI112" s="3"/>
      <c r="ACJ112" s="3"/>
      <c r="ACK112" s="3"/>
      <c r="ACL112" s="3"/>
      <c r="ACM112" s="3"/>
      <c r="ACN112" s="3"/>
      <c r="ACQ112" s="3">
        <v>34.161700000000003</v>
      </c>
      <c r="ACR112" s="3">
        <v>33.356000000000002</v>
      </c>
      <c r="ACS112" s="3"/>
      <c r="ACW112">
        <v>34.000500000000002</v>
      </c>
      <c r="ACX112" s="3">
        <v>33.839399999999998</v>
      </c>
      <c r="ACY112" s="3"/>
      <c r="ACZ112" s="3">
        <v>33.033700000000003</v>
      </c>
      <c r="ADA112" s="3">
        <v>32.228000000000002</v>
      </c>
      <c r="ADB112" s="3"/>
      <c r="ADI112" s="50"/>
      <c r="ADJ112" s="50"/>
      <c r="ADK112" s="50"/>
      <c r="ADL112" s="59"/>
      <c r="ADM112" s="50"/>
      <c r="AET112">
        <v>137</v>
      </c>
      <c r="AEU112">
        <v>146</v>
      </c>
      <c r="AEV112">
        <v>145</v>
      </c>
      <c r="AFH112">
        <v>138</v>
      </c>
      <c r="AFZ112">
        <v>6.3</v>
      </c>
      <c r="AGA112">
        <v>4.4000000000000004</v>
      </c>
      <c r="AGB112">
        <v>4.5</v>
      </c>
      <c r="AGN112">
        <v>3.9</v>
      </c>
      <c r="AHC112">
        <v>2.2999999999999998</v>
      </c>
      <c r="AHD112">
        <v>2.23</v>
      </c>
      <c r="AHE112">
        <v>2.25</v>
      </c>
      <c r="AHN112">
        <v>2.2200000000000002</v>
      </c>
      <c r="AJO112">
        <v>6.8</v>
      </c>
      <c r="AJP112">
        <v>6.2</v>
      </c>
      <c r="AJZ112" s="3">
        <v>133.3184</v>
      </c>
      <c r="AKA112" s="3"/>
      <c r="AWU112">
        <v>50</v>
      </c>
      <c r="AWV112">
        <v>1</v>
      </c>
      <c r="AWY112">
        <v>1</v>
      </c>
      <c r="AXB112" s="15">
        <v>999</v>
      </c>
      <c r="AXC112">
        <v>999</v>
      </c>
      <c r="AXD112">
        <v>0</v>
      </c>
      <c r="AXE112">
        <v>0</v>
      </c>
      <c r="AYF112">
        <v>100</v>
      </c>
      <c r="AYG112">
        <v>1</v>
      </c>
      <c r="AYJ112">
        <v>1</v>
      </c>
      <c r="AYK112" s="15">
        <v>999</v>
      </c>
      <c r="AYL112">
        <v>999</v>
      </c>
      <c r="AYM112">
        <v>0</v>
      </c>
      <c r="AYN112">
        <v>2</v>
      </c>
      <c r="CCQ112">
        <v>25</v>
      </c>
      <c r="CCR112">
        <v>1</v>
      </c>
      <c r="CCU112">
        <v>1</v>
      </c>
      <c r="CCV112" s="15">
        <v>999</v>
      </c>
      <c r="CCW112">
        <v>999</v>
      </c>
      <c r="CCX112">
        <v>0</v>
      </c>
      <c r="CCY112">
        <v>0</v>
      </c>
      <c r="CFI112">
        <v>4</v>
      </c>
      <c r="CFJ112">
        <v>1</v>
      </c>
      <c r="CFM112">
        <v>1</v>
      </c>
      <c r="CHV112">
        <v>1</v>
      </c>
      <c r="CHW112" s="15">
        <v>999</v>
      </c>
      <c r="CHX112">
        <v>999</v>
      </c>
      <c r="CHY112">
        <v>0</v>
      </c>
      <c r="CHZ112">
        <v>0</v>
      </c>
      <c r="CKT112">
        <v>10</v>
      </c>
      <c r="CKU112">
        <v>1</v>
      </c>
      <c r="CKX112">
        <v>1</v>
      </c>
      <c r="CKY112" s="15">
        <v>999</v>
      </c>
      <c r="CKZ112">
        <v>999</v>
      </c>
      <c r="CLA112">
        <v>0</v>
      </c>
      <c r="CLB112">
        <v>0</v>
      </c>
      <c r="CPB112">
        <v>7.0000000000000007E-2</v>
      </c>
      <c r="CPC112">
        <v>1</v>
      </c>
      <c r="CPF112">
        <v>1</v>
      </c>
      <c r="CUO112">
        <v>10</v>
      </c>
      <c r="CUP112">
        <v>1</v>
      </c>
      <c r="CUS112">
        <v>1</v>
      </c>
      <c r="CUT112" s="15">
        <v>999</v>
      </c>
      <c r="CUU112">
        <v>999</v>
      </c>
      <c r="CUV112">
        <v>0</v>
      </c>
      <c r="CUW112">
        <v>1</v>
      </c>
      <c r="DDP112">
        <v>65</v>
      </c>
      <c r="DDQ112">
        <v>3</v>
      </c>
      <c r="DEK112">
        <v>2000</v>
      </c>
      <c r="DEL112">
        <v>1</v>
      </c>
      <c r="DEO112">
        <v>1</v>
      </c>
      <c r="DEP112" s="15">
        <v>999</v>
      </c>
      <c r="DEQ112">
        <v>999</v>
      </c>
      <c r="DER112">
        <v>1</v>
      </c>
      <c r="DES112">
        <v>0</v>
      </c>
      <c r="ENM112">
        <v>75</v>
      </c>
      <c r="ENN112">
        <v>1</v>
      </c>
      <c r="ENQ112">
        <v>1</v>
      </c>
      <c r="ENR112" s="15">
        <v>999</v>
      </c>
      <c r="ENS112">
        <v>999</v>
      </c>
      <c r="ENT112">
        <v>0</v>
      </c>
      <c r="ENU112">
        <v>0</v>
      </c>
      <c r="FCX112">
        <v>1.5</v>
      </c>
      <c r="FCY112">
        <v>1</v>
      </c>
      <c r="FTE112">
        <v>1500</v>
      </c>
      <c r="FTF112">
        <v>1</v>
      </c>
      <c r="FTI112">
        <v>1</v>
      </c>
    </row>
    <row r="113" spans="1:981 1048:1741 2082:3014 3076:3988 4385:4829" x14ac:dyDescent="0.25">
      <c r="A113" s="50">
        <v>10016588</v>
      </c>
      <c r="B113">
        <v>8.4</v>
      </c>
      <c r="FF113" s="50"/>
      <c r="FG113" s="50"/>
      <c r="FH113" s="50"/>
      <c r="FI113" s="50"/>
      <c r="FJ113" s="50"/>
      <c r="FK113" s="50"/>
      <c r="FL113" s="50"/>
      <c r="FM113" s="50"/>
      <c r="FN113" s="50"/>
      <c r="HE113" s="50"/>
      <c r="HF113" s="50"/>
      <c r="HG113" s="50"/>
      <c r="HH113" s="50"/>
      <c r="HI113" s="50"/>
      <c r="HJ113" s="50"/>
      <c r="HK113" s="50"/>
      <c r="HL113" s="50"/>
      <c r="HM113" s="50"/>
      <c r="HN113" s="50"/>
      <c r="HO113" s="50"/>
      <c r="HP113" s="50"/>
      <c r="HQ113" s="50"/>
      <c r="HR113" s="50"/>
      <c r="HS113" s="50"/>
      <c r="HT113" s="50"/>
      <c r="HU113" s="50"/>
      <c r="HV113" s="50"/>
      <c r="HW113" s="50"/>
      <c r="HX113" s="50"/>
      <c r="HY113" s="50"/>
      <c r="HZ113" s="50"/>
      <c r="IA113" s="50"/>
      <c r="IB113" s="50"/>
      <c r="IC113" s="50"/>
      <c r="ID113" s="50"/>
      <c r="IE113" s="50"/>
      <c r="IF113" s="50"/>
      <c r="IG113" s="50"/>
      <c r="IH113" s="50"/>
      <c r="II113" s="50"/>
      <c r="IJ113" s="50"/>
      <c r="IK113" s="50"/>
      <c r="MA113" s="50"/>
      <c r="MB113" s="50"/>
      <c r="MC113" s="50"/>
      <c r="MD113" s="50"/>
      <c r="ME113" s="50"/>
      <c r="MF113" s="50"/>
      <c r="MG113" s="50"/>
      <c r="MH113" s="50"/>
      <c r="MI113" s="50"/>
      <c r="MJ113" s="50"/>
      <c r="MK113" s="50"/>
      <c r="ML113" s="50"/>
      <c r="MM113" s="50"/>
      <c r="MN113" s="50"/>
      <c r="MO113" s="50"/>
      <c r="MP113" s="50"/>
      <c r="MQ113" s="50"/>
      <c r="MR113" s="50"/>
      <c r="MS113" s="50"/>
      <c r="MT113" s="50"/>
      <c r="MU113" s="50"/>
      <c r="MV113" s="50"/>
      <c r="MW113" s="50"/>
      <c r="MX113" s="50"/>
      <c r="MY113" s="50"/>
      <c r="MZ113" s="50"/>
      <c r="NA113" s="50"/>
      <c r="NB113" s="50"/>
      <c r="NC113" s="50"/>
      <c r="ND113" s="50"/>
      <c r="NE113" s="50"/>
      <c r="NF113" s="50"/>
      <c r="NG113" s="50"/>
      <c r="NH113" s="50"/>
      <c r="NI113" s="50"/>
      <c r="NJ113" s="50"/>
      <c r="NK113" s="50"/>
      <c r="NL113" s="50"/>
      <c r="NM113" s="50"/>
      <c r="NN113" s="50"/>
      <c r="NO113" s="50"/>
      <c r="NP113" s="50"/>
      <c r="NQ113" s="50"/>
      <c r="NR113" s="50"/>
      <c r="NS113" s="50"/>
      <c r="NT113" s="50"/>
      <c r="NU113" s="50"/>
      <c r="NV113" s="50"/>
      <c r="NW113" s="50"/>
      <c r="NX113" s="50"/>
      <c r="NY113" s="50"/>
      <c r="NZ113" s="50"/>
      <c r="OA113" s="50"/>
      <c r="OB113" s="50"/>
      <c r="OC113" s="50"/>
      <c r="OD113" s="50"/>
      <c r="OE113" s="50"/>
      <c r="PF113" s="50"/>
      <c r="PG113" s="50"/>
      <c r="PH113" s="50"/>
      <c r="PI113" s="50"/>
      <c r="PJ113" s="50"/>
      <c r="PK113" s="50"/>
      <c r="PL113" s="50"/>
      <c r="PM113" s="50"/>
      <c r="PN113" s="50"/>
      <c r="PO113" s="50"/>
      <c r="PP113" s="50"/>
      <c r="PQ113" s="50"/>
      <c r="PR113" s="50"/>
      <c r="PS113" s="50"/>
      <c r="PT113" s="50"/>
      <c r="PU113" s="50"/>
      <c r="PV113" s="50"/>
      <c r="PW113" s="50"/>
      <c r="PX113" s="50"/>
      <c r="PY113" s="50"/>
      <c r="PZ113" s="50"/>
      <c r="QA113" s="50"/>
      <c r="QB113" s="50"/>
      <c r="QC113" s="50"/>
      <c r="QD113" s="50"/>
      <c r="QE113" s="50"/>
      <c r="QF113" s="50"/>
      <c r="QG113" s="50"/>
      <c r="QH113" s="50"/>
      <c r="QI113" s="50"/>
      <c r="ADI113" s="50"/>
      <c r="ADJ113" s="50"/>
      <c r="ADK113" s="50"/>
      <c r="ADL113" s="50"/>
      <c r="ADM113" s="50"/>
      <c r="AWY113">
        <v>1</v>
      </c>
      <c r="AXB113">
        <v>53</v>
      </c>
      <c r="AXC113">
        <v>94</v>
      </c>
      <c r="AXD113">
        <v>41</v>
      </c>
      <c r="AXE113">
        <v>0</v>
      </c>
      <c r="DYW113">
        <v>34</v>
      </c>
      <c r="DYX113">
        <v>38</v>
      </c>
      <c r="DYY113">
        <v>5</v>
      </c>
      <c r="DYZ113">
        <v>0</v>
      </c>
    </row>
    <row r="114" spans="1:981 1048:1741 2082:3014 3076:3988 4385:4829" x14ac:dyDescent="0.25">
      <c r="A114" s="50">
        <v>10030897</v>
      </c>
      <c r="X114">
        <v>0.36</v>
      </c>
      <c r="AJ114">
        <v>2.48</v>
      </c>
      <c r="AL114">
        <v>5.09</v>
      </c>
      <c r="AO114">
        <v>1.81</v>
      </c>
      <c r="AW114">
        <v>1.23</v>
      </c>
      <c r="BD114">
        <v>0.93</v>
      </c>
      <c r="BO114">
        <v>1.0900000000000001</v>
      </c>
      <c r="CM114">
        <v>2.11</v>
      </c>
      <c r="CO114">
        <v>4.72</v>
      </c>
      <c r="EH114">
        <v>139</v>
      </c>
      <c r="EX114">
        <v>528</v>
      </c>
      <c r="FC114">
        <v>516</v>
      </c>
      <c r="FF114" s="50"/>
      <c r="FG114" s="50"/>
      <c r="FH114" s="50"/>
      <c r="FI114" s="50"/>
      <c r="FJ114" s="50"/>
      <c r="FK114" s="50">
        <v>284</v>
      </c>
      <c r="FL114" s="50"/>
      <c r="FM114" s="50"/>
      <c r="FN114" s="50"/>
      <c r="FR114">
        <v>182</v>
      </c>
      <c r="GA114">
        <v>132</v>
      </c>
      <c r="HE114" s="50"/>
      <c r="HF114" s="50"/>
      <c r="HG114" s="50"/>
      <c r="HH114" s="50"/>
      <c r="HI114" s="50"/>
      <c r="HJ114" s="50"/>
      <c r="HK114" s="50"/>
      <c r="HL114" s="50"/>
      <c r="HM114" s="50"/>
      <c r="HN114" s="50"/>
      <c r="HO114" s="50"/>
      <c r="HP114" s="50"/>
      <c r="HQ114" s="50"/>
      <c r="HR114" s="50"/>
      <c r="HS114" s="50"/>
      <c r="HT114" s="50"/>
      <c r="HU114" s="50"/>
      <c r="HV114" s="50"/>
      <c r="HW114" s="50"/>
      <c r="HX114" s="50"/>
      <c r="HY114" s="50"/>
      <c r="HZ114" s="50"/>
      <c r="IA114" s="50"/>
      <c r="IB114" s="50"/>
      <c r="IC114" s="50"/>
      <c r="ID114" s="50"/>
      <c r="IE114" s="50"/>
      <c r="IF114" s="50"/>
      <c r="IG114" s="50"/>
      <c r="IH114" s="50"/>
      <c r="II114" s="50"/>
      <c r="IJ114" s="50"/>
      <c r="IK114" s="50"/>
      <c r="MA114" s="50"/>
      <c r="MB114" s="50">
        <v>153.91</v>
      </c>
      <c r="MC114" s="50"/>
      <c r="MD114" s="50">
        <v>135.88</v>
      </c>
      <c r="ME114" s="50"/>
      <c r="MF114" s="50"/>
      <c r="MG114" s="50">
        <v>34</v>
      </c>
      <c r="MH114" s="50"/>
      <c r="MI114" s="50"/>
      <c r="MJ114" s="50"/>
      <c r="MK114" s="50"/>
      <c r="ML114" s="50"/>
      <c r="MM114" s="50"/>
      <c r="MN114" s="50"/>
      <c r="MO114" s="50">
        <v>5.73</v>
      </c>
      <c r="MP114" s="50"/>
      <c r="MQ114" s="50"/>
      <c r="MR114" s="50"/>
      <c r="MS114" s="50"/>
      <c r="MT114" s="50"/>
      <c r="MU114" s="50"/>
      <c r="MV114" s="50"/>
      <c r="MW114" s="50"/>
      <c r="MX114" s="50"/>
      <c r="MY114" s="50">
        <v>3.75</v>
      </c>
      <c r="MZ114" s="50">
        <v>4.29</v>
      </c>
      <c r="NA114" s="50"/>
      <c r="NB114" s="50"/>
      <c r="NC114" s="50"/>
      <c r="ND114" s="50"/>
      <c r="NE114" s="50"/>
      <c r="NF114" s="50"/>
      <c r="NG114" s="50"/>
      <c r="NH114" s="50"/>
      <c r="NI114" s="50"/>
      <c r="NJ114" s="50"/>
      <c r="NK114" s="50"/>
      <c r="NL114" s="50"/>
      <c r="NM114" s="50"/>
      <c r="NN114" s="50"/>
      <c r="NO114" s="50"/>
      <c r="NP114" s="50"/>
      <c r="NQ114" s="50"/>
      <c r="NR114" s="50"/>
      <c r="NS114" s="50"/>
      <c r="NT114" s="50"/>
      <c r="NU114" s="50"/>
      <c r="NV114" s="50"/>
      <c r="NW114" s="50"/>
      <c r="NX114" s="50"/>
      <c r="NY114" s="50"/>
      <c r="NZ114" s="50"/>
      <c r="OA114" s="50"/>
      <c r="OB114" s="50"/>
      <c r="OC114" s="50"/>
      <c r="OD114" s="50"/>
      <c r="OE114" s="50"/>
      <c r="PB114">
        <v>390000</v>
      </c>
      <c r="PF114" s="50"/>
      <c r="PG114" s="50"/>
      <c r="PH114" s="50"/>
      <c r="PI114" s="50"/>
      <c r="PJ114" s="50"/>
      <c r="PK114" s="50"/>
      <c r="PL114" s="50"/>
      <c r="PM114" s="50"/>
      <c r="PN114" s="50">
        <v>415000</v>
      </c>
      <c r="PO114" s="50"/>
      <c r="PP114" s="50"/>
      <c r="PQ114" s="50"/>
      <c r="PR114" s="50"/>
      <c r="PS114" s="50">
        <v>406000</v>
      </c>
      <c r="PT114" s="50"/>
      <c r="PU114" s="50"/>
      <c r="PV114" s="50"/>
      <c r="PW114" s="50"/>
      <c r="PX114" s="50"/>
      <c r="PY114" s="50"/>
      <c r="PZ114" s="50"/>
      <c r="QA114" s="50">
        <v>437000</v>
      </c>
      <c r="QB114" s="50"/>
      <c r="QC114" s="50"/>
      <c r="QD114" s="50"/>
      <c r="QE114" s="50"/>
      <c r="QF114" s="50"/>
      <c r="QG114" s="50"/>
      <c r="QH114" s="50"/>
      <c r="QI114" s="50"/>
      <c r="TS114">
        <v>44</v>
      </c>
      <c r="TZ114">
        <v>83</v>
      </c>
      <c r="UD114">
        <v>60</v>
      </c>
      <c r="UF114">
        <v>46</v>
      </c>
      <c r="UH114">
        <v>42</v>
      </c>
      <c r="UK114">
        <v>48</v>
      </c>
      <c r="ADI114" s="50"/>
      <c r="ADJ114" s="50"/>
      <c r="ADK114" s="50"/>
      <c r="ADL114" s="50"/>
      <c r="ADM114" s="50"/>
      <c r="AWV114">
        <v>50</v>
      </c>
      <c r="AWW114">
        <v>1</v>
      </c>
      <c r="AWY114">
        <v>1</v>
      </c>
      <c r="AXB114">
        <v>8</v>
      </c>
      <c r="AXC114">
        <v>2</v>
      </c>
      <c r="AXD114">
        <v>0</v>
      </c>
      <c r="AXE114">
        <v>5</v>
      </c>
      <c r="AYF114">
        <v>100</v>
      </c>
      <c r="AYG114">
        <v>1</v>
      </c>
      <c r="AYJ114">
        <v>1</v>
      </c>
      <c r="BIO114">
        <v>7.5</v>
      </c>
      <c r="BIP114">
        <v>1</v>
      </c>
      <c r="BIS114">
        <v>1</v>
      </c>
      <c r="BIT114">
        <v>20</v>
      </c>
      <c r="BIU114">
        <v>14</v>
      </c>
      <c r="BIV114">
        <v>0</v>
      </c>
      <c r="BIW114">
        <v>5</v>
      </c>
      <c r="CCQ114">
        <v>50</v>
      </c>
      <c r="CCR114">
        <v>1</v>
      </c>
      <c r="CCU114">
        <v>1</v>
      </c>
      <c r="CLD114">
        <v>2.5</v>
      </c>
      <c r="CLE114">
        <v>1</v>
      </c>
      <c r="CLH114">
        <v>1</v>
      </c>
      <c r="CLI114">
        <v>999</v>
      </c>
      <c r="CLJ114">
        <v>999</v>
      </c>
      <c r="CLK114">
        <v>0</v>
      </c>
      <c r="CLL114">
        <v>72</v>
      </c>
      <c r="CTU114">
        <v>47.5</v>
      </c>
      <c r="CTV114">
        <v>1</v>
      </c>
      <c r="CTY114">
        <v>1</v>
      </c>
      <c r="DEK114">
        <v>850</v>
      </c>
      <c r="DEL114">
        <v>1</v>
      </c>
      <c r="DEO114">
        <v>1</v>
      </c>
      <c r="DEP114">
        <v>999</v>
      </c>
      <c r="DEQ114">
        <v>999</v>
      </c>
      <c r="DER114">
        <v>0</v>
      </c>
      <c r="DES114">
        <v>5</v>
      </c>
      <c r="DKF114">
        <v>20</v>
      </c>
      <c r="DKG114">
        <v>1</v>
      </c>
      <c r="DKJ114">
        <v>1</v>
      </c>
      <c r="DKK114">
        <v>8</v>
      </c>
      <c r="DKL114">
        <v>2</v>
      </c>
      <c r="DKM114">
        <v>0</v>
      </c>
      <c r="DKN114">
        <v>5</v>
      </c>
      <c r="EKU114">
        <v>40</v>
      </c>
      <c r="EKV114">
        <v>1</v>
      </c>
      <c r="EKY114">
        <v>1</v>
      </c>
      <c r="EKZ114" s="35">
        <v>999</v>
      </c>
      <c r="ELA114">
        <v>32</v>
      </c>
      <c r="ELB114">
        <v>0</v>
      </c>
      <c r="ELC114">
        <v>999</v>
      </c>
      <c r="ELO114">
        <v>15</v>
      </c>
      <c r="ELP114">
        <v>1</v>
      </c>
      <c r="ELS114">
        <v>1</v>
      </c>
      <c r="ELT114">
        <v>11</v>
      </c>
      <c r="ELU114">
        <v>5</v>
      </c>
      <c r="ELV114">
        <v>0</v>
      </c>
      <c r="ELW114">
        <v>5</v>
      </c>
    </row>
    <row r="115" spans="1:981 1048:1741 2082:3014 3076:3988 4385:4829" x14ac:dyDescent="0.25">
      <c r="A115" s="50">
        <v>324</v>
      </c>
      <c r="BI115">
        <v>0.7</v>
      </c>
      <c r="EX115">
        <v>135</v>
      </c>
      <c r="FF115" s="50"/>
      <c r="FG115" s="50"/>
      <c r="FH115" s="50"/>
      <c r="FI115" s="50"/>
      <c r="FJ115" s="50"/>
      <c r="FK115" s="50"/>
      <c r="FL115" s="50"/>
      <c r="FM115" s="50"/>
      <c r="FN115" s="50"/>
      <c r="FX115">
        <v>121</v>
      </c>
      <c r="HB115">
        <v>66000</v>
      </c>
      <c r="HE115" s="50"/>
      <c r="HF115" s="50"/>
      <c r="HG115" s="50"/>
      <c r="HH115" s="50"/>
      <c r="HI115" s="50"/>
      <c r="HJ115" s="50"/>
      <c r="HK115" s="50"/>
      <c r="HL115" s="50"/>
      <c r="HM115" s="50"/>
      <c r="HN115" s="50"/>
      <c r="HO115" s="50">
        <v>6.2</v>
      </c>
      <c r="HP115" s="50"/>
      <c r="HQ115" s="50"/>
      <c r="HR115" s="50"/>
      <c r="HS115" s="50"/>
      <c r="HT115" s="50"/>
      <c r="HU115" s="50"/>
      <c r="HV115" s="50"/>
      <c r="HW115" s="50"/>
      <c r="HX115" s="50"/>
      <c r="HY115" s="50"/>
      <c r="HZ115" s="50"/>
      <c r="IA115" s="50"/>
      <c r="IB115" s="50"/>
      <c r="IC115" s="50"/>
      <c r="ID115" s="50"/>
      <c r="IE115" s="50"/>
      <c r="IF115" s="50"/>
      <c r="IG115" s="50"/>
      <c r="IH115" s="50"/>
      <c r="II115" s="50">
        <v>1.26</v>
      </c>
      <c r="IJ115" s="50"/>
      <c r="IK115" s="50"/>
      <c r="JD115">
        <v>1.08</v>
      </c>
      <c r="JS115">
        <v>96</v>
      </c>
      <c r="KQ115">
        <v>30</v>
      </c>
      <c r="MA115" s="50"/>
      <c r="MB115" s="50"/>
      <c r="MC115" s="50"/>
      <c r="MD115" s="50"/>
      <c r="ME115" s="50"/>
      <c r="MF115" s="50"/>
      <c r="MG115" s="50"/>
      <c r="MH115" s="50"/>
      <c r="MI115" s="50"/>
      <c r="MJ115" s="50"/>
      <c r="MK115" s="50"/>
      <c r="ML115" s="50"/>
      <c r="MM115" s="50"/>
      <c r="MN115" s="50"/>
      <c r="MO115" s="50"/>
      <c r="MP115" s="50"/>
      <c r="MQ115" s="50"/>
      <c r="MR115" s="50"/>
      <c r="MS115" s="50"/>
      <c r="MT115" s="50"/>
      <c r="MU115" s="50"/>
      <c r="MV115" s="50"/>
      <c r="MW115" s="50"/>
      <c r="MX115" s="50"/>
      <c r="MY115" s="50"/>
      <c r="MZ115" s="50"/>
      <c r="NA115" s="50"/>
      <c r="NB115" s="50"/>
      <c r="NC115" s="50"/>
      <c r="ND115" s="50"/>
      <c r="NE115" s="50"/>
      <c r="NF115" s="50"/>
      <c r="NG115" s="50"/>
      <c r="NH115" s="50"/>
      <c r="NI115" s="50"/>
      <c r="NJ115" s="50"/>
      <c r="NK115" s="50"/>
      <c r="NL115" s="50"/>
      <c r="NM115" s="50"/>
      <c r="NN115" s="50"/>
      <c r="NO115" s="50">
        <v>33</v>
      </c>
      <c r="NP115" s="50"/>
      <c r="NQ115" s="50"/>
      <c r="NR115" s="50"/>
      <c r="NS115" s="50"/>
      <c r="NT115" s="50"/>
      <c r="NU115" s="50"/>
      <c r="NV115" s="50"/>
      <c r="NW115" s="50"/>
      <c r="NX115" s="50"/>
      <c r="NY115" s="50"/>
      <c r="NZ115" s="50"/>
      <c r="OA115" s="50"/>
      <c r="OB115" s="50"/>
      <c r="OC115" s="50"/>
      <c r="OD115" s="50"/>
      <c r="OE115" s="50">
        <v>30.7</v>
      </c>
      <c r="OP115">
        <v>6.6</v>
      </c>
      <c r="OZ115">
        <v>6.3</v>
      </c>
      <c r="PF115" s="50"/>
      <c r="PG115" s="50"/>
      <c r="PH115" s="50"/>
      <c r="PI115" s="50"/>
      <c r="PJ115" s="50"/>
      <c r="PK115" s="50"/>
      <c r="PL115" s="50"/>
      <c r="PM115" s="50"/>
      <c r="PN115" s="50">
        <v>5200000</v>
      </c>
      <c r="PO115" s="50"/>
      <c r="PP115" s="50"/>
      <c r="PQ115" s="50"/>
      <c r="PR115" s="50"/>
      <c r="PS115" s="50"/>
      <c r="PT115" s="50"/>
      <c r="PU115" s="50"/>
      <c r="PV115" s="50"/>
      <c r="PW115" s="50"/>
      <c r="PX115" s="50"/>
      <c r="PY115" s="50"/>
      <c r="PZ115" s="50"/>
      <c r="QA115" s="50"/>
      <c r="QB115" s="50"/>
      <c r="QC115" s="50"/>
      <c r="QD115" s="50"/>
      <c r="QE115" s="50"/>
      <c r="QF115" s="50"/>
      <c r="QG115" s="50"/>
      <c r="QH115" s="50"/>
      <c r="QI115" s="50"/>
      <c r="QY115">
        <v>157000</v>
      </c>
      <c r="SU115">
        <v>10.1</v>
      </c>
      <c r="TF115">
        <v>6.8</v>
      </c>
      <c r="TZ115">
        <v>63.8</v>
      </c>
      <c r="UV115">
        <v>0.1</v>
      </c>
      <c r="YO115">
        <v>46</v>
      </c>
      <c r="ZN115">
        <v>34</v>
      </c>
      <c r="ADI115" s="50"/>
      <c r="ADJ115" s="50"/>
      <c r="ADK115" s="50"/>
      <c r="ADL115" s="50"/>
      <c r="ADM115" s="50"/>
      <c r="AET115">
        <v>146</v>
      </c>
      <c r="AFL115">
        <v>135</v>
      </c>
      <c r="AFZ115">
        <v>5.07</v>
      </c>
      <c r="AJZ115">
        <v>79</v>
      </c>
      <c r="ANH115">
        <v>41</v>
      </c>
      <c r="ANI115">
        <v>1</v>
      </c>
      <c r="ANK115">
        <v>29.6</v>
      </c>
      <c r="ANM115">
        <v>1</v>
      </c>
      <c r="ANN115">
        <v>33</v>
      </c>
      <c r="ANO115">
        <v>1</v>
      </c>
      <c r="AOX115">
        <v>1</v>
      </c>
      <c r="AOZ115">
        <v>1</v>
      </c>
      <c r="AWE115">
        <v>1</v>
      </c>
      <c r="AWV115">
        <v>2.5</v>
      </c>
      <c r="AWY115">
        <v>1</v>
      </c>
      <c r="AXB115">
        <v>8</v>
      </c>
      <c r="AXC115">
        <v>7</v>
      </c>
      <c r="AXD115">
        <v>0</v>
      </c>
      <c r="AXE115">
        <v>0</v>
      </c>
      <c r="CDK115">
        <v>300</v>
      </c>
      <c r="CDL115">
        <v>1</v>
      </c>
      <c r="CDO115">
        <v>1</v>
      </c>
      <c r="CDP115">
        <v>9</v>
      </c>
      <c r="CDQ115">
        <v>215</v>
      </c>
      <c r="CDR115">
        <v>183</v>
      </c>
      <c r="CDS115">
        <v>0</v>
      </c>
    </row>
    <row r="116" spans="1:981 1048:1741 2082:3014 3076:3988 4385:4829" x14ac:dyDescent="0.25">
      <c r="A116" s="50">
        <v>3909</v>
      </c>
      <c r="CB116">
        <v>4.2</v>
      </c>
      <c r="DS116">
        <v>5.0999999999999996</v>
      </c>
      <c r="EB116">
        <v>6.8</v>
      </c>
      <c r="EJ116" s="50"/>
      <c r="FF116" s="50"/>
      <c r="FG116" s="50"/>
      <c r="FH116" s="50"/>
      <c r="FI116" s="50"/>
      <c r="FJ116" s="50"/>
      <c r="FK116" s="50"/>
      <c r="FL116" s="50"/>
      <c r="FM116" s="50"/>
      <c r="FN116" s="50"/>
      <c r="HE116" s="50"/>
      <c r="HF116" s="50"/>
      <c r="HG116" s="50"/>
      <c r="HH116" s="50"/>
      <c r="HI116" s="50"/>
      <c r="HJ116" s="50"/>
      <c r="HK116" s="50"/>
      <c r="HL116" s="50"/>
      <c r="HM116" s="50"/>
      <c r="HN116" s="50"/>
      <c r="HO116" s="50"/>
      <c r="HP116" s="50"/>
      <c r="HQ116" s="50"/>
      <c r="HR116" s="50"/>
      <c r="HS116" s="50"/>
      <c r="HT116" s="50"/>
      <c r="HU116" s="50"/>
      <c r="HV116" s="50"/>
      <c r="HW116" s="50"/>
      <c r="HX116" s="50"/>
      <c r="HY116" s="50"/>
      <c r="HZ116" s="50"/>
      <c r="IA116" s="50"/>
      <c r="IB116" s="50"/>
      <c r="IC116" s="50"/>
      <c r="ID116" s="50"/>
      <c r="IE116" s="50"/>
      <c r="IF116" s="50"/>
      <c r="IG116" s="50"/>
      <c r="IH116" s="50"/>
      <c r="II116" s="50"/>
      <c r="IJ116" s="50"/>
      <c r="IK116" s="50"/>
      <c r="IM116">
        <v>0.6</v>
      </c>
      <c r="LP116">
        <v>177</v>
      </c>
      <c r="MA116" s="50"/>
      <c r="MB116" s="50"/>
      <c r="MC116" s="50"/>
      <c r="MD116" s="50"/>
      <c r="ME116" s="50"/>
      <c r="MF116" s="50"/>
      <c r="MG116" s="50"/>
      <c r="MH116" s="50"/>
      <c r="MI116" s="50"/>
      <c r="MJ116" s="50"/>
      <c r="MK116" s="50"/>
      <c r="ML116" s="50"/>
      <c r="MM116" s="50"/>
      <c r="MN116" s="50"/>
      <c r="MO116" s="50"/>
      <c r="MP116" s="50"/>
      <c r="MQ116" s="50"/>
      <c r="MR116" s="50"/>
      <c r="MS116" s="50"/>
      <c r="MT116" s="50"/>
      <c r="MU116" s="50"/>
      <c r="MV116" s="50"/>
      <c r="MW116" s="50"/>
      <c r="MX116" s="50"/>
      <c r="MY116" s="50"/>
      <c r="MZ116" s="50"/>
      <c r="NA116" s="50"/>
      <c r="NB116" s="50"/>
      <c r="NC116" s="50"/>
      <c r="ND116" s="50"/>
      <c r="OI116">
        <v>49</v>
      </c>
      <c r="PF116" s="50"/>
      <c r="PG116" s="50"/>
      <c r="PH116" s="50"/>
      <c r="PI116" s="50"/>
      <c r="PJ116" s="50"/>
      <c r="PK116" s="50"/>
      <c r="PL116" s="50"/>
      <c r="PM116" s="50"/>
      <c r="PN116" s="50"/>
      <c r="PO116" s="50"/>
      <c r="PP116" s="50"/>
      <c r="PQ116" s="50"/>
      <c r="PR116" s="50"/>
      <c r="PS116" s="50"/>
      <c r="PT116" s="50"/>
      <c r="PU116" s="50"/>
      <c r="PV116" s="50"/>
      <c r="PW116" s="50"/>
      <c r="PX116" s="50"/>
      <c r="PY116" s="50"/>
      <c r="PZ116" s="50"/>
      <c r="QA116" s="50"/>
      <c r="QB116" s="50"/>
      <c r="QC116" s="50"/>
      <c r="QD116" s="50"/>
      <c r="QE116" s="50"/>
      <c r="QF116" s="50"/>
      <c r="QG116" s="50"/>
      <c r="QH116" s="50"/>
      <c r="QI116" s="50"/>
      <c r="RC116">
        <v>132000</v>
      </c>
      <c r="RZ116">
        <v>160000</v>
      </c>
      <c r="VN116">
        <v>56.8</v>
      </c>
      <c r="ZO116">
        <v>43</v>
      </c>
      <c r="ADI116" s="50"/>
      <c r="ADJ116" s="50"/>
      <c r="ADK116" s="50"/>
      <c r="ADL116" s="50"/>
      <c r="ADM116" s="50"/>
      <c r="AEX116">
        <v>139</v>
      </c>
      <c r="AFO116">
        <v>140</v>
      </c>
      <c r="AGD116">
        <v>3.5</v>
      </c>
      <c r="AGS116">
        <v>4.7</v>
      </c>
      <c r="AHG116">
        <v>2.15</v>
      </c>
      <c r="AJZ116">
        <v>113</v>
      </c>
      <c r="AKS116">
        <v>98</v>
      </c>
      <c r="ANH116">
        <v>59</v>
      </c>
      <c r="ANJ116">
        <v>1</v>
      </c>
      <c r="ANM116">
        <v>1</v>
      </c>
      <c r="ATX116">
        <v>1</v>
      </c>
      <c r="AWU116">
        <v>50</v>
      </c>
      <c r="AWY116">
        <v>1</v>
      </c>
      <c r="BBA116">
        <v>12.5</v>
      </c>
      <c r="BBB116">
        <v>1</v>
      </c>
      <c r="BBE116">
        <v>1</v>
      </c>
      <c r="BBF116">
        <v>7</v>
      </c>
      <c r="BBG116">
        <v>6</v>
      </c>
      <c r="BBH116">
        <v>0</v>
      </c>
      <c r="BBI116">
        <v>0</v>
      </c>
      <c r="FWC116">
        <v>1</v>
      </c>
      <c r="GAA116">
        <v>1</v>
      </c>
      <c r="GAE116">
        <v>1</v>
      </c>
      <c r="GAI116">
        <v>1</v>
      </c>
    </row>
    <row r="117" spans="1:981 1048:1741 2082:3014 3076:3988 4385:4829" x14ac:dyDescent="0.25">
      <c r="A117" s="50">
        <v>4663</v>
      </c>
      <c r="FF117" s="50"/>
      <c r="FG117" s="50"/>
      <c r="FH117" s="50"/>
      <c r="FI117" s="50"/>
      <c r="FJ117" s="50"/>
      <c r="FK117" s="50"/>
      <c r="FL117" s="50"/>
      <c r="FM117" s="50"/>
      <c r="FN117" s="50"/>
      <c r="HE117" s="50"/>
      <c r="HF117" s="50"/>
      <c r="HG117" s="50"/>
      <c r="HH117" s="50"/>
      <c r="HI117" s="50"/>
      <c r="HJ117" s="50"/>
      <c r="HK117" s="50"/>
      <c r="HL117" s="50"/>
      <c r="HM117" s="50"/>
      <c r="HN117" s="50"/>
      <c r="HO117" s="50"/>
      <c r="HP117" s="50"/>
      <c r="HQ117" s="50"/>
      <c r="HR117" s="50"/>
      <c r="HS117" s="50"/>
      <c r="HT117" s="50"/>
      <c r="HU117" s="50"/>
      <c r="HV117" s="50"/>
      <c r="HW117" s="50"/>
      <c r="HX117" s="50"/>
      <c r="HY117" s="50"/>
      <c r="HZ117" s="50"/>
      <c r="IA117" s="50"/>
      <c r="IB117" s="50"/>
      <c r="IC117" s="50"/>
      <c r="ID117" s="50"/>
      <c r="IE117" s="50"/>
      <c r="IF117" s="50"/>
      <c r="IG117" s="50"/>
      <c r="IH117" s="50"/>
      <c r="II117" s="50"/>
      <c r="IJ117" s="50"/>
      <c r="IK117" s="50"/>
      <c r="MA117" s="50"/>
      <c r="MB117" s="50"/>
      <c r="MC117" s="50"/>
      <c r="MD117" s="50"/>
      <c r="ME117" s="50"/>
      <c r="MF117" s="50"/>
      <c r="MG117" s="50"/>
      <c r="MH117" s="50"/>
      <c r="MI117" s="50"/>
      <c r="MJ117" s="50"/>
      <c r="MK117" s="50"/>
      <c r="ML117" s="50"/>
      <c r="MM117" s="50"/>
      <c r="MN117" s="50"/>
      <c r="MO117" s="50"/>
      <c r="MP117" s="50"/>
      <c r="MQ117" s="50"/>
      <c r="MR117" s="50"/>
      <c r="MS117" s="50"/>
      <c r="MT117" s="50"/>
      <c r="MU117" s="50"/>
      <c r="MV117" s="50"/>
      <c r="MW117" s="50"/>
      <c r="MX117" s="50"/>
      <c r="MY117" s="50"/>
      <c r="MZ117" s="50"/>
      <c r="NA117" s="50"/>
      <c r="NB117" s="50"/>
      <c r="NC117" s="50"/>
      <c r="ND117" s="50"/>
      <c r="PF117" s="50"/>
      <c r="PG117" s="50"/>
      <c r="PH117" s="50"/>
      <c r="PI117" s="50"/>
      <c r="PJ117" s="50"/>
      <c r="PK117" s="50"/>
      <c r="PL117" s="50"/>
      <c r="PM117" s="50"/>
      <c r="PN117" s="50"/>
      <c r="PO117" s="50"/>
      <c r="PP117" s="50"/>
      <c r="PQ117" s="50"/>
      <c r="PR117" s="50"/>
      <c r="PS117" s="50"/>
      <c r="PT117" s="50"/>
      <c r="PU117" s="50"/>
      <c r="PV117" s="50"/>
      <c r="PW117" s="50"/>
      <c r="PX117" s="50"/>
      <c r="PY117" s="50"/>
      <c r="PZ117" s="50"/>
      <c r="QA117" s="50"/>
      <c r="QB117" s="50"/>
      <c r="QC117" s="50"/>
      <c r="QD117" s="50"/>
      <c r="QE117" s="50"/>
      <c r="QF117" s="50"/>
      <c r="QG117" s="50"/>
      <c r="QH117" s="50"/>
      <c r="QI117" s="50"/>
      <c r="ANH117">
        <v>59</v>
      </c>
      <c r="ANJ117">
        <v>1</v>
      </c>
      <c r="ANL117">
        <v>1</v>
      </c>
      <c r="AOH117">
        <v>1</v>
      </c>
      <c r="ARS117">
        <v>1</v>
      </c>
      <c r="ATW117">
        <v>1</v>
      </c>
      <c r="AUG117">
        <v>1</v>
      </c>
      <c r="AWU117">
        <v>50</v>
      </c>
      <c r="AWV117">
        <v>1</v>
      </c>
      <c r="AWY117">
        <v>1</v>
      </c>
      <c r="AXB117">
        <v>244</v>
      </c>
      <c r="AXC117">
        <v>200</v>
      </c>
      <c r="AXD117">
        <v>0</v>
      </c>
      <c r="AXE117">
        <v>21</v>
      </c>
      <c r="BHA117">
        <v>100</v>
      </c>
      <c r="BHB117">
        <v>1</v>
      </c>
      <c r="BHE117">
        <v>1</v>
      </c>
      <c r="BHF117">
        <v>458</v>
      </c>
      <c r="BHG117">
        <v>414</v>
      </c>
      <c r="BHH117">
        <v>0</v>
      </c>
      <c r="BHI117">
        <v>23</v>
      </c>
      <c r="CVN117">
        <v>1</v>
      </c>
      <c r="CVO117">
        <v>26</v>
      </c>
      <c r="CVP117">
        <v>11</v>
      </c>
      <c r="CVQ117">
        <v>0</v>
      </c>
      <c r="CVR117">
        <v>14</v>
      </c>
      <c r="DKP117">
        <v>40</v>
      </c>
      <c r="DKQ117">
        <v>1</v>
      </c>
      <c r="DKT117">
        <v>1</v>
      </c>
      <c r="DKU117">
        <v>702</v>
      </c>
      <c r="DKV117">
        <v>671</v>
      </c>
      <c r="DKW117">
        <v>0</v>
      </c>
      <c r="DKX117">
        <v>23</v>
      </c>
      <c r="EBU117">
        <v>10</v>
      </c>
      <c r="EBV117">
        <v>1</v>
      </c>
      <c r="EBY117">
        <v>1</v>
      </c>
      <c r="EBZ117">
        <v>153</v>
      </c>
      <c r="ECA117">
        <v>87</v>
      </c>
      <c r="ECB117">
        <v>0</v>
      </c>
      <c r="ECC117">
        <v>21</v>
      </c>
      <c r="FLQ117">
        <v>1</v>
      </c>
      <c r="FLR117">
        <v>92</v>
      </c>
      <c r="FLS117">
        <v>28</v>
      </c>
      <c r="FLT117">
        <v>0</v>
      </c>
      <c r="FLU117">
        <v>23</v>
      </c>
      <c r="FMW117">
        <v>1</v>
      </c>
      <c r="FMX117">
        <v>702</v>
      </c>
      <c r="FMY117">
        <v>671</v>
      </c>
      <c r="FMZ117">
        <v>0</v>
      </c>
      <c r="FNA117">
        <v>23</v>
      </c>
      <c r="FOJ117">
        <v>15</v>
      </c>
      <c r="FOK117">
        <v>1</v>
      </c>
      <c r="FON117">
        <v>1</v>
      </c>
      <c r="FOO117">
        <v>641</v>
      </c>
      <c r="FOP117">
        <v>619</v>
      </c>
      <c r="FOQ117">
        <v>0</v>
      </c>
      <c r="FOR117">
        <v>23</v>
      </c>
      <c r="FVX117">
        <v>1</v>
      </c>
      <c r="FWC117">
        <v>1</v>
      </c>
      <c r="FWD117">
        <v>1</v>
      </c>
      <c r="FXH117">
        <v>1</v>
      </c>
      <c r="FZE117">
        <v>1</v>
      </c>
      <c r="GAA117">
        <v>1</v>
      </c>
    </row>
    <row r="118" spans="1:981 1048:1741 2082:3014 3076:3988 4385:4829" x14ac:dyDescent="0.25">
      <c r="A118" s="50">
        <v>1005522</v>
      </c>
      <c r="AR118">
        <v>0.3</v>
      </c>
      <c r="AX118">
        <v>0.7</v>
      </c>
      <c r="EF118">
        <v>97</v>
      </c>
      <c r="EI118">
        <v>95</v>
      </c>
      <c r="EW118">
        <v>198</v>
      </c>
      <c r="FF118" s="50">
        <v>119</v>
      </c>
      <c r="FG118" s="50"/>
      <c r="FH118" s="50"/>
      <c r="FI118" s="50"/>
      <c r="FJ118" s="50"/>
      <c r="FK118" s="50"/>
      <c r="FL118" s="50">
        <v>99</v>
      </c>
      <c r="FM118" s="50"/>
      <c r="FN118" s="50"/>
      <c r="HE118" s="50"/>
      <c r="HF118" s="50"/>
      <c r="HG118" s="50"/>
      <c r="HH118" s="50"/>
      <c r="HI118" s="50"/>
      <c r="HJ118" s="50"/>
      <c r="HK118" s="50"/>
      <c r="HL118" s="50"/>
      <c r="HM118" s="50"/>
      <c r="HN118" s="50"/>
      <c r="HO118" s="50"/>
      <c r="HP118" s="50"/>
      <c r="HQ118" s="50"/>
      <c r="HR118" s="50"/>
      <c r="HS118" s="50"/>
      <c r="HT118" s="50"/>
      <c r="HU118" s="50"/>
      <c r="HV118" s="50">
        <v>0.73</v>
      </c>
      <c r="HW118" s="50">
        <v>0.7</v>
      </c>
      <c r="HX118" s="50"/>
      <c r="HY118" s="50"/>
      <c r="HZ118" s="50"/>
      <c r="IA118" s="50"/>
      <c r="IB118" s="50"/>
      <c r="IC118" s="50"/>
      <c r="ID118" s="50"/>
      <c r="IE118" s="50"/>
      <c r="IF118" s="50"/>
      <c r="IG118" s="50"/>
      <c r="IH118" s="50"/>
      <c r="II118" s="50">
        <v>0.62</v>
      </c>
      <c r="IJ118" s="50"/>
      <c r="IK118" s="50"/>
      <c r="IQ118">
        <v>0.68</v>
      </c>
      <c r="IW118">
        <v>0.77</v>
      </c>
      <c r="MA118" s="50"/>
      <c r="MB118" s="50"/>
      <c r="MC118" s="50"/>
      <c r="MD118" s="50"/>
      <c r="ME118" s="50"/>
      <c r="MF118" s="50"/>
      <c r="MG118" s="50"/>
      <c r="MH118" s="50"/>
      <c r="MI118" s="50"/>
      <c r="MJ118" s="50"/>
      <c r="MK118" s="50"/>
      <c r="ML118" s="50"/>
      <c r="MM118" s="50"/>
      <c r="MN118" s="50"/>
      <c r="MO118" s="50"/>
      <c r="MP118" s="50"/>
      <c r="MQ118" s="50"/>
      <c r="MR118" s="50"/>
      <c r="MS118" s="50"/>
      <c r="MT118" s="50"/>
      <c r="MU118" s="50"/>
      <c r="MV118" s="50"/>
      <c r="MW118" s="50"/>
      <c r="MX118" s="50"/>
      <c r="MY118" s="50"/>
      <c r="MZ118" s="50"/>
      <c r="NA118" s="50"/>
      <c r="NB118" s="50"/>
      <c r="NC118" s="50"/>
      <c r="ND118" s="50"/>
      <c r="PA118">
        <v>4780000</v>
      </c>
      <c r="PC118">
        <v>4350000</v>
      </c>
      <c r="PF118" s="50"/>
      <c r="PG118" s="50"/>
      <c r="PH118" s="50"/>
      <c r="PI118" s="50"/>
      <c r="PJ118" s="50"/>
      <c r="PK118" s="50"/>
      <c r="PL118" s="50"/>
      <c r="PM118" s="50"/>
      <c r="PN118" s="50">
        <v>4560000</v>
      </c>
      <c r="PO118" s="50"/>
      <c r="PP118" s="50"/>
      <c r="PQ118" s="50"/>
      <c r="PR118" s="50"/>
      <c r="PS118" s="50"/>
      <c r="PT118" s="50"/>
      <c r="PU118" s="50"/>
      <c r="PV118" s="50">
        <v>4540000</v>
      </c>
      <c r="PW118" s="50"/>
      <c r="PX118" s="50"/>
      <c r="PY118" s="50"/>
      <c r="PZ118" s="50"/>
      <c r="QA118" s="50"/>
      <c r="QB118" s="50">
        <v>4690000</v>
      </c>
      <c r="QC118" s="50"/>
      <c r="QD118" s="50"/>
      <c r="QE118" s="50"/>
      <c r="QF118" s="50"/>
      <c r="QG118" s="50"/>
      <c r="QH118" s="50"/>
      <c r="QI118" s="50"/>
      <c r="QL118">
        <v>212000</v>
      </c>
      <c r="QM118">
        <v>206000</v>
      </c>
      <c r="QY118">
        <v>212000</v>
      </c>
      <c r="RG118">
        <v>266000</v>
      </c>
      <c r="RM118">
        <v>259000</v>
      </c>
      <c r="SY118">
        <v>1.4</v>
      </c>
      <c r="SZ118">
        <v>0.9</v>
      </c>
      <c r="TF118">
        <v>1.3</v>
      </c>
      <c r="TJ118">
        <v>1.2</v>
      </c>
      <c r="TK118">
        <v>2</v>
      </c>
      <c r="TR118">
        <v>71.599999999999994</v>
      </c>
      <c r="TT118">
        <v>79.7</v>
      </c>
      <c r="TZ118">
        <v>69.400000000000006</v>
      </c>
      <c r="UE118">
        <v>74.2</v>
      </c>
      <c r="UO118">
        <v>0</v>
      </c>
      <c r="UP118">
        <v>0.7</v>
      </c>
      <c r="UV118">
        <v>0.9</v>
      </c>
      <c r="UY118">
        <v>0.7</v>
      </c>
      <c r="YA118">
        <v>43.8</v>
      </c>
      <c r="YD118">
        <v>40.6</v>
      </c>
      <c r="YO118">
        <v>44.1</v>
      </c>
      <c r="YW118">
        <v>44.2</v>
      </c>
      <c r="ZB118">
        <v>45.4</v>
      </c>
      <c r="ZU118">
        <v>91.7</v>
      </c>
      <c r="ZV118">
        <v>73.400000000000006</v>
      </c>
      <c r="AAG118">
        <v>96.7</v>
      </c>
      <c r="AAN118">
        <v>97.2</v>
      </c>
      <c r="AAR118">
        <v>96.7</v>
      </c>
      <c r="ABB118">
        <v>31.8</v>
      </c>
      <c r="ABC118">
        <v>34.9</v>
      </c>
      <c r="ABM118">
        <v>33.799999999999997</v>
      </c>
      <c r="ABT118">
        <v>33</v>
      </c>
      <c r="ABX118">
        <v>31.8</v>
      </c>
      <c r="ACE118">
        <v>34.700000000000003</v>
      </c>
      <c r="ACF118">
        <v>37.299999999999997</v>
      </c>
      <c r="ACP118">
        <v>35</v>
      </c>
      <c r="ACW118">
        <v>33.9</v>
      </c>
      <c r="ADA118">
        <v>32.799999999999997</v>
      </c>
      <c r="ANH118">
        <v>30</v>
      </c>
      <c r="ANI118">
        <v>1</v>
      </c>
      <c r="ANM118">
        <v>1</v>
      </c>
      <c r="ASK118">
        <v>1</v>
      </c>
      <c r="AWB118">
        <v>1</v>
      </c>
      <c r="AWV118">
        <v>2</v>
      </c>
      <c r="AWY118">
        <v>1</v>
      </c>
      <c r="AXB118">
        <v>3</v>
      </c>
      <c r="EWG118">
        <v>1</v>
      </c>
      <c r="EWJ118">
        <v>1</v>
      </c>
    </row>
    <row r="119" spans="1:981 1048:1741 2082:3014 3076:3988 4385:4829" x14ac:dyDescent="0.25">
      <c r="A119" s="50">
        <v>1007631</v>
      </c>
      <c r="AK119">
        <v>8.14</v>
      </c>
      <c r="AN119">
        <v>8.14</v>
      </c>
      <c r="AU119">
        <v>5.44</v>
      </c>
      <c r="BH119">
        <v>1.96</v>
      </c>
      <c r="CQ119">
        <v>5.93</v>
      </c>
      <c r="CW119">
        <v>3.98</v>
      </c>
      <c r="FF119" s="50"/>
      <c r="FG119" s="50"/>
      <c r="FH119" s="50"/>
      <c r="FI119" s="50"/>
      <c r="FJ119" s="50"/>
      <c r="FK119" s="50"/>
      <c r="FL119" s="50"/>
      <c r="FM119" s="50"/>
      <c r="FN119" s="50"/>
      <c r="HE119" s="50"/>
      <c r="HF119" s="50"/>
      <c r="HG119" s="50"/>
      <c r="HH119" s="50"/>
      <c r="HI119" s="50"/>
      <c r="HJ119" s="50"/>
      <c r="HK119" s="50"/>
      <c r="HL119" s="50"/>
      <c r="HM119" s="50"/>
      <c r="HN119" s="50"/>
      <c r="HO119" s="50"/>
      <c r="HP119" s="50"/>
      <c r="HQ119" s="50"/>
      <c r="HR119" s="50"/>
      <c r="HS119" s="50"/>
      <c r="HT119" s="50"/>
      <c r="HU119" s="50"/>
      <c r="HV119" s="50"/>
      <c r="HW119" s="50"/>
      <c r="HX119" s="50"/>
      <c r="HY119" s="50"/>
      <c r="HZ119" s="50"/>
      <c r="IA119" s="50"/>
      <c r="IB119" s="50"/>
      <c r="IC119" s="50"/>
      <c r="ID119" s="50"/>
      <c r="IE119" s="50"/>
      <c r="IF119" s="50"/>
      <c r="IG119" s="50"/>
      <c r="IH119" s="50"/>
      <c r="II119" s="50"/>
      <c r="IJ119" s="50">
        <v>1.7</v>
      </c>
      <c r="IK119" s="50"/>
      <c r="KR119">
        <v>39</v>
      </c>
      <c r="MA119" s="50"/>
      <c r="MB119" s="50"/>
      <c r="MC119" s="50">
        <v>17</v>
      </c>
      <c r="MD119" s="50"/>
      <c r="ME119" s="50"/>
      <c r="MF119" s="50"/>
      <c r="MG119" s="50"/>
      <c r="MH119" s="50"/>
      <c r="MI119" s="50"/>
      <c r="MJ119" s="50"/>
      <c r="MK119" s="50"/>
      <c r="ML119" s="50"/>
      <c r="MM119" s="50"/>
      <c r="MN119" s="50"/>
      <c r="MO119" s="50"/>
      <c r="MP119" s="50"/>
      <c r="MQ119" s="50"/>
      <c r="MR119" s="50"/>
      <c r="MS119" s="50"/>
      <c r="MT119" s="50"/>
      <c r="MU119" s="50"/>
      <c r="MV119" s="50"/>
      <c r="MW119" s="50"/>
      <c r="MX119" s="50"/>
      <c r="MY119" s="50"/>
      <c r="MZ119" s="50"/>
      <c r="NA119" s="50"/>
      <c r="NB119" s="50"/>
      <c r="NC119" s="50"/>
      <c r="ND119" s="50"/>
      <c r="PF119" s="50"/>
      <c r="PG119" s="50"/>
      <c r="PH119" s="50"/>
      <c r="PI119" s="50"/>
      <c r="PJ119" s="50"/>
      <c r="PK119" s="50"/>
      <c r="PL119" s="50"/>
      <c r="PM119" s="50"/>
      <c r="PN119" s="50"/>
      <c r="PO119" s="50"/>
      <c r="PP119" s="50"/>
      <c r="PQ119" s="50"/>
      <c r="PR119" s="50"/>
      <c r="PS119" s="50"/>
      <c r="PT119" s="50"/>
      <c r="PU119" s="50"/>
      <c r="PV119" s="50"/>
      <c r="PW119" s="50"/>
      <c r="PX119" s="50"/>
      <c r="PY119" s="50"/>
      <c r="PZ119" s="50"/>
      <c r="QA119" s="50"/>
      <c r="QB119" s="50"/>
      <c r="QC119" s="50"/>
      <c r="QD119" s="50"/>
      <c r="QE119" s="50"/>
      <c r="QF119" s="50"/>
      <c r="QG119" s="50"/>
      <c r="QH119" s="50"/>
      <c r="QI119" s="50"/>
      <c r="QZ119">
        <v>290000</v>
      </c>
      <c r="AKA119">
        <v>84</v>
      </c>
      <c r="ANH119">
        <v>14</v>
      </c>
      <c r="ANJ119">
        <v>1</v>
      </c>
      <c r="ANK119">
        <v>27</v>
      </c>
      <c r="ANN119">
        <v>5</v>
      </c>
      <c r="AWY119">
        <v>1</v>
      </c>
      <c r="AXB119">
        <v>3</v>
      </c>
      <c r="AXC119">
        <v>2</v>
      </c>
      <c r="AXD119">
        <v>0</v>
      </c>
      <c r="AXE119">
        <v>0</v>
      </c>
      <c r="BNV119">
        <v>3</v>
      </c>
      <c r="BNW119">
        <v>2</v>
      </c>
      <c r="BNX119">
        <v>0</v>
      </c>
      <c r="BNY119">
        <v>0</v>
      </c>
      <c r="DHH119">
        <v>3</v>
      </c>
      <c r="DHI119">
        <v>2</v>
      </c>
      <c r="DHJ119">
        <v>0</v>
      </c>
      <c r="DHK119">
        <v>0</v>
      </c>
      <c r="DQR119">
        <v>3</v>
      </c>
      <c r="DQS119">
        <v>2</v>
      </c>
      <c r="DQT119">
        <v>0</v>
      </c>
      <c r="DQU119">
        <v>0</v>
      </c>
      <c r="FUT119">
        <v>1</v>
      </c>
      <c r="FVW119">
        <v>1</v>
      </c>
      <c r="FXI119">
        <v>1</v>
      </c>
      <c r="GAD119">
        <v>1</v>
      </c>
      <c r="GAE119">
        <v>1</v>
      </c>
      <c r="GBI119">
        <v>1</v>
      </c>
    </row>
    <row r="120" spans="1:981 1048:1741 2082:3014 3076:3988 4385:4829" x14ac:dyDescent="0.25">
      <c r="A120" s="50">
        <v>1009760</v>
      </c>
      <c r="AI120">
        <v>7.67</v>
      </c>
      <c r="CL120">
        <v>7.27</v>
      </c>
      <c r="DR120">
        <v>7</v>
      </c>
      <c r="DT120">
        <v>7</v>
      </c>
      <c r="DV120">
        <v>6.5</v>
      </c>
      <c r="DX120">
        <v>7.2</v>
      </c>
      <c r="DZ120">
        <v>7.3</v>
      </c>
      <c r="FA120">
        <v>106</v>
      </c>
      <c r="FC120">
        <v>107</v>
      </c>
      <c r="FG120">
        <v>97</v>
      </c>
      <c r="FI120">
        <v>106</v>
      </c>
      <c r="FM120">
        <v>85</v>
      </c>
      <c r="HE120" s="50"/>
      <c r="HF120" s="50"/>
      <c r="HG120" s="50"/>
      <c r="HH120" s="50"/>
      <c r="HI120" s="50"/>
      <c r="HJ120" s="50"/>
      <c r="HK120" s="50"/>
      <c r="HL120" s="50"/>
      <c r="HM120" s="50"/>
      <c r="HN120" s="50">
        <v>40000</v>
      </c>
      <c r="HO120" s="50"/>
      <c r="HP120" s="50"/>
      <c r="HQ120" s="50"/>
      <c r="HR120" s="50"/>
      <c r="HS120" s="50"/>
      <c r="HT120" s="50"/>
      <c r="HU120" s="50"/>
      <c r="HV120" s="50"/>
      <c r="HW120" s="50"/>
      <c r="HX120" s="50"/>
      <c r="HY120" s="50"/>
      <c r="HZ120" s="50"/>
      <c r="IA120" s="50"/>
      <c r="IB120" s="50"/>
      <c r="IC120" s="50"/>
      <c r="ID120" s="50"/>
      <c r="IE120" s="50"/>
      <c r="IF120" s="50"/>
      <c r="IG120" s="50"/>
      <c r="IH120" s="50"/>
      <c r="II120" s="50"/>
      <c r="IJ120" s="50"/>
      <c r="IK120" s="50"/>
      <c r="IL120">
        <v>0.64</v>
      </c>
      <c r="MA120" s="50"/>
      <c r="MB120" s="50"/>
      <c r="MC120" s="50"/>
      <c r="MD120" s="50"/>
      <c r="ME120" s="50">
        <v>8.4</v>
      </c>
      <c r="MF120" s="50"/>
      <c r="MG120" s="50">
        <v>11.5</v>
      </c>
      <c r="MH120" s="50"/>
      <c r="MI120" s="50"/>
      <c r="MJ120" s="50"/>
      <c r="MK120" s="50">
        <v>14.8</v>
      </c>
      <c r="ML120" s="50"/>
      <c r="MM120" s="50"/>
      <c r="MN120" s="50"/>
      <c r="MO120" s="50"/>
      <c r="MP120" s="50"/>
      <c r="MQ120" s="50">
        <v>5.0999999999999996</v>
      </c>
      <c r="MR120" s="50"/>
      <c r="MS120" s="50"/>
      <c r="MT120" s="50"/>
      <c r="MU120" s="50"/>
      <c r="MV120" s="50"/>
      <c r="MW120" s="50"/>
      <c r="MX120" s="50"/>
      <c r="MY120" s="50"/>
      <c r="MZ120" s="50"/>
      <c r="NA120" s="50"/>
      <c r="NB120" s="50"/>
      <c r="NC120" s="50"/>
      <c r="ND120" s="50"/>
      <c r="OS120">
        <v>5.6</v>
      </c>
      <c r="PF120" s="50"/>
      <c r="PG120" s="50"/>
      <c r="PH120" s="50"/>
      <c r="PI120" s="50"/>
      <c r="PJ120" s="50"/>
      <c r="PK120" s="50"/>
      <c r="PL120" s="50"/>
      <c r="PM120" s="50"/>
      <c r="PN120" s="50"/>
      <c r="PO120" s="50"/>
      <c r="PP120" s="50"/>
      <c r="PQ120" s="50">
        <v>4610000</v>
      </c>
      <c r="PR120" s="50"/>
      <c r="PS120" s="50"/>
      <c r="PT120" s="50"/>
      <c r="PU120" s="50"/>
      <c r="PV120" s="50"/>
      <c r="PW120" s="50">
        <v>4420000</v>
      </c>
      <c r="PX120" s="50"/>
      <c r="PY120" s="50">
        <v>4490000</v>
      </c>
      <c r="PZ120" s="50"/>
      <c r="QA120" s="50"/>
      <c r="QB120" s="50"/>
      <c r="QC120" s="50">
        <v>4720000</v>
      </c>
      <c r="QD120" s="50"/>
      <c r="QE120" s="50"/>
      <c r="QF120" s="50"/>
      <c r="QG120" s="50"/>
      <c r="QH120" s="50"/>
      <c r="QI120" s="50"/>
      <c r="RB120">
        <v>387000</v>
      </c>
      <c r="RH120">
        <v>371000</v>
      </c>
      <c r="RJ120">
        <v>464000</v>
      </c>
      <c r="RN120">
        <v>561000</v>
      </c>
      <c r="YR120">
        <v>43.5</v>
      </c>
      <c r="YX120">
        <v>40.6</v>
      </c>
      <c r="YZ120">
        <v>42.9</v>
      </c>
      <c r="ZC120">
        <v>42.8</v>
      </c>
      <c r="AAJ120">
        <v>94.3</v>
      </c>
      <c r="AAO120">
        <v>91.9</v>
      </c>
      <c r="AAQ120">
        <v>95.4</v>
      </c>
      <c r="AAS120">
        <v>90.7</v>
      </c>
      <c r="ABP120">
        <v>29.9</v>
      </c>
      <c r="ABU120">
        <v>30.7</v>
      </c>
      <c r="ABW120">
        <v>30.4</v>
      </c>
      <c r="ABY120">
        <v>29.6</v>
      </c>
      <c r="ACS120">
        <v>31.7</v>
      </c>
      <c r="ACX120">
        <v>33.4</v>
      </c>
      <c r="ACZ120">
        <v>31.9</v>
      </c>
      <c r="ADB120">
        <v>32.6</v>
      </c>
      <c r="AEW120">
        <v>140</v>
      </c>
      <c r="AHF120">
        <v>2.2200000000000002</v>
      </c>
      <c r="AKC120">
        <v>97</v>
      </c>
      <c r="ANH120">
        <v>48</v>
      </c>
      <c r="ANJ120">
        <v>1</v>
      </c>
      <c r="ANM120">
        <v>1</v>
      </c>
      <c r="AVG120">
        <v>1</v>
      </c>
      <c r="AWU120">
        <v>75</v>
      </c>
      <c r="AWV120">
        <v>1</v>
      </c>
      <c r="AWY120">
        <v>1</v>
      </c>
      <c r="AXB120">
        <v>11</v>
      </c>
      <c r="AXC120">
        <v>25</v>
      </c>
      <c r="AXD120">
        <v>17</v>
      </c>
      <c r="AXE120">
        <v>0</v>
      </c>
      <c r="FUT120">
        <v>1</v>
      </c>
      <c r="FVX120">
        <v>1</v>
      </c>
      <c r="FWA120">
        <v>1</v>
      </c>
      <c r="FWC120">
        <v>1</v>
      </c>
      <c r="FWD120">
        <v>1</v>
      </c>
      <c r="GAD120">
        <v>1</v>
      </c>
      <c r="GAE120">
        <v>1</v>
      </c>
      <c r="GAF120">
        <v>1</v>
      </c>
      <c r="GAR120">
        <v>1</v>
      </c>
      <c r="GBI120">
        <v>1</v>
      </c>
    </row>
    <row r="121" spans="1:981 1048:1741 2082:3014 3076:3988 4385:4829" x14ac:dyDescent="0.25">
      <c r="A121" s="50">
        <v>2000646</v>
      </c>
      <c r="AJ121">
        <v>0.7</v>
      </c>
      <c r="AK121">
        <v>0.9</v>
      </c>
      <c r="AS121">
        <v>0.7</v>
      </c>
      <c r="AT121">
        <v>1.1000000000000001</v>
      </c>
      <c r="DQ121">
        <v>4.0999999999999996</v>
      </c>
      <c r="DU121">
        <v>6.8</v>
      </c>
      <c r="II121">
        <v>1.75</v>
      </c>
      <c r="IJ121">
        <v>1.6</v>
      </c>
      <c r="IP121">
        <v>1.1000000000000001</v>
      </c>
      <c r="IQ121">
        <v>0.9</v>
      </c>
      <c r="IR121">
        <v>1</v>
      </c>
      <c r="IS121">
        <v>1</v>
      </c>
      <c r="JS121">
        <v>23</v>
      </c>
      <c r="JT121">
        <v>39</v>
      </c>
      <c r="KA121">
        <v>158</v>
      </c>
      <c r="MB121">
        <v>6.5</v>
      </c>
      <c r="MC121">
        <v>20</v>
      </c>
      <c r="MJ121">
        <v>8</v>
      </c>
      <c r="MK121">
        <v>5</v>
      </c>
      <c r="ML121">
        <v>5</v>
      </c>
      <c r="NO121">
        <v>45.5</v>
      </c>
      <c r="NP121">
        <v>55</v>
      </c>
      <c r="NU121">
        <v>50</v>
      </c>
      <c r="NV121">
        <v>42</v>
      </c>
      <c r="NW121">
        <v>45</v>
      </c>
      <c r="PN121">
        <v>5000000</v>
      </c>
      <c r="PO121">
        <v>3750000</v>
      </c>
      <c r="PV121">
        <v>4600000</v>
      </c>
      <c r="PW121">
        <v>4400000</v>
      </c>
      <c r="PX121">
        <v>4700000</v>
      </c>
      <c r="QY121">
        <v>242000</v>
      </c>
      <c r="QZ121">
        <v>142000</v>
      </c>
      <c r="RG121">
        <v>366</v>
      </c>
      <c r="RH121">
        <v>365</v>
      </c>
      <c r="RI121">
        <v>466</v>
      </c>
      <c r="YO121">
        <v>44.5</v>
      </c>
      <c r="YP121">
        <v>32.5</v>
      </c>
      <c r="YW121">
        <v>39</v>
      </c>
      <c r="YX121">
        <v>38</v>
      </c>
      <c r="YY121">
        <v>40</v>
      </c>
      <c r="AAG121">
        <v>89.5</v>
      </c>
      <c r="AAH121">
        <v>87.5</v>
      </c>
      <c r="AAN121">
        <v>85</v>
      </c>
      <c r="AAO121">
        <v>86</v>
      </c>
      <c r="AAP121">
        <v>86</v>
      </c>
      <c r="ABM121">
        <v>30</v>
      </c>
      <c r="ABN121">
        <v>30</v>
      </c>
      <c r="ABT121">
        <v>29</v>
      </c>
      <c r="ABU121">
        <v>29</v>
      </c>
      <c r="ABV121">
        <v>29</v>
      </c>
      <c r="ACP121">
        <v>33.5</v>
      </c>
      <c r="ACQ121">
        <v>34.5</v>
      </c>
      <c r="ACW121">
        <v>34</v>
      </c>
      <c r="ACX121">
        <v>34</v>
      </c>
      <c r="ACY121">
        <v>34</v>
      </c>
      <c r="AET121">
        <v>139</v>
      </c>
      <c r="AEU121">
        <v>138</v>
      </c>
      <c r="AFB121">
        <v>140</v>
      </c>
      <c r="AFC121">
        <v>136</v>
      </c>
      <c r="AFD121">
        <v>138</v>
      </c>
      <c r="AFZ121">
        <v>3.9</v>
      </c>
      <c r="AGA121">
        <v>4.05</v>
      </c>
      <c r="AGG121">
        <v>4.7</v>
      </c>
      <c r="AGH121">
        <v>4.7</v>
      </c>
      <c r="AGI121">
        <v>4.5</v>
      </c>
      <c r="AGJ121">
        <v>5.2</v>
      </c>
      <c r="AHC121">
        <v>2.4</v>
      </c>
      <c r="AHD121">
        <v>2.19</v>
      </c>
      <c r="AHL121">
        <v>2.4700000000000002</v>
      </c>
      <c r="ANH121">
        <v>22</v>
      </c>
      <c r="ANI121">
        <v>1</v>
      </c>
      <c r="AWY121">
        <v>1</v>
      </c>
      <c r="FYP121">
        <v>1</v>
      </c>
      <c r="FYS121">
        <v>1</v>
      </c>
      <c r="FZR121">
        <v>1</v>
      </c>
    </row>
    <row r="122" spans="1:981 1048:1741 2082:3014 3076:3988 4385:4829" x14ac:dyDescent="0.25">
      <c r="A122" s="50">
        <v>2003761</v>
      </c>
      <c r="IF122">
        <v>7.2747000000000002</v>
      </c>
      <c r="II122" s="3">
        <v>7.2736000000000001</v>
      </c>
      <c r="IJ122" s="3">
        <v>7.6921999999999997</v>
      </c>
      <c r="AET122">
        <v>134</v>
      </c>
      <c r="AFZ122">
        <v>6.7</v>
      </c>
      <c r="AGA122">
        <v>6.54</v>
      </c>
      <c r="ANH122">
        <v>78</v>
      </c>
      <c r="ANJ122">
        <v>1</v>
      </c>
      <c r="APJ122">
        <v>1</v>
      </c>
      <c r="ARA122">
        <v>1</v>
      </c>
      <c r="ARC122">
        <v>1</v>
      </c>
      <c r="ARS122">
        <v>1</v>
      </c>
      <c r="ATP122">
        <v>1</v>
      </c>
      <c r="AUA122">
        <v>1</v>
      </c>
      <c r="AWU122">
        <v>100</v>
      </c>
      <c r="AWV122">
        <v>2</v>
      </c>
      <c r="AWY122">
        <v>1</v>
      </c>
      <c r="AXB122">
        <v>182</v>
      </c>
      <c r="AXC122">
        <v>182</v>
      </c>
      <c r="AXD122">
        <v>0</v>
      </c>
      <c r="AXE122">
        <v>1</v>
      </c>
      <c r="CBB122">
        <v>20</v>
      </c>
      <c r="CBC122">
        <v>1</v>
      </c>
      <c r="CBF122">
        <v>1</v>
      </c>
      <c r="CBG122" s="35">
        <v>999</v>
      </c>
      <c r="CBH122">
        <v>183</v>
      </c>
      <c r="CBI122">
        <v>0</v>
      </c>
      <c r="CBJ122">
        <v>999</v>
      </c>
      <c r="CDK122">
        <v>300</v>
      </c>
      <c r="CDL122">
        <v>1</v>
      </c>
      <c r="CDO122">
        <v>1</v>
      </c>
      <c r="CDP122" s="35">
        <v>999</v>
      </c>
      <c r="CDQ122">
        <v>732</v>
      </c>
      <c r="CDR122">
        <v>0</v>
      </c>
      <c r="CDS122">
        <v>999</v>
      </c>
      <c r="CJP122">
        <v>0.4</v>
      </c>
      <c r="CJQ122">
        <v>1</v>
      </c>
      <c r="CJT122">
        <v>1</v>
      </c>
      <c r="CJU122">
        <v>999</v>
      </c>
      <c r="CJV122">
        <v>183</v>
      </c>
      <c r="CJW122">
        <v>0</v>
      </c>
      <c r="CJX122">
        <v>999</v>
      </c>
      <c r="CLN122">
        <v>10</v>
      </c>
      <c r="CLO122">
        <v>3</v>
      </c>
      <c r="CLR122">
        <v>1</v>
      </c>
      <c r="CLS122">
        <v>999</v>
      </c>
      <c r="CLT122">
        <v>183</v>
      </c>
      <c r="CLU122">
        <v>0</v>
      </c>
      <c r="CLV122">
        <v>999</v>
      </c>
      <c r="CQQ122">
        <v>20</v>
      </c>
      <c r="CQR122">
        <v>3</v>
      </c>
      <c r="CQU122">
        <v>1</v>
      </c>
      <c r="CQV122">
        <v>999</v>
      </c>
      <c r="CQW122">
        <v>999</v>
      </c>
      <c r="CQX122">
        <v>0</v>
      </c>
      <c r="CQY122">
        <v>999</v>
      </c>
      <c r="CSZ122">
        <v>2</v>
      </c>
      <c r="CTA122">
        <v>1</v>
      </c>
      <c r="CTD122">
        <v>1</v>
      </c>
      <c r="CTE122">
        <v>999</v>
      </c>
      <c r="CTF122">
        <v>999</v>
      </c>
      <c r="CTG122">
        <v>0</v>
      </c>
      <c r="CTH122">
        <v>999</v>
      </c>
      <c r="CVJ122">
        <v>3</v>
      </c>
      <c r="CVK122">
        <v>5</v>
      </c>
      <c r="CVN122">
        <v>1</v>
      </c>
      <c r="CVO122">
        <v>183</v>
      </c>
      <c r="CVP122">
        <v>183</v>
      </c>
      <c r="CVQ122">
        <v>2</v>
      </c>
      <c r="CVR122">
        <v>0</v>
      </c>
      <c r="DCS122">
        <v>30</v>
      </c>
      <c r="DCT122">
        <v>1</v>
      </c>
      <c r="DCW122">
        <v>1</v>
      </c>
      <c r="DCX122">
        <v>4</v>
      </c>
      <c r="DCY122">
        <v>2</v>
      </c>
      <c r="DCZ122">
        <v>0</v>
      </c>
      <c r="DDA122">
        <v>1</v>
      </c>
      <c r="DNH122">
        <v>250</v>
      </c>
      <c r="DNI122">
        <v>1</v>
      </c>
      <c r="DNM122">
        <v>1</v>
      </c>
      <c r="DNN122">
        <v>8</v>
      </c>
      <c r="DNO122">
        <v>9</v>
      </c>
      <c r="DNP122">
        <v>2</v>
      </c>
      <c r="DNQ122">
        <v>0</v>
      </c>
      <c r="FWC122">
        <v>1</v>
      </c>
      <c r="FWE122">
        <v>1</v>
      </c>
      <c r="GAN122">
        <v>1</v>
      </c>
      <c r="GAT122">
        <v>1</v>
      </c>
      <c r="GBC122">
        <v>1</v>
      </c>
      <c r="GBJ122">
        <v>1</v>
      </c>
      <c r="GCS122">
        <v>1</v>
      </c>
    </row>
    <row r="123" spans="1:981 1048:1741 2082:3014 3076:3988 4385:4829" x14ac:dyDescent="0.25">
      <c r="A123" s="50">
        <v>2004061</v>
      </c>
      <c r="AFZ123" s="14">
        <v>3.8</v>
      </c>
      <c r="AGA123">
        <v>3.7</v>
      </c>
      <c r="AGB123">
        <v>3.3</v>
      </c>
      <c r="AGC123">
        <v>4</v>
      </c>
      <c r="AJZ123" s="14">
        <v>160</v>
      </c>
      <c r="AKA123">
        <v>84</v>
      </c>
      <c r="ANH123">
        <v>60</v>
      </c>
      <c r="ANI123">
        <v>1</v>
      </c>
      <c r="ANK123">
        <v>23.4</v>
      </c>
      <c r="ANM123">
        <v>1</v>
      </c>
      <c r="ANN123">
        <v>4</v>
      </c>
      <c r="AWU123">
        <v>50</v>
      </c>
      <c r="AWV123">
        <v>1</v>
      </c>
      <c r="AWY123">
        <v>1</v>
      </c>
      <c r="AXB123">
        <v>1</v>
      </c>
      <c r="AXC123">
        <v>0</v>
      </c>
      <c r="AXD123">
        <v>0</v>
      </c>
      <c r="AXE123">
        <v>0</v>
      </c>
      <c r="FVP123">
        <v>1</v>
      </c>
      <c r="FYL123">
        <v>1</v>
      </c>
      <c r="FYN123">
        <v>1</v>
      </c>
      <c r="FYV123">
        <v>1</v>
      </c>
      <c r="FYY123">
        <v>1</v>
      </c>
      <c r="FYZ123">
        <v>1</v>
      </c>
      <c r="GBA123">
        <v>1</v>
      </c>
    </row>
    <row r="124" spans="1:981 1048:1741 2082:3014 3076:3988 4385:4829" x14ac:dyDescent="0.25">
      <c r="A124" s="50">
        <v>2006469</v>
      </c>
      <c r="ANH124">
        <v>59</v>
      </c>
      <c r="ANJ124">
        <v>1</v>
      </c>
      <c r="ANM124">
        <v>1</v>
      </c>
      <c r="ATW124">
        <v>1</v>
      </c>
      <c r="AUL124">
        <v>1</v>
      </c>
      <c r="AWV124">
        <v>3</v>
      </c>
      <c r="AWY124">
        <v>1</v>
      </c>
      <c r="AXC124">
        <v>92</v>
      </c>
      <c r="AXG124">
        <v>1</v>
      </c>
      <c r="FUJ124">
        <v>1</v>
      </c>
      <c r="FUM124">
        <v>1</v>
      </c>
    </row>
    <row r="125" spans="1:981 1048:1741 2082:3014 3076:3988 4385:4829" x14ac:dyDescent="0.25">
      <c r="A125" s="50">
        <v>3005132</v>
      </c>
      <c r="AJ125">
        <v>3.46</v>
      </c>
      <c r="EX125">
        <v>517</v>
      </c>
      <c r="II125">
        <v>2.97</v>
      </c>
      <c r="MB125">
        <v>247</v>
      </c>
      <c r="QY125">
        <v>28000</v>
      </c>
      <c r="WI125">
        <v>7.22</v>
      </c>
      <c r="WS125">
        <v>-14</v>
      </c>
      <c r="ANH125">
        <v>56</v>
      </c>
      <c r="ANJ125">
        <v>1</v>
      </c>
      <c r="ANL125">
        <v>1</v>
      </c>
      <c r="ANN125">
        <v>1</v>
      </c>
      <c r="AWT125" s="50"/>
      <c r="AWU125" s="50">
        <v>50</v>
      </c>
      <c r="AWV125" s="50">
        <v>1</v>
      </c>
      <c r="AWW125" s="50"/>
      <c r="AWX125" s="50">
        <v>1</v>
      </c>
      <c r="AWY125" s="50"/>
      <c r="AXC125">
        <v>1</v>
      </c>
      <c r="FWM125">
        <v>1</v>
      </c>
      <c r="FXO125">
        <v>1</v>
      </c>
      <c r="FXW125">
        <v>1</v>
      </c>
      <c r="FYC125">
        <v>1</v>
      </c>
      <c r="FYK125">
        <v>1</v>
      </c>
      <c r="FYM125">
        <v>1</v>
      </c>
      <c r="FZK125">
        <v>1</v>
      </c>
      <c r="GBD125">
        <v>1</v>
      </c>
      <c r="GBE125">
        <v>1</v>
      </c>
    </row>
    <row r="126" spans="1:981 1048:1741 2082:3014 3076:3988 4385:4829" x14ac:dyDescent="0.25">
      <c r="A126" s="50">
        <v>3009119</v>
      </c>
      <c r="ANJ126">
        <v>1</v>
      </c>
      <c r="AQV126">
        <v>1</v>
      </c>
      <c r="ATN126">
        <v>1</v>
      </c>
      <c r="AWT126" s="50"/>
      <c r="AWU126" s="50"/>
      <c r="AWV126" s="50"/>
      <c r="AWW126" s="50"/>
      <c r="AWX126" s="50"/>
      <c r="AWY126" s="50"/>
      <c r="AXB126">
        <v>3</v>
      </c>
      <c r="AXC126">
        <v>2</v>
      </c>
      <c r="AXD126">
        <v>0</v>
      </c>
      <c r="AXE126">
        <v>0</v>
      </c>
      <c r="DNS126">
        <v>1</v>
      </c>
    </row>
    <row r="127" spans="1:981 1048:1741 2082:3014 3076:3988 4385:4829" x14ac:dyDescent="0.25">
      <c r="A127" s="50">
        <v>3009936</v>
      </c>
      <c r="ANH127">
        <v>49</v>
      </c>
      <c r="ANI127">
        <v>1</v>
      </c>
      <c r="ANK127">
        <v>23</v>
      </c>
      <c r="ATX127">
        <v>1</v>
      </c>
      <c r="AWT127" s="50"/>
      <c r="AWU127" s="50">
        <v>50</v>
      </c>
      <c r="AWV127" s="50">
        <v>4</v>
      </c>
      <c r="AWW127" s="50"/>
      <c r="AWX127" s="50"/>
      <c r="AWY127" s="50">
        <v>1</v>
      </c>
      <c r="AXD127">
        <v>0</v>
      </c>
      <c r="GAB127">
        <v>1</v>
      </c>
      <c r="GAD127">
        <v>1</v>
      </c>
    </row>
    <row r="128" spans="1:981 1048:1741 2082:3014 3076:3988 4385:4829" x14ac:dyDescent="0.25">
      <c r="A128" s="50">
        <v>3011094</v>
      </c>
      <c r="GH128">
        <v>64</v>
      </c>
      <c r="LT128" s="50"/>
      <c r="LU128" s="50"/>
      <c r="LV128" s="50"/>
      <c r="LW128" s="50"/>
      <c r="LX128" s="50"/>
      <c r="LY128" s="50"/>
      <c r="LZ128" s="50"/>
      <c r="MA128" s="50"/>
      <c r="MB128" s="50"/>
      <c r="MC128" s="50"/>
      <c r="MD128" s="50"/>
      <c r="ANH128">
        <v>22</v>
      </c>
      <c r="ANI128">
        <v>1</v>
      </c>
      <c r="ANK128">
        <v>23.9</v>
      </c>
      <c r="ANM128">
        <v>1</v>
      </c>
      <c r="ANN128">
        <v>1</v>
      </c>
      <c r="ANQ128">
        <v>1</v>
      </c>
      <c r="AWT128" s="50"/>
      <c r="AWU128" s="50">
        <v>50</v>
      </c>
      <c r="AWV128" s="50">
        <v>20</v>
      </c>
      <c r="AWW128" s="50"/>
      <c r="AWX128" s="50"/>
      <c r="AWY128" s="50">
        <v>1</v>
      </c>
      <c r="AXB128">
        <v>1</v>
      </c>
      <c r="AXC128">
        <v>0</v>
      </c>
      <c r="AXD128">
        <v>0</v>
      </c>
      <c r="AXE128">
        <v>0</v>
      </c>
      <c r="AYF128">
        <v>500</v>
      </c>
      <c r="AYG128">
        <v>20</v>
      </c>
      <c r="AYJ128">
        <v>1</v>
      </c>
      <c r="AYK128">
        <v>1</v>
      </c>
      <c r="AYL128">
        <v>0</v>
      </c>
      <c r="AYM128">
        <v>0</v>
      </c>
      <c r="AYN128">
        <v>0</v>
      </c>
      <c r="FUI128">
        <v>1</v>
      </c>
      <c r="FWS128">
        <v>1</v>
      </c>
    </row>
    <row r="129" spans="1:988 1048:2030 2050:2933 3099:4012 4105:4797" x14ac:dyDescent="0.25">
      <c r="A129" s="50">
        <v>3014643</v>
      </c>
      <c r="EX129">
        <v>138</v>
      </c>
      <c r="LT129" s="50"/>
      <c r="LU129" s="50"/>
      <c r="LV129" s="50"/>
      <c r="LW129" s="50"/>
      <c r="LX129" s="50"/>
      <c r="LY129" s="50"/>
      <c r="LZ129" s="50"/>
      <c r="MA129" s="50"/>
      <c r="MB129" s="50"/>
      <c r="MC129" s="50"/>
      <c r="MD129" s="50"/>
      <c r="QY129">
        <v>132000</v>
      </c>
      <c r="ANH129">
        <v>46</v>
      </c>
      <c r="ANI129">
        <v>1</v>
      </c>
      <c r="ANM129">
        <v>1</v>
      </c>
      <c r="ANN129">
        <v>12</v>
      </c>
      <c r="AWT129" s="50"/>
      <c r="AWU129" s="50">
        <v>10</v>
      </c>
      <c r="AWV129" s="50">
        <v>1</v>
      </c>
      <c r="AWW129" s="50"/>
      <c r="AWX129" s="50"/>
      <c r="AWY129" s="50">
        <v>1</v>
      </c>
      <c r="AXB129">
        <v>353</v>
      </c>
      <c r="AXC129">
        <v>353</v>
      </c>
      <c r="AXD129">
        <v>0</v>
      </c>
      <c r="AXE129">
        <v>0</v>
      </c>
      <c r="CZN129">
        <v>10</v>
      </c>
      <c r="CZO129">
        <v>1</v>
      </c>
      <c r="CZR129">
        <v>1</v>
      </c>
      <c r="CZS129">
        <v>353</v>
      </c>
      <c r="CZT129">
        <v>353</v>
      </c>
      <c r="CZU129">
        <v>0</v>
      </c>
      <c r="CZV129">
        <v>0</v>
      </c>
      <c r="FWG129">
        <v>1</v>
      </c>
    </row>
    <row r="130" spans="1:988 1048:2030 2050:2933 3099:4012 4105:4797" x14ac:dyDescent="0.25">
      <c r="A130" s="50">
        <v>3016056</v>
      </c>
      <c r="CG130">
        <v>0.9</v>
      </c>
      <c r="DK130">
        <v>0.26</v>
      </c>
      <c r="EX130">
        <v>131</v>
      </c>
      <c r="GV130">
        <v>189</v>
      </c>
      <c r="GW130">
        <v>177</v>
      </c>
      <c r="JK130">
        <v>0.8</v>
      </c>
      <c r="LT130" s="50"/>
      <c r="LU130" s="50"/>
      <c r="LV130" s="50"/>
      <c r="LW130" s="50"/>
      <c r="LX130" s="50"/>
      <c r="LY130" s="50"/>
      <c r="LZ130" s="50"/>
      <c r="MA130" s="50"/>
      <c r="MB130" s="50"/>
      <c r="MC130" s="50"/>
      <c r="MD130" s="50"/>
      <c r="PN130" s="50"/>
      <c r="QY130" s="50"/>
      <c r="SE130">
        <v>240</v>
      </c>
      <c r="SU130">
        <v>3.7</v>
      </c>
      <c r="SX130">
        <v>4.5</v>
      </c>
      <c r="TF130">
        <v>1.4</v>
      </c>
      <c r="TK130">
        <v>1</v>
      </c>
      <c r="TZ130">
        <v>51</v>
      </c>
      <c r="UN130">
        <v>50.2</v>
      </c>
      <c r="UV130">
        <v>1.1000000000000001</v>
      </c>
      <c r="VD130">
        <v>0.9</v>
      </c>
      <c r="VY130">
        <v>66.7</v>
      </c>
      <c r="YO130">
        <v>40.5</v>
      </c>
      <c r="ZS130">
        <v>42.3</v>
      </c>
      <c r="AAG130">
        <v>89</v>
      </c>
      <c r="ABA130">
        <v>89.7</v>
      </c>
      <c r="ABM130">
        <v>29.2</v>
      </c>
      <c r="ACD130">
        <v>30.3</v>
      </c>
      <c r="ACP130">
        <v>32.799999999999997</v>
      </c>
      <c r="ADH130">
        <v>33.799999999999997</v>
      </c>
      <c r="ANH130">
        <v>47</v>
      </c>
      <c r="ANJ130">
        <v>1</v>
      </c>
      <c r="AWT130" s="50"/>
      <c r="AWU130" s="50">
        <v>150</v>
      </c>
      <c r="AWV130" s="50">
        <v>1</v>
      </c>
      <c r="AWW130" s="50"/>
      <c r="AWX130" s="50"/>
      <c r="AWY130" s="50">
        <v>1</v>
      </c>
      <c r="AXB130" s="35">
        <v>999</v>
      </c>
      <c r="AXC130">
        <v>999</v>
      </c>
      <c r="AXD130">
        <v>0</v>
      </c>
      <c r="AXE130">
        <v>999</v>
      </c>
    </row>
    <row r="131" spans="1:988 1048:2030 2050:2933 3099:4012 4105:4797" x14ac:dyDescent="0.25">
      <c r="A131" s="50">
        <v>3900219</v>
      </c>
      <c r="LT131" s="50"/>
      <c r="LU131" s="50">
        <v>0.2</v>
      </c>
      <c r="LV131" s="50"/>
      <c r="LW131" s="50"/>
      <c r="LX131" s="50"/>
      <c r="LY131" s="50"/>
      <c r="LZ131" s="50"/>
      <c r="MA131" s="50"/>
      <c r="MB131" s="50"/>
      <c r="MC131" s="50"/>
      <c r="MD131" s="50"/>
      <c r="QP131">
        <v>254000</v>
      </c>
      <c r="AEL131">
        <v>141</v>
      </c>
      <c r="AFR131">
        <v>5.0999999999999996</v>
      </c>
      <c r="ANH131">
        <v>83</v>
      </c>
      <c r="ANJ131">
        <v>1</v>
      </c>
      <c r="ANM131">
        <v>1</v>
      </c>
      <c r="ANN131">
        <v>16</v>
      </c>
      <c r="AQK131">
        <v>1</v>
      </c>
      <c r="ARC131">
        <v>1</v>
      </c>
      <c r="AUG131">
        <v>1</v>
      </c>
      <c r="AWT131" s="50"/>
      <c r="AWU131" s="50">
        <v>150</v>
      </c>
      <c r="AWV131" s="50">
        <v>1</v>
      </c>
      <c r="AWW131" s="50"/>
      <c r="AWX131" s="50"/>
      <c r="AWY131" s="50">
        <v>1</v>
      </c>
      <c r="AXB131">
        <v>999</v>
      </c>
      <c r="AXC131">
        <v>9</v>
      </c>
      <c r="AXD131">
        <v>0</v>
      </c>
      <c r="AXE131">
        <v>999</v>
      </c>
      <c r="BHA131">
        <v>200</v>
      </c>
      <c r="BHB131">
        <v>1</v>
      </c>
      <c r="BHE131">
        <v>1</v>
      </c>
      <c r="BHF131">
        <v>999</v>
      </c>
      <c r="BHG131">
        <v>7</v>
      </c>
      <c r="BHH131">
        <v>0</v>
      </c>
      <c r="BHI131">
        <v>999</v>
      </c>
      <c r="CKJ131">
        <v>25</v>
      </c>
      <c r="CKK131">
        <v>1</v>
      </c>
      <c r="CKN131">
        <v>1</v>
      </c>
      <c r="CKO131" s="36">
        <v>999</v>
      </c>
      <c r="CKP131">
        <v>999</v>
      </c>
      <c r="CKQ131">
        <v>0</v>
      </c>
      <c r="CKR131">
        <v>999</v>
      </c>
      <c r="DHM131">
        <v>450</v>
      </c>
      <c r="DHN131">
        <v>1</v>
      </c>
      <c r="DHQ131">
        <v>1</v>
      </c>
      <c r="DHR131" s="35">
        <v>999</v>
      </c>
      <c r="DHS131">
        <v>9</v>
      </c>
      <c r="DHT131">
        <v>0</v>
      </c>
      <c r="DHU131">
        <v>999</v>
      </c>
      <c r="ELO131" s="50">
        <v>45</v>
      </c>
      <c r="ELP131">
        <v>1</v>
      </c>
      <c r="ELS131">
        <v>1</v>
      </c>
      <c r="ELT131" s="35">
        <v>999</v>
      </c>
      <c r="ELU131">
        <v>9</v>
      </c>
      <c r="ELV131">
        <v>0</v>
      </c>
      <c r="ELW131">
        <v>999</v>
      </c>
      <c r="EWZ131">
        <v>75</v>
      </c>
      <c r="EXA131">
        <v>1</v>
      </c>
      <c r="EXD131">
        <v>1</v>
      </c>
      <c r="EXE131" s="36">
        <v>999</v>
      </c>
      <c r="EXF131">
        <v>999</v>
      </c>
      <c r="EXG131">
        <v>0</v>
      </c>
      <c r="EXH131">
        <v>999</v>
      </c>
      <c r="FLM131">
        <v>250</v>
      </c>
      <c r="FLN131">
        <v>1</v>
      </c>
      <c r="FLQ131">
        <v>1</v>
      </c>
      <c r="FLR131" s="36">
        <v>999</v>
      </c>
      <c r="FLS131">
        <v>999</v>
      </c>
      <c r="FLT131">
        <v>0</v>
      </c>
      <c r="FLU131">
        <v>999</v>
      </c>
    </row>
    <row r="132" spans="1:988 1048:2030 2050:2933 3099:4012 4105:4797" x14ac:dyDescent="0.25">
      <c r="A132" s="50">
        <v>4000158</v>
      </c>
      <c r="EY132">
        <v>174</v>
      </c>
      <c r="IJ132" s="3">
        <v>1.1662999999999999</v>
      </c>
      <c r="LT132" s="50"/>
      <c r="LU132" s="50"/>
      <c r="LV132" s="50"/>
      <c r="LW132" s="50"/>
      <c r="LX132" s="50"/>
      <c r="LY132" s="50"/>
      <c r="LZ132" s="50"/>
      <c r="MA132" s="50"/>
      <c r="MB132" s="50"/>
      <c r="MC132" s="50"/>
      <c r="MD132" s="50"/>
      <c r="AEU132">
        <v>141</v>
      </c>
      <c r="AGA132">
        <v>4.7699999999999996</v>
      </c>
      <c r="ANH132">
        <v>44</v>
      </c>
      <c r="ANI132">
        <v>1</v>
      </c>
      <c r="ANK132">
        <v>24.2</v>
      </c>
      <c r="ANM132">
        <v>1</v>
      </c>
      <c r="ANN132">
        <v>11</v>
      </c>
      <c r="ANO132">
        <v>1</v>
      </c>
      <c r="ANP132">
        <v>1</v>
      </c>
      <c r="AOT132">
        <v>1</v>
      </c>
      <c r="ATR132">
        <v>1</v>
      </c>
      <c r="AVS132">
        <v>1</v>
      </c>
      <c r="AWT132" s="50"/>
      <c r="AWU132" s="50">
        <v>50</v>
      </c>
      <c r="AWV132" s="50">
        <v>1</v>
      </c>
      <c r="AWW132" s="50"/>
      <c r="AWX132" s="50"/>
      <c r="AWY132" s="50">
        <v>1</v>
      </c>
      <c r="AXB132">
        <v>275</v>
      </c>
      <c r="AXC132">
        <v>275</v>
      </c>
      <c r="AXD132">
        <v>0</v>
      </c>
      <c r="AXE132">
        <v>2</v>
      </c>
      <c r="BBA132">
        <v>25</v>
      </c>
      <c r="BBB132">
        <v>1</v>
      </c>
      <c r="BBE132">
        <v>1</v>
      </c>
      <c r="BBF132">
        <v>183</v>
      </c>
      <c r="BBG132">
        <v>181</v>
      </c>
      <c r="BBH132">
        <v>0</v>
      </c>
      <c r="BBI132">
        <v>2</v>
      </c>
      <c r="BXW132">
        <v>50</v>
      </c>
      <c r="BXX132">
        <v>1</v>
      </c>
      <c r="BYA132">
        <v>1</v>
      </c>
      <c r="BYD132">
        <v>183</v>
      </c>
      <c r="BYE132">
        <v>181</v>
      </c>
      <c r="BYF132">
        <v>0</v>
      </c>
      <c r="BZB132">
        <v>2</v>
      </c>
      <c r="DAH132">
        <v>40</v>
      </c>
      <c r="DAI132">
        <v>1</v>
      </c>
      <c r="DAL132">
        <v>1</v>
      </c>
      <c r="DAM132">
        <v>999</v>
      </c>
      <c r="DAN132">
        <v>360</v>
      </c>
      <c r="DAO132">
        <v>0</v>
      </c>
      <c r="DAP132">
        <v>999</v>
      </c>
    </row>
    <row r="133" spans="1:988 1048:2030 2050:2933 3099:4012 4105:4797" x14ac:dyDescent="0.25">
      <c r="A133" s="50">
        <v>4000304</v>
      </c>
      <c r="AJ133" s="3">
        <v>2.5667</v>
      </c>
      <c r="EX133">
        <v>243</v>
      </c>
      <c r="II133" s="3">
        <v>1.2556</v>
      </c>
      <c r="LT133" s="50"/>
      <c r="LU133" s="50"/>
      <c r="LV133" s="50"/>
      <c r="LW133" s="50"/>
      <c r="LX133" s="50"/>
      <c r="LY133" s="50"/>
      <c r="LZ133" s="50"/>
      <c r="MA133" s="50"/>
      <c r="MB133" s="50"/>
      <c r="MC133" s="50"/>
      <c r="MD133" s="50"/>
      <c r="ANH133">
        <v>68</v>
      </c>
      <c r="ANI133">
        <v>1</v>
      </c>
      <c r="ANK133">
        <v>25.2</v>
      </c>
      <c r="APB133">
        <v>1</v>
      </c>
      <c r="APE133">
        <v>1</v>
      </c>
      <c r="AQV133">
        <v>1</v>
      </c>
      <c r="AVR133">
        <v>1</v>
      </c>
      <c r="AVU133">
        <v>1</v>
      </c>
      <c r="AWT133" s="50"/>
      <c r="AWU133" s="50">
        <v>50</v>
      </c>
      <c r="AWV133" s="50">
        <v>1</v>
      </c>
      <c r="AWW133" s="50"/>
      <c r="AWX133" s="50"/>
      <c r="AWY133" s="50">
        <v>1</v>
      </c>
      <c r="AXB133">
        <v>244</v>
      </c>
      <c r="AXC133">
        <v>244</v>
      </c>
      <c r="AXD133">
        <v>0</v>
      </c>
      <c r="AXE133">
        <v>0</v>
      </c>
      <c r="AYG133">
        <v>2</v>
      </c>
      <c r="AYJ133">
        <v>1</v>
      </c>
      <c r="AYK133">
        <v>275</v>
      </c>
      <c r="AYL133">
        <v>275</v>
      </c>
      <c r="AYM133">
        <v>0</v>
      </c>
      <c r="AYN133">
        <v>0</v>
      </c>
      <c r="CBB133">
        <v>25</v>
      </c>
      <c r="CBC133">
        <v>1</v>
      </c>
      <c r="CBF133">
        <v>1</v>
      </c>
      <c r="CBG133">
        <v>360</v>
      </c>
      <c r="CBH133">
        <v>360</v>
      </c>
      <c r="CBI133">
        <v>0</v>
      </c>
      <c r="CBJ133">
        <v>0</v>
      </c>
      <c r="CIB133">
        <v>20</v>
      </c>
      <c r="CIC133">
        <v>1</v>
      </c>
      <c r="CIF133">
        <v>1</v>
      </c>
      <c r="CIG133">
        <v>360</v>
      </c>
      <c r="CIH133">
        <v>360</v>
      </c>
      <c r="CII133">
        <v>0</v>
      </c>
      <c r="CIJ133">
        <v>0</v>
      </c>
      <c r="DAS133">
        <v>40</v>
      </c>
      <c r="DAT133">
        <v>1</v>
      </c>
      <c r="DAW133">
        <v>1</v>
      </c>
      <c r="DAX133">
        <v>244</v>
      </c>
      <c r="DAY133">
        <v>244</v>
      </c>
      <c r="DAZ133">
        <v>0</v>
      </c>
      <c r="DBA133">
        <v>0</v>
      </c>
      <c r="DDP133">
        <v>40</v>
      </c>
      <c r="DDQ133">
        <v>1</v>
      </c>
      <c r="DDT133">
        <v>1</v>
      </c>
      <c r="DDV133">
        <v>999</v>
      </c>
      <c r="DDW133">
        <v>999</v>
      </c>
      <c r="DDX133">
        <v>0</v>
      </c>
      <c r="DDY133">
        <v>9</v>
      </c>
      <c r="DEA133">
        <v>1.5</v>
      </c>
      <c r="DEB133">
        <v>1</v>
      </c>
      <c r="DEE133">
        <v>1</v>
      </c>
      <c r="DEF133">
        <v>488</v>
      </c>
      <c r="DEG133">
        <v>488</v>
      </c>
      <c r="DEH133">
        <v>0</v>
      </c>
      <c r="DEI133">
        <v>0</v>
      </c>
      <c r="GAD133">
        <v>1</v>
      </c>
    </row>
    <row r="134" spans="1:988 1048:2030 2050:2933 3099:4012 4105:4797" x14ac:dyDescent="0.25">
      <c r="A134" s="50">
        <v>4001905</v>
      </c>
      <c r="IH134">
        <v>0.9</v>
      </c>
      <c r="LT134" s="50"/>
      <c r="LU134" s="50"/>
      <c r="LV134" s="50"/>
      <c r="LW134" s="50"/>
      <c r="LX134" s="50"/>
      <c r="LY134" s="50"/>
      <c r="LZ134" s="50"/>
      <c r="MA134" s="50"/>
      <c r="MB134" s="50"/>
      <c r="MC134" s="50"/>
      <c r="MD134" s="50"/>
      <c r="ANH134">
        <v>20</v>
      </c>
      <c r="ANI134">
        <v>1</v>
      </c>
      <c r="ANK134">
        <v>20.5</v>
      </c>
      <c r="ANM134">
        <v>1</v>
      </c>
      <c r="ANN134">
        <v>8</v>
      </c>
      <c r="AOV134">
        <v>1</v>
      </c>
      <c r="AWT134" s="50"/>
      <c r="AWU134" s="50">
        <v>75</v>
      </c>
      <c r="AWV134" s="50">
        <v>1</v>
      </c>
      <c r="AWW134" s="50"/>
      <c r="AWX134" s="50"/>
      <c r="AWY134" s="50">
        <v>1</v>
      </c>
      <c r="AXA134">
        <v>1</v>
      </c>
      <c r="AXB134">
        <v>43</v>
      </c>
      <c r="AXC134">
        <v>42</v>
      </c>
      <c r="AXD134">
        <v>0</v>
      </c>
      <c r="AXE134">
        <v>0</v>
      </c>
      <c r="EJP134">
        <v>5</v>
      </c>
      <c r="EJQ134">
        <v>1</v>
      </c>
      <c r="EJT134">
        <v>1</v>
      </c>
      <c r="EJU134">
        <v>999</v>
      </c>
      <c r="EJV134">
        <v>999</v>
      </c>
      <c r="EJW134">
        <v>0</v>
      </c>
      <c r="EJX134">
        <v>0</v>
      </c>
      <c r="EKJ134">
        <v>20</v>
      </c>
      <c r="EKK134">
        <v>1</v>
      </c>
      <c r="EKN134">
        <v>1</v>
      </c>
      <c r="EKO134">
        <v>732</v>
      </c>
      <c r="EKP134">
        <v>732</v>
      </c>
      <c r="EKQ134">
        <v>0</v>
      </c>
      <c r="EKR134">
        <v>0</v>
      </c>
      <c r="FUX134">
        <v>1</v>
      </c>
      <c r="FXI134">
        <v>1</v>
      </c>
      <c r="FYJ134">
        <v>1</v>
      </c>
    </row>
    <row r="135" spans="1:988 1048:2030 2050:2933 3099:4012 4105:4797" x14ac:dyDescent="0.25">
      <c r="A135" s="50">
        <v>4002206</v>
      </c>
      <c r="EX135">
        <v>148.80000000000001</v>
      </c>
      <c r="II135">
        <v>0.86650000000000005</v>
      </c>
      <c r="LT135" s="50"/>
      <c r="LU135" s="50"/>
      <c r="LV135" s="50"/>
      <c r="LW135" s="50"/>
      <c r="LX135" s="50"/>
      <c r="LY135" s="50"/>
      <c r="LZ135" s="50"/>
      <c r="MA135" s="50"/>
      <c r="MB135" s="50"/>
      <c r="MC135" s="50"/>
      <c r="MD135" s="50"/>
      <c r="QY135">
        <v>209000</v>
      </c>
      <c r="RF135">
        <v>203000</v>
      </c>
      <c r="YO135">
        <v>50</v>
      </c>
      <c r="YT135">
        <v>44</v>
      </c>
      <c r="AAG135">
        <v>92.8</v>
      </c>
      <c r="AAL135">
        <v>95.2</v>
      </c>
      <c r="AET135">
        <v>135</v>
      </c>
      <c r="AFZ135">
        <v>5.0599999999999996</v>
      </c>
      <c r="AHC135">
        <v>2.35</v>
      </c>
      <c r="ANH135">
        <v>36</v>
      </c>
      <c r="ANI135">
        <v>1</v>
      </c>
      <c r="ANK135">
        <v>26.7</v>
      </c>
      <c r="ANM135">
        <v>1</v>
      </c>
      <c r="ANN135">
        <v>8</v>
      </c>
      <c r="ATZ135">
        <v>1</v>
      </c>
      <c r="AWT135" s="50"/>
      <c r="AWU135" s="50">
        <v>75</v>
      </c>
      <c r="AWV135" s="50">
        <v>2</v>
      </c>
      <c r="AWW135" s="50"/>
      <c r="AWX135" s="50"/>
      <c r="AWY135" s="50">
        <v>1</v>
      </c>
      <c r="AXB135">
        <v>305</v>
      </c>
      <c r="AXC135">
        <v>305</v>
      </c>
      <c r="AXD135">
        <v>0</v>
      </c>
      <c r="AXE135">
        <v>0</v>
      </c>
      <c r="FWC135">
        <v>1</v>
      </c>
      <c r="FXG135">
        <v>1</v>
      </c>
      <c r="GAU135">
        <v>1</v>
      </c>
    </row>
    <row r="136" spans="1:988 1048:2030 2050:2933 3099:4012 4105:4797" x14ac:dyDescent="0.25">
      <c r="A136" s="50">
        <v>4002715</v>
      </c>
      <c r="LT136" s="50"/>
      <c r="LU136" s="50"/>
      <c r="LV136" s="50"/>
      <c r="LW136" s="50"/>
      <c r="LX136" s="50"/>
      <c r="LY136" s="50"/>
      <c r="LZ136" s="50"/>
      <c r="MA136" s="50"/>
      <c r="MB136" s="50"/>
      <c r="MC136" s="50"/>
      <c r="MD136" s="50"/>
      <c r="ANH136">
        <v>60</v>
      </c>
      <c r="ANJ136">
        <v>1</v>
      </c>
      <c r="ANK136">
        <v>22.1</v>
      </c>
      <c r="AWT136" s="50"/>
      <c r="AWU136" s="50">
        <v>50</v>
      </c>
      <c r="AWV136" s="50">
        <v>2</v>
      </c>
      <c r="AWW136" s="50"/>
      <c r="AWX136" s="50"/>
      <c r="AWY136" s="50">
        <v>1</v>
      </c>
      <c r="AXB136" s="35">
        <v>999</v>
      </c>
      <c r="AXC136">
        <v>214</v>
      </c>
      <c r="AXD136">
        <v>0</v>
      </c>
      <c r="AXE136">
        <v>999</v>
      </c>
      <c r="FUJ136">
        <v>1</v>
      </c>
    </row>
    <row r="137" spans="1:988 1048:2030 2050:2933 3099:4012 4105:4797" x14ac:dyDescent="0.25">
      <c r="A137" s="50">
        <v>4003924</v>
      </c>
      <c r="AK137" s="3"/>
      <c r="LT137" s="50"/>
      <c r="LU137" s="50"/>
      <c r="LV137" s="50"/>
      <c r="LW137" s="50"/>
      <c r="LX137" s="50"/>
      <c r="LY137" s="50"/>
      <c r="LZ137" s="50"/>
      <c r="MA137" s="50"/>
      <c r="MB137" s="50"/>
      <c r="MC137" s="50"/>
      <c r="MD137" s="50"/>
      <c r="ANH137">
        <v>53</v>
      </c>
      <c r="ANI137">
        <v>1</v>
      </c>
      <c r="ANK137">
        <v>23.4</v>
      </c>
      <c r="ANP137">
        <v>1</v>
      </c>
      <c r="AOG137">
        <v>1</v>
      </c>
      <c r="APM137">
        <v>1</v>
      </c>
      <c r="AWI137">
        <v>1</v>
      </c>
      <c r="AWT137" s="50"/>
      <c r="AWU137" s="50">
        <v>50</v>
      </c>
      <c r="AWV137" s="50">
        <v>1</v>
      </c>
      <c r="AWW137" s="50"/>
      <c r="AWX137" s="50"/>
      <c r="AWY137" s="50">
        <v>1</v>
      </c>
      <c r="AXB137">
        <v>31</v>
      </c>
      <c r="AXC137">
        <v>39</v>
      </c>
      <c r="AXD137">
        <v>9</v>
      </c>
      <c r="AXE137">
        <v>0</v>
      </c>
      <c r="AYF137">
        <v>500</v>
      </c>
      <c r="AYJ137">
        <v>1</v>
      </c>
      <c r="AYK137">
        <v>999</v>
      </c>
      <c r="AYL137">
        <v>999</v>
      </c>
      <c r="AYM137">
        <v>0</v>
      </c>
      <c r="AYN137">
        <v>0</v>
      </c>
      <c r="FUJ137">
        <v>1</v>
      </c>
      <c r="FUK137">
        <v>1</v>
      </c>
      <c r="GAD137">
        <v>1</v>
      </c>
    </row>
    <row r="138" spans="1:988 1048:2030 2050:2933 3099:4012 4105:4797" x14ac:dyDescent="0.25">
      <c r="A138" s="50">
        <v>4006051</v>
      </c>
      <c r="II138">
        <v>2.2999999999999998</v>
      </c>
      <c r="LT138" s="50"/>
      <c r="LU138" s="50"/>
      <c r="LV138" s="50"/>
      <c r="LW138" s="50"/>
      <c r="LX138" s="50"/>
      <c r="LY138" s="50"/>
      <c r="LZ138" s="50"/>
      <c r="MA138" s="50"/>
      <c r="MB138" s="50"/>
      <c r="MC138" s="50"/>
      <c r="MD138" s="50"/>
      <c r="SG138">
        <v>6</v>
      </c>
      <c r="ANH138">
        <v>66</v>
      </c>
      <c r="ANJ138">
        <v>1</v>
      </c>
      <c r="ANM138">
        <v>1</v>
      </c>
      <c r="ANN138">
        <v>49</v>
      </c>
      <c r="AOA138">
        <v>1</v>
      </c>
      <c r="AOI138">
        <v>1</v>
      </c>
      <c r="ARC138">
        <v>1</v>
      </c>
      <c r="AWT138" s="50"/>
      <c r="AWU138" s="50">
        <v>75</v>
      </c>
      <c r="AWV138" s="50">
        <v>1</v>
      </c>
      <c r="AWW138" s="50"/>
      <c r="AWX138" s="50">
        <v>1</v>
      </c>
      <c r="AWY138" s="50"/>
      <c r="FWC138">
        <v>1</v>
      </c>
      <c r="FZG138">
        <v>1</v>
      </c>
      <c r="GAE138">
        <v>1</v>
      </c>
      <c r="GBD138">
        <v>1</v>
      </c>
    </row>
    <row r="139" spans="1:988 1048:2030 2050:2933 3099:4012 4105:4797" x14ac:dyDescent="0.25">
      <c r="A139" s="50">
        <v>4008140</v>
      </c>
      <c r="B139">
        <v>11</v>
      </c>
      <c r="S139">
        <v>7.3</v>
      </c>
      <c r="AI139">
        <v>5.5</v>
      </c>
      <c r="CL139">
        <v>4.5999999999999996</v>
      </c>
      <c r="LT139" s="50"/>
      <c r="LU139" s="50"/>
      <c r="LV139" s="50"/>
      <c r="LW139" s="50"/>
      <c r="LX139" s="50"/>
      <c r="LY139" s="50"/>
      <c r="LZ139" s="50"/>
      <c r="MA139" s="50">
        <v>8</v>
      </c>
      <c r="MB139" s="50"/>
      <c r="MC139" s="50"/>
      <c r="MD139" s="50"/>
      <c r="QX139">
        <v>409000</v>
      </c>
      <c r="ANH139">
        <v>57</v>
      </c>
      <c r="ANJ139">
        <v>1</v>
      </c>
      <c r="AWN139">
        <v>1</v>
      </c>
      <c r="AWT139" s="50"/>
      <c r="AWU139" s="50"/>
      <c r="AWV139" s="50"/>
      <c r="AWW139" s="50"/>
      <c r="AWX139" s="50"/>
      <c r="AWY139" s="50">
        <v>1</v>
      </c>
      <c r="AXB139">
        <v>2</v>
      </c>
      <c r="AXC139">
        <v>17</v>
      </c>
      <c r="AXD139">
        <v>16</v>
      </c>
      <c r="AXE139">
        <v>0</v>
      </c>
      <c r="BBF139">
        <v>2</v>
      </c>
      <c r="BBG139">
        <v>18</v>
      </c>
      <c r="BBH139">
        <v>17</v>
      </c>
      <c r="BBI139">
        <v>0</v>
      </c>
      <c r="BHF139">
        <v>17</v>
      </c>
      <c r="BHG139">
        <v>15</v>
      </c>
      <c r="BHH139">
        <v>0</v>
      </c>
      <c r="BHI139">
        <v>1</v>
      </c>
      <c r="BSM139">
        <v>1</v>
      </c>
      <c r="BSN139">
        <v>10</v>
      </c>
      <c r="BSO139">
        <v>10</v>
      </c>
      <c r="BSP139">
        <v>1</v>
      </c>
      <c r="BSQ139">
        <v>0</v>
      </c>
      <c r="FUX139">
        <v>1</v>
      </c>
      <c r="FWG139">
        <v>1</v>
      </c>
      <c r="GAE139">
        <v>1</v>
      </c>
      <c r="GBM139">
        <v>1</v>
      </c>
    </row>
    <row r="140" spans="1:988 1048:2030 2050:2933 3099:4012 4105:4797" x14ac:dyDescent="0.25">
      <c r="A140" s="50">
        <v>4009906</v>
      </c>
      <c r="AK140">
        <v>0.5</v>
      </c>
      <c r="BJ140">
        <v>1</v>
      </c>
      <c r="CC140">
        <v>0.7</v>
      </c>
      <c r="CF140">
        <v>0.6</v>
      </c>
      <c r="EY140">
        <v>65</v>
      </c>
      <c r="GB140">
        <v>56</v>
      </c>
      <c r="GR140">
        <v>73</v>
      </c>
      <c r="GU140">
        <v>67</v>
      </c>
      <c r="JT140">
        <v>64</v>
      </c>
      <c r="KC140">
        <v>56</v>
      </c>
      <c r="KG140">
        <v>63</v>
      </c>
      <c r="KI140">
        <v>33</v>
      </c>
      <c r="KR140">
        <v>82</v>
      </c>
      <c r="LI140">
        <v>43</v>
      </c>
      <c r="LO140">
        <v>74</v>
      </c>
      <c r="LQ140">
        <v>29</v>
      </c>
      <c r="LT140" s="50"/>
      <c r="LU140" s="50"/>
      <c r="LV140" s="50"/>
      <c r="LW140" s="50"/>
      <c r="LX140" s="50"/>
      <c r="LY140" s="50"/>
      <c r="LZ140" s="50"/>
      <c r="MA140" s="50"/>
      <c r="MB140" s="50"/>
      <c r="MC140" s="50">
        <v>1</v>
      </c>
      <c r="MD140" s="50"/>
      <c r="PO140">
        <v>4270000</v>
      </c>
      <c r="QF140">
        <v>3.96</v>
      </c>
      <c r="QH140">
        <v>4.17</v>
      </c>
      <c r="QZ140">
        <v>226000</v>
      </c>
      <c r="RW140">
        <v>223000</v>
      </c>
      <c r="SA140">
        <v>248000</v>
      </c>
      <c r="SD140">
        <v>225000</v>
      </c>
      <c r="TG140">
        <v>4.5999999999999996</v>
      </c>
      <c r="TL140">
        <v>3.3</v>
      </c>
      <c r="TN140">
        <v>4.8</v>
      </c>
      <c r="TO140">
        <v>3.3</v>
      </c>
      <c r="UA140">
        <v>53.6</v>
      </c>
      <c r="UI140">
        <v>69.5</v>
      </c>
      <c r="UL140">
        <v>50.9</v>
      </c>
      <c r="UM140">
        <v>58</v>
      </c>
      <c r="UW140">
        <v>0.8</v>
      </c>
      <c r="VA140">
        <v>3.3</v>
      </c>
      <c r="VB140">
        <v>4.8</v>
      </c>
      <c r="VC140">
        <v>0.8</v>
      </c>
      <c r="YP140">
        <v>40.5</v>
      </c>
      <c r="ZK140">
        <v>37.1</v>
      </c>
      <c r="ZP140">
        <v>38.1</v>
      </c>
      <c r="ZR140">
        <v>38.9</v>
      </c>
      <c r="AAH140">
        <v>94.8</v>
      </c>
      <c r="AAW140">
        <v>93.8</v>
      </c>
      <c r="AAY140">
        <v>91.3</v>
      </c>
      <c r="AAZ140">
        <v>90.3</v>
      </c>
      <c r="ABN140">
        <v>31.4</v>
      </c>
      <c r="ACA140">
        <v>30.5</v>
      </c>
      <c r="ACB140">
        <v>31</v>
      </c>
      <c r="ACC140">
        <v>30.2</v>
      </c>
      <c r="ACQ140">
        <v>33.1</v>
      </c>
      <c r="ADE140">
        <v>32.5</v>
      </c>
      <c r="ADF140">
        <v>33.9</v>
      </c>
      <c r="ADG140">
        <v>33.4</v>
      </c>
      <c r="ANH140">
        <v>51</v>
      </c>
      <c r="ANJ140">
        <v>1</v>
      </c>
      <c r="ANK140">
        <v>20.5</v>
      </c>
      <c r="AOA140">
        <v>1</v>
      </c>
      <c r="AWQ140">
        <v>1</v>
      </c>
      <c r="AWT140" s="50"/>
      <c r="AWU140" s="60"/>
      <c r="AWV140" s="50"/>
      <c r="AWW140" s="50"/>
      <c r="AWX140" s="50"/>
      <c r="AWY140" s="50"/>
      <c r="AXA140">
        <v>1</v>
      </c>
      <c r="AXB140">
        <v>519</v>
      </c>
      <c r="AXC140">
        <v>519</v>
      </c>
      <c r="AXD140">
        <v>0</v>
      </c>
      <c r="FAW140">
        <v>50</v>
      </c>
      <c r="FBB140">
        <v>1</v>
      </c>
      <c r="FBC140">
        <v>999</v>
      </c>
      <c r="FBD140">
        <v>999</v>
      </c>
      <c r="FBE140">
        <v>0</v>
      </c>
      <c r="FBF140">
        <v>90</v>
      </c>
      <c r="FXG140">
        <v>1</v>
      </c>
    </row>
    <row r="141" spans="1:988 1048:2030 2050:2933 3099:4012 4105:4797" x14ac:dyDescent="0.25">
      <c r="A141" s="50">
        <v>4011027</v>
      </c>
      <c r="AK141">
        <v>0.2631</v>
      </c>
      <c r="EY141">
        <v>84</v>
      </c>
      <c r="IJ141" s="3">
        <v>1.1312</v>
      </c>
      <c r="IK141">
        <v>1.2556</v>
      </c>
      <c r="JT141" s="3">
        <v>108.6</v>
      </c>
      <c r="LT141" s="50"/>
      <c r="LU141" s="50"/>
      <c r="LV141" s="50"/>
      <c r="LW141" s="50"/>
      <c r="LX141" s="50"/>
      <c r="LY141" s="50"/>
      <c r="LZ141" s="50"/>
      <c r="MA141" s="50"/>
      <c r="MB141" s="50"/>
      <c r="MC141" s="50"/>
      <c r="MD141" s="50">
        <v>14</v>
      </c>
      <c r="NQ141" s="3">
        <v>67.872</v>
      </c>
      <c r="NR141" s="3"/>
      <c r="OR141" s="3">
        <v>2.5720999999999998</v>
      </c>
      <c r="QZ141">
        <v>400000</v>
      </c>
      <c r="YP141">
        <v>24</v>
      </c>
      <c r="YQ141">
        <v>28</v>
      </c>
      <c r="YR141">
        <v>32</v>
      </c>
      <c r="YV141">
        <v>34</v>
      </c>
      <c r="ZB141">
        <v>36</v>
      </c>
      <c r="AEU141">
        <v>147</v>
      </c>
      <c r="AEV141">
        <v>144</v>
      </c>
      <c r="AGA141">
        <v>3.4</v>
      </c>
      <c r="AGB141">
        <v>2.7</v>
      </c>
      <c r="AHE141">
        <v>1.3</v>
      </c>
      <c r="AHZ141">
        <v>0.23</v>
      </c>
      <c r="AIL141" s="3">
        <v>84.325999999999993</v>
      </c>
      <c r="AIM141" s="3"/>
      <c r="AIN141" s="3"/>
      <c r="AIW141" s="50"/>
      <c r="AIX141" s="50"/>
      <c r="AIY141" s="50">
        <v>72</v>
      </c>
      <c r="AIZ141" s="50"/>
      <c r="AJA141" s="50"/>
      <c r="AJB141" s="50"/>
      <c r="AJC141" s="50"/>
      <c r="AJD141" s="50"/>
      <c r="AJE141" s="50"/>
      <c r="AKA141" s="3">
        <v>100.8896</v>
      </c>
      <c r="AKZ141">
        <v>4700</v>
      </c>
      <c r="ANH141">
        <v>45</v>
      </c>
      <c r="ANI141">
        <v>1</v>
      </c>
      <c r="ANK141">
        <v>17.899999999999999</v>
      </c>
      <c r="ANM141">
        <v>1</v>
      </c>
      <c r="ANN141">
        <v>19</v>
      </c>
      <c r="APS141">
        <v>1</v>
      </c>
      <c r="APT141">
        <v>1</v>
      </c>
      <c r="ATY141">
        <v>1</v>
      </c>
      <c r="AWT141" s="50"/>
      <c r="AWU141" s="50">
        <v>50</v>
      </c>
      <c r="AWV141" s="50">
        <v>2</v>
      </c>
      <c r="AWW141" s="50"/>
      <c r="AWX141" s="50"/>
      <c r="AWY141" s="50">
        <v>1</v>
      </c>
      <c r="AXB141">
        <v>3</v>
      </c>
      <c r="AXC141">
        <v>13</v>
      </c>
      <c r="AXD141">
        <v>11</v>
      </c>
      <c r="AXE141">
        <v>0</v>
      </c>
      <c r="BHK141">
        <v>4</v>
      </c>
      <c r="BHL141">
        <v>2</v>
      </c>
      <c r="BHO141">
        <v>1</v>
      </c>
      <c r="BHP141">
        <v>3</v>
      </c>
      <c r="BHQ141">
        <v>13</v>
      </c>
      <c r="BHR141">
        <v>11</v>
      </c>
      <c r="BHS141">
        <v>0</v>
      </c>
      <c r="FUJ141">
        <v>1</v>
      </c>
      <c r="FVS141">
        <v>1</v>
      </c>
      <c r="GAN141">
        <v>1</v>
      </c>
      <c r="GAQ141">
        <v>1</v>
      </c>
    </row>
    <row r="142" spans="1:988 1048:2030 2050:2933 3099:4012 4105:4797" x14ac:dyDescent="0.25">
      <c r="A142" s="50">
        <v>4011920</v>
      </c>
      <c r="EX142">
        <v>426</v>
      </c>
      <c r="FI142">
        <v>166</v>
      </c>
      <c r="FS142">
        <v>47</v>
      </c>
      <c r="LT142" s="50"/>
      <c r="LU142" s="50"/>
      <c r="LV142" s="50"/>
      <c r="LW142" s="50"/>
      <c r="LX142" s="50"/>
      <c r="LY142" s="50"/>
      <c r="LZ142" s="50"/>
      <c r="MA142" s="50"/>
      <c r="MB142" s="50"/>
      <c r="MC142" s="50"/>
      <c r="MD142" s="50"/>
      <c r="AIW142" s="50"/>
      <c r="AIX142" s="50"/>
      <c r="AIY142" s="50"/>
      <c r="AIZ142" s="50"/>
      <c r="AJA142" s="50"/>
      <c r="AJB142" s="50"/>
      <c r="AJC142" s="50"/>
      <c r="AJD142" s="50"/>
      <c r="AJE142" s="50"/>
      <c r="ANH142">
        <v>61</v>
      </c>
      <c r="ANJ142">
        <v>1</v>
      </c>
      <c r="ANK142">
        <v>23.2</v>
      </c>
      <c r="ANN142">
        <v>14</v>
      </c>
      <c r="ATW142">
        <v>1</v>
      </c>
      <c r="AWT142" s="50"/>
      <c r="AWU142" s="50">
        <v>50</v>
      </c>
      <c r="AWV142" s="50">
        <v>1</v>
      </c>
      <c r="AWW142" s="50"/>
      <c r="AWX142" s="50"/>
      <c r="AWY142" s="50">
        <v>1</v>
      </c>
      <c r="AXB142">
        <v>54</v>
      </c>
      <c r="AXC142">
        <v>53</v>
      </c>
      <c r="AXD142">
        <v>0</v>
      </c>
      <c r="AXE142">
        <v>0</v>
      </c>
      <c r="DOE142">
        <v>3</v>
      </c>
      <c r="DOH142">
        <v>1</v>
      </c>
      <c r="DOI142">
        <v>54</v>
      </c>
      <c r="DOJ142">
        <v>53</v>
      </c>
      <c r="DOK142">
        <v>0</v>
      </c>
      <c r="DOL142">
        <v>0</v>
      </c>
      <c r="DOY142">
        <v>20</v>
      </c>
      <c r="DOZ142">
        <v>1</v>
      </c>
      <c r="DPC142">
        <v>1</v>
      </c>
      <c r="DPD142" s="35">
        <v>999</v>
      </c>
      <c r="DPE142">
        <v>35</v>
      </c>
      <c r="DPF142">
        <v>0</v>
      </c>
      <c r="DPG142">
        <v>999</v>
      </c>
    </row>
    <row r="143" spans="1:988 1048:2030 2050:2933 3099:4012 4105:4797" x14ac:dyDescent="0.25">
      <c r="A143" s="50">
        <v>4012248</v>
      </c>
      <c r="EY143">
        <v>554</v>
      </c>
      <c r="FA143">
        <v>516</v>
      </c>
      <c r="FF143">
        <v>637</v>
      </c>
      <c r="FK143">
        <v>438</v>
      </c>
      <c r="FR143">
        <v>335</v>
      </c>
      <c r="FZ143">
        <v>259</v>
      </c>
      <c r="LT143" s="50"/>
      <c r="LU143" s="50"/>
      <c r="LV143" s="50"/>
      <c r="LW143" s="50"/>
      <c r="LX143" s="50"/>
      <c r="LY143" s="50"/>
      <c r="LZ143" s="50"/>
      <c r="MA143" s="50"/>
      <c r="MB143" s="50"/>
      <c r="MC143" s="50"/>
      <c r="MD143" s="50"/>
      <c r="AIW143" s="50"/>
      <c r="AIX143" s="50"/>
      <c r="AIY143" s="50"/>
      <c r="AIZ143" s="50"/>
      <c r="AJA143" s="50"/>
      <c r="AJB143" s="50"/>
      <c r="AJC143" s="50"/>
      <c r="AJD143" s="50"/>
      <c r="AJE143" s="50"/>
      <c r="ANH143">
        <v>45</v>
      </c>
      <c r="ANI143">
        <v>1</v>
      </c>
      <c r="ANM143">
        <v>1</v>
      </c>
      <c r="ANN143">
        <v>32</v>
      </c>
      <c r="APB143">
        <v>1</v>
      </c>
      <c r="AWD143">
        <v>1</v>
      </c>
      <c r="AWT143" s="50"/>
      <c r="AWU143" s="50"/>
      <c r="AWV143" s="50"/>
      <c r="AWW143" s="50"/>
      <c r="AWX143" s="50"/>
      <c r="AWY143" s="50"/>
      <c r="BZV143">
        <v>150</v>
      </c>
      <c r="BZW143">
        <v>1</v>
      </c>
      <c r="BZZ143">
        <v>1</v>
      </c>
      <c r="CAA143">
        <v>29</v>
      </c>
      <c r="CAB143">
        <v>28</v>
      </c>
      <c r="CAC143">
        <v>0</v>
      </c>
      <c r="CAD143">
        <v>0</v>
      </c>
      <c r="EIL143">
        <v>3</v>
      </c>
      <c r="EIM143">
        <v>1</v>
      </c>
      <c r="EIP143">
        <v>1</v>
      </c>
      <c r="EIQ143">
        <v>26</v>
      </c>
      <c r="EIR143">
        <v>25</v>
      </c>
      <c r="EIS143">
        <v>0</v>
      </c>
      <c r="EIT143">
        <v>0</v>
      </c>
      <c r="EMS143">
        <v>1200</v>
      </c>
      <c r="EMT143">
        <v>1</v>
      </c>
      <c r="EMW143">
        <v>1</v>
      </c>
      <c r="EMX143" s="35">
        <v>999</v>
      </c>
      <c r="EMY143">
        <v>28</v>
      </c>
      <c r="EMZ143">
        <v>0</v>
      </c>
      <c r="ENA143">
        <v>999</v>
      </c>
      <c r="FZY143">
        <v>1</v>
      </c>
    </row>
    <row r="144" spans="1:988 1048:2030 2050:2933 3099:4012 4105:4797" x14ac:dyDescent="0.25">
      <c r="A144" s="50">
        <v>4013603</v>
      </c>
      <c r="EX144">
        <v>547</v>
      </c>
      <c r="KQ144">
        <v>84</v>
      </c>
      <c r="LT144" s="50"/>
      <c r="LU144" s="50"/>
      <c r="LV144" s="50"/>
      <c r="LW144" s="50"/>
      <c r="LX144" s="50"/>
      <c r="LY144" s="50"/>
      <c r="LZ144" s="50"/>
      <c r="MA144" s="50"/>
      <c r="MB144" s="50"/>
      <c r="MC144" s="50"/>
      <c r="MD144" s="50"/>
      <c r="AIW144" s="50"/>
      <c r="AIX144" s="50"/>
      <c r="AIY144" s="50"/>
      <c r="AIZ144" s="50"/>
      <c r="AJA144" s="50"/>
      <c r="AJB144" s="50"/>
      <c r="AJC144" s="50"/>
      <c r="AJD144" s="50"/>
      <c r="AJE144" s="50"/>
      <c r="ANH144">
        <v>38</v>
      </c>
      <c r="ANJ144">
        <v>1</v>
      </c>
      <c r="ANK144">
        <v>30.1</v>
      </c>
      <c r="AWT144" s="50"/>
      <c r="AWU144" s="50"/>
      <c r="AWV144" s="50"/>
      <c r="AWW144" s="50"/>
      <c r="AWX144" s="50">
        <v>1</v>
      </c>
      <c r="AWY144" s="50"/>
      <c r="AXB144">
        <v>2</v>
      </c>
      <c r="AXC144">
        <v>2</v>
      </c>
      <c r="AXD144">
        <v>1</v>
      </c>
      <c r="AXE144">
        <v>0</v>
      </c>
      <c r="EIY144">
        <v>1</v>
      </c>
      <c r="EJA144" s="35">
        <v>999</v>
      </c>
      <c r="EJB144">
        <v>2</v>
      </c>
      <c r="EJC144">
        <v>0</v>
      </c>
      <c r="EJD144">
        <v>999</v>
      </c>
      <c r="FWC144">
        <v>1</v>
      </c>
      <c r="FWD144">
        <v>1</v>
      </c>
      <c r="FXH144">
        <v>1</v>
      </c>
      <c r="FZZ144">
        <v>1</v>
      </c>
      <c r="GBG144">
        <v>1</v>
      </c>
      <c r="GBM144">
        <v>1</v>
      </c>
    </row>
    <row r="145" spans="1:991 1048:1811 2143:3014 3504:4053 4141:5041" x14ac:dyDescent="0.25">
      <c r="A145" s="50">
        <v>5004654</v>
      </c>
      <c r="AK145">
        <v>8.5300000000000001E-2</v>
      </c>
      <c r="AM145">
        <v>0.26490000000000002</v>
      </c>
      <c r="AN145">
        <v>0.33090000000000003</v>
      </c>
      <c r="AO145">
        <v>0.44019999999999998</v>
      </c>
      <c r="AP145">
        <v>0.47570000000000001</v>
      </c>
      <c r="AT145">
        <v>0.38919999999999999</v>
      </c>
      <c r="AX145">
        <v>0.24379999999999999</v>
      </c>
      <c r="AZ145">
        <v>0.1988</v>
      </c>
      <c r="EZ145">
        <v>181</v>
      </c>
      <c r="FA145">
        <v>165</v>
      </c>
      <c r="FB145">
        <v>191</v>
      </c>
      <c r="FC145">
        <v>258</v>
      </c>
      <c r="FD145">
        <v>248</v>
      </c>
      <c r="FF145">
        <v>279</v>
      </c>
      <c r="FH145">
        <v>239</v>
      </c>
      <c r="FL145">
        <v>227</v>
      </c>
      <c r="FN145">
        <v>212</v>
      </c>
      <c r="IO145">
        <v>0.61080000000000001</v>
      </c>
      <c r="KR145">
        <v>220</v>
      </c>
      <c r="KX145">
        <v>215</v>
      </c>
      <c r="LE145">
        <v>188</v>
      </c>
      <c r="LT145" s="50"/>
      <c r="LU145" s="50"/>
      <c r="LV145" s="50"/>
      <c r="LW145" s="50"/>
      <c r="LX145" s="50"/>
      <c r="LY145" s="50"/>
      <c r="LZ145" s="50"/>
      <c r="MA145" s="50"/>
      <c r="MB145" s="50"/>
      <c r="MC145" s="50">
        <v>17.8</v>
      </c>
      <c r="MD145" s="50"/>
      <c r="MH145">
        <v>14.5</v>
      </c>
      <c r="MJ145">
        <v>11.4</v>
      </c>
      <c r="MP145">
        <v>8.5</v>
      </c>
      <c r="NP145" s="3">
        <v>3.6684999999999999</v>
      </c>
      <c r="NU145" s="3">
        <v>34.234200000000001</v>
      </c>
      <c r="OQ145" s="3">
        <v>3.2372000000000001</v>
      </c>
      <c r="PO145">
        <v>4050000</v>
      </c>
      <c r="PQ145">
        <v>3500000</v>
      </c>
      <c r="PR145" s="3">
        <v>39500000000</v>
      </c>
      <c r="PS145" s="3">
        <v>41100000000</v>
      </c>
      <c r="PT145" s="3"/>
      <c r="PV145">
        <v>4000000</v>
      </c>
      <c r="PX145" s="3">
        <v>39300000000</v>
      </c>
      <c r="QB145" s="3">
        <v>39100000000</v>
      </c>
      <c r="QZ145">
        <v>138000</v>
      </c>
      <c r="RB145">
        <v>137000</v>
      </c>
      <c r="RC145">
        <v>141000</v>
      </c>
      <c r="RD145">
        <v>218000</v>
      </c>
      <c r="RE145">
        <v>218000</v>
      </c>
      <c r="RG145">
        <v>294000</v>
      </c>
      <c r="RI145">
        <v>303000</v>
      </c>
      <c r="RM145">
        <v>311000</v>
      </c>
      <c r="TF145">
        <v>5.9</v>
      </c>
      <c r="UA145">
        <v>45.3</v>
      </c>
      <c r="UW145">
        <v>1.2</v>
      </c>
      <c r="VM145">
        <v>28</v>
      </c>
      <c r="VO145">
        <v>33</v>
      </c>
      <c r="WP145">
        <v>7.4020000000000001</v>
      </c>
      <c r="YP145">
        <v>37.700000000000003</v>
      </c>
      <c r="YR145">
        <v>34.200000000000003</v>
      </c>
      <c r="YS145">
        <v>36.700000000000003</v>
      </c>
      <c r="YT145">
        <v>38.6</v>
      </c>
      <c r="YU145">
        <v>35.9</v>
      </c>
      <c r="YW145">
        <v>37.700000000000003</v>
      </c>
      <c r="YY145">
        <v>36.700000000000003</v>
      </c>
      <c r="ZB145">
        <v>37.1</v>
      </c>
      <c r="AAH145">
        <v>92.8</v>
      </c>
      <c r="AAJ145">
        <v>93.1</v>
      </c>
      <c r="AAK145">
        <v>93</v>
      </c>
      <c r="AAL145">
        <v>93.9</v>
      </c>
      <c r="AAN145">
        <v>94.4</v>
      </c>
      <c r="AAP145">
        <v>93.4</v>
      </c>
      <c r="AAR145">
        <v>94.8</v>
      </c>
      <c r="ABN145" s="3">
        <v>28.844100000000001</v>
      </c>
      <c r="ABP145" s="3">
        <v>27.716100000000001</v>
      </c>
      <c r="ABQ145" s="3">
        <v>27.716100000000001</v>
      </c>
      <c r="ABR145" s="3">
        <v>29.488600000000002</v>
      </c>
      <c r="ABS145" s="3"/>
      <c r="ABT145" s="3">
        <v>29.327500000000001</v>
      </c>
      <c r="ABV145" s="3">
        <v>29.1663</v>
      </c>
      <c r="ABX145" s="3">
        <v>29.327500000000001</v>
      </c>
      <c r="ACQ145" s="3">
        <v>30.9389</v>
      </c>
      <c r="ACS145" s="3">
        <v>29.8109</v>
      </c>
      <c r="ACT145" s="3">
        <v>29.8109</v>
      </c>
      <c r="ACU145" s="3">
        <v>31.4223</v>
      </c>
      <c r="ACV145" s="3"/>
      <c r="ACW145" s="3">
        <v>30.9389</v>
      </c>
      <c r="ACY145" s="3">
        <v>31.1</v>
      </c>
      <c r="ADA145" s="3">
        <v>30.9389</v>
      </c>
      <c r="AET145">
        <v>141</v>
      </c>
      <c r="AEZ145">
        <v>143</v>
      </c>
      <c r="AFB145">
        <v>143</v>
      </c>
      <c r="AFI145">
        <v>143</v>
      </c>
      <c r="AGA145">
        <v>4.1399999999999997</v>
      </c>
      <c r="AGF145">
        <v>4.43</v>
      </c>
      <c r="AGH145">
        <v>4.68</v>
      </c>
      <c r="AGN145">
        <v>5.42</v>
      </c>
      <c r="AHD145">
        <v>2.21</v>
      </c>
      <c r="AHI145">
        <v>2.25</v>
      </c>
      <c r="AHK145">
        <v>2.2799999999999998</v>
      </c>
      <c r="AHN145">
        <v>2.35</v>
      </c>
      <c r="AIL145" s="3">
        <v>45.792900000000003</v>
      </c>
      <c r="AIM145" s="3"/>
      <c r="AIN145" s="3"/>
      <c r="AIW145" s="50"/>
      <c r="AIX145" s="57">
        <v>1999</v>
      </c>
      <c r="AIY145" s="50"/>
      <c r="AIZ145" s="50"/>
      <c r="AJA145" s="50"/>
      <c r="AJB145" s="50"/>
      <c r="AJC145" s="50"/>
      <c r="AJD145" s="50"/>
      <c r="AJE145" s="50"/>
      <c r="AJQ145">
        <v>7.4</v>
      </c>
      <c r="AKA145" s="3">
        <v>100.8896</v>
      </c>
      <c r="AKC145" s="3">
        <v>136.92160000000001</v>
      </c>
      <c r="AKD145" s="3">
        <v>99.087999999999994</v>
      </c>
      <c r="AKE145" s="3">
        <v>138.72319999999999</v>
      </c>
      <c r="AKF145" s="3">
        <v>100.8896</v>
      </c>
      <c r="AKG145" s="3"/>
      <c r="AKH145" s="3">
        <v>153.136</v>
      </c>
      <c r="AKI145" s="3">
        <v>180.16</v>
      </c>
      <c r="AKJ145" s="3">
        <v>167.5488</v>
      </c>
      <c r="AKK145" s="3">
        <v>165.74719999999999</v>
      </c>
      <c r="AKL145" s="3">
        <v>111.51900000000001</v>
      </c>
      <c r="AKM145" s="3">
        <v>129.71520000000001</v>
      </c>
      <c r="AKN145" s="3">
        <v>104.4928</v>
      </c>
      <c r="AKO145" s="3">
        <v>122.50879999999999</v>
      </c>
      <c r="AKP145" s="3">
        <v>113.5008</v>
      </c>
      <c r="AKQ145" s="3"/>
      <c r="AKR145" s="3"/>
      <c r="AKT145" s="3"/>
      <c r="AKU145" s="3"/>
      <c r="AKV145" s="3"/>
      <c r="AKW145" s="3"/>
      <c r="ALA145">
        <v>5500</v>
      </c>
      <c r="ALC145">
        <v>6400</v>
      </c>
      <c r="ANH145">
        <v>64</v>
      </c>
      <c r="ANJ145">
        <v>1</v>
      </c>
      <c r="ANV145">
        <v>1</v>
      </c>
      <c r="APB145">
        <v>1</v>
      </c>
      <c r="ARC145">
        <v>1</v>
      </c>
      <c r="ARG145">
        <v>1</v>
      </c>
      <c r="ATS145">
        <v>1</v>
      </c>
      <c r="ATT145">
        <v>1</v>
      </c>
      <c r="AVS145">
        <v>1</v>
      </c>
      <c r="AWT145" s="50"/>
      <c r="AWU145" s="50"/>
      <c r="AWV145" s="50"/>
      <c r="AWW145" s="50"/>
      <c r="AWX145" s="50"/>
      <c r="AWY145" s="50">
        <v>1</v>
      </c>
      <c r="AXB145" s="35">
        <v>999</v>
      </c>
      <c r="AXD145">
        <v>0</v>
      </c>
      <c r="AXE145">
        <v>999</v>
      </c>
      <c r="CES145">
        <v>1</v>
      </c>
      <c r="CHV145">
        <v>1</v>
      </c>
      <c r="CIB145">
        <v>10</v>
      </c>
      <c r="CIF145">
        <v>1</v>
      </c>
      <c r="CZX145">
        <v>10</v>
      </c>
      <c r="DAB145">
        <v>1</v>
      </c>
      <c r="GAD145">
        <v>1</v>
      </c>
    </row>
    <row r="146" spans="1:991 1048:1811 2143:3014 3504:4053 4141:5041" x14ac:dyDescent="0.25">
      <c r="A146" s="54"/>
      <c r="LT146" s="50"/>
      <c r="LU146" s="50"/>
      <c r="LV146" s="50"/>
      <c r="LW146" s="50"/>
      <c r="LX146" s="50"/>
      <c r="LY146" s="50"/>
      <c r="LZ146" s="50"/>
      <c r="MA146" s="50"/>
      <c r="MB146" s="50"/>
      <c r="MC146" s="50"/>
      <c r="MD146" s="50"/>
      <c r="AIW146" s="50"/>
      <c r="AIX146" s="50"/>
      <c r="AIY146" s="50"/>
      <c r="AIZ146" s="50"/>
      <c r="AJA146" s="50"/>
      <c r="AJB146" s="50"/>
      <c r="AJC146" s="50"/>
      <c r="AJD146" s="50"/>
      <c r="AJE146" s="50"/>
      <c r="AWT146" s="50"/>
      <c r="AWU146" s="50"/>
      <c r="AWV146" s="50"/>
      <c r="AWW146" s="50"/>
      <c r="AWX146" s="50"/>
      <c r="AWY146" s="50"/>
    </row>
    <row r="147" spans="1:991 1048:1811 2143:3014 3504:4053 4141:5041" x14ac:dyDescent="0.25">
      <c r="A147" s="52" t="s">
        <v>146</v>
      </c>
      <c r="LT147" s="50"/>
      <c r="LU147" s="50"/>
      <c r="LV147" s="50"/>
      <c r="LW147" s="50"/>
      <c r="LX147" s="50"/>
      <c r="LY147" s="50"/>
      <c r="LZ147" s="50"/>
      <c r="MA147" s="50"/>
      <c r="MB147" s="50"/>
      <c r="MC147" s="50"/>
      <c r="MD147" s="50"/>
      <c r="AIW147" s="50"/>
      <c r="AIX147" s="50"/>
      <c r="AIY147" s="50"/>
      <c r="AIZ147" s="50"/>
      <c r="AJA147" s="50"/>
      <c r="AJB147" s="50"/>
      <c r="AJC147" s="50"/>
      <c r="AJD147" s="50"/>
      <c r="AJE147" s="50"/>
      <c r="AWT147" s="50"/>
      <c r="AWU147" s="50"/>
      <c r="AWV147" s="50"/>
      <c r="AWW147" s="50"/>
      <c r="AWX147" s="50"/>
      <c r="AWY147" s="50"/>
    </row>
    <row r="148" spans="1:991 1048:1811 2143:3014 3504:4053 4141:5041" x14ac:dyDescent="0.25">
      <c r="A148" s="50">
        <v>4289</v>
      </c>
      <c r="IJ148">
        <v>2.7</v>
      </c>
      <c r="IK148">
        <v>5</v>
      </c>
      <c r="LT148" s="50"/>
      <c r="LU148" s="50"/>
      <c r="LV148" s="50"/>
      <c r="LW148" s="50"/>
      <c r="LX148" s="50"/>
      <c r="LY148" s="50"/>
      <c r="LZ148" s="50"/>
      <c r="MA148" s="50"/>
      <c r="MB148" s="50"/>
      <c r="MC148" s="50"/>
      <c r="MD148" s="50"/>
      <c r="NO148">
        <v>22</v>
      </c>
      <c r="NP148">
        <v>73</v>
      </c>
      <c r="NQ148">
        <v>142</v>
      </c>
      <c r="AHC148">
        <v>2.1</v>
      </c>
      <c r="AHD148">
        <v>1.9</v>
      </c>
      <c r="AHE148">
        <v>1.6</v>
      </c>
      <c r="AIW148" s="50"/>
      <c r="AIX148" s="50"/>
      <c r="AIY148" s="50"/>
      <c r="AIZ148" s="50"/>
      <c r="AJA148" s="50"/>
      <c r="AJB148" s="50"/>
      <c r="AJC148" s="50"/>
      <c r="AJD148" s="50"/>
      <c r="AJE148" s="50"/>
      <c r="AJJ148">
        <v>42.2</v>
      </c>
      <c r="ANH148">
        <v>17</v>
      </c>
      <c r="ANJ148">
        <v>1</v>
      </c>
      <c r="ANK148">
        <v>20.2</v>
      </c>
      <c r="ANM148">
        <v>1</v>
      </c>
      <c r="ANN148">
        <v>274</v>
      </c>
      <c r="AWT148" s="50"/>
      <c r="AWU148" s="50"/>
      <c r="AWV148" s="50"/>
      <c r="AWW148" s="50"/>
      <c r="AWX148" s="50"/>
      <c r="AWY148" s="50"/>
      <c r="AXH148">
        <v>8000</v>
      </c>
      <c r="AXI148">
        <v>1</v>
      </c>
      <c r="AXL148">
        <v>1</v>
      </c>
      <c r="AXN148">
        <v>1</v>
      </c>
      <c r="AXO148">
        <v>0</v>
      </c>
      <c r="AXP148">
        <v>0</v>
      </c>
      <c r="AXQ148">
        <v>0</v>
      </c>
      <c r="CTU148">
        <v>2.5</v>
      </c>
      <c r="CTW148">
        <v>1</v>
      </c>
      <c r="CTZ148">
        <v>2</v>
      </c>
      <c r="CUA148">
        <v>0</v>
      </c>
      <c r="CUB148">
        <v>0</v>
      </c>
      <c r="CUC148">
        <v>1</v>
      </c>
      <c r="ELY148">
        <v>1725</v>
      </c>
      <c r="EMC148">
        <v>1</v>
      </c>
      <c r="EMD148">
        <v>1</v>
      </c>
      <c r="EME148">
        <v>0</v>
      </c>
      <c r="EMF148">
        <v>0</v>
      </c>
      <c r="EMG148">
        <v>0</v>
      </c>
      <c r="EMI148">
        <v>4500</v>
      </c>
      <c r="EMJ148">
        <v>1</v>
      </c>
      <c r="EMM148">
        <v>1</v>
      </c>
      <c r="EMN148">
        <v>1</v>
      </c>
      <c r="EMO148">
        <v>0</v>
      </c>
      <c r="EMP148">
        <v>0</v>
      </c>
      <c r="EMQ148">
        <v>0</v>
      </c>
      <c r="EUK148">
        <v>1</v>
      </c>
      <c r="EUL148">
        <v>1</v>
      </c>
      <c r="EUM148">
        <v>0</v>
      </c>
      <c r="EUN148">
        <v>0</v>
      </c>
      <c r="EUO148">
        <v>0</v>
      </c>
      <c r="FVL148">
        <v>1</v>
      </c>
      <c r="FVN148">
        <v>1</v>
      </c>
      <c r="FWH148">
        <v>1</v>
      </c>
      <c r="FWM148">
        <v>1</v>
      </c>
      <c r="FXU148">
        <v>1</v>
      </c>
      <c r="FYJ148">
        <v>1</v>
      </c>
      <c r="FYM148">
        <v>1</v>
      </c>
      <c r="FYQ148">
        <v>1</v>
      </c>
      <c r="FYU148">
        <v>1</v>
      </c>
      <c r="FZR148">
        <v>1</v>
      </c>
      <c r="FZZ148">
        <v>1</v>
      </c>
      <c r="GBD148">
        <v>1</v>
      </c>
    </row>
    <row r="149" spans="1:991 1048:1811 2143:3014 3504:4053 4141:5041" x14ac:dyDescent="0.25">
      <c r="A149" s="50">
        <v>500245</v>
      </c>
      <c r="AJ149" s="3">
        <v>1.105</v>
      </c>
      <c r="AK149">
        <v>0.88290000000000002</v>
      </c>
      <c r="AM149">
        <v>0.9647</v>
      </c>
      <c r="AO149" s="3">
        <v>1.0815999999999999</v>
      </c>
      <c r="AS149">
        <v>0.95299999999999996</v>
      </c>
      <c r="EX149">
        <v>155</v>
      </c>
      <c r="FA149">
        <v>178</v>
      </c>
      <c r="FC149">
        <v>165.3</v>
      </c>
      <c r="FD149" s="50"/>
      <c r="FE149" s="50"/>
      <c r="FF149" s="50"/>
      <c r="FG149" s="50">
        <v>143.19999999999999</v>
      </c>
      <c r="FH149" s="50"/>
      <c r="IH149" s="50"/>
      <c r="II149" s="57">
        <v>1.4682999999999999</v>
      </c>
      <c r="IJ149" s="50"/>
      <c r="IR149">
        <v>0.92869999999999997</v>
      </c>
      <c r="KQ149">
        <v>98</v>
      </c>
      <c r="LT149" s="50"/>
      <c r="LU149" s="50"/>
      <c r="LV149" s="50"/>
      <c r="LW149" s="50"/>
      <c r="LX149" s="50"/>
      <c r="LY149" s="50"/>
      <c r="LZ149" s="50"/>
      <c r="MA149" s="50"/>
      <c r="MB149" s="50"/>
      <c r="MC149" s="50"/>
      <c r="MD149" s="50">
        <v>216</v>
      </c>
      <c r="ME149">
        <v>129</v>
      </c>
      <c r="MK149">
        <v>38.299999999999997</v>
      </c>
      <c r="NR149">
        <v>68</v>
      </c>
      <c r="QY149">
        <v>263000</v>
      </c>
      <c r="RB149">
        <v>299000</v>
      </c>
      <c r="RH149">
        <v>395000</v>
      </c>
      <c r="YO149">
        <v>36</v>
      </c>
      <c r="YR149">
        <v>33.799999999999997</v>
      </c>
      <c r="YX149">
        <v>0.41</v>
      </c>
      <c r="AET149">
        <v>122</v>
      </c>
      <c r="AEW149">
        <v>150</v>
      </c>
      <c r="AFC149">
        <v>150</v>
      </c>
      <c r="AHC149">
        <v>2.8</v>
      </c>
      <c r="AHF149">
        <v>212</v>
      </c>
      <c r="AHL149">
        <v>2.31</v>
      </c>
      <c r="AIW149" s="50"/>
      <c r="AIX149" s="50"/>
      <c r="AIY149" s="50"/>
      <c r="AIZ149" s="50"/>
      <c r="AJA149" s="50"/>
      <c r="AJB149" s="50"/>
      <c r="AJC149" s="50"/>
      <c r="AJD149" s="50"/>
      <c r="AJE149" s="50"/>
      <c r="AJZ149" s="3">
        <v>70.2624</v>
      </c>
      <c r="ANH149">
        <v>55</v>
      </c>
      <c r="ANI149">
        <v>1</v>
      </c>
      <c r="ANK149">
        <v>27.8</v>
      </c>
      <c r="ANP149">
        <v>1</v>
      </c>
      <c r="AWT149" s="50"/>
      <c r="AWU149" s="50"/>
      <c r="AWV149" s="50"/>
      <c r="AWW149" s="50"/>
      <c r="AWX149" s="50"/>
      <c r="AWY149" s="50"/>
      <c r="AXH149">
        <v>200</v>
      </c>
      <c r="AXI149">
        <v>3</v>
      </c>
      <c r="AXL149">
        <v>1</v>
      </c>
      <c r="AXN149">
        <v>3</v>
      </c>
      <c r="AXO149">
        <v>3</v>
      </c>
      <c r="AXP149">
        <v>1</v>
      </c>
      <c r="AXQ149">
        <v>0</v>
      </c>
      <c r="AYF149">
        <v>500</v>
      </c>
      <c r="AYG149">
        <v>2</v>
      </c>
      <c r="AYJ149">
        <v>1</v>
      </c>
      <c r="AYK149">
        <v>11</v>
      </c>
      <c r="AYL149">
        <v>10</v>
      </c>
      <c r="AYM149">
        <v>0</v>
      </c>
      <c r="AYN149">
        <v>0</v>
      </c>
      <c r="BKN149">
        <v>500</v>
      </c>
      <c r="BKO149">
        <v>3</v>
      </c>
      <c r="BKR149">
        <v>1</v>
      </c>
      <c r="BKS149">
        <v>3</v>
      </c>
      <c r="BKT149">
        <v>3</v>
      </c>
      <c r="BKU149">
        <v>1</v>
      </c>
      <c r="BKV149">
        <v>0</v>
      </c>
      <c r="FWH149">
        <v>1</v>
      </c>
      <c r="FXZ149">
        <v>1</v>
      </c>
      <c r="FYC149">
        <v>1</v>
      </c>
      <c r="GAD149">
        <v>1</v>
      </c>
      <c r="GAG149">
        <v>1</v>
      </c>
      <c r="GKT149">
        <v>1</v>
      </c>
      <c r="GKW149">
        <v>1</v>
      </c>
    </row>
    <row r="150" spans="1:991 1048:1811 2143:3014 3504:4053 4141:5041" x14ac:dyDescent="0.25">
      <c r="A150" s="50">
        <v>2002573</v>
      </c>
      <c r="AQ150">
        <v>4.1512000000000002</v>
      </c>
      <c r="AV150">
        <v>3.9758</v>
      </c>
      <c r="FD150" s="50"/>
      <c r="FE150" s="50">
        <v>877</v>
      </c>
      <c r="FF150" s="50"/>
      <c r="FG150" s="50"/>
      <c r="FH150" s="50"/>
      <c r="FJ150">
        <v>696</v>
      </c>
      <c r="FN150">
        <v>535</v>
      </c>
      <c r="IH150" s="50"/>
      <c r="II150" s="50"/>
      <c r="IJ150" s="50"/>
      <c r="IP150">
        <v>0.67869999999999997</v>
      </c>
      <c r="JY150">
        <v>92</v>
      </c>
      <c r="KW150">
        <v>163</v>
      </c>
      <c r="LT150" s="50"/>
      <c r="LU150" s="50"/>
      <c r="LV150" s="50"/>
      <c r="LW150" s="50"/>
      <c r="LX150" s="50"/>
      <c r="LY150" s="50"/>
      <c r="LZ150" s="50"/>
      <c r="MA150" s="50"/>
      <c r="MB150" s="50"/>
      <c r="MC150" s="50"/>
      <c r="MD150" s="50"/>
      <c r="YV150">
        <v>41</v>
      </c>
      <c r="AFA150">
        <v>136</v>
      </c>
      <c r="AGG150">
        <v>3.9</v>
      </c>
      <c r="AHJ150">
        <v>2.2599999999999998</v>
      </c>
      <c r="AIW150" s="50"/>
      <c r="AIX150" s="50"/>
      <c r="AIY150" s="50"/>
      <c r="AIZ150" s="50"/>
      <c r="AJA150" s="50"/>
      <c r="AJB150" s="50"/>
      <c r="AJC150" s="50"/>
      <c r="AJD150" s="50"/>
      <c r="AJE150" s="50"/>
      <c r="AKG150" s="3">
        <v>104.4928</v>
      </c>
      <c r="ANH150">
        <v>57</v>
      </c>
      <c r="ANJ150">
        <v>1</v>
      </c>
      <c r="ANN150">
        <v>19</v>
      </c>
      <c r="AQM150">
        <v>1</v>
      </c>
      <c r="AQN150">
        <v>1</v>
      </c>
      <c r="ATM150">
        <v>1</v>
      </c>
      <c r="ATW150">
        <v>1</v>
      </c>
      <c r="AVL150">
        <v>1</v>
      </c>
      <c r="AWT150" s="50"/>
      <c r="AWU150" s="50"/>
      <c r="AWV150" s="50"/>
      <c r="AWW150" s="50"/>
      <c r="AWX150" s="50"/>
      <c r="AWY150" s="50"/>
      <c r="AXH150">
        <v>600</v>
      </c>
      <c r="AXI150">
        <v>1</v>
      </c>
      <c r="AXL150">
        <v>1</v>
      </c>
      <c r="AXN150" s="15">
        <v>999</v>
      </c>
      <c r="AXO150">
        <v>999</v>
      </c>
      <c r="AXP150">
        <v>7</v>
      </c>
      <c r="AXQ150">
        <v>0</v>
      </c>
      <c r="EXJ150">
        <v>40</v>
      </c>
      <c r="EXK150">
        <v>1</v>
      </c>
      <c r="EXN150">
        <v>11</v>
      </c>
      <c r="EXO150">
        <v>16</v>
      </c>
      <c r="EXP150">
        <v>9</v>
      </c>
      <c r="EXQ150">
        <v>0</v>
      </c>
      <c r="EXR150">
        <v>6</v>
      </c>
      <c r="FWC150">
        <v>1</v>
      </c>
      <c r="FWD150">
        <v>1</v>
      </c>
      <c r="FWJ150">
        <v>1</v>
      </c>
      <c r="GAR150">
        <v>1</v>
      </c>
      <c r="GBI150">
        <v>1</v>
      </c>
      <c r="GBM150">
        <v>1</v>
      </c>
    </row>
    <row r="151" spans="1:991 1048:1811 2143:3014 3504:4053 4141:5041" x14ac:dyDescent="0.25">
      <c r="A151" s="50">
        <v>2003539</v>
      </c>
      <c r="AQ151">
        <v>1.1000000000000001</v>
      </c>
      <c r="FD151" s="50"/>
      <c r="FE151" s="50"/>
      <c r="FF151" s="50"/>
      <c r="FG151" s="50"/>
      <c r="FH151" s="50"/>
      <c r="IH151" s="50"/>
      <c r="II151" s="50"/>
      <c r="IJ151" s="50"/>
      <c r="LT151" s="50"/>
      <c r="LU151" s="50"/>
      <c r="LV151" s="50"/>
      <c r="LW151" s="50"/>
      <c r="LX151" s="50"/>
      <c r="LY151" s="50"/>
      <c r="LZ151" s="50"/>
      <c r="MA151" s="50"/>
      <c r="MB151" s="50"/>
      <c r="MC151" s="50"/>
      <c r="MD151" s="50"/>
      <c r="AIW151" s="50"/>
      <c r="AIX151" s="50"/>
      <c r="AIY151" s="50"/>
      <c r="AIZ151" s="50"/>
      <c r="AJA151" s="50"/>
      <c r="AJB151" s="50"/>
      <c r="AJC151" s="50"/>
      <c r="AJD151" s="50"/>
      <c r="AJE151" s="50"/>
      <c r="ANH151">
        <v>62</v>
      </c>
      <c r="ANJ151">
        <v>1</v>
      </c>
      <c r="ANK151">
        <v>24.6</v>
      </c>
      <c r="AWT151" s="50"/>
      <c r="AWU151" s="50"/>
      <c r="AWV151" s="50"/>
      <c r="AWW151" s="50"/>
      <c r="AWX151" s="50"/>
      <c r="AWY151" s="50"/>
      <c r="AXH151">
        <v>400</v>
      </c>
      <c r="AXI151">
        <v>3</v>
      </c>
      <c r="AXL151">
        <v>1</v>
      </c>
      <c r="AXN151">
        <v>7</v>
      </c>
      <c r="AXO151">
        <v>7</v>
      </c>
      <c r="AXP151">
        <v>1</v>
      </c>
      <c r="AXQ151">
        <v>0</v>
      </c>
      <c r="FEN151">
        <v>2</v>
      </c>
      <c r="FER151">
        <v>1</v>
      </c>
      <c r="FES151">
        <v>7</v>
      </c>
      <c r="FET151">
        <v>7</v>
      </c>
      <c r="FEU151">
        <v>1</v>
      </c>
      <c r="FEV151">
        <v>0</v>
      </c>
      <c r="GAD151">
        <v>1</v>
      </c>
      <c r="GIP151">
        <v>1</v>
      </c>
    </row>
    <row r="152" spans="1:991 1048:1811 2143:3014 3504:4053 4141:5041" x14ac:dyDescent="0.25">
      <c r="A152" s="50">
        <v>2003649</v>
      </c>
      <c r="EP152">
        <v>396.6</v>
      </c>
      <c r="EX152" s="3">
        <v>502.8</v>
      </c>
      <c r="FD152" s="50"/>
      <c r="FE152" s="50">
        <v>516</v>
      </c>
      <c r="FF152" s="50"/>
      <c r="FG152" s="50"/>
      <c r="FH152" s="50"/>
      <c r="FJ152">
        <v>379.8</v>
      </c>
      <c r="GR152">
        <v>516.6</v>
      </c>
      <c r="IH152" s="50"/>
      <c r="II152" s="50"/>
      <c r="IJ152" s="50"/>
      <c r="LT152" s="50"/>
      <c r="LU152" s="50"/>
      <c r="LV152" s="50"/>
      <c r="LW152" s="50"/>
      <c r="LX152" s="50"/>
      <c r="LY152" s="50"/>
      <c r="LZ152" s="50"/>
      <c r="MA152" s="50"/>
      <c r="MB152" s="50"/>
      <c r="MC152" s="50"/>
      <c r="MD152" s="50"/>
      <c r="AIW152" s="50"/>
      <c r="AIX152" s="50"/>
      <c r="AIY152" s="50"/>
      <c r="AIZ152" s="50"/>
      <c r="AJA152" s="50"/>
      <c r="AJB152" s="50"/>
      <c r="AJC152" s="50"/>
      <c r="AJD152" s="50"/>
      <c r="AJE152" s="50"/>
      <c r="ANH152">
        <v>48</v>
      </c>
      <c r="ANI152">
        <v>1</v>
      </c>
      <c r="ANK152">
        <v>24</v>
      </c>
      <c r="ANM152">
        <v>1</v>
      </c>
      <c r="ANO152">
        <v>1</v>
      </c>
      <c r="ANP152">
        <v>1</v>
      </c>
      <c r="APW152">
        <v>1</v>
      </c>
      <c r="ASK152">
        <v>1</v>
      </c>
      <c r="ATO152">
        <v>1</v>
      </c>
      <c r="AVS152">
        <v>1</v>
      </c>
      <c r="AWT152" s="50"/>
      <c r="AWU152" s="50"/>
      <c r="AWV152" s="50"/>
      <c r="AWW152" s="50"/>
      <c r="AWX152" s="50"/>
      <c r="AWY152" s="50"/>
      <c r="AXH152">
        <v>600</v>
      </c>
      <c r="AXI152">
        <v>2</v>
      </c>
      <c r="AXL152">
        <v>1</v>
      </c>
      <c r="AXN152">
        <v>336</v>
      </c>
      <c r="AXO152">
        <v>335</v>
      </c>
      <c r="AXP152">
        <v>0</v>
      </c>
      <c r="AXQ152">
        <v>1</v>
      </c>
      <c r="CDK152">
        <v>100</v>
      </c>
      <c r="CDL152">
        <v>1</v>
      </c>
      <c r="CDO152">
        <v>1</v>
      </c>
      <c r="CDP152" s="35">
        <v>999</v>
      </c>
      <c r="CDQ152">
        <v>335</v>
      </c>
      <c r="CDR152">
        <v>0</v>
      </c>
      <c r="CDS152">
        <v>999</v>
      </c>
      <c r="CZD152">
        <v>20</v>
      </c>
      <c r="CZE152">
        <v>1</v>
      </c>
      <c r="CZH152">
        <v>1</v>
      </c>
      <c r="CZI152">
        <v>336</v>
      </c>
      <c r="CZJ152">
        <v>335</v>
      </c>
      <c r="CZK152">
        <v>0</v>
      </c>
      <c r="CZL152">
        <v>0</v>
      </c>
      <c r="ETM152">
        <v>50</v>
      </c>
      <c r="ETN152">
        <v>1</v>
      </c>
      <c r="ETQ152">
        <v>1</v>
      </c>
      <c r="ETR152">
        <v>336</v>
      </c>
      <c r="ETS152">
        <v>335</v>
      </c>
      <c r="ETT152">
        <v>0</v>
      </c>
      <c r="ETU152">
        <v>8</v>
      </c>
      <c r="GAE152">
        <v>1</v>
      </c>
      <c r="GAR152">
        <v>1</v>
      </c>
    </row>
    <row r="153" spans="1:991 1048:1811 2143:3014 3504:4053 4141:5041" x14ac:dyDescent="0.25">
      <c r="A153" s="50">
        <v>2005572</v>
      </c>
      <c r="AJ153" s="3">
        <v>2.8064</v>
      </c>
      <c r="FC153">
        <v>173</v>
      </c>
      <c r="FD153" s="50"/>
      <c r="FE153" s="50"/>
      <c r="FF153" s="50"/>
      <c r="FG153" s="50"/>
      <c r="FH153" s="50"/>
      <c r="IH153" s="50"/>
      <c r="II153" s="57">
        <v>0.81330000000000002</v>
      </c>
      <c r="IJ153" s="50"/>
      <c r="IN153" s="3">
        <v>0.64590000000000003</v>
      </c>
      <c r="LT153" s="50"/>
      <c r="LU153" s="50"/>
      <c r="LV153" s="50"/>
      <c r="LW153" s="50"/>
      <c r="LX153" s="50"/>
      <c r="LY153" s="50"/>
      <c r="LZ153" s="50"/>
      <c r="MA153" s="50"/>
      <c r="MB153" s="50">
        <v>7.9</v>
      </c>
      <c r="MC153" s="50"/>
      <c r="MD153" s="50"/>
      <c r="MG153">
        <v>3.1</v>
      </c>
      <c r="NO153" s="3">
        <v>29.184999999999999</v>
      </c>
      <c r="QY153">
        <v>245000</v>
      </c>
      <c r="RA153">
        <v>235000</v>
      </c>
      <c r="RD153">
        <v>237000</v>
      </c>
      <c r="YO153">
        <v>42</v>
      </c>
      <c r="YQ153">
        <v>44</v>
      </c>
      <c r="YT153">
        <v>43</v>
      </c>
      <c r="AET153">
        <v>138</v>
      </c>
      <c r="AEV153">
        <v>138</v>
      </c>
      <c r="AEY153">
        <v>138</v>
      </c>
      <c r="AFZ153">
        <v>3.5</v>
      </c>
      <c r="AGB153">
        <v>3.8</v>
      </c>
      <c r="AGE153">
        <v>3.8</v>
      </c>
      <c r="AHC153">
        <v>2.31</v>
      </c>
      <c r="AHE153">
        <v>2.41</v>
      </c>
      <c r="AHH153">
        <v>2.31</v>
      </c>
      <c r="AIW153" s="50"/>
      <c r="AIX153" s="50"/>
      <c r="AIY153" s="50"/>
      <c r="AIZ153" s="50"/>
      <c r="AJA153" s="50"/>
      <c r="AJB153" s="50"/>
      <c r="AJC153" s="50"/>
      <c r="AJD153" s="50"/>
      <c r="AJE153" s="50"/>
      <c r="ANH153">
        <v>22</v>
      </c>
      <c r="ANJ153">
        <v>1</v>
      </c>
      <c r="ANK153">
        <v>19.2</v>
      </c>
      <c r="ANM153">
        <v>1</v>
      </c>
      <c r="ANN153">
        <v>6</v>
      </c>
      <c r="AOE153">
        <v>1</v>
      </c>
      <c r="APC153">
        <v>1</v>
      </c>
      <c r="AWT153" s="50"/>
      <c r="AWU153" s="50"/>
      <c r="AWV153" s="50"/>
      <c r="AWW153" s="50"/>
      <c r="AWX153" s="50"/>
      <c r="AWY153" s="50"/>
      <c r="AXH153">
        <v>400</v>
      </c>
      <c r="AXI153">
        <v>2</v>
      </c>
      <c r="AXL153">
        <v>1</v>
      </c>
      <c r="AXN153">
        <v>7</v>
      </c>
      <c r="AXO153">
        <v>13</v>
      </c>
      <c r="AXP153">
        <v>7</v>
      </c>
      <c r="AXQ153">
        <v>0</v>
      </c>
      <c r="AYF153">
        <v>500</v>
      </c>
      <c r="AYG153">
        <v>2</v>
      </c>
      <c r="AYJ153">
        <v>1</v>
      </c>
      <c r="AYK153">
        <v>7</v>
      </c>
      <c r="AYL153">
        <v>13</v>
      </c>
      <c r="AYM153">
        <v>7</v>
      </c>
      <c r="AYN153">
        <v>0</v>
      </c>
      <c r="EDT153">
        <v>25</v>
      </c>
      <c r="EDU153">
        <v>3</v>
      </c>
      <c r="EDX153">
        <v>1</v>
      </c>
      <c r="EDY153">
        <v>7</v>
      </c>
      <c r="EDZ153">
        <v>13</v>
      </c>
      <c r="EEA153">
        <v>7</v>
      </c>
      <c r="EEB153">
        <v>0</v>
      </c>
      <c r="FVS153">
        <v>1</v>
      </c>
      <c r="FWA153">
        <v>1</v>
      </c>
      <c r="FWD153">
        <v>1</v>
      </c>
      <c r="FXG153">
        <v>1</v>
      </c>
      <c r="FZZ153">
        <v>1</v>
      </c>
    </row>
    <row r="154" spans="1:991 1048:1811 2143:3014 3504:4053 4141:5041" x14ac:dyDescent="0.25">
      <c r="A154" s="50">
        <v>2013117</v>
      </c>
      <c r="EW154">
        <v>277</v>
      </c>
      <c r="FD154" s="50"/>
      <c r="FE154" s="50"/>
      <c r="FF154" s="50"/>
      <c r="FG154" s="50"/>
      <c r="FH154" s="50"/>
      <c r="IH154" s="50"/>
      <c r="II154" s="50"/>
      <c r="IJ154" s="50"/>
      <c r="LT154" s="50"/>
      <c r="LU154" s="50"/>
      <c r="LV154" s="50"/>
      <c r="LW154" s="50"/>
      <c r="LX154" s="50"/>
      <c r="LY154" s="50"/>
      <c r="LZ154" s="50"/>
      <c r="MA154" s="50"/>
      <c r="MB154" s="50"/>
      <c r="MC154" s="50"/>
      <c r="MD154" s="50"/>
      <c r="AIW154" s="50"/>
      <c r="AIX154" s="50"/>
      <c r="AIY154" s="50"/>
      <c r="AIZ154" s="50"/>
      <c r="AJA154" s="50"/>
      <c r="AJB154" s="50"/>
      <c r="AJC154" s="50"/>
      <c r="AJD154" s="50"/>
      <c r="AJE154" s="50"/>
      <c r="ANH154">
        <v>63</v>
      </c>
      <c r="ANJ154">
        <v>1</v>
      </c>
      <c r="ANK154">
        <v>29.41</v>
      </c>
      <c r="ANN154">
        <v>30</v>
      </c>
      <c r="AOG154">
        <v>1</v>
      </c>
      <c r="APU154">
        <v>1</v>
      </c>
      <c r="ATO154">
        <v>1</v>
      </c>
      <c r="ATP154">
        <v>1</v>
      </c>
      <c r="AWT154" s="50"/>
      <c r="AWU154" s="50"/>
      <c r="AWV154" s="50"/>
      <c r="AWW154" s="50"/>
      <c r="AWX154" s="50"/>
      <c r="AWY154" s="50"/>
      <c r="AXH154">
        <v>600</v>
      </c>
      <c r="AXI154">
        <v>1</v>
      </c>
      <c r="AXL154">
        <v>1</v>
      </c>
      <c r="AXN154">
        <v>92</v>
      </c>
      <c r="FCG154">
        <v>1</v>
      </c>
      <c r="FUM154">
        <v>1</v>
      </c>
      <c r="GAD154">
        <v>1</v>
      </c>
    </row>
    <row r="155" spans="1:991 1048:1811 2143:3014 3504:4053 4141:5041" x14ac:dyDescent="0.25">
      <c r="A155" s="50">
        <v>3009633</v>
      </c>
      <c r="BD155" s="3">
        <v>1.6897</v>
      </c>
      <c r="BE155" s="3"/>
      <c r="BF155" s="3">
        <v>1.6136999999999999</v>
      </c>
      <c r="BG155" s="3"/>
      <c r="CX155" s="3">
        <v>5.4842000000000004</v>
      </c>
      <c r="CY155" s="3"/>
      <c r="CZ155" s="3"/>
      <c r="DA155" s="3"/>
      <c r="DB155" s="3">
        <v>5.4842000000000004</v>
      </c>
      <c r="DC155" s="3">
        <v>0.63139999999999996</v>
      </c>
      <c r="DD155" s="3">
        <v>0.57879999999999998</v>
      </c>
      <c r="DE155" s="3"/>
      <c r="FD155" s="50"/>
      <c r="FE155" s="50"/>
      <c r="FF155" s="50"/>
      <c r="FG155" s="50"/>
      <c r="FH155" s="50"/>
      <c r="FL155">
        <v>751.8</v>
      </c>
      <c r="FP155">
        <v>524.4</v>
      </c>
      <c r="FR155">
        <v>433.8</v>
      </c>
      <c r="FT155">
        <v>433.2</v>
      </c>
      <c r="IH155" s="50"/>
      <c r="II155" s="50"/>
      <c r="IJ155" s="50"/>
      <c r="IW155">
        <v>0.85519999999999996</v>
      </c>
      <c r="LT155" s="50"/>
      <c r="LU155" s="50"/>
      <c r="LV155" s="50"/>
      <c r="LW155" s="50"/>
      <c r="LX155" s="50"/>
      <c r="LY155" s="50"/>
      <c r="LZ155" s="50"/>
      <c r="MA155" s="50"/>
      <c r="MB155" s="50"/>
      <c r="MC155" s="50"/>
      <c r="MD155" s="50"/>
      <c r="RM155">
        <v>328000</v>
      </c>
      <c r="RP155">
        <v>272000</v>
      </c>
      <c r="RR155">
        <v>275000</v>
      </c>
      <c r="ZB155">
        <v>44</v>
      </c>
      <c r="ZE155">
        <v>45</v>
      </c>
      <c r="ZG155">
        <v>43</v>
      </c>
      <c r="AAR155">
        <v>91.6</v>
      </c>
      <c r="AAT155">
        <v>89.8</v>
      </c>
      <c r="AAU155">
        <v>90.4</v>
      </c>
      <c r="AFH155">
        <v>141</v>
      </c>
      <c r="AGN155">
        <v>4.08</v>
      </c>
      <c r="AHN155">
        <v>2.31</v>
      </c>
      <c r="AIW155" s="50"/>
      <c r="AIX155" s="50"/>
      <c r="AIY155" s="50"/>
      <c r="AIZ155" s="50"/>
      <c r="AJA155" s="50"/>
      <c r="AJB155" s="50"/>
      <c r="AJC155" s="50"/>
      <c r="AJD155" s="50"/>
      <c r="AJE155" s="50"/>
      <c r="ANH155">
        <v>67</v>
      </c>
      <c r="ANJ155">
        <v>1</v>
      </c>
      <c r="ANK155">
        <v>33.200000000000003</v>
      </c>
      <c r="ANN155">
        <v>23</v>
      </c>
      <c r="AQJ155">
        <v>1</v>
      </c>
      <c r="ATR155">
        <v>1</v>
      </c>
      <c r="AWT155" s="50"/>
      <c r="AWU155" s="50"/>
      <c r="AWV155" s="50"/>
      <c r="AWW155" s="50"/>
      <c r="AWX155" s="50"/>
      <c r="AWY155" s="50"/>
      <c r="AXH155">
        <v>600</v>
      </c>
      <c r="AXI155">
        <v>3</v>
      </c>
      <c r="AXL155">
        <v>1</v>
      </c>
      <c r="AXN155">
        <v>7</v>
      </c>
      <c r="AXO155">
        <v>7</v>
      </c>
      <c r="AXP155">
        <v>1</v>
      </c>
      <c r="AXQ155">
        <v>0</v>
      </c>
      <c r="EWZ155" s="50"/>
      <c r="EXA155">
        <v>1</v>
      </c>
      <c r="EXD155">
        <v>1</v>
      </c>
      <c r="EXE155" s="35">
        <v>999</v>
      </c>
      <c r="EXF155">
        <v>999</v>
      </c>
      <c r="EXG155">
        <v>0</v>
      </c>
      <c r="EXH155">
        <v>999</v>
      </c>
      <c r="FVX155">
        <v>1</v>
      </c>
      <c r="FWC155">
        <v>1</v>
      </c>
      <c r="FWG155">
        <v>1</v>
      </c>
      <c r="FXG155">
        <v>1</v>
      </c>
      <c r="GAE155">
        <v>1</v>
      </c>
      <c r="GBI155">
        <v>1</v>
      </c>
    </row>
    <row r="156" spans="1:991 1048:1811 2143:3014 3504:4053 4141:5041" x14ac:dyDescent="0.25">
      <c r="A156" s="50">
        <v>3010583</v>
      </c>
      <c r="AI156" s="14">
        <v>1.3</v>
      </c>
      <c r="AJ156">
        <v>1.68</v>
      </c>
      <c r="BL156">
        <v>1.68</v>
      </c>
      <c r="EW156" s="14">
        <v>148</v>
      </c>
      <c r="FD156" s="50"/>
      <c r="FE156" s="50"/>
      <c r="FF156" s="50"/>
      <c r="FG156" s="50"/>
      <c r="FH156" s="50"/>
      <c r="IH156" s="50"/>
      <c r="II156" s="50"/>
      <c r="IJ156" s="50"/>
      <c r="JS156">
        <v>22</v>
      </c>
      <c r="LT156" s="50"/>
      <c r="LU156" s="50"/>
      <c r="LV156" s="50"/>
      <c r="LW156" s="50"/>
      <c r="LX156" s="50"/>
      <c r="LY156" s="50"/>
      <c r="LZ156" s="50"/>
      <c r="MA156" s="50"/>
      <c r="MB156" s="50">
        <v>36</v>
      </c>
      <c r="MC156" s="50"/>
      <c r="MD156" s="50"/>
      <c r="SW156">
        <v>11.5</v>
      </c>
      <c r="TM156">
        <v>2</v>
      </c>
      <c r="UJ156">
        <v>61</v>
      </c>
      <c r="AIW156" s="50"/>
      <c r="AIX156" s="50"/>
      <c r="AIY156" s="50"/>
      <c r="AIZ156" s="50"/>
      <c r="AJA156" s="50"/>
      <c r="AJB156" s="50"/>
      <c r="AJC156" s="50"/>
      <c r="AJD156" s="50"/>
      <c r="AJE156" s="50"/>
      <c r="ANH156">
        <v>36</v>
      </c>
      <c r="ANI156">
        <v>1</v>
      </c>
      <c r="ANK156">
        <v>27.8</v>
      </c>
      <c r="ASQ156">
        <v>1</v>
      </c>
      <c r="ATA156">
        <v>1</v>
      </c>
      <c r="AWT156" s="50"/>
      <c r="AWU156" s="50"/>
      <c r="AWV156" s="50"/>
      <c r="AWW156" s="50"/>
      <c r="AWX156" s="50"/>
      <c r="AWY156" s="50"/>
      <c r="AXH156">
        <v>1200</v>
      </c>
      <c r="AXI156">
        <v>1</v>
      </c>
      <c r="AXL156">
        <v>1</v>
      </c>
      <c r="AXN156">
        <v>3</v>
      </c>
      <c r="AXO156">
        <v>2</v>
      </c>
      <c r="AXP156">
        <v>0</v>
      </c>
      <c r="AXQ156">
        <v>0</v>
      </c>
      <c r="BQI156">
        <v>800</v>
      </c>
      <c r="BQJ156">
        <v>1</v>
      </c>
      <c r="BQM156">
        <v>1</v>
      </c>
      <c r="BQN156">
        <v>3</v>
      </c>
      <c r="BQO156">
        <v>2</v>
      </c>
      <c r="BQP156">
        <v>0</v>
      </c>
      <c r="BQQ156">
        <v>0</v>
      </c>
      <c r="FVC156">
        <v>1</v>
      </c>
      <c r="FWC156">
        <v>1</v>
      </c>
      <c r="FXH156">
        <v>1</v>
      </c>
      <c r="FXS156">
        <v>1</v>
      </c>
      <c r="GAD156">
        <v>1</v>
      </c>
      <c r="GAR156">
        <v>1</v>
      </c>
    </row>
    <row r="157" spans="1:991 1048:1811 2143:3014 3504:4053 4141:5041" x14ac:dyDescent="0.25">
      <c r="A157" s="23">
        <v>3011892</v>
      </c>
      <c r="AS157" s="3">
        <v>21.866700000000002</v>
      </c>
      <c r="BB157" s="3">
        <v>6.7237</v>
      </c>
      <c r="BG157" s="3">
        <v>3.6133000000000002</v>
      </c>
      <c r="CZ157" s="3">
        <v>13.330500000000001</v>
      </c>
      <c r="DA157" s="3"/>
      <c r="DB157" s="3">
        <v>3.5255999999999998</v>
      </c>
      <c r="DE157" s="3">
        <v>2.0171000000000001</v>
      </c>
      <c r="FD157" s="50"/>
      <c r="FE157" s="50"/>
      <c r="FF157" s="50"/>
      <c r="FG157" s="50">
        <v>871</v>
      </c>
      <c r="FH157" s="50"/>
      <c r="FU157">
        <v>598</v>
      </c>
      <c r="IH157" s="50"/>
      <c r="II157" s="50"/>
      <c r="IJ157" s="50"/>
      <c r="IR157">
        <v>0.74890000000000001</v>
      </c>
      <c r="LT157" s="50"/>
      <c r="LU157" s="50"/>
      <c r="LV157" s="50"/>
      <c r="LW157" s="50"/>
      <c r="LX157" s="50"/>
      <c r="LY157" s="50"/>
      <c r="LZ157" s="50"/>
      <c r="MA157" s="50"/>
      <c r="MB157" s="50"/>
      <c r="MC157" s="50"/>
      <c r="MD157" s="50"/>
      <c r="MK157">
        <v>13.1</v>
      </c>
      <c r="MW157">
        <v>1.58</v>
      </c>
      <c r="NV157" s="3">
        <v>45.247999999999998</v>
      </c>
      <c r="OV157" s="3">
        <v>1.7081</v>
      </c>
      <c r="RQ157">
        <v>188000</v>
      </c>
      <c r="RS157">
        <v>195000</v>
      </c>
      <c r="YX157">
        <v>42</v>
      </c>
      <c r="AFC157">
        <v>142</v>
      </c>
      <c r="AGI157">
        <v>3.7</v>
      </c>
      <c r="AHL157">
        <v>2.4</v>
      </c>
      <c r="AIN157" s="3">
        <v>351.26510000000002</v>
      </c>
      <c r="AIW157" s="50"/>
      <c r="AIX157" s="50"/>
      <c r="AIY157" s="50"/>
      <c r="AIZ157" s="50"/>
      <c r="AJA157" s="50">
        <v>12989</v>
      </c>
      <c r="AJB157" s="50"/>
      <c r="AJC157" s="50">
        <v>2022</v>
      </c>
      <c r="AJD157" s="50"/>
      <c r="AJE157" s="50"/>
      <c r="AKI157" s="3">
        <v>81.072000000000003</v>
      </c>
      <c r="ANH157">
        <v>48</v>
      </c>
      <c r="ANJ157">
        <v>1</v>
      </c>
      <c r="ANK157">
        <v>24.2</v>
      </c>
      <c r="ANM157">
        <v>1</v>
      </c>
      <c r="ANN157">
        <v>25</v>
      </c>
      <c r="ANP157">
        <v>1</v>
      </c>
      <c r="ASK157">
        <v>1</v>
      </c>
      <c r="ATS157">
        <v>1</v>
      </c>
      <c r="AUG157">
        <v>1</v>
      </c>
      <c r="AWT157" s="50"/>
      <c r="AWU157" s="50"/>
      <c r="AWV157" s="50"/>
      <c r="AWW157" s="50"/>
      <c r="AWX157" s="50"/>
      <c r="AWY157" s="50"/>
      <c r="AXH157">
        <v>800</v>
      </c>
      <c r="AXI157">
        <v>0.1429</v>
      </c>
      <c r="AXL157">
        <v>1</v>
      </c>
      <c r="AXN157">
        <v>999</v>
      </c>
      <c r="AXO157">
        <v>999</v>
      </c>
      <c r="AXP157">
        <v>0</v>
      </c>
      <c r="AXQ157">
        <v>9</v>
      </c>
      <c r="DHX157">
        <v>0.14000000000000001</v>
      </c>
      <c r="DIA157">
        <v>1</v>
      </c>
      <c r="DIB157">
        <v>999</v>
      </c>
      <c r="DIC157">
        <v>999</v>
      </c>
      <c r="DKP157">
        <v>20</v>
      </c>
      <c r="DKQ157">
        <v>1</v>
      </c>
      <c r="DKT157">
        <v>1</v>
      </c>
      <c r="DKU157">
        <v>999</v>
      </c>
      <c r="DKV157">
        <v>999</v>
      </c>
      <c r="DKW157">
        <v>0</v>
      </c>
      <c r="DKX157">
        <v>8</v>
      </c>
      <c r="ESN157">
        <v>1</v>
      </c>
      <c r="ESO157">
        <v>1</v>
      </c>
      <c r="ESP157" s="35">
        <v>999</v>
      </c>
      <c r="ESQ157">
        <v>999</v>
      </c>
      <c r="ESR157">
        <v>0</v>
      </c>
      <c r="ESS157">
        <v>999</v>
      </c>
      <c r="ETF157">
        <v>1</v>
      </c>
      <c r="ETG157">
        <v>1</v>
      </c>
      <c r="ETH157" s="35">
        <v>999</v>
      </c>
      <c r="ETI157">
        <v>999</v>
      </c>
      <c r="ETJ157">
        <v>0</v>
      </c>
      <c r="ETK157">
        <v>999</v>
      </c>
      <c r="ETM157">
        <v>10</v>
      </c>
      <c r="ETN157">
        <v>3</v>
      </c>
      <c r="ETQ157">
        <v>1</v>
      </c>
      <c r="ETR157">
        <v>123</v>
      </c>
      <c r="ETS157">
        <v>123</v>
      </c>
      <c r="ETT157">
        <v>1</v>
      </c>
      <c r="ETU157">
        <v>0</v>
      </c>
      <c r="FSJ157">
        <v>1</v>
      </c>
      <c r="FSM157">
        <v>1</v>
      </c>
      <c r="FSN157" s="35">
        <v>999</v>
      </c>
      <c r="FSO157">
        <v>999</v>
      </c>
      <c r="FSP157">
        <v>0</v>
      </c>
      <c r="FSQ157">
        <v>999</v>
      </c>
      <c r="FUK157">
        <v>1</v>
      </c>
      <c r="FUX157">
        <v>1</v>
      </c>
      <c r="FVX157">
        <v>1</v>
      </c>
      <c r="FVY157">
        <v>1</v>
      </c>
      <c r="GAD157">
        <v>1</v>
      </c>
      <c r="GAE157">
        <v>1</v>
      </c>
      <c r="GAR157">
        <v>1</v>
      </c>
      <c r="GBI157">
        <v>1</v>
      </c>
    </row>
    <row r="158" spans="1:991 1048:1811 2143:3014 3504:4053 4141:5041" x14ac:dyDescent="0.25">
      <c r="A158">
        <v>4001382</v>
      </c>
      <c r="AX158" s="14" t="s">
        <v>2515</v>
      </c>
      <c r="AY158" s="14">
        <v>11.7</v>
      </c>
      <c r="CX158" s="14">
        <v>3.15</v>
      </c>
      <c r="CY158" s="14">
        <v>3.5666660000000001</v>
      </c>
      <c r="DY158" s="14">
        <v>4.6500000000000004</v>
      </c>
      <c r="DZ158" s="14">
        <v>5.4</v>
      </c>
      <c r="FD158" s="50"/>
      <c r="FE158" s="50"/>
      <c r="FF158" s="50"/>
      <c r="FG158" s="50"/>
      <c r="FH158" s="50"/>
      <c r="FL158" s="14">
        <v>130.5</v>
      </c>
      <c r="FM158" s="14">
        <v>168</v>
      </c>
      <c r="IH158" s="50"/>
      <c r="II158" s="50"/>
      <c r="IJ158" s="50"/>
      <c r="KD158" s="14">
        <v>203.5</v>
      </c>
      <c r="KE158" s="14">
        <v>609.5</v>
      </c>
      <c r="LD158" s="14">
        <v>1618.5</v>
      </c>
      <c r="LT158" s="50"/>
      <c r="LU158" s="50"/>
      <c r="LV158" s="50"/>
      <c r="LW158" s="50"/>
      <c r="LX158" s="50"/>
      <c r="LY158" s="50"/>
      <c r="LZ158" s="50"/>
      <c r="MA158" s="50"/>
      <c r="MB158" s="50"/>
      <c r="MC158" s="50"/>
      <c r="MD158" s="50"/>
      <c r="MP158" s="14">
        <v>6.5</v>
      </c>
      <c r="MQ158" s="14">
        <v>28</v>
      </c>
      <c r="NZ158" s="14">
        <v>5.5</v>
      </c>
      <c r="OA158" s="14">
        <v>9.6666000000000007</v>
      </c>
      <c r="OX158" s="14">
        <v>3.15</v>
      </c>
      <c r="OY158" s="14">
        <v>3.1</v>
      </c>
      <c r="VS158">
        <v>26</v>
      </c>
      <c r="AIQ158" s="14">
        <v>201.5</v>
      </c>
      <c r="AIW158" s="50"/>
      <c r="AIX158" s="50"/>
      <c r="AIY158" s="50"/>
      <c r="AIZ158" s="50"/>
      <c r="AJA158" s="50"/>
      <c r="AJB158" s="50"/>
      <c r="AJC158" s="50"/>
      <c r="AJD158" s="50"/>
      <c r="AJE158" s="50"/>
      <c r="ANH158">
        <v>26</v>
      </c>
      <c r="ANJ158">
        <v>1</v>
      </c>
      <c r="ANK158">
        <v>31.1</v>
      </c>
      <c r="ANL158">
        <v>1</v>
      </c>
      <c r="ANN158">
        <v>13</v>
      </c>
      <c r="AWT158" s="50"/>
      <c r="AWU158" s="50"/>
      <c r="AWV158" s="50"/>
      <c r="AWW158" s="50"/>
      <c r="AWX158" s="50"/>
      <c r="AWY158" s="50"/>
      <c r="AXH158">
        <v>800</v>
      </c>
      <c r="AXI158">
        <v>2</v>
      </c>
      <c r="AXN158">
        <v>3</v>
      </c>
      <c r="AZL158">
        <v>40</v>
      </c>
      <c r="AZM158">
        <v>3</v>
      </c>
      <c r="AZP158">
        <v>1</v>
      </c>
      <c r="AZQ158">
        <v>4</v>
      </c>
      <c r="BBA158">
        <v>50</v>
      </c>
      <c r="BBB158">
        <v>1</v>
      </c>
      <c r="BBE158">
        <v>1</v>
      </c>
      <c r="BBF158">
        <v>3</v>
      </c>
      <c r="EEO158">
        <v>2</v>
      </c>
      <c r="EER158">
        <v>1</v>
      </c>
      <c r="EES158">
        <v>3</v>
      </c>
      <c r="FYA158">
        <v>1</v>
      </c>
      <c r="FZA158">
        <v>1</v>
      </c>
      <c r="GAA158">
        <v>1</v>
      </c>
      <c r="GBD158">
        <v>1</v>
      </c>
    </row>
    <row r="159" spans="1:991 1048:1811 2143:3014 3504:4053 4141:5041" x14ac:dyDescent="0.25">
      <c r="A159" s="50">
        <v>5018675</v>
      </c>
      <c r="AH159" s="50"/>
      <c r="AI159" s="50"/>
      <c r="AJ159" s="50"/>
      <c r="AK159" s="50"/>
      <c r="AL159" s="50"/>
      <c r="AM159" s="50"/>
      <c r="AN159" s="50"/>
      <c r="AO159" s="50"/>
      <c r="AP159" s="50">
        <v>13.74</v>
      </c>
      <c r="AQ159" s="50"/>
      <c r="AR159" s="50"/>
      <c r="AS159" s="50"/>
      <c r="AT159" s="50"/>
      <c r="AU159" s="50"/>
      <c r="FD159" s="50">
        <v>251</v>
      </c>
      <c r="FE159" s="50"/>
      <c r="FF159" s="50"/>
      <c r="FG159" s="50"/>
      <c r="FH159" s="50"/>
      <c r="IH159" s="50"/>
      <c r="II159" s="50"/>
      <c r="IJ159" s="50"/>
      <c r="IO159">
        <v>0.8</v>
      </c>
      <c r="LT159" s="50"/>
      <c r="LU159" s="50"/>
      <c r="LV159" s="50"/>
      <c r="LW159" s="50"/>
      <c r="LX159" s="50"/>
      <c r="LY159" s="50"/>
      <c r="LZ159" s="50"/>
      <c r="MA159" s="50"/>
      <c r="MB159" s="50"/>
      <c r="MC159" s="50"/>
      <c r="MD159" s="50"/>
      <c r="TJ159">
        <v>7</v>
      </c>
      <c r="AIW159" s="50"/>
      <c r="AIX159" s="50"/>
      <c r="AIY159" s="50"/>
      <c r="AIZ159" s="50"/>
      <c r="AJA159" s="50"/>
      <c r="AJB159" s="50"/>
      <c r="AJC159" s="50"/>
      <c r="AJD159" s="50"/>
      <c r="AJE159" s="50"/>
      <c r="ANH159">
        <v>50</v>
      </c>
      <c r="ANJ159">
        <v>1</v>
      </c>
      <c r="ANK159">
        <v>21.83</v>
      </c>
      <c r="ARC159">
        <v>1</v>
      </c>
      <c r="AWT159" s="50"/>
      <c r="AWU159" s="50"/>
      <c r="AWV159" s="50"/>
      <c r="AWW159" s="50"/>
      <c r="AWX159" s="50"/>
      <c r="AWY159" s="50"/>
      <c r="AXH159">
        <v>400</v>
      </c>
      <c r="AXI159">
        <v>3</v>
      </c>
      <c r="AXL159">
        <v>1</v>
      </c>
      <c r="AXN159">
        <v>7</v>
      </c>
      <c r="AXO159">
        <v>2</v>
      </c>
      <c r="AXP159">
        <v>0</v>
      </c>
      <c r="AXQ159">
        <v>4</v>
      </c>
      <c r="AXU159">
        <v>7.1400000000000005E-2</v>
      </c>
      <c r="AXX159">
        <v>1</v>
      </c>
      <c r="AXZ159">
        <v>999</v>
      </c>
      <c r="AYA159">
        <v>999</v>
      </c>
      <c r="AYB159">
        <v>0</v>
      </c>
      <c r="AYC159">
        <v>6</v>
      </c>
      <c r="BNQ159">
        <v>500</v>
      </c>
      <c r="BNR159">
        <v>2</v>
      </c>
      <c r="BNU159">
        <v>1</v>
      </c>
      <c r="BNV159">
        <v>3</v>
      </c>
      <c r="BNW159">
        <v>0</v>
      </c>
      <c r="BNX159">
        <v>0</v>
      </c>
      <c r="BNY159">
        <v>2</v>
      </c>
      <c r="CDU159">
        <v>1</v>
      </c>
      <c r="CDV159">
        <v>1</v>
      </c>
      <c r="CDY159">
        <v>1</v>
      </c>
      <c r="CDZ159">
        <v>92</v>
      </c>
      <c r="CTJ159">
        <v>0.5</v>
      </c>
      <c r="CTK159">
        <v>1</v>
      </c>
      <c r="CTN159">
        <v>1</v>
      </c>
      <c r="CTO159">
        <v>122</v>
      </c>
      <c r="CTQ159">
        <v>0</v>
      </c>
      <c r="CTR159">
        <v>5</v>
      </c>
      <c r="EYO159">
        <v>1</v>
      </c>
      <c r="EYP159">
        <v>1</v>
      </c>
      <c r="EYS159">
        <v>1</v>
      </c>
      <c r="EYT159">
        <v>999</v>
      </c>
      <c r="EYU159">
        <v>999</v>
      </c>
      <c r="EYV159">
        <v>999</v>
      </c>
      <c r="EYW159">
        <v>0</v>
      </c>
      <c r="FUK159">
        <v>1</v>
      </c>
      <c r="FWC159">
        <v>1</v>
      </c>
      <c r="GAD159">
        <v>1</v>
      </c>
      <c r="GAE159">
        <v>1</v>
      </c>
    </row>
    <row r="160" spans="1:991 1048:1811 2143:3014 3504:4053 4141:5041" x14ac:dyDescent="0.25">
      <c r="A160" s="50">
        <v>6050168</v>
      </c>
      <c r="AH160" s="50"/>
      <c r="AI160" s="50"/>
      <c r="AJ160" s="50"/>
      <c r="AK160" s="50"/>
      <c r="AL160" s="50"/>
      <c r="AM160" s="50"/>
      <c r="AN160" s="50"/>
      <c r="AO160" s="50"/>
      <c r="AP160" s="50"/>
      <c r="AQ160" s="50"/>
      <c r="AR160" s="50"/>
      <c r="AS160" s="50"/>
      <c r="AT160" s="50"/>
      <c r="AU160" s="50"/>
      <c r="CM160" s="50">
        <v>50</v>
      </c>
      <c r="EW160" s="50"/>
      <c r="FD160" s="50"/>
      <c r="FE160" s="50"/>
      <c r="FF160" s="50"/>
      <c r="FG160" s="50"/>
      <c r="FH160" s="50"/>
      <c r="IH160" s="50"/>
      <c r="II160" s="50"/>
      <c r="IJ160" s="50"/>
      <c r="LT160" s="50"/>
      <c r="LU160" s="50"/>
      <c r="LV160" s="50"/>
      <c r="LW160" s="50"/>
      <c r="LX160" s="50"/>
      <c r="LY160" s="50"/>
      <c r="LZ160" s="50"/>
      <c r="MA160" s="50"/>
      <c r="MB160" s="50"/>
      <c r="MC160" s="50"/>
      <c r="MD160" s="50"/>
      <c r="SM160">
        <v>26</v>
      </c>
      <c r="AIW160" s="50"/>
      <c r="AIX160" s="50"/>
      <c r="AIY160" s="50"/>
      <c r="AIZ160" s="50"/>
      <c r="AJA160" s="50"/>
      <c r="AJB160" s="50"/>
      <c r="AJC160" s="50"/>
      <c r="AJD160" s="50"/>
      <c r="AJE160" s="50"/>
      <c r="ANH160">
        <v>33</v>
      </c>
      <c r="ANJ160">
        <v>1</v>
      </c>
      <c r="ANN160">
        <v>12</v>
      </c>
      <c r="AXI160">
        <v>2</v>
      </c>
      <c r="AXL160">
        <v>1</v>
      </c>
      <c r="AXN160" s="35">
        <v>999</v>
      </c>
      <c r="AXO160">
        <v>1</v>
      </c>
      <c r="AXP160">
        <v>0</v>
      </c>
      <c r="AXQ160">
        <v>999</v>
      </c>
      <c r="GAD160">
        <v>1</v>
      </c>
    </row>
    <row r="161" spans="1:1013 1048:1976 2075:3004 3269:4093 4099:5076" x14ac:dyDescent="0.25">
      <c r="A161" s="50">
        <v>5006592</v>
      </c>
      <c r="AH161" s="50"/>
      <c r="AI161" s="50"/>
      <c r="AJ161" s="50">
        <v>1.9</v>
      </c>
      <c r="AK161" s="50"/>
      <c r="AL161" s="50"/>
      <c r="AM161" s="50"/>
      <c r="AN161" s="50"/>
      <c r="AO161" s="50"/>
      <c r="AP161" s="50"/>
      <c r="AQ161" s="50"/>
      <c r="AR161" s="50"/>
      <c r="AS161" s="50"/>
      <c r="AT161" s="50"/>
      <c r="AU161" s="50"/>
      <c r="BW161">
        <v>2.5</v>
      </c>
      <c r="CJ161">
        <v>2.4</v>
      </c>
      <c r="EX161">
        <v>89</v>
      </c>
      <c r="FD161" s="50"/>
      <c r="FE161" s="50"/>
      <c r="FF161" s="50"/>
      <c r="FG161" s="50"/>
      <c r="FH161" s="50"/>
      <c r="GL161">
        <v>83</v>
      </c>
      <c r="GY161">
        <v>84</v>
      </c>
      <c r="IH161" s="50"/>
      <c r="II161" s="50"/>
      <c r="IJ161" s="50"/>
      <c r="LT161" s="50"/>
      <c r="LU161" s="50"/>
      <c r="LV161" s="50"/>
      <c r="LW161" s="50"/>
      <c r="LX161" s="50"/>
      <c r="LY161" s="50"/>
      <c r="LZ161" s="50"/>
      <c r="MA161" s="50"/>
      <c r="MB161" s="50"/>
      <c r="MC161" s="50"/>
      <c r="MD161" s="50"/>
      <c r="AIW161" s="50"/>
      <c r="AIX161" s="50"/>
      <c r="AIY161" s="50"/>
      <c r="AIZ161" s="50"/>
      <c r="AJA161" s="50"/>
      <c r="AJB161" s="50"/>
      <c r="AJC161" s="50"/>
      <c r="AJD161" s="50"/>
      <c r="AJE161" s="50"/>
      <c r="ANH161">
        <v>81</v>
      </c>
      <c r="ANI161">
        <v>1</v>
      </c>
      <c r="ANM161">
        <v>1</v>
      </c>
      <c r="AWT161">
        <v>1</v>
      </c>
      <c r="AXG161">
        <v>1</v>
      </c>
      <c r="CIL161" s="50">
        <v>125</v>
      </c>
      <c r="CIM161">
        <v>2</v>
      </c>
      <c r="CIP161">
        <v>1</v>
      </c>
      <c r="CIQ161">
        <v>336</v>
      </c>
      <c r="CIR161">
        <v>305</v>
      </c>
      <c r="CIS161">
        <v>0</v>
      </c>
      <c r="CIT161">
        <v>36</v>
      </c>
      <c r="CPV161">
        <v>1</v>
      </c>
      <c r="CVI161">
        <v>1</v>
      </c>
      <c r="FBR161">
        <v>25</v>
      </c>
      <c r="FBS161">
        <v>1</v>
      </c>
      <c r="FSS161">
        <v>1</v>
      </c>
    </row>
    <row r="162" spans="1:1013 1048:1976 2075:3004 3269:4093 4099:5076" x14ac:dyDescent="0.25">
      <c r="A162" s="50">
        <v>5007274</v>
      </c>
      <c r="AH162" s="50"/>
      <c r="AI162" s="50"/>
      <c r="AJ162" s="50">
        <v>7.6</v>
      </c>
      <c r="AK162" s="50"/>
      <c r="AL162" s="50"/>
      <c r="AM162" s="50"/>
      <c r="AN162" s="50"/>
      <c r="AO162" s="50"/>
      <c r="AP162" s="50"/>
      <c r="AQ162" s="50"/>
      <c r="AR162" s="50"/>
      <c r="AS162" s="50"/>
      <c r="AT162" s="50"/>
      <c r="AU162" s="50"/>
      <c r="AV162">
        <v>12.3</v>
      </c>
      <c r="CM162">
        <v>5.4</v>
      </c>
      <c r="EX162">
        <v>232</v>
      </c>
      <c r="FJ162">
        <v>224</v>
      </c>
      <c r="LT162" s="50"/>
      <c r="LU162" s="50"/>
      <c r="LV162" s="50"/>
      <c r="LW162" s="50"/>
      <c r="LX162" s="50"/>
      <c r="LY162" s="50"/>
      <c r="LZ162" s="50"/>
      <c r="MA162" s="50"/>
      <c r="MB162" s="50"/>
      <c r="MC162" s="50"/>
      <c r="MD162" s="50"/>
      <c r="RK162" s="50"/>
      <c r="VJ162">
        <v>33</v>
      </c>
      <c r="VQ162">
        <v>27</v>
      </c>
      <c r="AIW162" s="50"/>
      <c r="AIX162" s="50"/>
      <c r="AIY162" s="50"/>
      <c r="AIZ162" s="50"/>
      <c r="AJA162" s="50"/>
      <c r="AJB162" s="50"/>
      <c r="AJC162" s="50"/>
      <c r="AJD162" s="50"/>
      <c r="AJE162" s="50"/>
      <c r="ANH162">
        <v>50</v>
      </c>
      <c r="ANJ162">
        <v>1</v>
      </c>
      <c r="ANM162">
        <v>1</v>
      </c>
      <c r="ANO162">
        <v>1</v>
      </c>
      <c r="AXG162">
        <v>1</v>
      </c>
      <c r="BLM162">
        <v>720</v>
      </c>
      <c r="DUS162">
        <v>1</v>
      </c>
      <c r="FBH162">
        <v>500</v>
      </c>
      <c r="FBI162">
        <v>1</v>
      </c>
      <c r="FBL162">
        <v>1</v>
      </c>
      <c r="FBM162">
        <v>153</v>
      </c>
      <c r="FBN162">
        <v>153</v>
      </c>
      <c r="FBO162">
        <v>0</v>
      </c>
      <c r="FBP162">
        <v>0</v>
      </c>
      <c r="FJX162">
        <v>1</v>
      </c>
      <c r="FZC162">
        <v>1</v>
      </c>
      <c r="FZT162">
        <v>1</v>
      </c>
      <c r="GAA162">
        <v>1</v>
      </c>
      <c r="GAB162">
        <v>1</v>
      </c>
      <c r="GAD162">
        <v>1</v>
      </c>
      <c r="GAE162">
        <v>1</v>
      </c>
      <c r="GAR162">
        <v>1</v>
      </c>
      <c r="GBI162">
        <v>1</v>
      </c>
      <c r="GBM162">
        <v>1</v>
      </c>
    </row>
    <row r="163" spans="1:1013 1048:1976 2075:3004 3269:4093 4099:5076" x14ac:dyDescent="0.25">
      <c r="A163" s="50">
        <v>5015851</v>
      </c>
      <c r="AH163" s="50"/>
      <c r="AI163" s="50"/>
      <c r="AJ163" s="50"/>
      <c r="AK163" s="50"/>
      <c r="AL163" s="50"/>
      <c r="AM163" s="50"/>
      <c r="AN163" s="50"/>
      <c r="AO163" s="50"/>
      <c r="AP163" s="50"/>
      <c r="AQ163" s="50"/>
      <c r="AR163" s="50"/>
      <c r="AS163" s="50"/>
      <c r="AT163" s="50"/>
      <c r="AU163" s="50"/>
      <c r="BN163" s="3">
        <v>1.0632999999999999</v>
      </c>
      <c r="BU163" s="3">
        <v>2.9817999999999998</v>
      </c>
      <c r="BV163" s="3"/>
      <c r="CE163">
        <v>0.7016</v>
      </c>
      <c r="CI163">
        <v>0.2923</v>
      </c>
      <c r="DH163">
        <v>0.78510000000000002</v>
      </c>
      <c r="DI163">
        <v>0.39029999999999998</v>
      </c>
      <c r="DL163">
        <v>3.2800000000000003E-2</v>
      </c>
      <c r="EX163" s="14">
        <v>72</v>
      </c>
      <c r="GE163" s="3">
        <v>94.8</v>
      </c>
      <c r="GF163" s="3"/>
      <c r="GG163" s="3"/>
      <c r="GK163">
        <v>80.400000000000006</v>
      </c>
      <c r="GT163">
        <v>51</v>
      </c>
      <c r="GX163">
        <v>53.4</v>
      </c>
      <c r="HP163">
        <v>3960</v>
      </c>
      <c r="HQ163">
        <v>4380</v>
      </c>
      <c r="HS163">
        <v>5760</v>
      </c>
      <c r="HT163">
        <v>5520</v>
      </c>
      <c r="JH163">
        <v>0.75790000000000002</v>
      </c>
      <c r="JJ163" s="3">
        <v>4.2096</v>
      </c>
      <c r="JS163" s="14">
        <v>45</v>
      </c>
      <c r="KQ163">
        <v>29.4</v>
      </c>
      <c r="LT163" s="50"/>
      <c r="LU163" s="50"/>
      <c r="LV163" s="50"/>
      <c r="LW163" s="50"/>
      <c r="LX163" s="50"/>
      <c r="LY163" s="50"/>
      <c r="LZ163" s="50"/>
      <c r="MA163" s="50"/>
      <c r="MB163" s="50"/>
      <c r="MC163" s="50"/>
      <c r="MD163" s="50"/>
      <c r="NA163">
        <v>2</v>
      </c>
      <c r="ND163">
        <v>2</v>
      </c>
      <c r="QY163" s="14">
        <v>9800</v>
      </c>
      <c r="AET163" s="14">
        <v>3.45</v>
      </c>
      <c r="AIR163" s="3">
        <v>16.753499999999999</v>
      </c>
      <c r="AIS163" s="3">
        <v>49.143599999999999</v>
      </c>
      <c r="AIW163" s="50"/>
      <c r="AIX163" s="50"/>
      <c r="AIY163" s="50"/>
      <c r="AIZ163" s="50"/>
      <c r="AJA163" s="50"/>
      <c r="AJB163" s="50"/>
      <c r="AJC163" s="50"/>
      <c r="AJD163" s="50"/>
      <c r="AJE163" s="50"/>
      <c r="AKQ163" s="3">
        <v>120.7072</v>
      </c>
      <c r="AKR163" s="3">
        <v>95.484800000000007</v>
      </c>
      <c r="AKT163" s="3">
        <v>81.072000000000003</v>
      </c>
      <c r="AKU163" s="3"/>
      <c r="AKV163" s="3"/>
      <c r="AKW163" s="3"/>
      <c r="ANH163">
        <v>29</v>
      </c>
      <c r="ANJ163">
        <v>1</v>
      </c>
      <c r="ANM163">
        <v>1</v>
      </c>
      <c r="ANV163">
        <v>1</v>
      </c>
      <c r="AXF163" s="50"/>
      <c r="AXG163" s="50"/>
      <c r="AXH163" s="50"/>
      <c r="AXI163" s="50"/>
      <c r="AXL163">
        <v>1</v>
      </c>
      <c r="AXN163">
        <v>1</v>
      </c>
      <c r="AXO163">
        <v>1</v>
      </c>
      <c r="AXP163">
        <v>1</v>
      </c>
      <c r="AXQ163">
        <v>0</v>
      </c>
      <c r="AZL163">
        <v>4000</v>
      </c>
      <c r="AZM163">
        <v>1</v>
      </c>
      <c r="AZN163">
        <v>1</v>
      </c>
      <c r="AZQ163">
        <v>1</v>
      </c>
      <c r="AZR163">
        <v>0</v>
      </c>
      <c r="AZS163">
        <v>0</v>
      </c>
      <c r="AZT163">
        <v>0</v>
      </c>
      <c r="FRF163">
        <v>1</v>
      </c>
      <c r="FRI163">
        <v>1</v>
      </c>
      <c r="FRJ163">
        <v>0</v>
      </c>
      <c r="FRK163">
        <v>0</v>
      </c>
      <c r="FRL163">
        <v>0</v>
      </c>
      <c r="FZZ163">
        <v>1</v>
      </c>
      <c r="GAA163">
        <v>1</v>
      </c>
      <c r="GAE163">
        <v>1</v>
      </c>
      <c r="GLU163">
        <v>1</v>
      </c>
    </row>
    <row r="164" spans="1:1013 1048:1976 2075:3004 3269:4093 4099:5076" x14ac:dyDescent="0.25">
      <c r="A164" s="50">
        <v>6015647</v>
      </c>
      <c r="E164">
        <v>12.8</v>
      </c>
      <c r="F164">
        <v>12.8</v>
      </c>
      <c r="G164">
        <v>16.899999999999999</v>
      </c>
      <c r="AH164" s="50"/>
      <c r="AI164" s="50">
        <v>19.8</v>
      </c>
      <c r="AJ164" s="50">
        <v>12.8</v>
      </c>
      <c r="AK164" s="50">
        <v>12.8</v>
      </c>
      <c r="AL164" s="50">
        <v>16.899999999999999</v>
      </c>
      <c r="AM164" s="50"/>
      <c r="AN164" s="50">
        <v>20.2</v>
      </c>
      <c r="AO164" s="50"/>
      <c r="AP164" s="50">
        <v>24.1</v>
      </c>
      <c r="AQ164" s="50">
        <v>24.1</v>
      </c>
      <c r="AR164" s="50"/>
      <c r="AS164" s="50">
        <v>23.7</v>
      </c>
      <c r="AT164" s="50"/>
      <c r="AU164" s="50"/>
      <c r="AX164">
        <v>19.8</v>
      </c>
      <c r="CM164">
        <v>7.8</v>
      </c>
      <c r="CN164">
        <v>8.4</v>
      </c>
      <c r="CO164">
        <v>12.3</v>
      </c>
      <c r="CQ164">
        <v>14</v>
      </c>
      <c r="CS164">
        <v>16</v>
      </c>
      <c r="CU164">
        <v>17.2</v>
      </c>
      <c r="EX164">
        <v>293</v>
      </c>
      <c r="EY164">
        <v>274</v>
      </c>
      <c r="EZ164">
        <v>282</v>
      </c>
      <c r="FA164">
        <v>280</v>
      </c>
      <c r="FB164">
        <v>254</v>
      </c>
      <c r="FD164">
        <v>306</v>
      </c>
      <c r="FE164">
        <v>217</v>
      </c>
      <c r="FG164">
        <v>324</v>
      </c>
      <c r="FL164">
        <v>255</v>
      </c>
      <c r="HM164">
        <v>3100</v>
      </c>
      <c r="II164">
        <v>0.9</v>
      </c>
      <c r="IJ164">
        <v>0.9</v>
      </c>
      <c r="IL164">
        <v>0.9</v>
      </c>
      <c r="IO164">
        <v>1</v>
      </c>
      <c r="IR164">
        <v>0.8</v>
      </c>
      <c r="KQ164">
        <v>117</v>
      </c>
      <c r="KR164">
        <v>132</v>
      </c>
      <c r="KS164">
        <v>161</v>
      </c>
      <c r="KU164">
        <v>139</v>
      </c>
      <c r="KY164">
        <v>188</v>
      </c>
      <c r="LT164" s="50"/>
      <c r="LU164" s="50"/>
      <c r="LV164" s="50"/>
      <c r="LW164" s="50"/>
      <c r="LX164" s="50"/>
      <c r="LY164" s="50"/>
      <c r="LZ164" s="50"/>
      <c r="MA164" s="50"/>
      <c r="MB164" s="57">
        <v>13.6</v>
      </c>
      <c r="MC164" s="50">
        <v>16</v>
      </c>
      <c r="MD164" s="50"/>
      <c r="ME164">
        <v>15</v>
      </c>
      <c r="MF164">
        <v>15</v>
      </c>
      <c r="MH164">
        <v>15.2</v>
      </c>
      <c r="MK164">
        <v>21</v>
      </c>
      <c r="NO164">
        <v>16.399999999999999</v>
      </c>
      <c r="NP164">
        <v>14</v>
      </c>
      <c r="NR164">
        <v>16</v>
      </c>
      <c r="NT164">
        <v>18.600000000000001</v>
      </c>
      <c r="NV164">
        <v>18</v>
      </c>
      <c r="OP164">
        <v>2.8</v>
      </c>
      <c r="PN164">
        <v>5440000</v>
      </c>
      <c r="PP164">
        <v>5160000</v>
      </c>
      <c r="PQ164">
        <v>4790000</v>
      </c>
      <c r="PT164">
        <v>5210000</v>
      </c>
      <c r="PW164">
        <v>5060000</v>
      </c>
      <c r="QB164">
        <v>4420000</v>
      </c>
      <c r="QE164">
        <v>4380000</v>
      </c>
      <c r="QY164">
        <v>227000</v>
      </c>
      <c r="RA164">
        <v>220000</v>
      </c>
      <c r="RB164">
        <v>179000</v>
      </c>
      <c r="RE164">
        <v>180000</v>
      </c>
      <c r="RH164">
        <v>148000</v>
      </c>
      <c r="RM164">
        <v>246000</v>
      </c>
      <c r="RT164">
        <v>242000</v>
      </c>
      <c r="TF164">
        <v>0.4</v>
      </c>
      <c r="TZ164">
        <v>68.2</v>
      </c>
      <c r="UV164">
        <v>0.5</v>
      </c>
      <c r="VJ164">
        <v>37</v>
      </c>
      <c r="VL164">
        <v>33.9</v>
      </c>
      <c r="YO164">
        <v>47.7</v>
      </c>
      <c r="YQ164">
        <v>45.9</v>
      </c>
      <c r="YR164">
        <v>43.8</v>
      </c>
      <c r="YU164">
        <v>45.3</v>
      </c>
      <c r="YX164">
        <v>43.9</v>
      </c>
      <c r="ZB164">
        <v>42</v>
      </c>
      <c r="ZI164">
        <v>40</v>
      </c>
      <c r="AAG164">
        <v>87.7</v>
      </c>
      <c r="AAI164">
        <v>89</v>
      </c>
      <c r="AAJ164">
        <v>88.1</v>
      </c>
      <c r="AAM164">
        <v>86.9</v>
      </c>
      <c r="AAO164">
        <v>86.8</v>
      </c>
      <c r="AAR164">
        <v>94.1</v>
      </c>
      <c r="AAV164">
        <v>91.6</v>
      </c>
      <c r="ABM164">
        <v>29.4</v>
      </c>
      <c r="ABO164">
        <v>29.5</v>
      </c>
      <c r="ABP164">
        <v>29.2</v>
      </c>
      <c r="ABS164">
        <v>29.1</v>
      </c>
      <c r="ABX164">
        <v>30.5</v>
      </c>
      <c r="ABZ164">
        <v>31.1</v>
      </c>
      <c r="ACP164">
        <v>33.5</v>
      </c>
      <c r="ACR164">
        <v>33.1</v>
      </c>
      <c r="ACS164">
        <v>33.1</v>
      </c>
      <c r="ACV164">
        <v>33.6</v>
      </c>
      <c r="ACX164">
        <v>33.5</v>
      </c>
      <c r="ADA164">
        <v>32.5</v>
      </c>
      <c r="ADD164">
        <v>33.9</v>
      </c>
      <c r="AFH164">
        <v>140</v>
      </c>
      <c r="AFZ164">
        <v>3.97</v>
      </c>
      <c r="AGA164">
        <v>4</v>
      </c>
      <c r="AGC164">
        <v>4.0999999999999996</v>
      </c>
      <c r="AGD164">
        <v>4.59</v>
      </c>
      <c r="AGF164">
        <v>3.98</v>
      </c>
      <c r="AGI164">
        <v>4.2</v>
      </c>
      <c r="AGN164">
        <v>4</v>
      </c>
      <c r="AHC164">
        <v>2.33</v>
      </c>
      <c r="AHF164">
        <v>2.2999999999999998</v>
      </c>
      <c r="AHG164">
        <v>2.2000000000000002</v>
      </c>
      <c r="AHI164">
        <v>2.2999999999999998</v>
      </c>
      <c r="AHL164">
        <v>2.2999999999999998</v>
      </c>
      <c r="AIN164">
        <v>36.4</v>
      </c>
      <c r="AIP164">
        <v>24.7</v>
      </c>
      <c r="AIW164" s="50"/>
      <c r="AIX164" s="50"/>
      <c r="AIY164" s="50"/>
      <c r="AIZ164" s="50"/>
      <c r="AJA164" s="50"/>
      <c r="AJB164" s="50"/>
      <c r="AJC164" s="50"/>
      <c r="AJD164" s="50"/>
      <c r="AJE164" s="50"/>
      <c r="AJZ164">
        <v>110</v>
      </c>
      <c r="AKY164">
        <v>7550</v>
      </c>
      <c r="ALA164">
        <v>6460</v>
      </c>
      <c r="ANH164">
        <v>24</v>
      </c>
      <c r="ANJ164">
        <v>1</v>
      </c>
      <c r="ANK164">
        <v>27.44</v>
      </c>
      <c r="ANM164">
        <v>1</v>
      </c>
      <c r="ANV164">
        <v>1</v>
      </c>
      <c r="AVT164">
        <v>1</v>
      </c>
      <c r="AVY164">
        <v>1</v>
      </c>
      <c r="AXF164" s="50"/>
      <c r="AXG164" s="50"/>
      <c r="AXH164" s="50"/>
      <c r="AXI164" s="50"/>
      <c r="AXL164">
        <v>1</v>
      </c>
      <c r="BGR164">
        <v>1</v>
      </c>
      <c r="BGV164">
        <v>1</v>
      </c>
      <c r="BGW164">
        <v>81</v>
      </c>
      <c r="BGX164">
        <v>81</v>
      </c>
      <c r="BGY164">
        <v>0</v>
      </c>
      <c r="CAU164">
        <v>1</v>
      </c>
      <c r="CAV164">
        <v>1</v>
      </c>
      <c r="CAW164">
        <v>81</v>
      </c>
      <c r="CAX164">
        <v>81</v>
      </c>
      <c r="CAY164">
        <v>0</v>
      </c>
      <c r="CVY164">
        <v>1</v>
      </c>
      <c r="CYR164">
        <v>1</v>
      </c>
      <c r="FAQ164">
        <v>1</v>
      </c>
      <c r="FAR164">
        <v>999</v>
      </c>
      <c r="FUS164">
        <v>1</v>
      </c>
      <c r="FXH164">
        <v>1</v>
      </c>
      <c r="GAD164">
        <v>1</v>
      </c>
      <c r="GAE164">
        <v>1</v>
      </c>
      <c r="GLU164">
        <v>1</v>
      </c>
    </row>
    <row r="165" spans="1:1013 1048:1976 2075:3004 3269:4093 4099:5076" x14ac:dyDescent="0.25">
      <c r="A165" s="50">
        <v>6056633</v>
      </c>
      <c r="D165">
        <v>1.1000000000000001</v>
      </c>
      <c r="AH165" s="50"/>
      <c r="AI165" s="50"/>
      <c r="AJ165" s="50"/>
      <c r="AK165" s="50"/>
      <c r="AL165" s="50"/>
      <c r="AM165" s="50"/>
      <c r="AN165" s="50"/>
      <c r="AO165" s="50"/>
      <c r="AP165" s="50"/>
      <c r="AQ165" s="50"/>
      <c r="AR165" s="50"/>
      <c r="AS165" s="50"/>
      <c r="AT165" s="50"/>
      <c r="AU165" s="50"/>
      <c r="EU165">
        <v>180</v>
      </c>
      <c r="FA165">
        <v>300</v>
      </c>
      <c r="FO165">
        <v>122.5</v>
      </c>
      <c r="QX165">
        <v>676000</v>
      </c>
      <c r="AIW165" s="50"/>
      <c r="AIX165" s="50"/>
      <c r="AIY165" s="50"/>
      <c r="AIZ165" s="50"/>
      <c r="AJA165" s="50"/>
      <c r="AJB165" s="50"/>
      <c r="AJC165" s="50"/>
      <c r="AJD165" s="50"/>
      <c r="AJE165" s="50"/>
      <c r="ANH165">
        <v>44</v>
      </c>
      <c r="ANI165">
        <v>1</v>
      </c>
      <c r="ANM165">
        <v>1</v>
      </c>
      <c r="ANN165">
        <v>18</v>
      </c>
      <c r="ANS165">
        <v>1</v>
      </c>
      <c r="AOG165">
        <v>1</v>
      </c>
      <c r="AXF165" s="50"/>
      <c r="AXG165" s="50"/>
      <c r="AXH165" s="50">
        <v>200</v>
      </c>
      <c r="AXI165" s="50">
        <v>1</v>
      </c>
      <c r="AXL165">
        <v>1</v>
      </c>
      <c r="BSW165">
        <v>1</v>
      </c>
      <c r="DZR165" s="35">
        <v>999</v>
      </c>
      <c r="DZS165">
        <v>2</v>
      </c>
      <c r="DZT165">
        <v>0</v>
      </c>
      <c r="DZU165">
        <v>999</v>
      </c>
      <c r="FUK165">
        <v>1</v>
      </c>
      <c r="FUV165">
        <v>1</v>
      </c>
      <c r="FUY165">
        <v>1</v>
      </c>
      <c r="FVD165">
        <v>1</v>
      </c>
      <c r="FVI165">
        <v>1</v>
      </c>
      <c r="FVM165">
        <v>1</v>
      </c>
      <c r="FVP165">
        <v>1</v>
      </c>
      <c r="FWH165">
        <v>1</v>
      </c>
      <c r="FWN165">
        <v>1</v>
      </c>
      <c r="FWQ165">
        <v>1</v>
      </c>
      <c r="FWR165">
        <v>1</v>
      </c>
      <c r="FWS165">
        <v>1</v>
      </c>
      <c r="FWX165">
        <v>1</v>
      </c>
      <c r="FWY165">
        <v>1</v>
      </c>
      <c r="FXC165">
        <v>1</v>
      </c>
      <c r="FZY165">
        <v>1</v>
      </c>
    </row>
    <row r="166" spans="1:1013 1048:1976 2075:3004 3269:4093 4099:5076" x14ac:dyDescent="0.25">
      <c r="A166" s="50">
        <v>7086224</v>
      </c>
      <c r="AH166" s="50"/>
      <c r="AI166" s="50"/>
      <c r="AJ166" s="50"/>
      <c r="AK166" s="50"/>
      <c r="AL166" s="50"/>
      <c r="AM166" s="50"/>
      <c r="AN166" s="50"/>
      <c r="AO166" s="50"/>
      <c r="AP166" s="50"/>
      <c r="AQ166" s="50"/>
      <c r="AR166" s="50"/>
      <c r="AS166" s="50"/>
      <c r="AT166" s="50">
        <v>0.69340000000000002</v>
      </c>
      <c r="AU166" s="50"/>
      <c r="AY166" s="3">
        <v>1.9965999999999999</v>
      </c>
      <c r="BG166">
        <v>0.64929999999999999</v>
      </c>
      <c r="BJ166">
        <v>0.46150000000000002</v>
      </c>
      <c r="CV166">
        <v>0.55989999999999995</v>
      </c>
      <c r="CY166" s="3">
        <v>1.3573999999999999</v>
      </c>
      <c r="DE166">
        <v>0.44340000000000002</v>
      </c>
      <c r="DG166">
        <v>0.32240000000000002</v>
      </c>
      <c r="EA166">
        <v>5.9</v>
      </c>
      <c r="FH166">
        <v>196.2</v>
      </c>
      <c r="FM166" s="3">
        <v>178.2</v>
      </c>
      <c r="FU166" t="s">
        <v>2134</v>
      </c>
      <c r="GB166">
        <v>116.4</v>
      </c>
      <c r="IS166">
        <v>0.82579999999999998</v>
      </c>
      <c r="JB166" s="3">
        <v>1.1425000000000001</v>
      </c>
      <c r="NW166" s="3">
        <v>58.822400000000002</v>
      </c>
      <c r="RI166">
        <v>245000</v>
      </c>
      <c r="SQ166">
        <v>24</v>
      </c>
      <c r="VU166">
        <v>29.6</v>
      </c>
      <c r="YY166">
        <v>40</v>
      </c>
      <c r="ZH166">
        <v>35</v>
      </c>
      <c r="AAP166">
        <v>92.6</v>
      </c>
      <c r="AFD166">
        <v>138</v>
      </c>
      <c r="AGJ166">
        <v>5</v>
      </c>
      <c r="AHM166">
        <v>2.2799999999999998</v>
      </c>
      <c r="AHQ166">
        <v>2.14</v>
      </c>
      <c r="AIH166">
        <v>111</v>
      </c>
      <c r="AIW166" s="50"/>
      <c r="AIX166" s="50"/>
      <c r="AIY166" s="50"/>
      <c r="AIZ166" s="50"/>
      <c r="AJA166" s="50"/>
      <c r="AJB166" s="50"/>
      <c r="AJC166" s="50"/>
      <c r="AJD166" s="50"/>
      <c r="AJE166" s="50"/>
      <c r="ANH166">
        <v>50</v>
      </c>
      <c r="ANJ166">
        <v>1</v>
      </c>
      <c r="ANK166">
        <v>47.05</v>
      </c>
      <c r="ANN166">
        <v>29</v>
      </c>
      <c r="AOG166">
        <v>1</v>
      </c>
      <c r="AOX166">
        <v>1</v>
      </c>
      <c r="AOZ166">
        <v>1</v>
      </c>
      <c r="AQF166">
        <v>1</v>
      </c>
      <c r="AQG166">
        <v>1</v>
      </c>
      <c r="AQJ166">
        <v>1</v>
      </c>
      <c r="AQO166">
        <v>1</v>
      </c>
      <c r="ARC166">
        <v>1</v>
      </c>
      <c r="ASK166">
        <v>1</v>
      </c>
      <c r="ATK166">
        <v>1</v>
      </c>
      <c r="ATU166">
        <v>1</v>
      </c>
      <c r="AVF166">
        <v>1</v>
      </c>
      <c r="AWS166">
        <v>1</v>
      </c>
      <c r="AXF166" s="50"/>
      <c r="AXG166" s="50"/>
      <c r="AXH166" s="50">
        <v>1600</v>
      </c>
      <c r="AXI166" s="50">
        <v>1</v>
      </c>
      <c r="AXL166">
        <v>1</v>
      </c>
      <c r="AXN166">
        <v>74</v>
      </c>
      <c r="AXO166">
        <v>62</v>
      </c>
      <c r="AXP166">
        <v>0</v>
      </c>
      <c r="AXQ166">
        <v>11</v>
      </c>
      <c r="BCG166">
        <v>300</v>
      </c>
      <c r="BCH166">
        <v>1</v>
      </c>
      <c r="BCK166">
        <v>1</v>
      </c>
      <c r="BCL166">
        <v>75</v>
      </c>
      <c r="BCM166">
        <v>62</v>
      </c>
      <c r="BCN166">
        <v>0</v>
      </c>
      <c r="BCO166">
        <v>12</v>
      </c>
      <c r="CBF166">
        <v>1</v>
      </c>
      <c r="CBG166">
        <v>36</v>
      </c>
      <c r="CBH166">
        <v>27</v>
      </c>
      <c r="CBI166">
        <v>0</v>
      </c>
      <c r="CBJ166">
        <v>9</v>
      </c>
      <c r="CBW166">
        <v>10</v>
      </c>
      <c r="CBX166">
        <v>1</v>
      </c>
      <c r="CCA166">
        <v>1</v>
      </c>
      <c r="CCB166" s="35">
        <v>999</v>
      </c>
      <c r="CCC166">
        <v>67</v>
      </c>
      <c r="CCD166">
        <v>0</v>
      </c>
      <c r="CCE166">
        <v>999</v>
      </c>
      <c r="CEO166">
        <v>5</v>
      </c>
      <c r="CEP166">
        <v>1</v>
      </c>
      <c r="CES166">
        <v>1</v>
      </c>
      <c r="CET166">
        <v>427</v>
      </c>
      <c r="CEU166">
        <v>417</v>
      </c>
      <c r="CEV166">
        <v>0</v>
      </c>
      <c r="CEW166">
        <v>10</v>
      </c>
      <c r="CLD166">
        <v>2.5</v>
      </c>
      <c r="CLE166">
        <v>1</v>
      </c>
      <c r="CLH166">
        <v>1</v>
      </c>
      <c r="CLI166">
        <v>26</v>
      </c>
      <c r="CLJ166">
        <v>52</v>
      </c>
      <c r="CLK166">
        <v>28</v>
      </c>
      <c r="CLL166">
        <v>0</v>
      </c>
      <c r="DKF166">
        <v>80</v>
      </c>
      <c r="DKG166">
        <v>1</v>
      </c>
      <c r="DKJ166">
        <v>1</v>
      </c>
      <c r="DKK166" s="35">
        <v>999</v>
      </c>
      <c r="DKL166">
        <v>732</v>
      </c>
      <c r="DKM166">
        <v>0</v>
      </c>
      <c r="DKN166">
        <v>999</v>
      </c>
      <c r="EWZ166">
        <v>25</v>
      </c>
      <c r="EXA166">
        <v>1</v>
      </c>
      <c r="EXD166">
        <v>1</v>
      </c>
      <c r="EXE166" s="35">
        <v>999</v>
      </c>
      <c r="EXF166">
        <v>999</v>
      </c>
      <c r="EXG166">
        <v>0</v>
      </c>
      <c r="EXH166">
        <v>999</v>
      </c>
      <c r="FDC166">
        <v>1</v>
      </c>
      <c r="FDD166" s="35">
        <v>999</v>
      </c>
      <c r="FDE166">
        <v>999</v>
      </c>
      <c r="FDF166">
        <v>0</v>
      </c>
      <c r="FDG166">
        <v>999</v>
      </c>
      <c r="FUX166">
        <v>1</v>
      </c>
      <c r="FVS166">
        <v>1</v>
      </c>
      <c r="FWD166">
        <v>1</v>
      </c>
      <c r="FWJ166">
        <v>1</v>
      </c>
      <c r="FXT166">
        <v>1</v>
      </c>
      <c r="FYK166">
        <v>1</v>
      </c>
      <c r="FZZ166">
        <v>1</v>
      </c>
      <c r="GAD166">
        <v>1</v>
      </c>
      <c r="GAE166">
        <v>1</v>
      </c>
      <c r="GCE166">
        <v>1</v>
      </c>
      <c r="GKT166">
        <v>1</v>
      </c>
      <c r="GKV166">
        <v>1</v>
      </c>
    </row>
    <row r="167" spans="1:1013 1048:1976 2075:3004 3269:4093 4099:5076" x14ac:dyDescent="0.25">
      <c r="A167" s="50">
        <v>8040959</v>
      </c>
      <c r="AH167" s="50"/>
      <c r="AI167" s="50"/>
      <c r="AJ167" s="50"/>
      <c r="AK167" s="50"/>
      <c r="AL167" s="50"/>
      <c r="AM167" s="50"/>
      <c r="AN167" s="50"/>
      <c r="AO167" s="50"/>
      <c r="AP167" s="50"/>
      <c r="AQ167" s="50"/>
      <c r="AR167" s="50"/>
      <c r="AS167" s="50"/>
      <c r="AT167" s="50"/>
      <c r="AU167" s="50"/>
      <c r="AIW167" s="50"/>
      <c r="AIX167" s="50"/>
      <c r="AIY167" s="50"/>
      <c r="AIZ167" s="50"/>
      <c r="AJA167" s="50"/>
      <c r="AJB167" s="50"/>
      <c r="AJC167" s="50"/>
      <c r="AJD167" s="50"/>
      <c r="AJE167" s="50"/>
      <c r="ANH167">
        <v>40</v>
      </c>
      <c r="ANI167">
        <v>1</v>
      </c>
      <c r="ANK167">
        <v>37.979999999999997</v>
      </c>
      <c r="AOX167">
        <v>1</v>
      </c>
      <c r="AXF167" s="50"/>
      <c r="AXG167" s="50"/>
      <c r="AXH167" s="50">
        <v>2400</v>
      </c>
      <c r="AXI167" s="50">
        <v>1</v>
      </c>
      <c r="AXN167">
        <v>30</v>
      </c>
      <c r="AXO167">
        <v>36</v>
      </c>
      <c r="AXP167">
        <v>7</v>
      </c>
      <c r="AXQ167">
        <v>0</v>
      </c>
      <c r="AZQ167" s="35">
        <v>999</v>
      </c>
      <c r="AZR167">
        <v>50</v>
      </c>
      <c r="AZS167">
        <v>0</v>
      </c>
      <c r="AZT167">
        <v>999</v>
      </c>
      <c r="DKF167">
        <v>40</v>
      </c>
      <c r="DKG167">
        <v>1</v>
      </c>
      <c r="DKK167" s="35">
        <v>999</v>
      </c>
      <c r="DKL167">
        <v>153</v>
      </c>
      <c r="DKM167">
        <v>0</v>
      </c>
      <c r="DKN167">
        <v>999</v>
      </c>
      <c r="EJP167">
        <v>75</v>
      </c>
      <c r="EJQ167">
        <v>1</v>
      </c>
      <c r="EJU167" s="35">
        <v>999</v>
      </c>
      <c r="EJV167">
        <v>76</v>
      </c>
      <c r="EJW167">
        <v>0</v>
      </c>
      <c r="EJX167">
        <v>999</v>
      </c>
      <c r="EYY167">
        <v>75</v>
      </c>
      <c r="EYZ167">
        <v>2</v>
      </c>
      <c r="EZD167" s="35">
        <v>999</v>
      </c>
      <c r="EZE167">
        <v>153</v>
      </c>
      <c r="EZF167">
        <v>0</v>
      </c>
      <c r="EZG167">
        <v>999</v>
      </c>
      <c r="GBI167">
        <v>1</v>
      </c>
    </row>
    <row r="168" spans="1:1013 1048:1976 2075:3004 3269:4093 4099:5076" x14ac:dyDescent="0.25">
      <c r="A168" s="50">
        <v>8107048</v>
      </c>
      <c r="AH168" s="50"/>
      <c r="AI168" s="50"/>
      <c r="AJ168" s="50"/>
      <c r="AK168" s="50"/>
      <c r="AL168" s="50"/>
      <c r="AM168" s="50"/>
      <c r="AN168" s="50"/>
      <c r="AO168" s="50"/>
      <c r="AP168" s="50"/>
      <c r="AQ168" s="50"/>
      <c r="AR168" s="50"/>
      <c r="AS168" s="50"/>
      <c r="AT168" s="50"/>
      <c r="AU168" s="50"/>
      <c r="PN168" s="3">
        <v>41900000000</v>
      </c>
      <c r="AIW168" s="50">
        <v>379</v>
      </c>
      <c r="AIX168" s="50"/>
      <c r="AIY168" s="50"/>
      <c r="AIZ168" s="50"/>
      <c r="AJA168" s="50"/>
      <c r="AJB168" s="50"/>
      <c r="AJC168" s="50"/>
      <c r="AJD168" s="50"/>
      <c r="AJE168" s="50"/>
      <c r="AJO168">
        <v>6.52</v>
      </c>
      <c r="ANH168">
        <v>56</v>
      </c>
      <c r="ANI168">
        <v>1</v>
      </c>
      <c r="ANM168">
        <v>1</v>
      </c>
      <c r="ANP168">
        <v>1</v>
      </c>
      <c r="APB168">
        <v>1</v>
      </c>
      <c r="AQI168">
        <v>1</v>
      </c>
      <c r="ARC168">
        <v>1</v>
      </c>
      <c r="ARH168">
        <v>1</v>
      </c>
      <c r="ATV168">
        <v>1</v>
      </c>
      <c r="AXF168" s="50"/>
      <c r="AXG168" s="50"/>
      <c r="AXH168" s="50"/>
      <c r="AXI168" s="50"/>
      <c r="AXN168">
        <v>999</v>
      </c>
      <c r="AXO168">
        <v>999</v>
      </c>
      <c r="CBF168">
        <v>1</v>
      </c>
      <c r="CBG168" s="35">
        <v>999</v>
      </c>
      <c r="CBH168">
        <v>999</v>
      </c>
      <c r="CBI168">
        <v>0</v>
      </c>
      <c r="CBJ168">
        <v>999</v>
      </c>
      <c r="CGQ168">
        <v>1</v>
      </c>
      <c r="CGR168" s="35">
        <v>999</v>
      </c>
      <c r="CGS168">
        <v>999</v>
      </c>
      <c r="CGT168">
        <v>0</v>
      </c>
      <c r="CGU168">
        <v>999</v>
      </c>
      <c r="CIZ168">
        <v>1</v>
      </c>
      <c r="CJA168" s="35">
        <v>999</v>
      </c>
      <c r="CJB168">
        <v>999</v>
      </c>
      <c r="CJC168">
        <v>0</v>
      </c>
      <c r="CJD168">
        <v>999</v>
      </c>
      <c r="DAB168">
        <v>1</v>
      </c>
      <c r="DAC168" s="15">
        <v>999</v>
      </c>
      <c r="DAD168">
        <v>999</v>
      </c>
      <c r="ERX168" s="35">
        <v>999</v>
      </c>
      <c r="ERY168">
        <v>580</v>
      </c>
      <c r="ERZ168">
        <v>0</v>
      </c>
      <c r="ESA168">
        <v>999</v>
      </c>
      <c r="FMH168" s="50">
        <v>50</v>
      </c>
      <c r="FMI168">
        <v>0.14000000000000001</v>
      </c>
      <c r="FMK168">
        <v>1</v>
      </c>
      <c r="FMN168">
        <v>79</v>
      </c>
      <c r="FMO168">
        <v>72</v>
      </c>
      <c r="FMP168">
        <v>14</v>
      </c>
      <c r="FMQ168">
        <v>0</v>
      </c>
      <c r="FOJ168">
        <v>10</v>
      </c>
      <c r="FOK168">
        <v>0.14000000000000001</v>
      </c>
      <c r="FOO168" s="35">
        <v>999</v>
      </c>
      <c r="FOP168">
        <v>999</v>
      </c>
      <c r="FOQ168">
        <v>0</v>
      </c>
      <c r="FOR168">
        <v>999</v>
      </c>
      <c r="GAD168">
        <v>1</v>
      </c>
    </row>
    <row r="169" spans="1:1013 1048:1976 2075:3004 3269:4093 4099:5076" x14ac:dyDescent="0.25">
      <c r="A169" s="50">
        <v>8124044</v>
      </c>
      <c r="AH169" s="50"/>
      <c r="AI169" s="50"/>
      <c r="AJ169" s="50">
        <v>0.8</v>
      </c>
      <c r="AK169" s="50"/>
      <c r="AL169" s="50"/>
      <c r="AM169" s="50"/>
      <c r="AN169" s="50"/>
      <c r="AO169" s="50"/>
      <c r="AP169" s="50"/>
      <c r="AQ169" s="50"/>
      <c r="AR169" s="50"/>
      <c r="AS169" s="50"/>
      <c r="AT169" s="50"/>
      <c r="AU169" s="50"/>
      <c r="BQ169">
        <v>0.76</v>
      </c>
      <c r="BS169">
        <v>0.76</v>
      </c>
      <c r="BV169">
        <v>0.53</v>
      </c>
      <c r="BX169">
        <v>0.49</v>
      </c>
      <c r="CA169">
        <v>0.52</v>
      </c>
      <c r="GI169">
        <v>369</v>
      </c>
      <c r="GK169">
        <v>405</v>
      </c>
      <c r="GO169">
        <v>195</v>
      </c>
      <c r="LM169">
        <v>721</v>
      </c>
      <c r="LN169">
        <v>53</v>
      </c>
      <c r="AIW169" s="50"/>
      <c r="AIX169" s="50"/>
      <c r="AIY169" s="50"/>
      <c r="AIZ169" s="50"/>
      <c r="AJA169" s="50"/>
      <c r="AJB169" s="50"/>
      <c r="AJC169" s="50"/>
      <c r="AJD169" s="50"/>
      <c r="AJE169" s="50"/>
      <c r="ANH169">
        <v>19</v>
      </c>
      <c r="ANI169">
        <v>1</v>
      </c>
      <c r="ANK169">
        <v>23.39</v>
      </c>
      <c r="ANM169">
        <v>1</v>
      </c>
      <c r="ANP169">
        <v>1</v>
      </c>
      <c r="AOG169">
        <v>1</v>
      </c>
      <c r="APA169">
        <v>1</v>
      </c>
      <c r="APB169">
        <v>1</v>
      </c>
      <c r="AQB169">
        <v>1</v>
      </c>
      <c r="ASY169">
        <v>1</v>
      </c>
      <c r="AXF169" s="50"/>
      <c r="AXG169" s="50"/>
      <c r="AXH169" s="50">
        <v>800</v>
      </c>
      <c r="AXI169" s="50">
        <v>4</v>
      </c>
      <c r="AXL169">
        <v>1</v>
      </c>
      <c r="AXN169">
        <v>48</v>
      </c>
      <c r="AXO169">
        <v>9</v>
      </c>
      <c r="AXP169">
        <v>0</v>
      </c>
      <c r="AXQ169">
        <v>38</v>
      </c>
      <c r="AYF169">
        <v>100</v>
      </c>
      <c r="AYG169">
        <v>1</v>
      </c>
      <c r="AYJ169">
        <v>1</v>
      </c>
      <c r="AYK169">
        <v>244</v>
      </c>
      <c r="AYL169">
        <v>305</v>
      </c>
      <c r="AYM169">
        <v>9</v>
      </c>
      <c r="AYN169">
        <v>0</v>
      </c>
      <c r="DDP169" s="50">
        <v>60</v>
      </c>
      <c r="DDQ169">
        <v>1</v>
      </c>
      <c r="DDT169">
        <v>1</v>
      </c>
      <c r="DDV169" s="35">
        <v>999</v>
      </c>
      <c r="DDW169">
        <v>999</v>
      </c>
      <c r="DDX169">
        <v>0</v>
      </c>
      <c r="DDY169">
        <v>999</v>
      </c>
      <c r="FUT169">
        <v>1</v>
      </c>
      <c r="FWD169">
        <v>1</v>
      </c>
      <c r="FXG169">
        <v>1</v>
      </c>
      <c r="GAD169">
        <v>1</v>
      </c>
    </row>
    <row r="170" spans="1:1013 1048:1976 2075:3004 3269:4093 4099:5076" x14ac:dyDescent="0.25">
      <c r="A170" s="50">
        <v>8142949</v>
      </c>
      <c r="AH170" s="50"/>
      <c r="AI170" s="50"/>
      <c r="AJ170" s="50"/>
      <c r="AK170" s="50"/>
      <c r="AL170" s="50"/>
      <c r="AM170" s="50"/>
      <c r="AN170" s="50"/>
      <c r="AO170" s="50"/>
      <c r="AP170" s="50"/>
      <c r="AQ170" s="50"/>
      <c r="AR170" s="50"/>
      <c r="AS170" s="50">
        <v>4.49</v>
      </c>
      <c r="AT170" s="50"/>
      <c r="AU170" s="50">
        <v>6.3</v>
      </c>
      <c r="AY170">
        <v>3</v>
      </c>
      <c r="BG170">
        <v>1.1000000000000001</v>
      </c>
      <c r="AIW170" s="50"/>
      <c r="AIX170" s="50"/>
      <c r="AIY170" s="50"/>
      <c r="AIZ170" s="50"/>
      <c r="AJA170" s="50"/>
      <c r="AJB170" s="50"/>
      <c r="AJC170" s="50"/>
      <c r="AJD170" s="50"/>
      <c r="AJE170" s="50"/>
      <c r="ANH170">
        <v>37</v>
      </c>
      <c r="ANJ170">
        <v>1</v>
      </c>
      <c r="ANK170">
        <v>17.149999999999999</v>
      </c>
      <c r="ANM170">
        <v>1</v>
      </c>
      <c r="ANN170">
        <v>122</v>
      </c>
      <c r="AOG170">
        <v>1</v>
      </c>
      <c r="AWL170">
        <v>1</v>
      </c>
      <c r="AWP170">
        <v>1</v>
      </c>
      <c r="AXF170" s="50"/>
      <c r="AXG170" s="50"/>
      <c r="AXH170" s="50">
        <v>400</v>
      </c>
      <c r="AXI170" s="50">
        <v>3</v>
      </c>
      <c r="AXL170">
        <v>1</v>
      </c>
      <c r="AXN170">
        <v>19</v>
      </c>
      <c r="AXO170">
        <v>18</v>
      </c>
      <c r="AXP170">
        <v>0</v>
      </c>
      <c r="AXQ170">
        <v>0</v>
      </c>
      <c r="AZL170">
        <v>750</v>
      </c>
      <c r="AZM170">
        <v>1</v>
      </c>
      <c r="AZP170">
        <v>1</v>
      </c>
      <c r="AZQ170">
        <v>15</v>
      </c>
      <c r="AZR170">
        <v>18</v>
      </c>
      <c r="AZS170">
        <v>5</v>
      </c>
      <c r="AZT170">
        <v>0</v>
      </c>
      <c r="BFL170">
        <v>75</v>
      </c>
      <c r="BFM170">
        <v>1</v>
      </c>
      <c r="BFP170">
        <v>1</v>
      </c>
      <c r="BFQ170">
        <v>1</v>
      </c>
      <c r="BFR170">
        <v>5</v>
      </c>
      <c r="BFS170">
        <v>5</v>
      </c>
      <c r="BFT170">
        <v>0</v>
      </c>
      <c r="BWR170">
        <v>1</v>
      </c>
      <c r="BWS170">
        <v>1</v>
      </c>
      <c r="BWV170">
        <v>1</v>
      </c>
      <c r="BWW170">
        <v>13</v>
      </c>
      <c r="BWX170">
        <v>18</v>
      </c>
      <c r="BWY170">
        <v>6</v>
      </c>
      <c r="BWZ170">
        <v>0</v>
      </c>
      <c r="CWE170">
        <v>3000</v>
      </c>
      <c r="CWF170">
        <v>1</v>
      </c>
      <c r="CWJ170">
        <v>1</v>
      </c>
      <c r="CWK170">
        <v>16</v>
      </c>
      <c r="CWL170">
        <v>18</v>
      </c>
      <c r="CWM170">
        <v>4</v>
      </c>
      <c r="CWN170">
        <v>0</v>
      </c>
      <c r="DKF170">
        <v>40</v>
      </c>
      <c r="DKG170">
        <v>1</v>
      </c>
      <c r="DKJ170">
        <v>1</v>
      </c>
      <c r="DKK170">
        <v>19</v>
      </c>
      <c r="DKL170">
        <v>18</v>
      </c>
      <c r="DKM170">
        <v>0</v>
      </c>
      <c r="DKN170">
        <v>0</v>
      </c>
      <c r="FUR170">
        <v>1</v>
      </c>
      <c r="FWC170">
        <v>1</v>
      </c>
      <c r="FXG170">
        <v>1</v>
      </c>
      <c r="GAD170">
        <v>1</v>
      </c>
      <c r="GAE170">
        <v>1</v>
      </c>
      <c r="GBI170">
        <v>1</v>
      </c>
    </row>
    <row r="171" spans="1:1013 1048:1976 2075:3004 3269:4093 4099:5076" x14ac:dyDescent="0.25">
      <c r="A171" s="50">
        <v>9023306</v>
      </c>
      <c r="H171">
        <v>0.3508</v>
      </c>
      <c r="AH171" s="50"/>
      <c r="AI171" s="50"/>
      <c r="AJ171" s="50"/>
      <c r="AK171" s="50"/>
      <c r="AL171" s="50"/>
      <c r="AM171" s="50"/>
      <c r="AN171" s="50"/>
      <c r="AO171" s="50"/>
      <c r="AP171" s="50"/>
      <c r="AQ171" s="50"/>
      <c r="AR171" s="50"/>
      <c r="AS171" s="50"/>
      <c r="AT171" s="50"/>
      <c r="AU171" s="50"/>
      <c r="FA171">
        <v>273</v>
      </c>
      <c r="FC171">
        <v>180</v>
      </c>
      <c r="FF171">
        <v>165.6</v>
      </c>
      <c r="IL171">
        <v>0.85970000000000002</v>
      </c>
      <c r="AIW171" s="50"/>
      <c r="AIX171" s="50"/>
      <c r="AIY171" s="50"/>
      <c r="AIZ171" s="50"/>
      <c r="AJA171" s="50"/>
      <c r="AJB171" s="50"/>
      <c r="AJC171" s="50"/>
      <c r="AJD171" s="50"/>
      <c r="AJE171" s="50"/>
      <c r="ANH171">
        <v>46</v>
      </c>
      <c r="ANJ171">
        <v>1</v>
      </c>
      <c r="ANK171">
        <v>24.83</v>
      </c>
      <c r="ANM171">
        <v>1</v>
      </c>
      <c r="ANN171">
        <v>9</v>
      </c>
      <c r="AXF171" s="50"/>
      <c r="AXG171" s="50"/>
      <c r="AXH171" s="50">
        <v>600</v>
      </c>
      <c r="AXI171" s="50">
        <v>2</v>
      </c>
      <c r="AXL171">
        <v>1</v>
      </c>
      <c r="AXN171">
        <v>12</v>
      </c>
      <c r="AXO171">
        <v>9</v>
      </c>
      <c r="AXP171">
        <v>0</v>
      </c>
      <c r="AXQ171">
        <v>2</v>
      </c>
      <c r="AZL171">
        <v>30</v>
      </c>
      <c r="AZM171">
        <v>3</v>
      </c>
      <c r="AZP171">
        <v>1</v>
      </c>
      <c r="AZQ171">
        <v>2</v>
      </c>
      <c r="AZR171">
        <v>4</v>
      </c>
      <c r="AZS171">
        <v>3</v>
      </c>
      <c r="AZT171">
        <v>0</v>
      </c>
      <c r="FWG171">
        <v>1</v>
      </c>
      <c r="FWH171">
        <v>1</v>
      </c>
      <c r="FWJ171">
        <v>1</v>
      </c>
    </row>
    <row r="172" spans="1:1013 1048:1976 2075:3004 3269:4093 4099:5076" x14ac:dyDescent="0.25">
      <c r="A172" s="50">
        <v>9030615</v>
      </c>
      <c r="AH172" s="50"/>
      <c r="AI172" s="50"/>
      <c r="AJ172" s="50"/>
      <c r="AK172" s="50"/>
      <c r="AL172" s="50"/>
      <c r="AM172" s="50"/>
      <c r="AN172" s="50"/>
      <c r="AO172" s="50"/>
      <c r="AP172" s="50"/>
      <c r="AQ172" s="50"/>
      <c r="AR172" s="50"/>
      <c r="AS172" s="50"/>
      <c r="AT172" s="50"/>
      <c r="AU172" s="50"/>
      <c r="IL172">
        <v>63</v>
      </c>
      <c r="ME172">
        <v>23.3</v>
      </c>
      <c r="MS172">
        <v>23.3</v>
      </c>
      <c r="NR172" s="3">
        <v>19.819800000000001</v>
      </c>
      <c r="RB172">
        <v>137000</v>
      </c>
      <c r="YR172">
        <v>42</v>
      </c>
      <c r="YX172">
        <v>5.2</v>
      </c>
      <c r="ABP172" s="57"/>
      <c r="AET172">
        <v>133</v>
      </c>
      <c r="AGC172">
        <v>4.05</v>
      </c>
      <c r="AHF172">
        <v>2.29</v>
      </c>
      <c r="AIW172" s="50"/>
      <c r="AIX172" s="50"/>
      <c r="AIY172" s="50"/>
      <c r="AIZ172" s="50"/>
      <c r="AJA172" s="50"/>
      <c r="AJB172" s="50"/>
      <c r="AJC172" s="50"/>
      <c r="AJD172" s="50"/>
      <c r="AJE172" s="50"/>
      <c r="AXF172" s="50"/>
      <c r="AXG172" s="50"/>
      <c r="AXH172" s="50">
        <v>400</v>
      </c>
      <c r="AXI172" s="50">
        <v>1</v>
      </c>
      <c r="AXL172">
        <v>1</v>
      </c>
      <c r="AXN172">
        <v>3</v>
      </c>
      <c r="FAC172">
        <v>500</v>
      </c>
      <c r="FAD172">
        <v>1</v>
      </c>
      <c r="FAG172">
        <v>1</v>
      </c>
      <c r="FAH172" s="35">
        <v>999</v>
      </c>
      <c r="FAI172">
        <v>549</v>
      </c>
      <c r="FAJ172">
        <v>0</v>
      </c>
      <c r="FAK172">
        <v>999</v>
      </c>
    </row>
    <row r="173" spans="1:1013 1048:1976 2075:3004 3269:4093 4099:5076" x14ac:dyDescent="0.25">
      <c r="A173" s="50">
        <v>9034464</v>
      </c>
      <c r="AH173" s="50"/>
      <c r="AI173" s="50"/>
      <c r="AJ173" s="50"/>
      <c r="AK173" s="50"/>
      <c r="AL173" s="50"/>
      <c r="AM173" s="50"/>
      <c r="AN173" s="50"/>
      <c r="AO173" s="50"/>
      <c r="AP173" s="50"/>
      <c r="AQ173" s="50"/>
      <c r="AR173" s="50"/>
      <c r="AS173" s="50"/>
      <c r="AT173" s="50"/>
      <c r="AU173" s="50"/>
      <c r="MC173">
        <v>177</v>
      </c>
      <c r="MD173">
        <v>134.30000000000001</v>
      </c>
      <c r="MF173">
        <v>139.1</v>
      </c>
      <c r="MH173">
        <v>63.1</v>
      </c>
      <c r="AIW173" s="50"/>
      <c r="AIX173" s="50"/>
      <c r="AIY173" s="50"/>
      <c r="AIZ173" s="50"/>
      <c r="AJA173" s="50"/>
      <c r="AJB173" s="50"/>
      <c r="AJC173" s="50"/>
      <c r="AJD173" s="50"/>
      <c r="AJE173" s="50"/>
      <c r="ANH173">
        <v>66</v>
      </c>
      <c r="ANI173">
        <v>1</v>
      </c>
      <c r="ANK173">
        <v>26.59</v>
      </c>
      <c r="ANM173">
        <v>1</v>
      </c>
      <c r="ANN173">
        <v>2</v>
      </c>
      <c r="AXF173" s="50"/>
      <c r="AXG173" s="50"/>
      <c r="AXH173" s="50">
        <v>1800</v>
      </c>
      <c r="AXI173" s="50">
        <v>1</v>
      </c>
      <c r="CYH173">
        <v>10</v>
      </c>
      <c r="CYI173">
        <v>1</v>
      </c>
      <c r="CYM173">
        <v>2</v>
      </c>
      <c r="CYN173">
        <v>1</v>
      </c>
      <c r="CYO173">
        <v>0</v>
      </c>
      <c r="CYP173">
        <v>0</v>
      </c>
      <c r="DKF173">
        <v>40</v>
      </c>
      <c r="DKG173">
        <v>1</v>
      </c>
      <c r="FUK173">
        <v>1</v>
      </c>
      <c r="FZG173">
        <v>1</v>
      </c>
      <c r="GBT173">
        <v>1</v>
      </c>
      <c r="GHY173">
        <v>1</v>
      </c>
    </row>
    <row r="174" spans="1:1013 1048:1976 2075:3004 3269:4093 4099:5076" x14ac:dyDescent="0.25">
      <c r="A174" s="50">
        <v>9040167</v>
      </c>
      <c r="AH174" s="50"/>
      <c r="AI174" s="50"/>
      <c r="AJ174" s="50"/>
      <c r="AK174" s="50"/>
      <c r="AL174" s="50"/>
      <c r="AM174" s="50"/>
      <c r="AN174" s="50"/>
      <c r="AO174" s="50"/>
      <c r="AP174" s="50"/>
      <c r="AQ174" s="50"/>
      <c r="AR174" s="50"/>
      <c r="AS174" s="50"/>
      <c r="AT174" s="50"/>
      <c r="AU174" s="50"/>
      <c r="IF174">
        <v>0.88229999999999997</v>
      </c>
      <c r="II174">
        <v>0.85970000000000002</v>
      </c>
      <c r="LY174">
        <v>2.4900000000000002</v>
      </c>
      <c r="QV174">
        <v>236000</v>
      </c>
      <c r="VJ174">
        <v>35.799999999999997</v>
      </c>
      <c r="YL174">
        <v>38</v>
      </c>
      <c r="AEQ174">
        <v>123</v>
      </c>
      <c r="AET174">
        <v>132</v>
      </c>
      <c r="AFW174">
        <v>3.3</v>
      </c>
      <c r="AFZ174">
        <v>3.8</v>
      </c>
      <c r="AGZ174">
        <v>2.33</v>
      </c>
      <c r="AHC174">
        <v>2.4500000000000002</v>
      </c>
      <c r="AIW174" s="50"/>
      <c r="AIX174" s="50"/>
      <c r="AIY174" s="50"/>
      <c r="AIZ174" s="50"/>
      <c r="AJA174" s="50"/>
      <c r="AJB174" s="50"/>
      <c r="AJC174" s="50"/>
      <c r="AJD174" s="50"/>
      <c r="AJE174" s="50"/>
      <c r="ANH174">
        <v>84</v>
      </c>
      <c r="ANJ174">
        <v>1</v>
      </c>
      <c r="ANK174">
        <v>26.35</v>
      </c>
      <c r="ANM174">
        <v>1</v>
      </c>
      <c r="ANN174">
        <v>31</v>
      </c>
      <c r="AOL174">
        <v>1</v>
      </c>
      <c r="AQA174">
        <v>1</v>
      </c>
      <c r="AQJ174">
        <v>1</v>
      </c>
      <c r="AQL174">
        <v>1</v>
      </c>
      <c r="AQO174">
        <v>1</v>
      </c>
      <c r="ARB174">
        <v>1</v>
      </c>
      <c r="ARC174">
        <v>1</v>
      </c>
      <c r="ARI174">
        <v>1</v>
      </c>
      <c r="ATQ174">
        <v>1</v>
      </c>
      <c r="AVN174">
        <v>1</v>
      </c>
      <c r="AVO174">
        <v>1</v>
      </c>
      <c r="AXF174" s="50"/>
      <c r="AXG174" s="50"/>
      <c r="AXH174" s="50">
        <v>600</v>
      </c>
      <c r="AXI174" s="50">
        <v>2</v>
      </c>
      <c r="AXL174">
        <v>1</v>
      </c>
      <c r="AXN174">
        <v>61</v>
      </c>
      <c r="AXO174">
        <v>59</v>
      </c>
      <c r="AXP174">
        <v>2</v>
      </c>
      <c r="AXQ174">
        <v>0</v>
      </c>
      <c r="AYJ174">
        <v>1</v>
      </c>
      <c r="AYK174">
        <v>824</v>
      </c>
      <c r="AYL174">
        <v>822</v>
      </c>
      <c r="AYM174">
        <v>2</v>
      </c>
      <c r="AYN174">
        <v>0</v>
      </c>
      <c r="BAP174">
        <v>50</v>
      </c>
      <c r="BAQ174">
        <v>2</v>
      </c>
      <c r="BAT174">
        <v>1</v>
      </c>
      <c r="BAU174">
        <v>31</v>
      </c>
      <c r="CBB174">
        <v>25</v>
      </c>
      <c r="CBC174">
        <v>1</v>
      </c>
      <c r="CBF174">
        <v>1</v>
      </c>
      <c r="CBG174">
        <v>824</v>
      </c>
      <c r="CBH174">
        <v>822</v>
      </c>
      <c r="CBI174">
        <v>2</v>
      </c>
      <c r="CBJ174">
        <v>0</v>
      </c>
      <c r="CEY174">
        <v>5</v>
      </c>
      <c r="CEZ174">
        <v>1</v>
      </c>
      <c r="CFC174">
        <v>1</v>
      </c>
      <c r="CFD174" s="35">
        <v>999</v>
      </c>
      <c r="CFE174">
        <v>999</v>
      </c>
      <c r="CFF174">
        <v>0</v>
      </c>
      <c r="CFG174">
        <v>999</v>
      </c>
      <c r="CKX174">
        <v>1</v>
      </c>
      <c r="CKY174">
        <v>824</v>
      </c>
      <c r="CKZ174">
        <v>822</v>
      </c>
      <c r="CLA174">
        <v>2</v>
      </c>
      <c r="CLB174">
        <v>0</v>
      </c>
      <c r="DFE174">
        <v>36</v>
      </c>
      <c r="DFF174">
        <v>1</v>
      </c>
      <c r="DFI174">
        <v>1</v>
      </c>
      <c r="DFJ174">
        <v>31</v>
      </c>
      <c r="DFK174">
        <v>30</v>
      </c>
      <c r="DFL174">
        <v>0</v>
      </c>
      <c r="DFM174">
        <v>1</v>
      </c>
      <c r="EWZ174">
        <v>50</v>
      </c>
      <c r="EXA174">
        <v>1</v>
      </c>
      <c r="EXD174">
        <v>1</v>
      </c>
      <c r="EXE174" s="35">
        <v>999</v>
      </c>
      <c r="EXF174">
        <v>999</v>
      </c>
      <c r="EXG174">
        <v>0</v>
      </c>
      <c r="EXH174">
        <v>999</v>
      </c>
      <c r="FVW174">
        <v>1</v>
      </c>
      <c r="FWC174">
        <v>1</v>
      </c>
      <c r="FWD174">
        <v>1</v>
      </c>
      <c r="FWX174">
        <v>1</v>
      </c>
      <c r="FXE174">
        <v>1</v>
      </c>
      <c r="FZB174">
        <v>1</v>
      </c>
      <c r="FZZ174">
        <v>1</v>
      </c>
      <c r="GAO174">
        <v>1</v>
      </c>
      <c r="GAZ174">
        <v>1</v>
      </c>
      <c r="GBB174">
        <v>1</v>
      </c>
    </row>
    <row r="175" spans="1:1013 1048:1976 2075:3004 3269:4093 4099:5076" x14ac:dyDescent="0.25">
      <c r="A175" s="50">
        <v>9054567</v>
      </c>
      <c r="AH175" s="50"/>
      <c r="AI175" s="50">
        <v>6.7</v>
      </c>
      <c r="AJ175" s="50"/>
      <c r="AK175" s="50"/>
      <c r="AL175" s="50"/>
      <c r="AM175" s="50"/>
      <c r="AN175" s="50"/>
      <c r="AO175" s="50"/>
      <c r="AP175" s="50"/>
      <c r="AQ175" s="50"/>
      <c r="AR175" s="50"/>
      <c r="AS175" s="50"/>
      <c r="AT175" s="50"/>
      <c r="AU175" s="50"/>
      <c r="EW175">
        <v>474</v>
      </c>
      <c r="AIW175" s="50"/>
      <c r="AIX175" s="50"/>
      <c r="AIY175" s="50"/>
      <c r="AIZ175" s="50"/>
      <c r="AJA175" s="50"/>
      <c r="AJB175" s="50"/>
      <c r="AJC175" s="50"/>
      <c r="AJD175" s="50"/>
      <c r="AJE175" s="50"/>
      <c r="ANH175">
        <v>46</v>
      </c>
      <c r="ANI175">
        <v>1</v>
      </c>
      <c r="ANK175">
        <v>21.22</v>
      </c>
      <c r="ANM175">
        <v>1</v>
      </c>
      <c r="AXF175" s="50"/>
      <c r="AXG175" s="50"/>
      <c r="AXH175" s="50">
        <v>600</v>
      </c>
      <c r="AXI175" s="50">
        <v>1</v>
      </c>
      <c r="AXL175">
        <v>1</v>
      </c>
      <c r="AXN175">
        <v>7</v>
      </c>
      <c r="AXO175">
        <v>14</v>
      </c>
      <c r="AXP175">
        <v>8</v>
      </c>
      <c r="AXQ175">
        <v>0</v>
      </c>
      <c r="BNQ175">
        <v>500</v>
      </c>
      <c r="BNR175">
        <v>1</v>
      </c>
      <c r="BNU175">
        <v>1</v>
      </c>
      <c r="BNV175">
        <v>7</v>
      </c>
      <c r="BNW175">
        <v>14</v>
      </c>
      <c r="BNX175">
        <v>8</v>
      </c>
      <c r="BNY175">
        <v>0</v>
      </c>
      <c r="FXS175">
        <v>1</v>
      </c>
      <c r="GAD175">
        <v>1</v>
      </c>
      <c r="GAE175">
        <v>1</v>
      </c>
    </row>
    <row r="176" spans="1:1013 1048:1976 2075:3004 3269:4093 4099:5076" x14ac:dyDescent="0.25">
      <c r="A176" s="50">
        <v>9083682</v>
      </c>
      <c r="AH176" s="50"/>
      <c r="AI176" s="50"/>
      <c r="AJ176" s="50">
        <v>7.3</v>
      </c>
      <c r="AK176" s="50"/>
      <c r="AL176" s="50"/>
      <c r="AM176" s="50">
        <v>11.4</v>
      </c>
      <c r="AN176" s="50"/>
      <c r="AO176" s="50"/>
      <c r="AP176" s="50"/>
      <c r="AQ176" s="50"/>
      <c r="AR176" s="50"/>
      <c r="AS176" s="50"/>
      <c r="AT176" s="50"/>
      <c r="AU176" s="50"/>
      <c r="EX176">
        <v>213</v>
      </c>
      <c r="FA176">
        <v>219</v>
      </c>
      <c r="IH176">
        <v>0.7</v>
      </c>
      <c r="KP176">
        <v>53</v>
      </c>
      <c r="KQ176">
        <v>64</v>
      </c>
      <c r="MA176">
        <v>2.5</v>
      </c>
      <c r="PM176">
        <v>5100000</v>
      </c>
      <c r="QX176">
        <v>214000</v>
      </c>
      <c r="YN176">
        <v>45</v>
      </c>
      <c r="AAF176">
        <v>89</v>
      </c>
      <c r="ACO176">
        <v>34.1</v>
      </c>
      <c r="AES176">
        <v>136</v>
      </c>
      <c r="AFY176">
        <v>4.04</v>
      </c>
      <c r="AHB176">
        <v>2.25</v>
      </c>
      <c r="AIW176" s="50"/>
      <c r="AIX176" s="50"/>
      <c r="AIY176" s="50"/>
      <c r="AIZ176" s="50"/>
      <c r="AJA176" s="50"/>
      <c r="AJB176" s="50"/>
      <c r="AJC176" s="50"/>
      <c r="AJD176" s="50"/>
      <c r="AJE176" s="50"/>
      <c r="AJZ176">
        <v>120</v>
      </c>
      <c r="AKC176">
        <v>126</v>
      </c>
      <c r="ALY176">
        <v>90</v>
      </c>
      <c r="ANH176">
        <v>43</v>
      </c>
      <c r="ANI176">
        <v>1</v>
      </c>
      <c r="ANK176">
        <v>25.9</v>
      </c>
      <c r="ANM176">
        <v>1</v>
      </c>
      <c r="AOB176">
        <v>1</v>
      </c>
      <c r="AXF176" s="50"/>
      <c r="AXG176" s="50"/>
      <c r="AXH176" s="50">
        <v>400</v>
      </c>
      <c r="AXI176" s="50">
        <v>1</v>
      </c>
      <c r="BCG176">
        <v>200</v>
      </c>
      <c r="BCH176">
        <v>1</v>
      </c>
      <c r="BCK176">
        <v>1</v>
      </c>
      <c r="BCL176" s="35">
        <v>999</v>
      </c>
      <c r="BCM176">
        <v>35</v>
      </c>
      <c r="BCN176">
        <v>0</v>
      </c>
      <c r="BCO176">
        <v>999</v>
      </c>
      <c r="BFK176">
        <v>1</v>
      </c>
      <c r="CZX176">
        <v>40</v>
      </c>
      <c r="CZY176">
        <v>1</v>
      </c>
      <c r="DAB176">
        <v>1</v>
      </c>
      <c r="FRS176">
        <v>1</v>
      </c>
      <c r="FUX176">
        <v>1</v>
      </c>
      <c r="FVX176">
        <v>1</v>
      </c>
      <c r="FWD176">
        <v>1</v>
      </c>
      <c r="FXG176">
        <v>1</v>
      </c>
      <c r="GAD176">
        <v>1</v>
      </c>
      <c r="GAE176">
        <v>1</v>
      </c>
      <c r="GBI176">
        <v>1</v>
      </c>
      <c r="GMF176">
        <v>1</v>
      </c>
    </row>
    <row r="177" spans="1:997 1048:2028 2123:3005 3301:3992 4569:5045" x14ac:dyDescent="0.25">
      <c r="A177" s="50">
        <v>9102044</v>
      </c>
      <c r="AH177" s="50"/>
      <c r="AI177" s="50"/>
      <c r="AJ177" s="50">
        <v>9</v>
      </c>
      <c r="AK177" s="50"/>
      <c r="AL177" s="50"/>
      <c r="AM177" s="50"/>
      <c r="AN177" s="50"/>
      <c r="AO177" s="50"/>
      <c r="AP177" s="50"/>
      <c r="AQ177" s="50">
        <v>21.36</v>
      </c>
      <c r="AR177" s="50"/>
      <c r="AS177" s="50"/>
      <c r="AT177" s="50"/>
      <c r="AU177" s="50"/>
      <c r="AW177">
        <v>16.98</v>
      </c>
      <c r="CB177">
        <v>1.05</v>
      </c>
      <c r="AIW177" s="50"/>
      <c r="AIX177" s="50"/>
      <c r="AIY177" s="50"/>
      <c r="AIZ177" s="50"/>
      <c r="AJA177" s="50"/>
      <c r="AJB177" s="50"/>
      <c r="AJC177" s="50"/>
      <c r="AJD177" s="50"/>
      <c r="AJE177" s="50"/>
      <c r="ANJ177">
        <v>1</v>
      </c>
      <c r="ANK177">
        <v>23.59</v>
      </c>
      <c r="ANM177">
        <v>1</v>
      </c>
      <c r="ANN177">
        <v>84</v>
      </c>
      <c r="AXF177" s="50"/>
      <c r="AXG177" s="50"/>
      <c r="AXH177" s="50"/>
      <c r="AXI177" s="50"/>
      <c r="AXL177">
        <v>1</v>
      </c>
      <c r="AXN177">
        <v>999</v>
      </c>
      <c r="AXO177">
        <v>999</v>
      </c>
      <c r="AXP177">
        <v>26</v>
      </c>
      <c r="AXQ177">
        <v>0</v>
      </c>
      <c r="DCS177">
        <v>1000</v>
      </c>
      <c r="DCT177">
        <v>1</v>
      </c>
      <c r="DCU177">
        <v>1</v>
      </c>
      <c r="DCX177">
        <v>3</v>
      </c>
      <c r="DCY177">
        <v>30</v>
      </c>
      <c r="DCZ177">
        <v>28</v>
      </c>
      <c r="DDA177">
        <v>0</v>
      </c>
      <c r="FUK177">
        <v>1</v>
      </c>
      <c r="GAD177">
        <v>1</v>
      </c>
    </row>
    <row r="178" spans="1:997 1048:2028 2123:3005 3301:3992 4569:5045" x14ac:dyDescent="0.25">
      <c r="A178" s="50">
        <v>9119854</v>
      </c>
      <c r="AH178" s="50"/>
      <c r="AI178" s="50"/>
      <c r="AJ178" s="50"/>
      <c r="AK178" s="50"/>
      <c r="AL178" s="50"/>
      <c r="AM178" s="50"/>
      <c r="AN178" s="50"/>
      <c r="AO178" s="50"/>
      <c r="AP178" s="50"/>
      <c r="AQ178" s="50">
        <v>2.84</v>
      </c>
      <c r="AR178" s="50"/>
      <c r="AS178" s="50"/>
      <c r="AT178" s="50"/>
      <c r="AU178" s="50">
        <v>2.39</v>
      </c>
      <c r="BE178">
        <v>0.93</v>
      </c>
      <c r="EQ178">
        <v>83</v>
      </c>
      <c r="FD178">
        <v>207</v>
      </c>
      <c r="FE178">
        <v>217</v>
      </c>
      <c r="FK178">
        <v>189</v>
      </c>
      <c r="FS178">
        <v>165</v>
      </c>
      <c r="AIW178" s="50"/>
      <c r="AIX178" s="50"/>
      <c r="AIY178" s="50"/>
      <c r="AIZ178" s="50"/>
      <c r="AJA178" s="50"/>
      <c r="AJB178" s="50"/>
      <c r="AJC178" s="50"/>
      <c r="AJD178" s="50"/>
      <c r="AJE178" s="50"/>
      <c r="ANH178">
        <v>47</v>
      </c>
      <c r="ANJ178">
        <v>1</v>
      </c>
      <c r="ANK178">
        <v>28.04</v>
      </c>
      <c r="AXF178" s="50"/>
      <c r="AXG178" s="50"/>
      <c r="AXH178" s="50">
        <v>400</v>
      </c>
      <c r="AXI178" s="50">
        <v>3</v>
      </c>
      <c r="AXL178">
        <v>1</v>
      </c>
      <c r="AXN178">
        <v>11</v>
      </c>
      <c r="AXO178">
        <v>9</v>
      </c>
      <c r="AXP178">
        <v>0</v>
      </c>
      <c r="AXQ178">
        <v>4</v>
      </c>
      <c r="GAD178">
        <v>1</v>
      </c>
    </row>
    <row r="179" spans="1:997 1048:2028 2123:3005 3301:3992 4569:5045" x14ac:dyDescent="0.25">
      <c r="A179" s="50">
        <v>9125126</v>
      </c>
      <c r="AH179" s="50"/>
      <c r="AI179" s="50"/>
      <c r="AJ179" s="50"/>
      <c r="AK179" s="50"/>
      <c r="AL179" s="50"/>
      <c r="AM179" s="50"/>
      <c r="AN179" s="50"/>
      <c r="AO179" s="50"/>
      <c r="AP179" s="50">
        <v>0.53</v>
      </c>
      <c r="AQ179" s="50"/>
      <c r="AR179" s="50">
        <v>0.42</v>
      </c>
      <c r="AS179" s="50"/>
      <c r="AT179" s="50"/>
      <c r="AU179" s="50"/>
      <c r="FC179">
        <v>487</v>
      </c>
      <c r="FD179">
        <v>398</v>
      </c>
      <c r="FH179">
        <v>148</v>
      </c>
      <c r="GG179">
        <v>74</v>
      </c>
      <c r="ANH179">
        <v>55</v>
      </c>
      <c r="ANI179">
        <v>1</v>
      </c>
      <c r="ANK179">
        <v>21.85</v>
      </c>
      <c r="ANN179">
        <v>40</v>
      </c>
      <c r="AOG179">
        <v>1</v>
      </c>
      <c r="AQB179">
        <v>1</v>
      </c>
      <c r="AQI179">
        <v>1</v>
      </c>
      <c r="AXF179" s="50"/>
      <c r="AXG179" s="50"/>
      <c r="AXH179" s="50">
        <v>400</v>
      </c>
      <c r="AXI179" s="50"/>
      <c r="AXL179">
        <v>1</v>
      </c>
      <c r="AXN179">
        <v>10</v>
      </c>
      <c r="AXO179">
        <v>3</v>
      </c>
      <c r="AXP179">
        <v>0</v>
      </c>
      <c r="AXQ179">
        <v>6</v>
      </c>
      <c r="GAD179">
        <v>1</v>
      </c>
    </row>
    <row r="180" spans="1:997 1048:2028 2123:3005 3301:3992 4569:5045" x14ac:dyDescent="0.25">
      <c r="A180" s="50">
        <v>9174811</v>
      </c>
      <c r="AH180" s="50"/>
      <c r="AI180" s="50"/>
      <c r="AJ180" s="50">
        <v>0.53</v>
      </c>
      <c r="AK180" s="50">
        <v>0.62</v>
      </c>
      <c r="AL180" s="50"/>
      <c r="AM180" s="50"/>
      <c r="AN180" s="50"/>
      <c r="AO180" s="50"/>
      <c r="AP180" s="50"/>
      <c r="AQ180" s="50"/>
      <c r="AR180" s="50"/>
      <c r="AS180" s="50"/>
      <c r="AT180" s="50"/>
      <c r="AU180" s="50"/>
      <c r="EX180">
        <v>116</v>
      </c>
      <c r="EY180">
        <v>102</v>
      </c>
      <c r="FG180">
        <v>77</v>
      </c>
      <c r="GQ180">
        <v>84</v>
      </c>
      <c r="ANH180">
        <v>28</v>
      </c>
      <c r="ANI180">
        <v>1</v>
      </c>
      <c r="ANK180">
        <v>21.56</v>
      </c>
      <c r="ANM180">
        <v>1</v>
      </c>
      <c r="ANS180">
        <v>1</v>
      </c>
      <c r="ANZ180">
        <v>1</v>
      </c>
      <c r="AOG180">
        <v>1</v>
      </c>
      <c r="AOJ180">
        <v>1</v>
      </c>
      <c r="AOO180">
        <v>1</v>
      </c>
      <c r="AXF180" s="50"/>
      <c r="AXG180" s="50"/>
      <c r="AXH180" s="50">
        <v>200</v>
      </c>
      <c r="AXI180" s="50">
        <v>3</v>
      </c>
      <c r="AXL180">
        <v>1</v>
      </c>
      <c r="AXN180">
        <v>8</v>
      </c>
      <c r="AXO180">
        <v>29</v>
      </c>
      <c r="AXP180">
        <v>22</v>
      </c>
      <c r="AXQ180">
        <v>0</v>
      </c>
      <c r="AXX180">
        <v>1</v>
      </c>
      <c r="AXZ180">
        <v>8</v>
      </c>
      <c r="AYA180">
        <v>29</v>
      </c>
      <c r="AYB180">
        <v>22</v>
      </c>
      <c r="AYC180">
        <v>1</v>
      </c>
      <c r="DKE180">
        <v>1</v>
      </c>
      <c r="DVY180">
        <v>2</v>
      </c>
      <c r="DVZ180">
        <v>1</v>
      </c>
      <c r="DWA180">
        <v>1</v>
      </c>
      <c r="DWD180" s="35">
        <v>999</v>
      </c>
      <c r="DWE180">
        <v>83</v>
      </c>
      <c r="DWF180">
        <v>0</v>
      </c>
      <c r="DWG180">
        <v>999</v>
      </c>
      <c r="EVE180">
        <v>1</v>
      </c>
      <c r="EVF180">
        <v>4</v>
      </c>
      <c r="EVG180">
        <v>20</v>
      </c>
      <c r="EVH180">
        <v>17</v>
      </c>
      <c r="EVI180">
        <v>0</v>
      </c>
      <c r="EVV180" t="s">
        <v>2248</v>
      </c>
      <c r="EVZ180">
        <v>1</v>
      </c>
      <c r="EWA180">
        <v>3</v>
      </c>
      <c r="EWB180">
        <v>3</v>
      </c>
      <c r="EWC180">
        <v>1</v>
      </c>
      <c r="EWD180">
        <v>0</v>
      </c>
      <c r="FWC180">
        <v>1</v>
      </c>
      <c r="FWD180">
        <v>1</v>
      </c>
      <c r="FXG180">
        <v>1</v>
      </c>
    </row>
    <row r="181" spans="1:997 1048:2028 2123:3005 3301:3992 4569:5045" x14ac:dyDescent="0.25">
      <c r="A181" s="50">
        <v>10002875</v>
      </c>
      <c r="AH181" s="50"/>
      <c r="AI181" s="50"/>
      <c r="AJ181" s="50"/>
      <c r="AK181" s="50">
        <v>11.29</v>
      </c>
      <c r="AL181" s="50">
        <v>9.4600000000000009</v>
      </c>
      <c r="AM181" s="57">
        <v>9.4657999999999998</v>
      </c>
      <c r="AN181" s="57">
        <v>11.3192</v>
      </c>
      <c r="AO181" s="57">
        <v>13.470800000000001</v>
      </c>
      <c r="AP181" s="57">
        <v>17.458200000000001</v>
      </c>
      <c r="AQ181" s="50"/>
      <c r="AR181" s="50"/>
      <c r="AS181" s="50"/>
      <c r="AT181" s="50"/>
      <c r="AU181" s="50"/>
      <c r="AX181" s="3">
        <v>19.235600000000002</v>
      </c>
      <c r="BD181" s="3">
        <v>11.576499999999999</v>
      </c>
      <c r="BF181" s="3">
        <v>9.5885999999999996</v>
      </c>
      <c r="BI181" s="3">
        <v>6.9576000000000002</v>
      </c>
      <c r="CN181" s="3">
        <v>10.646800000000001</v>
      </c>
      <c r="CO181" s="3">
        <v>8.5419999999999998</v>
      </c>
      <c r="CP181" s="3">
        <v>9.1033000000000008</v>
      </c>
      <c r="CQ181" s="3">
        <v>8.8811</v>
      </c>
      <c r="CR181" s="3">
        <v>12.5646</v>
      </c>
      <c r="CS181" s="3">
        <v>16.440899999999999</v>
      </c>
      <c r="CT181" s="3"/>
      <c r="EY181">
        <v>210</v>
      </c>
      <c r="EZ181">
        <v>181.8</v>
      </c>
      <c r="FB181">
        <v>197.4</v>
      </c>
      <c r="FC181">
        <v>216.6</v>
      </c>
      <c r="FD181" s="14">
        <v>222</v>
      </c>
      <c r="FL181">
        <v>202</v>
      </c>
      <c r="FT181">
        <v>160</v>
      </c>
      <c r="FX181">
        <v>143</v>
      </c>
      <c r="MC181">
        <v>2.2999999999999998</v>
      </c>
      <c r="MR181">
        <v>56.7</v>
      </c>
      <c r="MU181">
        <v>33.9</v>
      </c>
      <c r="MV181">
        <v>28.2</v>
      </c>
      <c r="MX181">
        <v>22.2</v>
      </c>
      <c r="ALI181">
        <v>66</v>
      </c>
      <c r="ANH181">
        <v>51</v>
      </c>
      <c r="ANJ181">
        <v>1</v>
      </c>
      <c r="ANK181">
        <v>26.57</v>
      </c>
      <c r="ANM181">
        <v>1</v>
      </c>
      <c r="ANN181">
        <v>23</v>
      </c>
      <c r="ANO181">
        <v>1</v>
      </c>
      <c r="ANP181">
        <v>1</v>
      </c>
      <c r="ANR181">
        <v>1</v>
      </c>
      <c r="APC181">
        <v>1</v>
      </c>
      <c r="APE181">
        <v>1</v>
      </c>
      <c r="APG181">
        <v>1</v>
      </c>
      <c r="APK181">
        <v>1</v>
      </c>
      <c r="ARC181">
        <v>1</v>
      </c>
      <c r="ATN181">
        <v>1</v>
      </c>
      <c r="AXF181" s="50"/>
      <c r="AXG181" s="50"/>
      <c r="AXH181" s="50">
        <v>500</v>
      </c>
      <c r="AXI181" s="50">
        <v>6</v>
      </c>
      <c r="AXL181">
        <v>1</v>
      </c>
      <c r="AXN181">
        <v>8</v>
      </c>
      <c r="AXO181">
        <v>6</v>
      </c>
      <c r="AXP181">
        <v>0</v>
      </c>
      <c r="AXQ181">
        <v>1</v>
      </c>
      <c r="AXT181">
        <v>500</v>
      </c>
      <c r="AXU181">
        <v>6</v>
      </c>
      <c r="AXX181">
        <v>1</v>
      </c>
      <c r="AXZ181">
        <v>999</v>
      </c>
      <c r="AYA181">
        <v>999</v>
      </c>
      <c r="AYB181">
        <v>7</v>
      </c>
      <c r="AYC181">
        <v>0</v>
      </c>
      <c r="DKF181">
        <v>80</v>
      </c>
      <c r="DKG181">
        <v>1</v>
      </c>
      <c r="DKJ181">
        <v>1</v>
      </c>
      <c r="DKK181" s="35">
        <v>999</v>
      </c>
      <c r="DKL181">
        <v>999</v>
      </c>
      <c r="DKM181">
        <v>0</v>
      </c>
      <c r="DKN181">
        <v>999</v>
      </c>
      <c r="EWF181">
        <v>1</v>
      </c>
      <c r="EWG181">
        <v>1</v>
      </c>
      <c r="EWJ181">
        <v>1</v>
      </c>
      <c r="EWK181" s="15">
        <v>999</v>
      </c>
      <c r="EWL181">
        <v>999</v>
      </c>
      <c r="EWM181">
        <v>0</v>
      </c>
      <c r="EWN181">
        <v>1</v>
      </c>
      <c r="FUT181">
        <v>1</v>
      </c>
      <c r="FXS181">
        <v>1</v>
      </c>
      <c r="GAC181">
        <v>1</v>
      </c>
      <c r="GAD181">
        <v>1</v>
      </c>
      <c r="GAE181">
        <v>1</v>
      </c>
      <c r="GAS181">
        <v>1</v>
      </c>
      <c r="GBM181">
        <v>1</v>
      </c>
      <c r="GBO181">
        <v>1</v>
      </c>
      <c r="GKT181">
        <v>1</v>
      </c>
      <c r="GKW181">
        <v>1</v>
      </c>
      <c r="GKZ181">
        <v>1</v>
      </c>
    </row>
    <row r="182" spans="1:997 1048:2028 2123:3005 3301:3992 4569:5045" x14ac:dyDescent="0.25">
      <c r="A182" s="50">
        <v>10023080</v>
      </c>
      <c r="AH182" s="50"/>
      <c r="AI182" s="50">
        <v>8.1999999999999993</v>
      </c>
      <c r="AJ182" s="50"/>
      <c r="AK182" s="50"/>
      <c r="AL182" s="50"/>
      <c r="AM182" s="50"/>
      <c r="AN182" s="50"/>
      <c r="AO182" s="50"/>
      <c r="AP182" s="50"/>
      <c r="AQ182" s="50"/>
      <c r="AR182" s="50"/>
      <c r="AS182" s="50"/>
      <c r="AT182" s="50"/>
      <c r="AU182" s="50"/>
      <c r="BL182">
        <v>8.1999999999999993</v>
      </c>
      <c r="EW182">
        <v>323</v>
      </c>
      <c r="GC182">
        <v>94</v>
      </c>
      <c r="ANH182">
        <v>55</v>
      </c>
      <c r="ANI182">
        <v>1</v>
      </c>
      <c r="ANK182">
        <v>28.67</v>
      </c>
      <c r="AOG182">
        <v>1</v>
      </c>
      <c r="AXF182" s="50"/>
      <c r="AXG182" s="50"/>
      <c r="AXH182" s="50">
        <v>600</v>
      </c>
      <c r="AXI182" s="50">
        <v>2</v>
      </c>
      <c r="AXL182">
        <v>1</v>
      </c>
      <c r="AXN182">
        <v>13</v>
      </c>
      <c r="AXO182">
        <v>13</v>
      </c>
      <c r="AXP182">
        <v>1</v>
      </c>
      <c r="AXQ182">
        <v>0</v>
      </c>
      <c r="DKF182">
        <v>20</v>
      </c>
      <c r="DKG182">
        <v>1</v>
      </c>
      <c r="DKJ182">
        <v>1</v>
      </c>
      <c r="DKK182">
        <v>13</v>
      </c>
      <c r="DKL182">
        <v>13</v>
      </c>
      <c r="DKM182">
        <v>1</v>
      </c>
      <c r="DKN182">
        <v>0</v>
      </c>
      <c r="DKO182">
        <v>10</v>
      </c>
      <c r="FXS182">
        <v>1</v>
      </c>
      <c r="GAD182">
        <v>1</v>
      </c>
      <c r="GAE182">
        <v>1</v>
      </c>
      <c r="GAK182">
        <v>1</v>
      </c>
      <c r="GLA182">
        <v>1</v>
      </c>
    </row>
    <row r="183" spans="1:997 1048:2028 2123:3005 3301:3992 4569:5045" x14ac:dyDescent="0.25">
      <c r="A183" s="50">
        <v>10025212</v>
      </c>
      <c r="AH183" s="50"/>
      <c r="AI183" s="50"/>
      <c r="AJ183" s="50"/>
      <c r="AK183" s="50"/>
      <c r="AL183" s="50"/>
      <c r="AM183" s="50"/>
      <c r="AN183" s="50"/>
      <c r="AO183" s="50"/>
      <c r="AP183" s="50"/>
      <c r="AQ183" s="50"/>
      <c r="AR183" s="50"/>
      <c r="AS183" s="50"/>
      <c r="AT183" s="50"/>
      <c r="AU183" s="50"/>
      <c r="BA183">
        <v>0.99</v>
      </c>
      <c r="BB183">
        <v>1.8</v>
      </c>
      <c r="BK183">
        <v>0.96</v>
      </c>
      <c r="FN183">
        <v>81</v>
      </c>
      <c r="FT183">
        <v>111</v>
      </c>
      <c r="ANH183">
        <v>61</v>
      </c>
      <c r="ANI183">
        <v>1</v>
      </c>
      <c r="AOX183">
        <v>1</v>
      </c>
      <c r="APB183">
        <v>1</v>
      </c>
      <c r="ARC183">
        <v>1</v>
      </c>
      <c r="ARL183">
        <v>1</v>
      </c>
      <c r="ARP183">
        <v>1</v>
      </c>
      <c r="AXF183" s="50"/>
      <c r="AXG183" s="50"/>
      <c r="AXH183" s="50">
        <v>400</v>
      </c>
      <c r="AXI183" s="50">
        <v>1</v>
      </c>
      <c r="AXL183">
        <v>1</v>
      </c>
      <c r="AXM183">
        <v>999</v>
      </c>
      <c r="AXN183">
        <v>999</v>
      </c>
      <c r="AXO183">
        <v>0</v>
      </c>
      <c r="AXP183">
        <v>2</v>
      </c>
      <c r="AXQ183">
        <v>0</v>
      </c>
      <c r="AXR183">
        <v>50</v>
      </c>
      <c r="AXT183">
        <v>500</v>
      </c>
      <c r="AXU183">
        <v>2</v>
      </c>
      <c r="AXX183">
        <v>1</v>
      </c>
      <c r="AXZ183">
        <v>999</v>
      </c>
      <c r="AYA183">
        <v>999</v>
      </c>
      <c r="AYB183">
        <v>0</v>
      </c>
      <c r="AYC183">
        <v>16</v>
      </c>
      <c r="AYD183">
        <v>30</v>
      </c>
      <c r="BKX183">
        <v>600</v>
      </c>
      <c r="BKY183">
        <v>3</v>
      </c>
      <c r="BLB183">
        <v>1</v>
      </c>
      <c r="BLC183">
        <v>7</v>
      </c>
      <c r="BLD183">
        <v>3</v>
      </c>
      <c r="BLE183">
        <v>0</v>
      </c>
      <c r="BLF183">
        <v>3</v>
      </c>
      <c r="BLG183">
        <v>30</v>
      </c>
      <c r="FWA183">
        <v>1</v>
      </c>
      <c r="FWC183">
        <v>1</v>
      </c>
      <c r="GAD183">
        <v>1</v>
      </c>
    </row>
    <row r="184" spans="1:997 1048:2028 2123:3005 3301:3992 4569:5045" x14ac:dyDescent="0.25">
      <c r="A184" s="50">
        <v>10069407</v>
      </c>
      <c r="AH184" s="50"/>
      <c r="AI184" s="50"/>
      <c r="AJ184" s="50"/>
      <c r="AK184" s="50"/>
      <c r="AL184" s="50"/>
      <c r="AM184" s="50"/>
      <c r="AN184" s="50"/>
      <c r="AO184" s="50"/>
      <c r="AP184" s="50"/>
      <c r="AQ184" s="50">
        <v>0.7</v>
      </c>
      <c r="AR184" s="50"/>
      <c r="AS184" s="50"/>
      <c r="AT184" s="50"/>
      <c r="AU184" s="50"/>
      <c r="EX184">
        <v>56</v>
      </c>
      <c r="FE184">
        <v>57</v>
      </c>
      <c r="ANH184">
        <v>61</v>
      </c>
      <c r="ANJ184">
        <v>1</v>
      </c>
      <c r="ANK184">
        <v>30.41</v>
      </c>
      <c r="APB184">
        <v>1</v>
      </c>
      <c r="AQG184">
        <v>1</v>
      </c>
      <c r="AQV184">
        <v>1</v>
      </c>
      <c r="AQY184">
        <v>1</v>
      </c>
      <c r="ARC184">
        <v>1</v>
      </c>
      <c r="ASA184">
        <v>1</v>
      </c>
      <c r="ASY184">
        <v>1</v>
      </c>
      <c r="ATN184">
        <v>1</v>
      </c>
      <c r="AXH184">
        <v>600</v>
      </c>
      <c r="AXI184">
        <v>1</v>
      </c>
      <c r="AXL184">
        <v>1</v>
      </c>
      <c r="AXN184">
        <v>57</v>
      </c>
      <c r="AXO184">
        <v>61</v>
      </c>
      <c r="AXP184">
        <v>0</v>
      </c>
      <c r="AXQ184">
        <v>0</v>
      </c>
      <c r="BCG184">
        <v>100</v>
      </c>
      <c r="BCH184">
        <v>4</v>
      </c>
      <c r="BCK184">
        <v>1</v>
      </c>
      <c r="BCL184">
        <v>59</v>
      </c>
      <c r="BCM184">
        <v>54</v>
      </c>
      <c r="BCN184">
        <v>0</v>
      </c>
      <c r="BCO184">
        <v>4</v>
      </c>
      <c r="BHE184">
        <v>1</v>
      </c>
      <c r="BHF184">
        <v>59</v>
      </c>
      <c r="BHG184">
        <v>54</v>
      </c>
      <c r="BHH184">
        <v>0</v>
      </c>
      <c r="BHI184">
        <v>4</v>
      </c>
      <c r="CLD184">
        <v>2.5</v>
      </c>
      <c r="CLE184">
        <v>1</v>
      </c>
      <c r="CLH184">
        <v>1</v>
      </c>
      <c r="CLI184" s="35">
        <v>999</v>
      </c>
      <c r="CLJ184">
        <v>999</v>
      </c>
      <c r="CLK184">
        <v>0</v>
      </c>
      <c r="CLL184">
        <v>999</v>
      </c>
      <c r="DCS184">
        <v>20</v>
      </c>
      <c r="DCT184">
        <v>1</v>
      </c>
      <c r="DCW184">
        <v>1</v>
      </c>
      <c r="DCX184">
        <v>8</v>
      </c>
      <c r="DCY184">
        <v>183</v>
      </c>
      <c r="DCZ184">
        <v>175</v>
      </c>
      <c r="DDA184">
        <v>0</v>
      </c>
      <c r="DEU184">
        <v>100</v>
      </c>
      <c r="DEV184">
        <v>1</v>
      </c>
      <c r="DEY184">
        <v>1</v>
      </c>
      <c r="DEZ184" s="35">
        <v>999</v>
      </c>
      <c r="DFB184">
        <v>0</v>
      </c>
      <c r="DFC184">
        <v>999</v>
      </c>
      <c r="DWI184">
        <v>10</v>
      </c>
      <c r="DWJ184">
        <v>1</v>
      </c>
      <c r="DWM184">
        <v>1</v>
      </c>
      <c r="DWN184" s="35">
        <v>999</v>
      </c>
      <c r="DWO184">
        <v>153</v>
      </c>
      <c r="DWP184">
        <v>0</v>
      </c>
      <c r="DWQ184">
        <v>999</v>
      </c>
      <c r="GAD184">
        <v>1</v>
      </c>
    </row>
    <row r="185" spans="1:997 1048:2028 2123:3005 3301:3992 4569:5045" x14ac:dyDescent="0.25">
      <c r="A185" s="50">
        <v>10071135</v>
      </c>
      <c r="AV185">
        <v>0.98219999999999996</v>
      </c>
      <c r="AX185" s="3">
        <v>1.0173000000000001</v>
      </c>
      <c r="AZ185" s="3">
        <v>1.3097000000000001</v>
      </c>
      <c r="FJ185" t="s">
        <v>2201</v>
      </c>
      <c r="FL185">
        <v>89.4</v>
      </c>
      <c r="IU185" s="3">
        <v>3.6833999999999998</v>
      </c>
      <c r="IV185" s="3"/>
      <c r="IX185" s="3">
        <v>4.4435000000000002</v>
      </c>
      <c r="IZ185" s="3">
        <v>4.4435000000000002</v>
      </c>
      <c r="KF185">
        <v>145.80000000000001</v>
      </c>
      <c r="LA185">
        <v>486</v>
      </c>
      <c r="LC185">
        <v>138</v>
      </c>
      <c r="LE185">
        <v>174</v>
      </c>
      <c r="LG185">
        <v>216</v>
      </c>
      <c r="MN185">
        <v>3</v>
      </c>
      <c r="MP185">
        <v>63.9</v>
      </c>
      <c r="MR185">
        <v>18.5</v>
      </c>
      <c r="MU185">
        <v>3</v>
      </c>
      <c r="RK185">
        <v>368000</v>
      </c>
      <c r="ZA185">
        <v>48</v>
      </c>
      <c r="AFF185">
        <v>142</v>
      </c>
      <c r="AFJ185">
        <v>137</v>
      </c>
      <c r="AGL185">
        <v>3.8</v>
      </c>
      <c r="AGO185">
        <v>4</v>
      </c>
      <c r="AHN185">
        <v>2.6</v>
      </c>
      <c r="AHO185">
        <v>2.7</v>
      </c>
      <c r="ANH185">
        <v>29</v>
      </c>
      <c r="ANI185">
        <v>1</v>
      </c>
      <c r="ANK185">
        <v>26.79</v>
      </c>
      <c r="ANM185">
        <v>1</v>
      </c>
      <c r="ANN185">
        <v>20</v>
      </c>
      <c r="ANO185">
        <v>1</v>
      </c>
      <c r="ANP185">
        <v>1</v>
      </c>
      <c r="ANU185">
        <v>1</v>
      </c>
      <c r="AWM185">
        <v>1</v>
      </c>
      <c r="AXH185">
        <v>800</v>
      </c>
      <c r="AXI185">
        <v>3</v>
      </c>
      <c r="AXL185">
        <v>1</v>
      </c>
      <c r="AXN185">
        <v>34</v>
      </c>
      <c r="AXO185">
        <v>25</v>
      </c>
      <c r="AXP185">
        <v>0</v>
      </c>
      <c r="AXQ185">
        <v>8</v>
      </c>
      <c r="BYR185">
        <v>384</v>
      </c>
      <c r="BYS185">
        <v>3</v>
      </c>
      <c r="BYV185">
        <v>1</v>
      </c>
      <c r="BYW185">
        <v>6</v>
      </c>
      <c r="BYX185">
        <v>25</v>
      </c>
      <c r="BYY185">
        <v>0</v>
      </c>
      <c r="BYZ185">
        <v>11</v>
      </c>
      <c r="CYS185">
        <v>40</v>
      </c>
      <c r="CYT185">
        <v>1</v>
      </c>
      <c r="CYW185">
        <v>1</v>
      </c>
      <c r="CYY185">
        <v>37</v>
      </c>
      <c r="CYZ185">
        <v>25</v>
      </c>
      <c r="CZA185">
        <v>0</v>
      </c>
      <c r="CZB185">
        <v>11</v>
      </c>
      <c r="DKF185">
        <v>40</v>
      </c>
      <c r="DKG185">
        <v>1</v>
      </c>
      <c r="DKJ185">
        <v>1</v>
      </c>
      <c r="DKK185" s="35">
        <v>999</v>
      </c>
      <c r="DKL185">
        <v>25</v>
      </c>
      <c r="DKM185">
        <v>0</v>
      </c>
      <c r="DKN185">
        <v>999</v>
      </c>
      <c r="FWD185">
        <v>1</v>
      </c>
      <c r="FXG185">
        <v>1</v>
      </c>
      <c r="FXH185">
        <v>1</v>
      </c>
      <c r="GAE185">
        <v>1</v>
      </c>
      <c r="GAG185">
        <v>1</v>
      </c>
    </row>
    <row r="186" spans="1:997 1048:2028 2123:3005 3301:3992 4569:5045" x14ac:dyDescent="0.25">
      <c r="A186" s="50">
        <v>10083649</v>
      </c>
      <c r="ANH186">
        <v>53</v>
      </c>
      <c r="ANJ186">
        <v>1</v>
      </c>
      <c r="ANM186">
        <v>1</v>
      </c>
      <c r="ANO186">
        <v>1</v>
      </c>
      <c r="AOT186">
        <v>1</v>
      </c>
      <c r="AXL186">
        <v>1</v>
      </c>
      <c r="AXN186">
        <v>1</v>
      </c>
      <c r="AXO186">
        <v>0</v>
      </c>
      <c r="AXP186">
        <v>0</v>
      </c>
      <c r="AXQ186">
        <v>0</v>
      </c>
      <c r="BFP186">
        <v>1</v>
      </c>
      <c r="BFQ186">
        <v>1</v>
      </c>
      <c r="BFR186">
        <v>0</v>
      </c>
      <c r="BFS186">
        <v>0</v>
      </c>
      <c r="BFT186">
        <v>0</v>
      </c>
      <c r="CMW186">
        <v>1</v>
      </c>
      <c r="CMX186">
        <v>0</v>
      </c>
      <c r="CMY186">
        <v>0</v>
      </c>
      <c r="CMZ186">
        <v>0</v>
      </c>
      <c r="ELE186">
        <v>2450</v>
      </c>
      <c r="ELF186">
        <v>1</v>
      </c>
      <c r="ELI186">
        <v>1</v>
      </c>
      <c r="ELJ186">
        <v>1</v>
      </c>
      <c r="ELK186">
        <v>0</v>
      </c>
      <c r="ELL186">
        <v>0</v>
      </c>
      <c r="ELM186">
        <v>0</v>
      </c>
      <c r="FVE186">
        <v>1</v>
      </c>
    </row>
    <row r="187" spans="1:997 1048:2028 2123:3005 3301:3992 4569:5045" x14ac:dyDescent="0.25">
      <c r="A187" s="50">
        <v>10102021</v>
      </c>
      <c r="AJ187" s="50"/>
      <c r="MB187">
        <v>31.2</v>
      </c>
      <c r="ME187">
        <v>3.51</v>
      </c>
      <c r="XH187">
        <v>1800.15</v>
      </c>
      <c r="XM187">
        <v>4200.34</v>
      </c>
      <c r="AAG187" s="3">
        <v>73</v>
      </c>
      <c r="AAJ187" s="3">
        <v>73.599999999999994</v>
      </c>
      <c r="ABM187" s="3">
        <v>24.332100000000001</v>
      </c>
      <c r="ABP187" s="3">
        <v>24.009899999999998</v>
      </c>
      <c r="ANH187">
        <v>1</v>
      </c>
      <c r="ANI187">
        <v>1</v>
      </c>
      <c r="ANK187">
        <v>13.49</v>
      </c>
      <c r="ANN187">
        <v>1</v>
      </c>
      <c r="ASU187">
        <v>1</v>
      </c>
      <c r="AXL187">
        <v>1</v>
      </c>
      <c r="AXN187" s="35">
        <v>999</v>
      </c>
      <c r="AXO187">
        <v>0</v>
      </c>
      <c r="AXP187">
        <v>0</v>
      </c>
      <c r="AXQ187">
        <v>999</v>
      </c>
      <c r="FVO187">
        <v>1</v>
      </c>
      <c r="FWD187">
        <v>1</v>
      </c>
      <c r="FWH187">
        <v>1</v>
      </c>
      <c r="FYM187">
        <v>1</v>
      </c>
      <c r="GDC187">
        <v>1</v>
      </c>
    </row>
    <row r="188" spans="1:997 1048:2028 2123:3005 3301:3992 4569:5045" x14ac:dyDescent="0.25">
      <c r="A188" s="50">
        <v>10123729</v>
      </c>
      <c r="AJ188" s="50"/>
      <c r="AK188">
        <v>16.600000000000001</v>
      </c>
      <c r="AO188">
        <v>24.4</v>
      </c>
      <c r="AU188">
        <v>14.7</v>
      </c>
      <c r="CH188">
        <v>0.9</v>
      </c>
      <c r="EY188">
        <v>545</v>
      </c>
      <c r="FI188">
        <v>469</v>
      </c>
      <c r="KO188" s="50"/>
      <c r="KP188" s="50"/>
      <c r="KQ188" s="50"/>
      <c r="KR188" s="50"/>
      <c r="KS188" s="50"/>
      <c r="KT188" s="50"/>
      <c r="KU188" s="50"/>
      <c r="KV188" s="50"/>
      <c r="KW188" s="50"/>
      <c r="ANH188">
        <v>88</v>
      </c>
      <c r="ANJ188">
        <v>1</v>
      </c>
      <c r="ANK188">
        <v>17.97</v>
      </c>
      <c r="AQX188">
        <v>1</v>
      </c>
      <c r="ARC188">
        <v>1</v>
      </c>
      <c r="ARP188">
        <v>1</v>
      </c>
      <c r="ASZ188">
        <v>1</v>
      </c>
      <c r="ATW188">
        <v>1</v>
      </c>
      <c r="AXL188">
        <v>1</v>
      </c>
      <c r="AXN188">
        <v>180</v>
      </c>
      <c r="AXO188">
        <v>180</v>
      </c>
      <c r="AXP188">
        <v>1</v>
      </c>
      <c r="AXQ188">
        <v>0</v>
      </c>
      <c r="AXR188">
        <v>50</v>
      </c>
      <c r="CCQ188">
        <v>25</v>
      </c>
      <c r="CCR188">
        <v>1</v>
      </c>
      <c r="CCU188">
        <v>1</v>
      </c>
      <c r="CCV188" s="35">
        <v>999</v>
      </c>
      <c r="CCW188">
        <v>26</v>
      </c>
      <c r="CCX188">
        <v>0</v>
      </c>
      <c r="CCY188">
        <v>999</v>
      </c>
      <c r="CLD188">
        <v>2.5</v>
      </c>
      <c r="CLE188">
        <v>1</v>
      </c>
      <c r="CLH188">
        <v>1</v>
      </c>
      <c r="CLI188" s="35">
        <v>999</v>
      </c>
      <c r="CLJ188">
        <v>153</v>
      </c>
      <c r="CLK188">
        <v>0</v>
      </c>
      <c r="CLL188">
        <v>999</v>
      </c>
      <c r="CUO188">
        <v>15</v>
      </c>
      <c r="CUP188">
        <v>1</v>
      </c>
      <c r="CUS188">
        <v>1</v>
      </c>
      <c r="CUT188">
        <v>122</v>
      </c>
      <c r="CUU188">
        <v>122</v>
      </c>
      <c r="CUV188">
        <v>0</v>
      </c>
      <c r="CUW188">
        <v>1</v>
      </c>
      <c r="CUX188">
        <v>50</v>
      </c>
      <c r="DCS188">
        <v>5</v>
      </c>
      <c r="DCT188">
        <v>1</v>
      </c>
      <c r="DCW188">
        <v>1</v>
      </c>
      <c r="DCX188" s="35">
        <v>999</v>
      </c>
      <c r="DCY188">
        <v>915</v>
      </c>
      <c r="DCZ188">
        <v>0</v>
      </c>
      <c r="DDA188">
        <v>999</v>
      </c>
      <c r="DKF188">
        <v>20</v>
      </c>
      <c r="DKG188">
        <v>1</v>
      </c>
      <c r="DKJ188">
        <v>1</v>
      </c>
      <c r="DKK188" s="35">
        <v>999</v>
      </c>
      <c r="DKL188">
        <v>214</v>
      </c>
      <c r="DKM188">
        <v>0</v>
      </c>
      <c r="DKN188">
        <v>999</v>
      </c>
      <c r="DXR188">
        <v>1</v>
      </c>
      <c r="DXS188">
        <v>92</v>
      </c>
      <c r="DXT188">
        <v>92</v>
      </c>
      <c r="DXW188">
        <v>50</v>
      </c>
      <c r="FSS188">
        <v>1</v>
      </c>
      <c r="GAD188">
        <v>1</v>
      </c>
    </row>
    <row r="189" spans="1:997 1048:2028 2123:3005 3301:3992 4569:5045" x14ac:dyDescent="0.25">
      <c r="A189" s="50">
        <v>10144736</v>
      </c>
      <c r="AJ189" s="50">
        <v>0.73</v>
      </c>
      <c r="EX189">
        <v>92</v>
      </c>
      <c r="KO189" s="50"/>
      <c r="KP189" s="50"/>
      <c r="KQ189" s="50"/>
      <c r="KR189" s="50"/>
      <c r="KS189" s="50"/>
      <c r="KT189" s="50"/>
      <c r="KU189" s="50"/>
      <c r="KV189" s="50"/>
      <c r="KW189" s="50"/>
      <c r="ANH189">
        <v>56</v>
      </c>
      <c r="ANJ189">
        <v>1</v>
      </c>
      <c r="ANK189">
        <v>23.8</v>
      </c>
      <c r="APC189">
        <v>1</v>
      </c>
      <c r="AQG189">
        <v>1</v>
      </c>
      <c r="AVQ189">
        <v>1</v>
      </c>
      <c r="AXH189">
        <v>800</v>
      </c>
      <c r="AXI189">
        <v>1</v>
      </c>
      <c r="AXL189">
        <v>1</v>
      </c>
      <c r="AXN189">
        <v>732</v>
      </c>
      <c r="AXO189">
        <v>732</v>
      </c>
      <c r="AXP189">
        <v>1</v>
      </c>
      <c r="AXQ189">
        <v>0</v>
      </c>
      <c r="AXR189">
        <v>30</v>
      </c>
      <c r="AZP189">
        <v>1</v>
      </c>
      <c r="AZQ189">
        <v>1</v>
      </c>
      <c r="AZR189">
        <v>1</v>
      </c>
      <c r="AZS189">
        <v>1</v>
      </c>
      <c r="AZT189">
        <v>0</v>
      </c>
      <c r="AZU189">
        <v>50</v>
      </c>
      <c r="BFP189">
        <v>1</v>
      </c>
      <c r="BFQ189">
        <v>1</v>
      </c>
      <c r="BFR189">
        <v>1</v>
      </c>
      <c r="BFS189">
        <v>1</v>
      </c>
      <c r="BFT189">
        <v>0</v>
      </c>
      <c r="FWC189">
        <v>1</v>
      </c>
      <c r="FWD189">
        <v>1</v>
      </c>
      <c r="FXH189">
        <v>1</v>
      </c>
      <c r="GAD189">
        <v>1</v>
      </c>
    </row>
    <row r="190" spans="1:997 1048:2028 2123:3005 3301:3992 4569:5045" x14ac:dyDescent="0.25">
      <c r="A190" s="50">
        <v>10157275</v>
      </c>
      <c r="AJ190" s="57"/>
      <c r="CL190" s="50">
        <v>106</v>
      </c>
      <c r="EW190">
        <v>133</v>
      </c>
      <c r="HC190" s="50"/>
      <c r="HD190" s="50"/>
      <c r="HE190" s="50"/>
      <c r="HF190" s="50"/>
      <c r="HG190" s="50"/>
      <c r="HH190" s="50"/>
      <c r="HI190" s="50"/>
      <c r="HJ190" s="50"/>
      <c r="HK190" s="50"/>
      <c r="HL190" s="50"/>
      <c r="HM190" s="50"/>
      <c r="HN190" s="50"/>
      <c r="HO190" s="50"/>
      <c r="HP190" s="50"/>
      <c r="HQ190" s="50"/>
      <c r="HR190" s="50"/>
      <c r="JR190">
        <v>110</v>
      </c>
      <c r="KO190" s="50"/>
      <c r="KP190" s="50">
        <v>92</v>
      </c>
      <c r="KQ190" s="50"/>
      <c r="KR190" s="50"/>
      <c r="KS190" s="50"/>
      <c r="KT190" s="50"/>
      <c r="KU190" s="50"/>
      <c r="KV190" s="50"/>
      <c r="KW190" s="50"/>
      <c r="ANH190">
        <v>71</v>
      </c>
      <c r="ANJ190">
        <v>1</v>
      </c>
      <c r="ANK190">
        <v>25.08</v>
      </c>
      <c r="ANM190">
        <v>1</v>
      </c>
      <c r="AQY190">
        <v>1</v>
      </c>
      <c r="ART190">
        <v>1</v>
      </c>
      <c r="AVU190">
        <v>1</v>
      </c>
      <c r="AWJ190">
        <v>1</v>
      </c>
      <c r="AXH190">
        <v>3000</v>
      </c>
      <c r="AXI190">
        <v>1</v>
      </c>
      <c r="AXL190">
        <v>1</v>
      </c>
      <c r="AXS190">
        <v>1</v>
      </c>
      <c r="AYE190">
        <v>1</v>
      </c>
      <c r="AZK190">
        <v>1</v>
      </c>
      <c r="BAF190">
        <v>1660</v>
      </c>
      <c r="BAG190">
        <v>1</v>
      </c>
      <c r="BOA190">
        <v>400</v>
      </c>
      <c r="BOB190">
        <v>1</v>
      </c>
      <c r="BOE190">
        <v>1</v>
      </c>
      <c r="BOF190">
        <v>11</v>
      </c>
      <c r="BOG190">
        <v>0</v>
      </c>
      <c r="BOH190">
        <v>0</v>
      </c>
      <c r="BOI190">
        <v>10</v>
      </c>
      <c r="CTT190">
        <v>1</v>
      </c>
      <c r="CVO190">
        <v>22</v>
      </c>
      <c r="CVP190">
        <v>11</v>
      </c>
      <c r="CVQ190">
        <v>0</v>
      </c>
      <c r="CVR190">
        <v>10</v>
      </c>
      <c r="CZX190">
        <v>10</v>
      </c>
      <c r="CZY190">
        <v>1</v>
      </c>
      <c r="DAS190">
        <v>20</v>
      </c>
      <c r="DAT190">
        <v>2</v>
      </c>
      <c r="DAW190">
        <v>1</v>
      </c>
      <c r="EIL190">
        <v>1</v>
      </c>
      <c r="EIM190">
        <v>1</v>
      </c>
      <c r="EIP190">
        <v>1</v>
      </c>
      <c r="FVF190">
        <v>1</v>
      </c>
      <c r="FVS190">
        <v>1</v>
      </c>
      <c r="FWV190">
        <v>1</v>
      </c>
      <c r="FZX190">
        <v>1</v>
      </c>
      <c r="GAA190">
        <v>1</v>
      </c>
      <c r="GAD190">
        <v>1</v>
      </c>
    </row>
    <row r="191" spans="1:997 1048:2028 2123:3005 3301:3992 4569:5045" x14ac:dyDescent="0.25">
      <c r="A191" s="54"/>
      <c r="AJ191" s="50"/>
      <c r="HC191" s="50"/>
      <c r="HD191" s="50"/>
      <c r="HE191" s="50"/>
      <c r="HF191" s="50"/>
      <c r="HG191" s="50"/>
      <c r="HH191" s="50"/>
      <c r="HI191" s="50"/>
      <c r="HJ191" s="50"/>
      <c r="HK191" s="50"/>
      <c r="HL191" s="50"/>
      <c r="HM191" s="50"/>
      <c r="HN191" s="50"/>
      <c r="HO191" s="50"/>
      <c r="HP191" s="50"/>
      <c r="HQ191" s="50"/>
      <c r="HR191" s="50"/>
      <c r="KO191" s="50"/>
      <c r="KP191" s="50"/>
      <c r="KQ191" s="50"/>
      <c r="KR191" s="50"/>
      <c r="KS191" s="50"/>
      <c r="KT191" s="50"/>
      <c r="KU191" s="50"/>
      <c r="KV191" s="50"/>
      <c r="KW191" s="50"/>
    </row>
    <row r="192" spans="1:997 1048:2028 2123:3005 3301:3992 4569:5045" x14ac:dyDescent="0.25">
      <c r="A192" s="52" t="s">
        <v>120</v>
      </c>
      <c r="AJ192" s="50"/>
      <c r="HC192" s="50"/>
      <c r="HD192" s="50"/>
      <c r="HE192" s="50"/>
      <c r="HF192" s="50"/>
      <c r="HG192" s="50"/>
      <c r="HH192" s="50"/>
      <c r="HI192" s="50"/>
      <c r="HJ192" s="50"/>
      <c r="HK192" s="50"/>
      <c r="HL192" s="50"/>
      <c r="HM192" s="50"/>
      <c r="HN192" s="50"/>
      <c r="HO192" s="50"/>
      <c r="HP192" s="50"/>
      <c r="HQ192" s="50"/>
      <c r="HR192" s="50"/>
      <c r="KO192" s="50"/>
      <c r="KP192" s="50"/>
      <c r="KQ192" s="50"/>
      <c r="KR192" s="50"/>
      <c r="KS192" s="50"/>
      <c r="KT192" s="50"/>
      <c r="KU192" s="50"/>
      <c r="KV192" s="50"/>
      <c r="KW192" s="50"/>
    </row>
    <row r="193" spans="1:1018 1048:2018 2064:2932 3119:4005 4099:5038" x14ac:dyDescent="0.25">
      <c r="A193" s="50">
        <v>5281</v>
      </c>
      <c r="AI193" s="3">
        <v>5.8467000000000002</v>
      </c>
      <c r="AJ193" s="50"/>
      <c r="HC193" s="50"/>
      <c r="HD193" s="50"/>
      <c r="HE193" s="50"/>
      <c r="HF193" s="50"/>
      <c r="HG193" s="50"/>
      <c r="HH193" s="50"/>
      <c r="HI193" s="50"/>
      <c r="HJ193" s="50"/>
      <c r="HK193" s="50"/>
      <c r="HL193" s="50"/>
      <c r="HM193" s="50"/>
      <c r="HN193" s="50"/>
      <c r="HO193" s="50"/>
      <c r="HP193" s="50"/>
      <c r="HQ193" s="50"/>
      <c r="HR193" s="50"/>
      <c r="KO193" s="50"/>
      <c r="KP193" s="50"/>
      <c r="KQ193" s="50"/>
      <c r="KR193" s="50"/>
      <c r="KS193" s="50"/>
      <c r="KT193" s="50"/>
      <c r="KU193" s="50"/>
      <c r="KV193" s="50"/>
      <c r="KW193" s="50"/>
      <c r="ANH193">
        <v>24</v>
      </c>
      <c r="ANJ193">
        <v>1</v>
      </c>
      <c r="ANK193">
        <v>18.8</v>
      </c>
      <c r="ANM193">
        <v>1</v>
      </c>
      <c r="ANP193">
        <v>1</v>
      </c>
      <c r="AWY193">
        <v>1</v>
      </c>
      <c r="AXB193">
        <v>1</v>
      </c>
      <c r="AXC193">
        <v>0</v>
      </c>
      <c r="AXD193">
        <v>0</v>
      </c>
      <c r="AXE193">
        <v>0</v>
      </c>
      <c r="AXT193" s="50">
        <v>16</v>
      </c>
      <c r="AXU193" s="50">
        <v>1</v>
      </c>
      <c r="AXX193">
        <v>1</v>
      </c>
      <c r="AXZ193">
        <v>1</v>
      </c>
      <c r="AYA193">
        <v>0</v>
      </c>
      <c r="AYB193">
        <v>0</v>
      </c>
      <c r="AYC193">
        <v>0</v>
      </c>
      <c r="BFL193" s="50"/>
      <c r="BFM193">
        <v>1</v>
      </c>
      <c r="BFP193">
        <v>1</v>
      </c>
      <c r="BFQ193">
        <v>1</v>
      </c>
      <c r="BFR193">
        <v>0</v>
      </c>
      <c r="BFS193">
        <v>0</v>
      </c>
      <c r="BFT193">
        <v>0</v>
      </c>
      <c r="DYH193">
        <v>20</v>
      </c>
      <c r="DYI193">
        <v>1</v>
      </c>
      <c r="DYL193">
        <v>1</v>
      </c>
      <c r="DYM193">
        <v>1</v>
      </c>
      <c r="DYN193">
        <v>0</v>
      </c>
      <c r="DYO193">
        <v>0</v>
      </c>
      <c r="DYP193">
        <v>0</v>
      </c>
      <c r="FZY193">
        <v>1</v>
      </c>
    </row>
    <row r="194" spans="1:1018 1048:2018 2064:2932 3119:4005 4099:5038" x14ac:dyDescent="0.25">
      <c r="A194" s="50">
        <v>200085</v>
      </c>
      <c r="Y194">
        <v>0.42</v>
      </c>
      <c r="AK194">
        <v>0.73</v>
      </c>
      <c r="AL194">
        <v>0.7</v>
      </c>
      <c r="AN194">
        <v>0.57999999999999996</v>
      </c>
      <c r="AO194">
        <v>0.55000000000000004</v>
      </c>
      <c r="AP194">
        <v>0.59</v>
      </c>
      <c r="AQ194">
        <v>0.45</v>
      </c>
      <c r="AS194">
        <v>0.54</v>
      </c>
      <c r="AU194">
        <v>0.48</v>
      </c>
      <c r="BH194">
        <v>0.51</v>
      </c>
      <c r="EK194">
        <v>203</v>
      </c>
      <c r="EL194">
        <v>203</v>
      </c>
      <c r="ER194">
        <v>164</v>
      </c>
      <c r="ES194">
        <v>156</v>
      </c>
      <c r="EW194">
        <v>240</v>
      </c>
      <c r="EX194">
        <v>152</v>
      </c>
      <c r="EZ194">
        <v>188</v>
      </c>
      <c r="FA194">
        <v>206</v>
      </c>
      <c r="FB194">
        <v>198</v>
      </c>
      <c r="FC194">
        <v>185</v>
      </c>
      <c r="FD194">
        <v>199</v>
      </c>
      <c r="FE194">
        <v>241</v>
      </c>
      <c r="FG194">
        <v>221</v>
      </c>
      <c r="FI194">
        <v>212</v>
      </c>
      <c r="FM194">
        <v>198</v>
      </c>
      <c r="FO194">
        <v>184</v>
      </c>
      <c r="FT194">
        <v>174</v>
      </c>
      <c r="FW194">
        <v>159</v>
      </c>
      <c r="HC194" s="50">
        <v>8.74</v>
      </c>
      <c r="HD194" s="50"/>
      <c r="HE194" s="50"/>
      <c r="HF194" s="50">
        <v>5.89</v>
      </c>
      <c r="HG194" s="50">
        <v>4.67</v>
      </c>
      <c r="HH194" s="50">
        <v>5.54</v>
      </c>
      <c r="HI194" s="50"/>
      <c r="HJ194" s="50"/>
      <c r="HK194" s="50">
        <v>6.33</v>
      </c>
      <c r="HL194" s="50">
        <v>6.55</v>
      </c>
      <c r="HM194" s="50"/>
      <c r="HN194" s="50">
        <v>7.66</v>
      </c>
      <c r="HO194" s="50"/>
      <c r="HP194" s="50"/>
      <c r="HQ194" s="50"/>
      <c r="HR194" s="50"/>
      <c r="KO194" s="50"/>
      <c r="KP194" s="50"/>
      <c r="KQ194" s="50"/>
      <c r="KR194" s="50"/>
      <c r="KS194" s="50"/>
      <c r="KT194" s="50"/>
      <c r="KU194" s="50"/>
      <c r="KV194" s="50"/>
      <c r="KW194" s="50"/>
      <c r="ANH194">
        <v>60</v>
      </c>
      <c r="ANJ194">
        <v>1</v>
      </c>
      <c r="ANN194">
        <v>26</v>
      </c>
      <c r="AQQ194">
        <v>1</v>
      </c>
      <c r="AUJ194">
        <v>1</v>
      </c>
      <c r="AXT194" s="50">
        <v>500</v>
      </c>
      <c r="AXU194" s="50">
        <v>3</v>
      </c>
      <c r="AXX194">
        <v>1</v>
      </c>
      <c r="AXZ194">
        <v>13</v>
      </c>
      <c r="AYA194">
        <v>11</v>
      </c>
      <c r="AYB194">
        <v>0</v>
      </c>
      <c r="AYC194">
        <v>1</v>
      </c>
      <c r="AYF194">
        <v>35000</v>
      </c>
      <c r="AYH194">
        <v>1</v>
      </c>
      <c r="AYK194">
        <v>5</v>
      </c>
      <c r="AYL194">
        <v>6</v>
      </c>
      <c r="AYM194">
        <v>2</v>
      </c>
      <c r="AYN194">
        <v>0</v>
      </c>
      <c r="CHR194">
        <v>2.5</v>
      </c>
      <c r="CHS194">
        <v>1</v>
      </c>
      <c r="CHV194">
        <v>1</v>
      </c>
      <c r="DCS194">
        <v>80</v>
      </c>
      <c r="DCT194">
        <v>1</v>
      </c>
      <c r="DCW194">
        <v>1</v>
      </c>
      <c r="DCX194">
        <v>5</v>
      </c>
      <c r="DCY194">
        <v>3</v>
      </c>
      <c r="DCZ194">
        <v>0</v>
      </c>
      <c r="DDA194">
        <v>1</v>
      </c>
      <c r="DHM194">
        <v>150</v>
      </c>
      <c r="DHN194">
        <v>1</v>
      </c>
      <c r="DHQ194">
        <v>1</v>
      </c>
      <c r="DHR194">
        <v>5</v>
      </c>
      <c r="DHS194">
        <v>3</v>
      </c>
      <c r="DHT194">
        <v>1</v>
      </c>
      <c r="EWZ194">
        <v>50</v>
      </c>
      <c r="EXA194">
        <v>0.14299999999999999</v>
      </c>
      <c r="GAD194">
        <v>1</v>
      </c>
    </row>
    <row r="195" spans="1:1018 1048:2018 2064:2932 3119:4005 4099:5038" x14ac:dyDescent="0.25">
      <c r="A195" s="50">
        <v>500129</v>
      </c>
      <c r="AS195" s="3">
        <v>18.23</v>
      </c>
      <c r="AU195" s="3">
        <v>20.8201</v>
      </c>
      <c r="AV195" s="3">
        <v>20.825900000000001</v>
      </c>
      <c r="BM195" s="3">
        <v>24.965399999999999</v>
      </c>
      <c r="BN195" s="3">
        <v>12.2781</v>
      </c>
      <c r="CD195" s="3">
        <v>5.8467000000000002</v>
      </c>
      <c r="CE195" s="3"/>
      <c r="CU195" s="3">
        <v>15.7042</v>
      </c>
      <c r="CV195" s="3"/>
      <c r="FC195">
        <v>5.4</v>
      </c>
      <c r="FE195">
        <v>4.9400000000000004</v>
      </c>
      <c r="FG195">
        <v>144</v>
      </c>
      <c r="FI195">
        <v>135</v>
      </c>
      <c r="FJ195">
        <v>139</v>
      </c>
      <c r="FQ195">
        <v>211</v>
      </c>
      <c r="GD195">
        <v>437</v>
      </c>
      <c r="GE195">
        <v>440</v>
      </c>
      <c r="HC195" s="50"/>
      <c r="HD195" s="50"/>
      <c r="HE195" s="50"/>
      <c r="HF195" s="50"/>
      <c r="HG195" s="50"/>
      <c r="HH195" s="50"/>
      <c r="HI195" s="50"/>
      <c r="HJ195" s="50"/>
      <c r="HK195" s="50"/>
      <c r="HL195" s="50"/>
      <c r="HM195" s="50"/>
      <c r="HN195" s="50"/>
      <c r="HO195" s="50"/>
      <c r="HP195" s="50"/>
      <c r="HQ195" s="50"/>
      <c r="HR195" s="50"/>
      <c r="IN195">
        <v>0.88229999999999997</v>
      </c>
      <c r="IR195">
        <v>0.8054</v>
      </c>
      <c r="IT195">
        <v>0.6663</v>
      </c>
      <c r="IU195">
        <v>0.58030000000000004</v>
      </c>
      <c r="JG195">
        <v>0.69</v>
      </c>
      <c r="JX195">
        <v>152</v>
      </c>
      <c r="KH195">
        <v>142</v>
      </c>
      <c r="KO195" s="50"/>
      <c r="KP195" s="50"/>
      <c r="KQ195" s="50"/>
      <c r="KR195" s="50"/>
      <c r="KS195" s="50"/>
      <c r="KT195" s="50"/>
      <c r="KU195" s="50"/>
      <c r="KV195" s="50"/>
      <c r="KW195" s="50"/>
      <c r="LK195">
        <v>200</v>
      </c>
      <c r="MG195">
        <v>54</v>
      </c>
      <c r="OG195" s="3">
        <v>52.6008</v>
      </c>
      <c r="OH195" s="3"/>
      <c r="RX195">
        <v>156000</v>
      </c>
      <c r="AEY195">
        <v>135</v>
      </c>
      <c r="AFE195">
        <v>144</v>
      </c>
      <c r="AFF195">
        <v>141</v>
      </c>
      <c r="AFM195">
        <v>140</v>
      </c>
      <c r="AGE195">
        <v>3.69</v>
      </c>
      <c r="AGK195">
        <v>5.01</v>
      </c>
      <c r="AGL195">
        <v>3.4</v>
      </c>
      <c r="AGQ195">
        <v>3.64</v>
      </c>
      <c r="ANH195">
        <v>72</v>
      </c>
      <c r="ANJ195">
        <v>1</v>
      </c>
      <c r="ANM195">
        <v>1</v>
      </c>
      <c r="ANR195">
        <v>1</v>
      </c>
      <c r="AOC195">
        <v>1</v>
      </c>
      <c r="AOG195">
        <v>1</v>
      </c>
      <c r="AOZ195">
        <v>1</v>
      </c>
      <c r="APB195">
        <v>1</v>
      </c>
      <c r="APL195">
        <v>1</v>
      </c>
      <c r="ARA195">
        <v>1</v>
      </c>
      <c r="ARC195">
        <v>1</v>
      </c>
      <c r="ATA195">
        <v>1</v>
      </c>
      <c r="AXT195" s="50">
        <v>500</v>
      </c>
      <c r="AXU195" s="50">
        <v>1</v>
      </c>
      <c r="AXX195">
        <v>1</v>
      </c>
      <c r="AXZ195" s="15">
        <v>999</v>
      </c>
      <c r="AYA195">
        <v>999</v>
      </c>
      <c r="AYB195">
        <v>0</v>
      </c>
      <c r="AYC195">
        <v>9</v>
      </c>
      <c r="AYG195">
        <v>3</v>
      </c>
      <c r="AYJ195">
        <v>1</v>
      </c>
      <c r="AYK195" s="15">
        <v>999</v>
      </c>
      <c r="AYL195">
        <v>999</v>
      </c>
      <c r="CBF195">
        <v>1</v>
      </c>
      <c r="CBG195" s="15">
        <v>999</v>
      </c>
      <c r="CBH195">
        <v>999</v>
      </c>
      <c r="CBI195">
        <v>0</v>
      </c>
      <c r="CBJ195">
        <v>9</v>
      </c>
      <c r="CKX195">
        <v>1</v>
      </c>
      <c r="CKY195" s="15">
        <v>999</v>
      </c>
      <c r="CKZ195">
        <v>999</v>
      </c>
      <c r="CLA195">
        <v>0</v>
      </c>
      <c r="CLB195">
        <v>9</v>
      </c>
      <c r="CPB195">
        <v>7.0000000000000007E-2</v>
      </c>
      <c r="CPC195">
        <v>1</v>
      </c>
      <c r="CPF195">
        <v>1</v>
      </c>
      <c r="CSP195">
        <v>120</v>
      </c>
      <c r="CSQ195">
        <v>2</v>
      </c>
      <c r="CST195">
        <v>1</v>
      </c>
      <c r="CSU195" s="15">
        <v>999</v>
      </c>
      <c r="CSV195">
        <v>999</v>
      </c>
      <c r="CSW195">
        <v>0</v>
      </c>
      <c r="CSX195">
        <v>9</v>
      </c>
      <c r="DCS195">
        <v>5</v>
      </c>
      <c r="DCT195">
        <v>1</v>
      </c>
      <c r="DCW195">
        <v>1</v>
      </c>
      <c r="DCX195" s="35">
        <v>999</v>
      </c>
      <c r="DCY195">
        <v>360</v>
      </c>
      <c r="DCZ195">
        <v>0</v>
      </c>
      <c r="DDA195">
        <v>999</v>
      </c>
      <c r="DXM195">
        <v>8</v>
      </c>
      <c r="DXN195">
        <v>2</v>
      </c>
      <c r="DXQ195">
        <v>1</v>
      </c>
      <c r="FUZ195">
        <v>1</v>
      </c>
      <c r="FVT195">
        <v>1</v>
      </c>
      <c r="FWC195">
        <v>1</v>
      </c>
      <c r="FWD195">
        <v>1</v>
      </c>
      <c r="FWX195">
        <v>1</v>
      </c>
      <c r="FZZ195">
        <v>1</v>
      </c>
      <c r="GAE195">
        <v>1</v>
      </c>
      <c r="GAR195">
        <v>1</v>
      </c>
      <c r="GBI195">
        <v>1</v>
      </c>
    </row>
    <row r="196" spans="1:1018 1048:2018 2064:2932 3119:4005 4099:5038" x14ac:dyDescent="0.25">
      <c r="A196" s="53">
        <v>1002033</v>
      </c>
      <c r="HC196" s="50"/>
      <c r="HD196" s="50"/>
      <c r="HE196" s="50"/>
      <c r="HF196" s="50"/>
      <c r="HG196" s="50"/>
      <c r="HH196" s="50"/>
      <c r="HI196" s="50"/>
      <c r="HJ196" s="50"/>
      <c r="HK196" s="50"/>
      <c r="HL196" s="50"/>
      <c r="HM196" s="50"/>
      <c r="HN196" s="50"/>
      <c r="HO196" s="50"/>
      <c r="HP196" s="50"/>
      <c r="HQ196" s="50"/>
      <c r="HR196" s="50"/>
      <c r="KO196" s="50"/>
      <c r="KP196" s="50"/>
      <c r="KQ196" s="50"/>
      <c r="KR196" s="50"/>
      <c r="KS196" s="50"/>
      <c r="KT196" s="50"/>
      <c r="KU196" s="50"/>
      <c r="KV196" s="50"/>
      <c r="KW196" s="50"/>
      <c r="LD196" s="50"/>
      <c r="LE196" s="50"/>
      <c r="LF196" s="50"/>
      <c r="LG196" s="50"/>
      <c r="LH196" s="50"/>
      <c r="LI196" s="50"/>
      <c r="LJ196" s="50"/>
      <c r="LK196" s="50"/>
      <c r="LL196" s="50"/>
      <c r="LM196" s="50"/>
      <c r="ZV196">
        <v>91</v>
      </c>
      <c r="ZY196">
        <v>90</v>
      </c>
      <c r="AAG196">
        <v>91</v>
      </c>
      <c r="ANH196">
        <v>28</v>
      </c>
      <c r="ANJ196">
        <v>1</v>
      </c>
      <c r="ANO196">
        <v>1</v>
      </c>
      <c r="AOX196">
        <v>1</v>
      </c>
      <c r="AXT196" s="50">
        <v>2000</v>
      </c>
      <c r="AXU196" s="50">
        <v>1</v>
      </c>
      <c r="AXX196">
        <v>1</v>
      </c>
      <c r="AXZ196" s="35">
        <v>999</v>
      </c>
      <c r="AYA196">
        <v>8</v>
      </c>
      <c r="AYB196">
        <v>0</v>
      </c>
      <c r="AYC196">
        <v>999</v>
      </c>
      <c r="EJZ196" s="50">
        <v>75</v>
      </c>
      <c r="EKA196">
        <v>1</v>
      </c>
      <c r="EKD196">
        <v>1</v>
      </c>
      <c r="EKE196">
        <v>12</v>
      </c>
      <c r="EKF196">
        <v>20</v>
      </c>
      <c r="EKG196">
        <v>9</v>
      </c>
      <c r="EKH196">
        <v>0</v>
      </c>
      <c r="ENW196">
        <v>20</v>
      </c>
      <c r="ENX196">
        <v>1</v>
      </c>
      <c r="EOA196">
        <v>1</v>
      </c>
      <c r="EOB196">
        <v>12</v>
      </c>
      <c r="EOC196">
        <v>0</v>
      </c>
      <c r="EOD196">
        <v>0</v>
      </c>
      <c r="EOE196">
        <v>11</v>
      </c>
      <c r="EOG196">
        <v>5</v>
      </c>
      <c r="EOH196">
        <v>1</v>
      </c>
      <c r="EOK196">
        <v>1</v>
      </c>
      <c r="EOL196">
        <v>12</v>
      </c>
      <c r="EOM196">
        <v>20</v>
      </c>
      <c r="EON196">
        <v>9</v>
      </c>
      <c r="EOO196">
        <v>0</v>
      </c>
      <c r="FZY196">
        <v>1</v>
      </c>
    </row>
    <row r="197" spans="1:1018 1048:2018 2064:2932 3119:4005 4099:5038" x14ac:dyDescent="0.25">
      <c r="A197" s="50">
        <v>1003457</v>
      </c>
      <c r="HC197" s="50"/>
      <c r="HD197" s="50"/>
      <c r="HE197" s="50"/>
      <c r="HF197" s="50"/>
      <c r="HG197" s="50"/>
      <c r="HH197" s="50"/>
      <c r="HI197" s="50"/>
      <c r="HJ197" s="50"/>
      <c r="HK197" s="50"/>
      <c r="HL197" s="50"/>
      <c r="HM197" s="50"/>
      <c r="HN197" s="50"/>
      <c r="HO197" s="50"/>
      <c r="HP197" s="50"/>
      <c r="HQ197" s="50"/>
      <c r="HR197" s="50"/>
      <c r="KO197" s="50"/>
      <c r="KP197" s="50"/>
      <c r="KQ197" s="50"/>
      <c r="KR197" s="50"/>
      <c r="KS197" s="50"/>
      <c r="KT197" s="50"/>
      <c r="KU197" s="50"/>
      <c r="KV197" s="50"/>
      <c r="KW197" s="50"/>
      <c r="LD197" s="50"/>
      <c r="LE197" s="50"/>
      <c r="LF197" s="50"/>
      <c r="LG197" s="50"/>
      <c r="LH197" s="50"/>
      <c r="LI197" s="50"/>
      <c r="LJ197" s="50"/>
      <c r="LK197" s="50"/>
      <c r="LL197" s="50"/>
      <c r="LM197" s="50"/>
      <c r="ANH197">
        <v>48</v>
      </c>
      <c r="ANJ197">
        <v>1</v>
      </c>
      <c r="ANN197">
        <v>35</v>
      </c>
      <c r="AOW197">
        <v>1</v>
      </c>
      <c r="AOY197">
        <v>1</v>
      </c>
      <c r="AWH197">
        <v>1</v>
      </c>
      <c r="AXT197" s="50"/>
      <c r="AXU197" s="50"/>
      <c r="AXX197">
        <v>1</v>
      </c>
      <c r="AXZ197" s="35">
        <v>999</v>
      </c>
      <c r="AYA197">
        <v>3</v>
      </c>
      <c r="AYB197">
        <v>0</v>
      </c>
      <c r="AYC197">
        <v>999</v>
      </c>
      <c r="BIE197">
        <v>20</v>
      </c>
      <c r="BIF197">
        <v>1</v>
      </c>
      <c r="BII197">
        <v>1</v>
      </c>
      <c r="BIJ197" s="35">
        <v>999</v>
      </c>
      <c r="BIK197">
        <v>580</v>
      </c>
      <c r="BIL197">
        <v>0</v>
      </c>
      <c r="BIM197">
        <v>999</v>
      </c>
      <c r="BYL197">
        <v>1</v>
      </c>
      <c r="BYM197">
        <v>6</v>
      </c>
      <c r="BYN197">
        <v>4</v>
      </c>
      <c r="BYO197">
        <v>0</v>
      </c>
      <c r="BYP197">
        <v>1</v>
      </c>
      <c r="EGW197">
        <v>150</v>
      </c>
      <c r="EGX197">
        <v>1</v>
      </c>
      <c r="EHA197">
        <v>1</v>
      </c>
      <c r="EHB197">
        <v>5</v>
      </c>
      <c r="EHC197">
        <v>3</v>
      </c>
      <c r="EHD197">
        <v>0</v>
      </c>
      <c r="EHE197">
        <v>1</v>
      </c>
      <c r="ENM197">
        <v>375</v>
      </c>
      <c r="ENN197">
        <v>1</v>
      </c>
      <c r="ENQ197">
        <v>1</v>
      </c>
      <c r="ENR197" s="35">
        <v>999</v>
      </c>
      <c r="ENS197">
        <v>32</v>
      </c>
      <c r="ENT197">
        <v>0</v>
      </c>
      <c r="ENU197">
        <v>999</v>
      </c>
      <c r="EOG197" s="50">
        <v>5</v>
      </c>
      <c r="EOH197">
        <v>1</v>
      </c>
      <c r="EOK197">
        <v>1</v>
      </c>
      <c r="EOL197">
        <v>50</v>
      </c>
      <c r="EOM197">
        <v>397</v>
      </c>
      <c r="EON197">
        <v>336</v>
      </c>
      <c r="EOO197">
        <v>0</v>
      </c>
      <c r="FUT197">
        <v>1</v>
      </c>
      <c r="FZY197">
        <v>1</v>
      </c>
    </row>
    <row r="198" spans="1:1018 1048:2018 2064:2932 3119:4005 4099:5038" x14ac:dyDescent="0.25">
      <c r="A198" s="50">
        <v>2005223</v>
      </c>
      <c r="AJ198" s="3">
        <v>6.0922999999999998</v>
      </c>
      <c r="AL198" s="3">
        <v>5.6421000000000001</v>
      </c>
      <c r="BA198" s="3">
        <v>1.6721999999999999</v>
      </c>
      <c r="CO198" s="3">
        <v>6.1390000000000002</v>
      </c>
      <c r="DA198" s="3">
        <v>1.0289999999999999</v>
      </c>
      <c r="ET198" s="50"/>
      <c r="EU198" s="50"/>
      <c r="EV198" s="50"/>
      <c r="EW198" s="50"/>
      <c r="EX198" s="50"/>
      <c r="EY198" s="50"/>
      <c r="EZ198" s="50"/>
      <c r="FA198" s="50"/>
      <c r="FB198" s="50"/>
      <c r="FC198" s="50"/>
      <c r="FD198" s="50"/>
      <c r="FE198" s="50"/>
      <c r="FF198" s="50"/>
      <c r="FG198" s="50"/>
      <c r="FH198" s="50"/>
      <c r="FI198" s="50"/>
      <c r="FJ198" s="50"/>
      <c r="FK198" s="50"/>
      <c r="FL198" s="50"/>
      <c r="FM198" s="50"/>
      <c r="FN198" s="50"/>
      <c r="FO198" s="50"/>
      <c r="FP198" s="50"/>
      <c r="FQ198" s="50"/>
      <c r="HC198" s="50"/>
      <c r="HD198" s="50"/>
      <c r="HE198" s="50"/>
      <c r="HF198" s="50"/>
      <c r="HG198" s="50"/>
      <c r="HH198" s="50"/>
      <c r="HI198" s="50"/>
      <c r="HJ198" s="50"/>
      <c r="HK198" s="50"/>
      <c r="HL198" s="50"/>
      <c r="HM198" s="50"/>
      <c r="HN198" s="50"/>
      <c r="HO198" s="50"/>
      <c r="HP198" s="50"/>
      <c r="HQ198" s="50"/>
      <c r="HR198" s="50"/>
      <c r="KO198" s="50"/>
      <c r="KP198" s="50"/>
      <c r="KQ198" s="50"/>
      <c r="KR198" s="50"/>
      <c r="KS198" s="50"/>
      <c r="KT198" s="50"/>
      <c r="KU198" s="50"/>
      <c r="KV198" s="50"/>
      <c r="KW198" s="50"/>
      <c r="LD198" s="50"/>
      <c r="LE198" s="50"/>
      <c r="LF198" s="50"/>
      <c r="LG198" s="50"/>
      <c r="LH198" s="50"/>
      <c r="LI198" s="50"/>
      <c r="LJ198" s="50"/>
      <c r="LK198" s="50"/>
      <c r="LL198" s="50"/>
      <c r="LM198" s="50"/>
      <c r="MB198">
        <v>237.3</v>
      </c>
      <c r="AET198">
        <v>134.9</v>
      </c>
      <c r="AIJ198" s="50"/>
      <c r="AIK198" s="50"/>
      <c r="AIL198" s="50"/>
      <c r="AIM198" s="50"/>
      <c r="AIN198" s="50"/>
      <c r="AIO198" s="50"/>
      <c r="AIP198" s="50"/>
      <c r="AIQ198" s="50"/>
      <c r="AIR198" s="50"/>
      <c r="AIS198" s="50"/>
      <c r="AIT198" s="50"/>
      <c r="AIU198" s="50"/>
      <c r="AIV198" s="50"/>
      <c r="AIW198" s="50"/>
      <c r="AIX198" s="50"/>
      <c r="AIY198" s="50"/>
      <c r="AIZ198" s="50"/>
      <c r="AJA198" s="50"/>
      <c r="AJZ198" s="3">
        <v>102.69119999999999</v>
      </c>
      <c r="ANH198">
        <v>39</v>
      </c>
      <c r="ANI198">
        <v>1</v>
      </c>
      <c r="ANM198">
        <v>1</v>
      </c>
      <c r="ANN198">
        <v>28</v>
      </c>
      <c r="AWD198">
        <v>1</v>
      </c>
      <c r="AXT198" s="50">
        <v>500</v>
      </c>
      <c r="AXU198" s="50">
        <v>3</v>
      </c>
      <c r="AXX198">
        <v>1</v>
      </c>
      <c r="AXZ198">
        <v>5</v>
      </c>
      <c r="AYA198">
        <v>4</v>
      </c>
      <c r="AYB198">
        <v>0</v>
      </c>
      <c r="AYC198">
        <v>0</v>
      </c>
      <c r="BKD198">
        <v>4.5</v>
      </c>
      <c r="BKE198">
        <v>1</v>
      </c>
      <c r="BKH198">
        <v>1</v>
      </c>
      <c r="BKI198">
        <v>5</v>
      </c>
      <c r="BKJ198">
        <v>4</v>
      </c>
      <c r="BKK198">
        <v>0</v>
      </c>
      <c r="BKL198">
        <v>0</v>
      </c>
      <c r="DUC198">
        <v>1</v>
      </c>
      <c r="DUD198">
        <v>5</v>
      </c>
      <c r="DUE198">
        <v>4</v>
      </c>
      <c r="DUF198">
        <v>0</v>
      </c>
      <c r="DUG198">
        <v>0</v>
      </c>
      <c r="DVE198">
        <v>250</v>
      </c>
      <c r="DVF198">
        <v>2</v>
      </c>
      <c r="DVI198">
        <v>1</v>
      </c>
      <c r="DVJ198">
        <v>5</v>
      </c>
      <c r="DVK198">
        <v>4</v>
      </c>
      <c r="DVL198">
        <v>0</v>
      </c>
      <c r="DVM198">
        <v>0</v>
      </c>
      <c r="FWD198">
        <v>1</v>
      </c>
      <c r="FWF198">
        <v>1</v>
      </c>
      <c r="FWH198">
        <v>1</v>
      </c>
      <c r="FWJ198">
        <v>1</v>
      </c>
      <c r="FXF198">
        <v>1</v>
      </c>
      <c r="FXG198">
        <v>1</v>
      </c>
      <c r="FXH198">
        <v>1</v>
      </c>
      <c r="FXQ198">
        <v>1</v>
      </c>
      <c r="FYE198">
        <v>1</v>
      </c>
      <c r="GAE198">
        <v>1</v>
      </c>
      <c r="GBM198">
        <v>1</v>
      </c>
    </row>
    <row r="199" spans="1:1018 1048:2018 2064:2932 3119:4005 4099:5038" x14ac:dyDescent="0.25">
      <c r="A199" s="50">
        <v>2006107</v>
      </c>
      <c r="AJ199">
        <v>4.1500000000000004</v>
      </c>
      <c r="ET199" s="50"/>
      <c r="EU199" s="50"/>
      <c r="EV199" s="50"/>
      <c r="EW199" s="50"/>
      <c r="EX199" s="50">
        <v>328</v>
      </c>
      <c r="EY199" s="50"/>
      <c r="EZ199" s="50"/>
      <c r="FA199" s="50"/>
      <c r="FB199" s="50"/>
      <c r="FC199" s="50"/>
      <c r="FD199" s="50"/>
      <c r="FE199" s="50"/>
      <c r="FF199" s="50"/>
      <c r="FG199" s="50"/>
      <c r="FH199" s="50"/>
      <c r="FI199" s="50"/>
      <c r="FJ199" s="50"/>
      <c r="FK199" s="50"/>
      <c r="FL199" s="50"/>
      <c r="FM199" s="50"/>
      <c r="FN199" s="50"/>
      <c r="FO199" s="50"/>
      <c r="FP199" s="50"/>
      <c r="FQ199" s="50"/>
      <c r="HC199" s="50"/>
      <c r="HD199" s="50"/>
      <c r="HE199" s="50"/>
      <c r="HF199" s="50"/>
      <c r="HG199" s="50"/>
      <c r="HH199" s="50"/>
      <c r="HI199" s="50"/>
      <c r="HJ199" s="50"/>
      <c r="HK199" s="50"/>
      <c r="HL199" s="50"/>
      <c r="HM199" s="50"/>
      <c r="HN199" s="50"/>
      <c r="HO199" s="50"/>
      <c r="HP199" s="50"/>
      <c r="HQ199" s="50"/>
      <c r="HR199" s="50"/>
      <c r="JK199" s="50"/>
      <c r="JL199" s="50"/>
      <c r="JM199" s="50"/>
      <c r="JN199" s="50"/>
      <c r="JO199" s="50"/>
      <c r="JP199" s="50"/>
      <c r="JQ199" s="50"/>
      <c r="JR199" s="50"/>
      <c r="JS199" s="50"/>
      <c r="KO199" s="50"/>
      <c r="KP199" s="50"/>
      <c r="KQ199" s="50"/>
      <c r="KR199" s="50"/>
      <c r="KS199" s="50"/>
      <c r="KT199" s="50"/>
      <c r="KU199" s="50"/>
      <c r="KV199" s="50"/>
      <c r="KW199" s="50"/>
      <c r="LD199" s="50"/>
      <c r="LE199" s="50"/>
      <c r="LF199" s="50"/>
      <c r="LG199" s="50"/>
      <c r="LH199" s="50"/>
      <c r="LI199" s="50"/>
      <c r="LJ199" s="50"/>
      <c r="LK199" s="50"/>
      <c r="LL199" s="50"/>
      <c r="LM199" s="50"/>
      <c r="AIJ199" s="50"/>
      <c r="AIK199" s="50"/>
      <c r="AIL199" s="50"/>
      <c r="AIM199" s="50"/>
      <c r="AIN199" s="50"/>
      <c r="AIO199" s="50"/>
      <c r="AIP199" s="50"/>
      <c r="AIQ199" s="50"/>
      <c r="AIR199" s="50"/>
      <c r="AIS199" s="50"/>
      <c r="AIT199" s="50"/>
      <c r="AIU199" s="50"/>
      <c r="AIV199" s="50"/>
      <c r="AIW199" s="50"/>
      <c r="AIX199" s="50"/>
      <c r="AIY199" s="50"/>
      <c r="AIZ199" s="50"/>
      <c r="AJA199" s="50"/>
      <c r="ANH199">
        <v>15</v>
      </c>
      <c r="ANJ199">
        <v>1</v>
      </c>
      <c r="AXT199" s="50"/>
      <c r="AXU199" s="50"/>
      <c r="AXX199">
        <v>1</v>
      </c>
      <c r="AXZ199" s="23">
        <v>1</v>
      </c>
      <c r="AYA199">
        <v>1</v>
      </c>
      <c r="AYB199">
        <v>0</v>
      </c>
      <c r="AYC199">
        <v>0</v>
      </c>
      <c r="EUU199">
        <v>1</v>
      </c>
      <c r="EUV199">
        <v>13</v>
      </c>
      <c r="EUW199">
        <v>12</v>
      </c>
      <c r="EUX199">
        <v>0</v>
      </c>
      <c r="EUY199">
        <v>0</v>
      </c>
      <c r="FWC199">
        <v>1</v>
      </c>
      <c r="FWD199">
        <v>1</v>
      </c>
      <c r="GAE199">
        <v>1</v>
      </c>
    </row>
    <row r="200" spans="1:1018 1048:2018 2064:2932 3119:4005 4099:5038" x14ac:dyDescent="0.25">
      <c r="A200" s="50">
        <v>2012014</v>
      </c>
      <c r="Z200">
        <v>0.3</v>
      </c>
      <c r="DM200">
        <v>7.1</v>
      </c>
      <c r="ET200" s="50"/>
      <c r="EU200" s="50"/>
      <c r="EV200" s="50"/>
      <c r="EW200" s="50"/>
      <c r="EX200" s="50"/>
      <c r="EY200" s="50"/>
      <c r="EZ200" s="50"/>
      <c r="FA200" s="50"/>
      <c r="FB200" s="50"/>
      <c r="FC200" s="50"/>
      <c r="FD200" s="50"/>
      <c r="FE200" s="50"/>
      <c r="FF200" s="50"/>
      <c r="FG200" s="50"/>
      <c r="FH200" s="50"/>
      <c r="FI200" s="50"/>
      <c r="FJ200" s="50"/>
      <c r="FK200" s="50"/>
      <c r="FL200" s="50"/>
      <c r="FM200" s="50"/>
      <c r="FN200" s="50"/>
      <c r="FO200" s="50"/>
      <c r="FP200" s="50"/>
      <c r="FQ200" s="50"/>
      <c r="GZ200">
        <v>5100</v>
      </c>
      <c r="HC200" s="50"/>
      <c r="HD200" s="50"/>
      <c r="HE200" s="50"/>
      <c r="HF200" s="50"/>
      <c r="HG200" s="50"/>
      <c r="HH200" s="50"/>
      <c r="HI200" s="50"/>
      <c r="HJ200" s="50"/>
      <c r="HK200" s="50"/>
      <c r="HL200" s="50"/>
      <c r="HM200" s="50"/>
      <c r="HN200" s="50"/>
      <c r="HO200" s="50"/>
      <c r="HP200" s="50"/>
      <c r="HQ200" s="50"/>
      <c r="HR200" s="50"/>
      <c r="HY200">
        <v>0.7</v>
      </c>
      <c r="JK200" s="50"/>
      <c r="JL200" s="50"/>
      <c r="JM200" s="50"/>
      <c r="JN200" s="50"/>
      <c r="JO200" s="50"/>
      <c r="JP200" s="50"/>
      <c r="JQ200" s="50"/>
      <c r="JR200" s="50"/>
      <c r="JS200" s="50"/>
      <c r="KO200" s="50"/>
      <c r="KP200" s="50"/>
      <c r="KQ200" s="50"/>
      <c r="KR200" s="50"/>
      <c r="KS200" s="50"/>
      <c r="KT200" s="50"/>
      <c r="KU200" s="50"/>
      <c r="KV200" s="50"/>
      <c r="KW200" s="50"/>
      <c r="LD200" s="50"/>
      <c r="LE200" s="50"/>
      <c r="LF200" s="50"/>
      <c r="LG200" s="50"/>
      <c r="LH200" s="50"/>
      <c r="LI200" s="50"/>
      <c r="LJ200" s="50"/>
      <c r="LK200" s="50"/>
      <c r="LL200" s="50"/>
      <c r="LM200" s="50"/>
      <c r="LS200">
        <v>4.8</v>
      </c>
      <c r="OK200">
        <v>3.1</v>
      </c>
      <c r="OR200">
        <v>4.7</v>
      </c>
      <c r="PE200">
        <v>4100000</v>
      </c>
      <c r="PP200">
        <v>3980000</v>
      </c>
      <c r="PQ200">
        <v>3320000</v>
      </c>
      <c r="QO200">
        <v>340000</v>
      </c>
      <c r="RA200">
        <v>312000</v>
      </c>
      <c r="RB200">
        <v>106000</v>
      </c>
      <c r="SS200">
        <v>3.9</v>
      </c>
      <c r="TB200">
        <v>1.5</v>
      </c>
      <c r="TH200">
        <v>2</v>
      </c>
      <c r="UB200">
        <v>36.5</v>
      </c>
      <c r="UR200">
        <v>0.6</v>
      </c>
      <c r="UX200">
        <v>1</v>
      </c>
      <c r="YF200">
        <v>40</v>
      </c>
      <c r="YR200">
        <v>32.200000000000003</v>
      </c>
      <c r="ZX200">
        <v>98</v>
      </c>
      <c r="AAI200">
        <v>95</v>
      </c>
      <c r="ABE200">
        <v>33</v>
      </c>
      <c r="ABO200">
        <v>33.6</v>
      </c>
      <c r="ACH200">
        <v>33.299999999999997</v>
      </c>
      <c r="ACR200">
        <v>33.5</v>
      </c>
      <c r="ADI200" s="50"/>
      <c r="AEK200">
        <v>142</v>
      </c>
      <c r="AFQ200">
        <v>4.4000000000000004</v>
      </c>
      <c r="AGC200">
        <v>3</v>
      </c>
      <c r="AGU200">
        <v>2.4</v>
      </c>
      <c r="AHF200">
        <v>2.46</v>
      </c>
      <c r="AHS200">
        <v>0.8</v>
      </c>
      <c r="AIA200">
        <v>0.67</v>
      </c>
      <c r="AII200">
        <v>62</v>
      </c>
      <c r="AIJ200" s="50"/>
      <c r="AIK200" s="50"/>
      <c r="AIL200" s="50"/>
      <c r="AIM200" s="50"/>
      <c r="AIN200" s="50"/>
      <c r="AIO200" s="50"/>
      <c r="AIP200" s="50"/>
      <c r="AIQ200" s="50"/>
      <c r="AIR200" s="50"/>
      <c r="AIS200" s="50"/>
      <c r="AIT200" s="50"/>
      <c r="AIU200" s="50"/>
      <c r="AIV200" s="50"/>
      <c r="AIW200" s="50"/>
      <c r="AIX200" s="50"/>
      <c r="AIY200" s="50"/>
      <c r="AIZ200" s="50"/>
      <c r="AJA200" s="50"/>
      <c r="AJS200">
        <v>102</v>
      </c>
      <c r="ANH200">
        <v>36</v>
      </c>
      <c r="ANJ200">
        <v>1</v>
      </c>
      <c r="ANK200">
        <v>24.2</v>
      </c>
      <c r="ANM200">
        <v>1</v>
      </c>
      <c r="ANN200">
        <v>18</v>
      </c>
      <c r="AXT200" s="50">
        <v>500</v>
      </c>
      <c r="AXU200" s="50">
        <v>1</v>
      </c>
      <c r="AXZ200">
        <v>5</v>
      </c>
      <c r="AYA200">
        <v>1</v>
      </c>
      <c r="AYB200">
        <v>0</v>
      </c>
      <c r="AYC200">
        <v>3</v>
      </c>
      <c r="FPE200">
        <v>700</v>
      </c>
      <c r="FPH200">
        <v>1</v>
      </c>
      <c r="FPK200">
        <v>4</v>
      </c>
      <c r="FPL200">
        <v>1</v>
      </c>
      <c r="FPM200">
        <v>0</v>
      </c>
      <c r="FPN200">
        <v>2</v>
      </c>
      <c r="GAJ200">
        <v>1</v>
      </c>
      <c r="GGS200">
        <v>1</v>
      </c>
      <c r="GKT200">
        <v>1</v>
      </c>
    </row>
    <row r="201" spans="1:1018 1048:2018 2064:2932 3119:4005 4099:5038" x14ac:dyDescent="0.25">
      <c r="A201" s="50">
        <v>3000152</v>
      </c>
      <c r="AI201" s="3">
        <v>7.8929999999999998</v>
      </c>
      <c r="CL201" s="3">
        <v>5.8467000000000002</v>
      </c>
      <c r="ET201" s="50"/>
      <c r="EU201" s="50"/>
      <c r="EV201" s="50"/>
      <c r="EW201" s="50"/>
      <c r="EX201" s="50"/>
      <c r="EY201" s="50"/>
      <c r="EZ201" s="50"/>
      <c r="FA201" s="50"/>
      <c r="FB201" s="50"/>
      <c r="FC201" s="50"/>
      <c r="FD201" s="50"/>
      <c r="FE201" s="50"/>
      <c r="FF201" s="50"/>
      <c r="FG201" s="50"/>
      <c r="FH201" s="50"/>
      <c r="FI201" s="50"/>
      <c r="FJ201" s="50"/>
      <c r="FK201" s="50"/>
      <c r="FL201" s="50"/>
      <c r="FM201" s="50"/>
      <c r="FN201" s="50"/>
      <c r="FO201" s="50"/>
      <c r="FP201" s="50"/>
      <c r="FQ201" s="50"/>
      <c r="HA201" s="14">
        <v>5391</v>
      </c>
      <c r="HC201" s="50"/>
      <c r="HD201" s="50"/>
      <c r="HE201" s="50"/>
      <c r="HF201" s="50"/>
      <c r="HG201" s="50"/>
      <c r="HH201" s="50"/>
      <c r="HI201" s="50"/>
      <c r="HJ201" s="50"/>
      <c r="HK201" s="50"/>
      <c r="HL201" s="50"/>
      <c r="HM201" s="50"/>
      <c r="HN201" s="50"/>
      <c r="HO201" s="50"/>
      <c r="HP201" s="50"/>
      <c r="HQ201" s="50"/>
      <c r="HR201" s="50"/>
      <c r="IH201">
        <v>74</v>
      </c>
      <c r="JK201" s="50"/>
      <c r="JL201" s="50"/>
      <c r="JM201" s="50"/>
      <c r="JN201" s="50"/>
      <c r="JO201" s="50"/>
      <c r="JP201" s="50"/>
      <c r="JQ201" s="50"/>
      <c r="JR201" s="50"/>
      <c r="JS201" s="50"/>
      <c r="KO201" s="50"/>
      <c r="KP201" s="50"/>
      <c r="KQ201" s="50"/>
      <c r="KR201" s="50"/>
      <c r="KS201" s="50"/>
      <c r="KT201" s="50"/>
      <c r="KU201" s="50"/>
      <c r="KV201" s="50"/>
      <c r="KW201" s="50"/>
      <c r="LD201" s="50"/>
      <c r="LE201" s="50"/>
      <c r="LF201" s="50"/>
      <c r="LG201" s="50"/>
      <c r="LH201" s="50"/>
      <c r="LI201" s="50"/>
      <c r="LJ201" s="50"/>
      <c r="LK201" s="50"/>
      <c r="LL201" s="50"/>
      <c r="LM201" s="50"/>
      <c r="MA201">
        <v>0.3</v>
      </c>
      <c r="NN201">
        <v>5.69</v>
      </c>
      <c r="OO201" s="3">
        <v>4.2195999999999998</v>
      </c>
      <c r="ST201">
        <v>14</v>
      </c>
      <c r="TE201">
        <v>14</v>
      </c>
      <c r="TY201">
        <v>7</v>
      </c>
      <c r="YN201">
        <v>44</v>
      </c>
      <c r="AES201">
        <v>131</v>
      </c>
      <c r="AFY201">
        <v>3.69</v>
      </c>
      <c r="AHB201">
        <v>2.38</v>
      </c>
      <c r="AID201">
        <v>95.9</v>
      </c>
      <c r="AIJ201" s="50"/>
      <c r="AIK201" s="50"/>
      <c r="AIL201" s="50"/>
      <c r="AIM201" s="50"/>
      <c r="AIN201" s="50"/>
      <c r="AIO201" s="50"/>
      <c r="AIP201" s="50"/>
      <c r="AIQ201" s="50"/>
      <c r="AIR201" s="50"/>
      <c r="AIS201" s="50"/>
      <c r="AIT201" s="50"/>
      <c r="AIU201" s="50"/>
      <c r="AIV201" s="50"/>
      <c r="AIW201" s="50"/>
      <c r="AIX201" s="50"/>
      <c r="AIY201" s="50"/>
      <c r="AIZ201" s="50"/>
      <c r="AJA201" s="50"/>
      <c r="AJY201" s="50"/>
      <c r="ALG201">
        <v>27</v>
      </c>
      <c r="ANH201">
        <v>48</v>
      </c>
      <c r="ANI201">
        <v>1</v>
      </c>
      <c r="ANK201">
        <v>25.4</v>
      </c>
      <c r="ANM201">
        <v>1</v>
      </c>
      <c r="ANN201">
        <v>10</v>
      </c>
      <c r="AXT201" s="50">
        <v>1000</v>
      </c>
      <c r="AXU201" s="50">
        <v>1</v>
      </c>
      <c r="AXX201">
        <v>1</v>
      </c>
      <c r="AXZ201">
        <v>3</v>
      </c>
      <c r="AYA201">
        <v>2</v>
      </c>
      <c r="AYB201">
        <v>0</v>
      </c>
      <c r="AYC201">
        <v>0</v>
      </c>
      <c r="FWX201">
        <v>1</v>
      </c>
      <c r="FXA201">
        <v>1</v>
      </c>
      <c r="FXC201">
        <v>1</v>
      </c>
      <c r="FXR201">
        <v>1</v>
      </c>
      <c r="GAD201">
        <v>1</v>
      </c>
      <c r="GAE201">
        <v>1</v>
      </c>
    </row>
    <row r="202" spans="1:1018 1048:2018 2064:2932 3119:4005 4099:5038" x14ac:dyDescent="0.25">
      <c r="A202" s="50">
        <v>3014566</v>
      </c>
      <c r="ET202" s="50"/>
      <c r="EU202" s="50"/>
      <c r="EV202" s="50"/>
      <c r="EW202" s="50"/>
      <c r="EX202" s="50"/>
      <c r="EY202" s="50"/>
      <c r="EZ202" s="50"/>
      <c r="FA202" s="50"/>
      <c r="FB202" s="50"/>
      <c r="FC202" s="50"/>
      <c r="FD202" s="50"/>
      <c r="FE202" s="50"/>
      <c r="FF202" s="50"/>
      <c r="FG202" s="50"/>
      <c r="FH202" s="50"/>
      <c r="FI202" s="50"/>
      <c r="FJ202" s="50"/>
      <c r="FK202" s="50"/>
      <c r="FL202" s="50"/>
      <c r="FM202" s="50"/>
      <c r="FN202" s="50"/>
      <c r="FO202" s="50"/>
      <c r="FP202" s="50"/>
      <c r="FQ202" s="50"/>
      <c r="HC202" s="50"/>
      <c r="HD202" s="50"/>
      <c r="HE202" s="50"/>
      <c r="HF202" s="50"/>
      <c r="HG202" s="50"/>
      <c r="HH202" s="50"/>
      <c r="HI202" s="50"/>
      <c r="HJ202" s="50"/>
      <c r="HK202" s="50"/>
      <c r="HL202" s="50"/>
      <c r="HM202" s="50"/>
      <c r="HN202" s="50"/>
      <c r="HO202" s="50"/>
      <c r="HP202" s="50"/>
      <c r="HQ202" s="50"/>
      <c r="HR202" s="50"/>
      <c r="JK202" s="50"/>
      <c r="JL202" s="50"/>
      <c r="JM202" s="50">
        <v>1747</v>
      </c>
      <c r="JN202" s="50"/>
      <c r="JO202" s="50"/>
      <c r="JP202" s="50"/>
      <c r="JQ202" s="50"/>
      <c r="JR202" s="50"/>
      <c r="JS202" s="50"/>
      <c r="KO202" s="50"/>
      <c r="KP202" s="50"/>
      <c r="KQ202" s="50"/>
      <c r="KR202" s="50"/>
      <c r="KS202" s="50"/>
      <c r="KT202" s="50"/>
      <c r="KU202" s="50"/>
      <c r="KV202" s="50"/>
      <c r="KW202" s="50"/>
      <c r="LD202" s="50"/>
      <c r="LE202" s="50"/>
      <c r="LF202" s="50"/>
      <c r="LG202" s="50"/>
      <c r="LH202" s="50"/>
      <c r="LI202" s="50"/>
      <c r="LJ202" s="50"/>
      <c r="LK202" s="50"/>
      <c r="LL202" s="50"/>
      <c r="LM202" s="50"/>
      <c r="MB202">
        <v>7</v>
      </c>
      <c r="AIJ202" s="50"/>
      <c r="AIK202" s="50"/>
      <c r="AIL202" s="50"/>
      <c r="AIM202" s="50"/>
      <c r="AIN202" s="50"/>
      <c r="AIO202" s="50"/>
      <c r="AIP202" s="50"/>
      <c r="AIQ202" s="50"/>
      <c r="AIR202" s="50"/>
      <c r="AIS202" s="50"/>
      <c r="AIT202" s="50"/>
      <c r="AIU202" s="50"/>
      <c r="AIV202" s="50"/>
      <c r="AIW202" s="50"/>
      <c r="AIX202" s="50"/>
      <c r="AIY202" s="50"/>
      <c r="AIZ202" s="50"/>
      <c r="AJA202" s="50"/>
      <c r="AMC202">
        <v>49</v>
      </c>
      <c r="AMD202">
        <v>23</v>
      </c>
      <c r="ANH202">
        <v>8</v>
      </c>
      <c r="ANI202">
        <v>1</v>
      </c>
      <c r="ANM202">
        <v>1</v>
      </c>
      <c r="ANN202">
        <v>10</v>
      </c>
      <c r="AXT202" s="50"/>
      <c r="AXU202" s="50"/>
      <c r="AXZ202" s="35">
        <v>999</v>
      </c>
      <c r="AYC202">
        <v>999</v>
      </c>
      <c r="FWY202">
        <v>1</v>
      </c>
      <c r="FZO202">
        <v>1</v>
      </c>
      <c r="FZY202">
        <v>1</v>
      </c>
    </row>
    <row r="203" spans="1:1018 1048:2018 2064:2932 3119:4005 4099:5038" x14ac:dyDescent="0.25">
      <c r="A203" s="50">
        <v>3015058</v>
      </c>
      <c r="Z203">
        <v>0.6</v>
      </c>
      <c r="AA203" s="14">
        <v>0.6</v>
      </c>
      <c r="AK203">
        <v>0.3</v>
      </c>
      <c r="AL203">
        <v>0.4</v>
      </c>
      <c r="AR203">
        <v>0.3</v>
      </c>
      <c r="EN203">
        <v>75</v>
      </c>
      <c r="ET203" s="50"/>
      <c r="EU203" s="50"/>
      <c r="EV203" s="50"/>
      <c r="EW203" s="50"/>
      <c r="EX203" s="50"/>
      <c r="EY203" s="50">
        <v>111</v>
      </c>
      <c r="EZ203" s="50">
        <v>106</v>
      </c>
      <c r="FA203" s="50"/>
      <c r="FB203" s="50"/>
      <c r="FC203" s="50"/>
      <c r="FD203" s="50"/>
      <c r="FE203" s="50"/>
      <c r="FF203" s="50">
        <v>93</v>
      </c>
      <c r="FG203" s="50"/>
      <c r="FH203" s="50"/>
      <c r="FI203" s="50"/>
      <c r="FJ203" s="50"/>
      <c r="FK203" s="50"/>
      <c r="FL203" s="50"/>
      <c r="FM203" s="50"/>
      <c r="FN203" s="50"/>
      <c r="FO203" s="50"/>
      <c r="FP203" s="50"/>
      <c r="FQ203" s="50"/>
      <c r="HC203" s="50" t="s">
        <v>2516</v>
      </c>
      <c r="HD203" s="50"/>
      <c r="HE203" s="50"/>
      <c r="HF203" s="50"/>
      <c r="HG203" s="50"/>
      <c r="HH203" s="50"/>
      <c r="HI203" s="50"/>
      <c r="HJ203" s="50" t="s">
        <v>2517</v>
      </c>
      <c r="HK203" s="50"/>
      <c r="HL203" s="50"/>
      <c r="HM203" s="50"/>
      <c r="HN203" s="50"/>
      <c r="HO203" s="50"/>
      <c r="HP203" s="50"/>
      <c r="HQ203" s="50"/>
      <c r="HR203" s="50"/>
      <c r="HY203">
        <v>2.2000000000000002</v>
      </c>
      <c r="HZ203">
        <v>1.95</v>
      </c>
      <c r="IA203">
        <v>2.1</v>
      </c>
      <c r="IC203">
        <v>1.5</v>
      </c>
      <c r="IG203">
        <v>1</v>
      </c>
      <c r="IJ203">
        <v>1.1000000000000001</v>
      </c>
      <c r="IK203">
        <v>1.1000000000000001</v>
      </c>
      <c r="IO203">
        <v>1</v>
      </c>
      <c r="IQ203">
        <v>1</v>
      </c>
      <c r="JK203" s="50"/>
      <c r="JL203" s="50"/>
      <c r="JM203" s="50"/>
      <c r="JN203" s="50"/>
      <c r="JO203" s="50"/>
      <c r="JP203" s="50"/>
      <c r="JQ203" s="50"/>
      <c r="JR203" s="50"/>
      <c r="JS203" s="50"/>
      <c r="JU203">
        <v>71</v>
      </c>
      <c r="JZ203">
        <v>51</v>
      </c>
      <c r="KO203" s="50"/>
      <c r="KP203" s="50"/>
      <c r="KQ203" s="50"/>
      <c r="KR203" s="50"/>
      <c r="KS203" s="50">
        <v>483</v>
      </c>
      <c r="KT203" s="50"/>
      <c r="KU203" s="50"/>
      <c r="KV203" s="50"/>
      <c r="KW203" s="50"/>
      <c r="KX203">
        <v>184</v>
      </c>
      <c r="LD203" s="50"/>
      <c r="LE203" s="50"/>
      <c r="LF203" s="50"/>
      <c r="LG203" s="50"/>
      <c r="LH203" s="50"/>
      <c r="LI203" s="50"/>
      <c r="LJ203" s="50"/>
      <c r="LK203" s="50"/>
      <c r="LL203" s="50"/>
      <c r="LM203" s="50"/>
      <c r="LS203">
        <v>13.8</v>
      </c>
      <c r="LU203">
        <v>228.2</v>
      </c>
      <c r="LW203">
        <v>155.80000000000001</v>
      </c>
      <c r="MC203">
        <v>63.7</v>
      </c>
      <c r="MD203">
        <v>45.4</v>
      </c>
      <c r="MH203">
        <v>164.9</v>
      </c>
      <c r="MJ203">
        <v>40</v>
      </c>
      <c r="NF203">
        <v>32</v>
      </c>
      <c r="NG203" s="14">
        <v>19.5</v>
      </c>
      <c r="NH203">
        <v>17</v>
      </c>
      <c r="NJ203">
        <v>16</v>
      </c>
      <c r="NP203">
        <v>5</v>
      </c>
      <c r="NQ203">
        <v>7</v>
      </c>
      <c r="NT203">
        <v>9</v>
      </c>
      <c r="NU203">
        <v>7</v>
      </c>
      <c r="OK203">
        <v>6.7</v>
      </c>
      <c r="OL203">
        <v>6.4</v>
      </c>
      <c r="OM203">
        <v>6.8</v>
      </c>
      <c r="OQ203">
        <v>4.4000000000000004</v>
      </c>
      <c r="OR203">
        <v>4.9000000000000004</v>
      </c>
      <c r="OT203">
        <v>3.5</v>
      </c>
      <c r="OU203">
        <v>4.0999999999999996</v>
      </c>
      <c r="PE203">
        <v>4000000</v>
      </c>
      <c r="PF203" s="14">
        <v>3950000</v>
      </c>
      <c r="PG203">
        <v>3500000</v>
      </c>
      <c r="PI203">
        <v>3600000</v>
      </c>
      <c r="PO203">
        <v>11500000</v>
      </c>
      <c r="PP203">
        <v>13300000</v>
      </c>
      <c r="PT203">
        <v>3700000</v>
      </c>
      <c r="PV203">
        <v>3900000</v>
      </c>
      <c r="QO203">
        <v>263000</v>
      </c>
      <c r="QQ203">
        <v>244000</v>
      </c>
      <c r="QR203">
        <v>178000</v>
      </c>
      <c r="QT203">
        <v>232000</v>
      </c>
      <c r="QZ203">
        <v>411000</v>
      </c>
      <c r="RA203">
        <v>553000</v>
      </c>
      <c r="RE203">
        <v>648000</v>
      </c>
      <c r="RG203">
        <v>834000</v>
      </c>
      <c r="VE203">
        <v>44</v>
      </c>
      <c r="VF203" s="14">
        <v>28</v>
      </c>
      <c r="YF203">
        <v>34.9</v>
      </c>
      <c r="YG203" s="14">
        <v>34.299999999999997</v>
      </c>
      <c r="YH203">
        <v>39.9</v>
      </c>
      <c r="YJ203">
        <v>31.7</v>
      </c>
      <c r="YP203">
        <v>31.2</v>
      </c>
      <c r="YQ203">
        <v>34.700000000000003</v>
      </c>
      <c r="YU203">
        <v>32.200000000000003</v>
      </c>
      <c r="YW203">
        <v>33.200000000000003</v>
      </c>
      <c r="ZX203">
        <v>86.3</v>
      </c>
      <c r="ZZ203">
        <v>86.75</v>
      </c>
      <c r="AAH203">
        <v>86.2</v>
      </c>
      <c r="AAI203">
        <v>87.6</v>
      </c>
      <c r="AAN203">
        <v>85.6</v>
      </c>
      <c r="ABE203">
        <v>28.1</v>
      </c>
      <c r="ABF203" s="14">
        <v>28.25</v>
      </c>
      <c r="ABN203">
        <v>28.8</v>
      </c>
      <c r="ABO203">
        <v>28.4</v>
      </c>
      <c r="ABT203">
        <v>28.1</v>
      </c>
      <c r="ACH203">
        <v>32.6</v>
      </c>
      <c r="ACI203" s="14">
        <v>32.6</v>
      </c>
      <c r="ACQ203">
        <v>33.4</v>
      </c>
      <c r="ACR203">
        <v>32.4</v>
      </c>
      <c r="ACW203">
        <v>32.799999999999997</v>
      </c>
      <c r="AEK203">
        <v>141</v>
      </c>
      <c r="AEM203" s="14">
        <v>143.5</v>
      </c>
      <c r="AEN203">
        <v>143</v>
      </c>
      <c r="AEO203">
        <v>142</v>
      </c>
      <c r="AEU203">
        <v>140</v>
      </c>
      <c r="AEV203">
        <v>140</v>
      </c>
      <c r="AEZ203">
        <v>137</v>
      </c>
      <c r="AFB203">
        <v>135</v>
      </c>
      <c r="AFQ203">
        <v>4.8</v>
      </c>
      <c r="AFS203">
        <v>4.6500000000000004</v>
      </c>
      <c r="AFT203">
        <v>3.5</v>
      </c>
      <c r="AFU203">
        <v>3.4</v>
      </c>
      <c r="AGA203">
        <v>3</v>
      </c>
      <c r="AGB203">
        <v>2.9</v>
      </c>
      <c r="AGF203">
        <v>3.3</v>
      </c>
      <c r="AGH203">
        <v>3.3</v>
      </c>
      <c r="AGU203">
        <v>2.5</v>
      </c>
      <c r="AGV203">
        <v>2.4</v>
      </c>
      <c r="AGW203">
        <v>2.1</v>
      </c>
      <c r="AGX203">
        <v>2</v>
      </c>
      <c r="AHD203">
        <v>2.1</v>
      </c>
      <c r="AHE203">
        <v>2.1</v>
      </c>
      <c r="AHI203">
        <v>2.2000000000000002</v>
      </c>
      <c r="AHK203">
        <v>2.2000000000000002</v>
      </c>
      <c r="AHT203">
        <v>0.94499999999999995</v>
      </c>
      <c r="AIJ203" s="50"/>
      <c r="AIK203" s="50"/>
      <c r="AIL203" s="50"/>
      <c r="AIM203" s="50"/>
      <c r="AIN203" s="50"/>
      <c r="AIO203" s="50"/>
      <c r="AIP203" s="50"/>
      <c r="AIQ203" s="50"/>
      <c r="AIR203" s="50"/>
      <c r="AIS203" s="50"/>
      <c r="AIT203" s="50"/>
      <c r="AIU203" s="50"/>
      <c r="AIV203" s="50"/>
      <c r="AIW203" s="50"/>
      <c r="AIX203" s="50"/>
      <c r="AIY203" s="50"/>
      <c r="AIZ203" s="50"/>
      <c r="AJA203" s="50"/>
      <c r="AJS203">
        <v>76</v>
      </c>
      <c r="AJT203" s="14">
        <v>163</v>
      </c>
      <c r="AKB203">
        <v>103</v>
      </c>
      <c r="ALM203" s="14">
        <v>1.3</v>
      </c>
      <c r="ALS203" s="14">
        <v>1.79</v>
      </c>
      <c r="ANH203">
        <v>23</v>
      </c>
      <c r="ANI203">
        <v>1</v>
      </c>
      <c r="ANK203">
        <v>23</v>
      </c>
      <c r="ANM203">
        <v>1</v>
      </c>
      <c r="AVA203">
        <v>1</v>
      </c>
      <c r="AVM203">
        <v>1</v>
      </c>
      <c r="AXT203" s="50">
        <v>1000</v>
      </c>
      <c r="AXU203" s="50">
        <v>4</v>
      </c>
      <c r="AXV203">
        <v>1</v>
      </c>
      <c r="AXZ203">
        <v>4</v>
      </c>
      <c r="AYA203">
        <v>6</v>
      </c>
      <c r="AYB203">
        <v>2</v>
      </c>
      <c r="AYC203">
        <v>0</v>
      </c>
      <c r="BMM203">
        <v>0.5</v>
      </c>
      <c r="BMN203">
        <v>2</v>
      </c>
      <c r="BMO203">
        <v>1</v>
      </c>
      <c r="BMR203">
        <v>1</v>
      </c>
      <c r="BMS203">
        <v>9</v>
      </c>
      <c r="BMT203">
        <v>9</v>
      </c>
      <c r="BMU203">
        <v>0</v>
      </c>
      <c r="BMW203">
        <v>2000</v>
      </c>
      <c r="BMX203">
        <v>2</v>
      </c>
      <c r="BMY203">
        <v>1</v>
      </c>
      <c r="BNB203">
        <v>1</v>
      </c>
      <c r="BNC203">
        <v>9</v>
      </c>
      <c r="BND203">
        <v>9</v>
      </c>
      <c r="BNE203">
        <v>0</v>
      </c>
      <c r="CYS203">
        <v>40</v>
      </c>
      <c r="CYT203">
        <v>1</v>
      </c>
      <c r="CYW203">
        <v>1</v>
      </c>
      <c r="CYY203">
        <v>1</v>
      </c>
      <c r="CYZ203">
        <v>10</v>
      </c>
      <c r="CZA203">
        <v>10</v>
      </c>
      <c r="CZB203">
        <v>0</v>
      </c>
      <c r="DSU203">
        <v>30</v>
      </c>
      <c r="DSV203">
        <v>3</v>
      </c>
      <c r="DSW203">
        <v>1</v>
      </c>
      <c r="DSZ203">
        <v>1</v>
      </c>
      <c r="DTA203">
        <v>10</v>
      </c>
      <c r="DTB203">
        <v>10</v>
      </c>
      <c r="DTC203">
        <v>0</v>
      </c>
    </row>
    <row r="204" spans="1:1018 1048:2018 2064:2932 3119:4005 4099:5038" x14ac:dyDescent="0.25">
      <c r="A204" s="53">
        <v>4000996</v>
      </c>
      <c r="AL204">
        <v>0.61980000000000002</v>
      </c>
      <c r="AM204">
        <v>0.42680000000000001</v>
      </c>
      <c r="AX204">
        <v>0.57879999999999998</v>
      </c>
      <c r="CO204">
        <v>0.18709999999999999</v>
      </c>
      <c r="CP204" t="s">
        <v>1916</v>
      </c>
      <c r="DQ204">
        <v>5.86</v>
      </c>
      <c r="DR204" s="3">
        <v>5.72</v>
      </c>
      <c r="ET204" s="50"/>
      <c r="EU204" s="50"/>
      <c r="EV204" s="50"/>
      <c r="EW204" s="50"/>
      <c r="EX204" s="50"/>
      <c r="EY204" s="50">
        <v>58.2</v>
      </c>
      <c r="EZ204" s="50">
        <v>53.4</v>
      </c>
      <c r="FA204" s="50">
        <v>54</v>
      </c>
      <c r="FB204" s="50"/>
      <c r="FC204" s="50"/>
      <c r="FD204" s="50"/>
      <c r="FE204" s="50">
        <v>59.4</v>
      </c>
      <c r="FF204" s="50"/>
      <c r="FG204" s="50"/>
      <c r="FH204" s="50"/>
      <c r="FI204" s="50"/>
      <c r="FJ204" s="50"/>
      <c r="FK204" s="50"/>
      <c r="FL204" s="50"/>
      <c r="FM204" s="50"/>
      <c r="FN204" s="50"/>
      <c r="FO204" s="50"/>
      <c r="FP204" s="50"/>
      <c r="FQ204" s="50"/>
      <c r="HC204" s="50"/>
      <c r="HD204" s="50">
        <v>4020</v>
      </c>
      <c r="HE204" s="50">
        <v>4200</v>
      </c>
      <c r="HF204" s="50"/>
      <c r="HG204" s="50"/>
      <c r="HH204" s="50"/>
      <c r="HI204" s="50">
        <v>4380</v>
      </c>
      <c r="HJ204" s="50"/>
      <c r="HK204" s="50"/>
      <c r="HL204" s="50"/>
      <c r="HM204" s="50"/>
      <c r="HN204" s="50"/>
      <c r="HO204" s="50"/>
      <c r="HP204" s="50"/>
      <c r="HQ204" s="50"/>
      <c r="HR204" s="50"/>
      <c r="IJ204">
        <v>0.31830000000000003</v>
      </c>
      <c r="IL204">
        <v>0.3664</v>
      </c>
      <c r="JK204" s="50"/>
      <c r="JL204" s="50"/>
      <c r="JM204" s="50"/>
      <c r="JN204" s="50"/>
      <c r="JO204" s="50"/>
      <c r="JP204" s="50"/>
      <c r="JQ204" s="50"/>
      <c r="JR204" s="50"/>
      <c r="JS204" s="50"/>
      <c r="KD204">
        <v>15</v>
      </c>
      <c r="KO204" s="50"/>
      <c r="KP204" s="50"/>
      <c r="KQ204" s="50"/>
      <c r="KR204" s="57">
        <v>20.399999999999999</v>
      </c>
      <c r="KS204" s="50"/>
      <c r="KT204" s="50">
        <v>17.399999999999999</v>
      </c>
      <c r="KU204" s="50"/>
      <c r="KV204" s="50"/>
      <c r="KW204" s="50">
        <v>33</v>
      </c>
      <c r="LC204">
        <v>19.2</v>
      </c>
      <c r="LD204" s="50"/>
      <c r="LE204" s="50"/>
      <c r="LF204" s="50"/>
      <c r="LG204" s="50"/>
      <c r="LH204" s="50"/>
      <c r="LI204" s="50"/>
      <c r="LJ204" s="50"/>
      <c r="LK204" s="50"/>
      <c r="LL204" s="50"/>
      <c r="LM204" s="50"/>
      <c r="MC204">
        <v>135.1</v>
      </c>
      <c r="NP204" s="3">
        <v>12.6126</v>
      </c>
      <c r="NR204" s="3">
        <v>10.8108</v>
      </c>
      <c r="NZ204" s="3">
        <v>12.012</v>
      </c>
      <c r="PO204">
        <v>4500000</v>
      </c>
      <c r="QZ204">
        <v>222000</v>
      </c>
      <c r="VM204">
        <v>28.3</v>
      </c>
      <c r="WK204">
        <v>7.45</v>
      </c>
      <c r="XA204">
        <v>24.5</v>
      </c>
      <c r="YP204">
        <v>36</v>
      </c>
      <c r="AAH204">
        <v>81</v>
      </c>
      <c r="AEU204">
        <v>138</v>
      </c>
      <c r="AGA204">
        <v>4.0999999999999996</v>
      </c>
      <c r="AHD204">
        <v>2</v>
      </c>
      <c r="AIJ204" s="50"/>
      <c r="AIK204" s="50"/>
      <c r="AIL204" s="50"/>
      <c r="AIM204" s="50"/>
      <c r="AIN204" s="50"/>
      <c r="AIO204" s="50"/>
      <c r="AIP204" s="50"/>
      <c r="AIQ204" s="50"/>
      <c r="AIR204" s="50"/>
      <c r="AIS204" s="50"/>
      <c r="AIT204" s="50"/>
      <c r="AIU204" s="50"/>
      <c r="AIV204" s="50"/>
      <c r="AIW204" s="50"/>
      <c r="AIX204" s="50"/>
      <c r="AIY204" s="50"/>
      <c r="AIZ204" s="50"/>
      <c r="AJA204" s="50"/>
      <c r="AKB204">
        <v>85</v>
      </c>
      <c r="ANH204">
        <v>64</v>
      </c>
      <c r="ANJ204">
        <v>1</v>
      </c>
      <c r="ANK204">
        <v>25.3</v>
      </c>
      <c r="ANN204">
        <v>19</v>
      </c>
      <c r="ANQ204">
        <v>1</v>
      </c>
      <c r="AXT204" s="50">
        <v>500</v>
      </c>
      <c r="AXU204" s="50">
        <v>2</v>
      </c>
      <c r="AXX204">
        <v>1</v>
      </c>
      <c r="AXZ204">
        <v>6</v>
      </c>
      <c r="AYA204">
        <v>5</v>
      </c>
      <c r="AYB204">
        <v>0</v>
      </c>
      <c r="AYC204">
        <v>0</v>
      </c>
      <c r="BMB204">
        <v>100</v>
      </c>
      <c r="BMC204">
        <v>3</v>
      </c>
      <c r="BMF204">
        <v>1</v>
      </c>
      <c r="BMG204">
        <v>3</v>
      </c>
      <c r="BMH204">
        <v>2</v>
      </c>
      <c r="BMI204">
        <v>0</v>
      </c>
      <c r="BMJ204">
        <v>0</v>
      </c>
      <c r="FAQ204">
        <v>1</v>
      </c>
      <c r="FAR204" s="35">
        <v>999</v>
      </c>
      <c r="FAS204">
        <v>9</v>
      </c>
      <c r="FAT204">
        <v>0</v>
      </c>
      <c r="FAU204">
        <v>999</v>
      </c>
      <c r="FWH204">
        <v>1</v>
      </c>
    </row>
    <row r="205" spans="1:1018 1048:2018 2064:2932 3119:4005 4099:5038" x14ac:dyDescent="0.25">
      <c r="A205" s="50">
        <v>4003768</v>
      </c>
      <c r="AD205">
        <v>0.41</v>
      </c>
      <c r="AG205">
        <v>0.52</v>
      </c>
      <c r="AJ205">
        <v>3.74</v>
      </c>
      <c r="AK205">
        <v>10.41</v>
      </c>
      <c r="AL205">
        <v>13.46</v>
      </c>
      <c r="AM205">
        <v>14.36</v>
      </c>
      <c r="ER205">
        <v>60</v>
      </c>
      <c r="ET205" s="50"/>
      <c r="EU205" s="50"/>
      <c r="EV205" s="50"/>
      <c r="EW205" s="50"/>
      <c r="EX205" s="50"/>
      <c r="EY205" s="50">
        <v>131</v>
      </c>
      <c r="EZ205" s="50">
        <v>163</v>
      </c>
      <c r="FA205" s="50">
        <v>153</v>
      </c>
      <c r="FB205" s="50"/>
      <c r="FC205" s="50"/>
      <c r="FD205" s="50"/>
      <c r="FE205" s="50"/>
      <c r="FF205" s="50"/>
      <c r="FG205" s="50"/>
      <c r="FH205" s="50"/>
      <c r="FI205" s="50"/>
      <c r="FJ205" s="50"/>
      <c r="FK205" s="50"/>
      <c r="FL205" s="50"/>
      <c r="FM205" s="50"/>
      <c r="FN205" s="50"/>
      <c r="FO205" s="50"/>
      <c r="FP205" s="50"/>
      <c r="FQ205" s="50"/>
      <c r="HC205" s="50"/>
      <c r="HD205" s="50"/>
      <c r="HE205" s="50"/>
      <c r="HF205" s="50"/>
      <c r="HG205" s="50"/>
      <c r="HH205" s="50"/>
      <c r="HI205" s="50"/>
      <c r="HJ205" s="50"/>
      <c r="HK205" s="50"/>
      <c r="HL205" s="50"/>
      <c r="HM205" s="50"/>
      <c r="HN205" s="50"/>
      <c r="HO205" s="50"/>
      <c r="HP205" s="50"/>
      <c r="HQ205" s="50"/>
      <c r="HR205" s="50"/>
      <c r="JK205" s="50"/>
      <c r="JL205" s="50"/>
      <c r="JM205" s="50"/>
      <c r="JN205" s="50"/>
      <c r="JO205" s="50"/>
      <c r="JP205" s="50"/>
      <c r="JQ205" s="50"/>
      <c r="JR205" s="50"/>
      <c r="JS205" s="50"/>
      <c r="KO205" s="50"/>
      <c r="KP205" s="50"/>
      <c r="KQ205" s="50"/>
      <c r="KR205" s="50"/>
      <c r="KS205" s="50"/>
      <c r="KT205" s="50"/>
      <c r="KU205" s="50"/>
      <c r="KV205" s="50"/>
      <c r="KW205" s="50"/>
      <c r="LD205" s="50"/>
      <c r="LE205" s="50"/>
      <c r="LF205" s="50"/>
      <c r="LG205" s="50"/>
      <c r="LH205" s="50"/>
      <c r="LI205" s="50"/>
      <c r="LJ205" s="50"/>
      <c r="LK205" s="50"/>
      <c r="LL205" s="50"/>
      <c r="LM205" s="50"/>
      <c r="MI205">
        <v>71.599999999999994</v>
      </c>
      <c r="AIJ205" s="50"/>
      <c r="AIK205" s="50"/>
      <c r="AIL205" s="50"/>
      <c r="AIM205" s="50"/>
      <c r="AIN205" s="50"/>
      <c r="AIO205" s="50"/>
      <c r="AIP205" s="50"/>
      <c r="AIQ205" s="50"/>
      <c r="AIR205" s="50"/>
      <c r="AIS205" s="50"/>
      <c r="AIT205" s="50"/>
      <c r="AIU205" s="50"/>
      <c r="AIV205" s="50"/>
      <c r="AIW205" s="50"/>
      <c r="AIX205" s="50"/>
      <c r="AIY205" s="50"/>
      <c r="AIZ205" s="50"/>
      <c r="AJA205" s="50"/>
      <c r="ANH205">
        <v>64</v>
      </c>
      <c r="ANJ205">
        <v>1</v>
      </c>
      <c r="ANL205">
        <v>1</v>
      </c>
      <c r="ASH205">
        <v>1</v>
      </c>
      <c r="AXT205" s="50">
        <v>4000</v>
      </c>
      <c r="AXU205" s="50">
        <v>1</v>
      </c>
      <c r="AXV205">
        <v>1</v>
      </c>
      <c r="AXZ205">
        <v>4</v>
      </c>
      <c r="AYA205">
        <v>3</v>
      </c>
      <c r="AYB205">
        <v>0</v>
      </c>
      <c r="AYC205">
        <v>0</v>
      </c>
      <c r="AYV205">
        <v>1</v>
      </c>
      <c r="AYW205">
        <v>3</v>
      </c>
      <c r="AYX205">
        <v>3</v>
      </c>
      <c r="AYY205">
        <v>0</v>
      </c>
      <c r="BGV205">
        <v>1</v>
      </c>
      <c r="BGW205">
        <v>3</v>
      </c>
      <c r="BGX205">
        <v>3</v>
      </c>
      <c r="BGY205">
        <v>0</v>
      </c>
      <c r="BHZ205">
        <v>1</v>
      </c>
      <c r="BIA205">
        <v>2</v>
      </c>
      <c r="BIB205">
        <v>2</v>
      </c>
      <c r="BIC205">
        <v>0</v>
      </c>
      <c r="BMM205">
        <v>1500</v>
      </c>
      <c r="BMN205">
        <v>1</v>
      </c>
      <c r="BMR205">
        <v>6</v>
      </c>
      <c r="BMS205">
        <v>8</v>
      </c>
      <c r="BMT205">
        <v>3</v>
      </c>
      <c r="BMU205">
        <v>0</v>
      </c>
      <c r="BTM205">
        <v>80</v>
      </c>
      <c r="BTN205">
        <v>1</v>
      </c>
      <c r="BTR205">
        <v>6</v>
      </c>
      <c r="BTS205">
        <v>8</v>
      </c>
      <c r="BTT205">
        <v>3</v>
      </c>
      <c r="BTU205">
        <v>0</v>
      </c>
      <c r="CAJ205">
        <v>1</v>
      </c>
      <c r="CAK205">
        <v>1</v>
      </c>
      <c r="CAL205">
        <v>3</v>
      </c>
      <c r="CAM205">
        <v>3</v>
      </c>
      <c r="CAN205">
        <v>0</v>
      </c>
      <c r="CDE205">
        <v>1</v>
      </c>
      <c r="CGC205">
        <v>80</v>
      </c>
      <c r="CGD205">
        <v>1</v>
      </c>
      <c r="CGG205">
        <v>1</v>
      </c>
      <c r="DGI205">
        <v>500</v>
      </c>
      <c r="DGJ205">
        <v>1</v>
      </c>
      <c r="DOY205">
        <v>20</v>
      </c>
      <c r="DOZ205">
        <v>1</v>
      </c>
      <c r="EDE205">
        <v>1</v>
      </c>
      <c r="EDF205">
        <v>3</v>
      </c>
      <c r="EDG205">
        <v>3</v>
      </c>
      <c r="EDH205">
        <v>0</v>
      </c>
      <c r="FUJ205">
        <v>1</v>
      </c>
      <c r="FUM205">
        <v>1</v>
      </c>
      <c r="FUQ205">
        <v>1</v>
      </c>
      <c r="FUR205">
        <v>1</v>
      </c>
      <c r="FXU205">
        <v>1</v>
      </c>
      <c r="FYH205">
        <v>1</v>
      </c>
      <c r="FYI205">
        <v>1</v>
      </c>
      <c r="FYK205">
        <v>1</v>
      </c>
      <c r="FZS205">
        <v>1</v>
      </c>
      <c r="GAA205">
        <v>1</v>
      </c>
      <c r="GAE205">
        <v>1</v>
      </c>
    </row>
    <row r="206" spans="1:1018 1048:2018 2064:2932 3119:4005 4099:5038" x14ac:dyDescent="0.25">
      <c r="A206" s="50">
        <v>4006540</v>
      </c>
      <c r="AT206" s="3">
        <v>12.161099999999999</v>
      </c>
      <c r="AU206" s="3">
        <v>1.3271999999999999</v>
      </c>
      <c r="AX206" s="3">
        <v>9.0038999999999998</v>
      </c>
      <c r="BA206" s="3">
        <v>6.7237</v>
      </c>
      <c r="FH206" s="3">
        <v>243</v>
      </c>
      <c r="FI206">
        <v>219</v>
      </c>
      <c r="FL206">
        <v>169.2</v>
      </c>
      <c r="FO206">
        <v>181.8</v>
      </c>
      <c r="HC206" s="50"/>
      <c r="HD206" s="50"/>
      <c r="HE206" s="50"/>
      <c r="HF206" s="50"/>
      <c r="HG206" s="50"/>
      <c r="HH206" s="50"/>
      <c r="HI206" s="50"/>
      <c r="HJ206" s="50"/>
      <c r="HK206" s="50"/>
      <c r="HL206" s="50"/>
      <c r="HM206" s="50"/>
      <c r="HN206" s="50"/>
      <c r="HO206" s="50"/>
      <c r="HP206" s="50"/>
      <c r="HQ206" s="50"/>
      <c r="HR206" s="50"/>
      <c r="IS206" s="3">
        <v>1.1086</v>
      </c>
      <c r="JK206" s="50"/>
      <c r="JL206" s="50"/>
      <c r="JM206" s="50"/>
      <c r="JN206" s="50"/>
      <c r="JO206" s="50"/>
      <c r="JP206" s="50"/>
      <c r="JQ206" s="50"/>
      <c r="JR206" s="50"/>
      <c r="JS206" s="50"/>
      <c r="KO206" s="50"/>
      <c r="KP206" s="50"/>
      <c r="KQ206" s="50"/>
      <c r="KR206" s="50"/>
      <c r="KS206" s="50"/>
      <c r="KT206" s="50"/>
      <c r="KU206" s="50"/>
      <c r="KV206" s="50"/>
      <c r="KW206" s="50"/>
      <c r="KZ206" s="3">
        <v>55.8</v>
      </c>
      <c r="LA206" s="3"/>
      <c r="LD206" s="50"/>
      <c r="LE206" s="50"/>
      <c r="LF206" s="50"/>
      <c r="LG206" s="50"/>
      <c r="LH206" s="50"/>
      <c r="LI206" s="50"/>
      <c r="LJ206" s="50"/>
      <c r="LK206" s="50"/>
      <c r="LL206" s="50"/>
      <c r="LM206" s="50"/>
      <c r="ML206">
        <v>5</v>
      </c>
      <c r="YY206">
        <v>42</v>
      </c>
      <c r="ZD206">
        <v>44</v>
      </c>
      <c r="AFD206">
        <v>137</v>
      </c>
      <c r="AGJ206">
        <v>4.5999999999999996</v>
      </c>
      <c r="AIJ206" s="50"/>
      <c r="AIK206" s="50"/>
      <c r="AIL206" s="50"/>
      <c r="AIM206" s="50"/>
      <c r="AIN206" s="50"/>
      <c r="AIO206" s="50"/>
      <c r="AIP206" s="50"/>
      <c r="AIQ206" s="50"/>
      <c r="AIR206" s="50"/>
      <c r="AIS206" s="50"/>
      <c r="AIT206" s="50"/>
      <c r="AIU206" s="50"/>
      <c r="AIV206" s="50"/>
      <c r="AIW206" s="50"/>
      <c r="AIX206" s="50"/>
      <c r="AIY206" s="50"/>
      <c r="AIZ206" s="50"/>
      <c r="AJA206" s="50"/>
      <c r="AKJ206" s="3">
        <v>120.7072</v>
      </c>
      <c r="ANH206">
        <v>39</v>
      </c>
      <c r="ANI206">
        <v>1</v>
      </c>
      <c r="ANK206">
        <v>26.1</v>
      </c>
      <c r="ANN206">
        <v>20</v>
      </c>
      <c r="ANP206">
        <v>1</v>
      </c>
      <c r="AXT206" s="50">
        <v>500</v>
      </c>
      <c r="AXU206" s="50">
        <v>1</v>
      </c>
      <c r="AXX206">
        <v>1</v>
      </c>
      <c r="AXZ206">
        <v>8</v>
      </c>
      <c r="AYA206">
        <v>9</v>
      </c>
      <c r="AYB206">
        <v>2</v>
      </c>
      <c r="AYC206">
        <v>0</v>
      </c>
      <c r="BNQ206">
        <v>250</v>
      </c>
      <c r="BNR206">
        <v>2</v>
      </c>
      <c r="BNU206">
        <v>1</v>
      </c>
      <c r="BNV206">
        <v>8</v>
      </c>
      <c r="BNW206">
        <v>9</v>
      </c>
      <c r="BNX206">
        <v>2</v>
      </c>
      <c r="BNY206">
        <v>0</v>
      </c>
      <c r="FWD206">
        <v>1</v>
      </c>
      <c r="FWH206">
        <v>1</v>
      </c>
      <c r="GAD206">
        <v>1</v>
      </c>
      <c r="GAE206">
        <v>1</v>
      </c>
    </row>
    <row r="207" spans="1:1018 1048:2018 2064:2932 3119:4005 4099:5038" x14ac:dyDescent="0.25">
      <c r="A207" s="50">
        <v>4007054</v>
      </c>
      <c r="AN207" t="s">
        <v>1923</v>
      </c>
      <c r="AY207">
        <v>0.16739999999999999</v>
      </c>
      <c r="HC207" s="50"/>
      <c r="HD207" s="50"/>
      <c r="HE207" s="50"/>
      <c r="HF207" s="50"/>
      <c r="HG207" s="50"/>
      <c r="HH207" s="50"/>
      <c r="HI207" s="50"/>
      <c r="HJ207" s="50"/>
      <c r="HK207" s="50"/>
      <c r="HL207" s="50"/>
      <c r="HM207" s="50"/>
      <c r="HN207" s="50"/>
      <c r="HO207" s="50"/>
      <c r="HP207" s="50"/>
      <c r="HQ207" s="50"/>
      <c r="HR207" s="50"/>
      <c r="IM207">
        <v>0.59160000000000001</v>
      </c>
      <c r="JK207" s="50"/>
      <c r="JL207" s="50"/>
      <c r="JM207" s="50"/>
      <c r="JN207" s="50"/>
      <c r="JO207" s="50"/>
      <c r="JP207" s="50"/>
      <c r="JQ207" s="50"/>
      <c r="JR207" s="50"/>
      <c r="JS207" s="50"/>
      <c r="KO207" s="50"/>
      <c r="KP207" s="50"/>
      <c r="KQ207" s="50"/>
      <c r="KR207" s="50"/>
      <c r="KS207" s="50"/>
      <c r="KT207" s="50"/>
      <c r="KU207" s="50">
        <v>48</v>
      </c>
      <c r="KV207" s="50"/>
      <c r="KW207" s="50"/>
      <c r="LD207" s="50"/>
      <c r="LE207" s="50"/>
      <c r="LF207" s="50"/>
      <c r="LG207" s="50"/>
      <c r="LH207" s="50"/>
      <c r="LI207" s="50"/>
      <c r="LJ207" s="50"/>
      <c r="LK207" s="50"/>
      <c r="LL207" s="50"/>
      <c r="LM207" s="50"/>
      <c r="MF207">
        <v>59.3</v>
      </c>
      <c r="RC207">
        <v>72000</v>
      </c>
      <c r="YS207">
        <v>39</v>
      </c>
      <c r="AEX207">
        <v>137</v>
      </c>
      <c r="AGD207">
        <v>4.2</v>
      </c>
      <c r="AIJ207" s="50"/>
      <c r="AIK207" s="50"/>
      <c r="AIL207" s="50"/>
      <c r="AIM207" s="50"/>
      <c r="AIN207" s="50"/>
      <c r="AIO207" s="50"/>
      <c r="AIP207" s="50"/>
      <c r="AIQ207" s="50"/>
      <c r="AIR207" s="50"/>
      <c r="AIS207" s="50"/>
      <c r="AIT207" s="50"/>
      <c r="AIU207" s="50"/>
      <c r="AIV207" s="50"/>
      <c r="AIW207" s="50"/>
      <c r="AIX207" s="50"/>
      <c r="AIY207" s="50"/>
      <c r="AIZ207" s="50"/>
      <c r="AJA207" s="50"/>
      <c r="AKD207" s="3">
        <v>172.95359999999999</v>
      </c>
      <c r="ALB207">
        <v>5400</v>
      </c>
      <c r="ALQ207">
        <v>1.2</v>
      </c>
      <c r="ANH207">
        <v>44</v>
      </c>
      <c r="ANI207">
        <v>1</v>
      </c>
      <c r="ANK207">
        <v>22.4</v>
      </c>
      <c r="ANM207">
        <v>1</v>
      </c>
      <c r="ANN207">
        <v>19</v>
      </c>
      <c r="ANO207">
        <v>1</v>
      </c>
      <c r="ANP207">
        <v>1</v>
      </c>
      <c r="APB207">
        <v>1</v>
      </c>
      <c r="AQH207">
        <v>1</v>
      </c>
      <c r="AQY207">
        <v>1</v>
      </c>
      <c r="AQZ207">
        <v>1</v>
      </c>
      <c r="ARC207">
        <v>1</v>
      </c>
      <c r="AVB207">
        <v>1</v>
      </c>
      <c r="AVS207">
        <v>1</v>
      </c>
      <c r="AVZ207">
        <v>1</v>
      </c>
      <c r="AXT207" s="50"/>
      <c r="AXU207" s="50"/>
      <c r="AYF207">
        <v>300</v>
      </c>
      <c r="AYG207">
        <v>1</v>
      </c>
      <c r="AYJ207">
        <v>1</v>
      </c>
      <c r="AYK207">
        <v>999</v>
      </c>
      <c r="AYL207">
        <v>999</v>
      </c>
      <c r="AYM207">
        <v>0</v>
      </c>
      <c r="AYN207">
        <v>999</v>
      </c>
      <c r="CJF207">
        <v>25</v>
      </c>
      <c r="CJG207">
        <v>2</v>
      </c>
      <c r="CJJ207">
        <v>1</v>
      </c>
      <c r="CJK207">
        <v>999</v>
      </c>
      <c r="CJL207">
        <v>999</v>
      </c>
      <c r="CJM207">
        <v>0</v>
      </c>
      <c r="CJN207">
        <v>0</v>
      </c>
      <c r="CQQ207">
        <v>40</v>
      </c>
      <c r="CQR207">
        <v>2</v>
      </c>
      <c r="CQU207">
        <v>1</v>
      </c>
      <c r="CQV207">
        <v>999</v>
      </c>
      <c r="CQW207">
        <v>999</v>
      </c>
      <c r="CQX207">
        <v>0</v>
      </c>
      <c r="CQY207">
        <v>0</v>
      </c>
      <c r="CSZ207">
        <v>8</v>
      </c>
      <c r="CTA207">
        <v>1</v>
      </c>
      <c r="CTD207">
        <v>1</v>
      </c>
      <c r="CTE207">
        <v>999</v>
      </c>
      <c r="CTF207">
        <v>999</v>
      </c>
      <c r="CTG207">
        <v>0</v>
      </c>
      <c r="CTH207">
        <v>0</v>
      </c>
      <c r="FVZ207">
        <v>1</v>
      </c>
      <c r="FWB207">
        <v>1</v>
      </c>
      <c r="FYT207">
        <v>1</v>
      </c>
      <c r="GAP207">
        <v>1</v>
      </c>
    </row>
    <row r="208" spans="1:1018 1048:2018 2064:2932 3119:4005 4099:5038" x14ac:dyDescent="0.25">
      <c r="A208" s="50">
        <v>4011002</v>
      </c>
      <c r="AJ208">
        <v>0.2072</v>
      </c>
      <c r="AO208">
        <v>0.16209999999999999</v>
      </c>
      <c r="AR208">
        <v>0.19819999999999999</v>
      </c>
      <c r="EX208" s="3">
        <v>189.6</v>
      </c>
      <c r="EY208">
        <v>189</v>
      </c>
      <c r="FC208">
        <v>325.2</v>
      </c>
      <c r="FF208">
        <v>294</v>
      </c>
      <c r="HC208" s="50"/>
      <c r="HD208" s="50"/>
      <c r="HE208" s="50"/>
      <c r="HF208" s="50"/>
      <c r="HG208" s="50"/>
      <c r="HH208" s="50"/>
      <c r="HI208" s="50"/>
      <c r="HJ208" s="50"/>
      <c r="HK208" s="50"/>
      <c r="HL208" s="50"/>
      <c r="HM208" s="50"/>
      <c r="HN208" s="50"/>
      <c r="HO208" s="50"/>
      <c r="HP208" s="50"/>
      <c r="HQ208" s="50"/>
      <c r="HR208" s="50"/>
      <c r="II208" s="3">
        <v>1.2330000000000001</v>
      </c>
      <c r="IJ208" s="3">
        <v>1.0407</v>
      </c>
      <c r="IQ208">
        <v>0.9728</v>
      </c>
      <c r="JK208" s="50"/>
      <c r="JL208" s="50"/>
      <c r="JM208" s="50"/>
      <c r="JN208" s="50"/>
      <c r="JO208" s="50"/>
      <c r="JP208" s="50"/>
      <c r="JQ208" s="50"/>
      <c r="JR208" s="50"/>
      <c r="JS208" s="50"/>
      <c r="KO208" s="50"/>
      <c r="KP208" s="50"/>
      <c r="KQ208" s="50"/>
      <c r="KR208" s="50"/>
      <c r="KS208" s="50"/>
      <c r="KT208" s="50"/>
      <c r="KU208" s="50"/>
      <c r="KV208" s="50"/>
      <c r="KW208" s="50"/>
      <c r="LD208" s="50"/>
      <c r="LE208" s="50"/>
      <c r="LF208" s="50"/>
      <c r="LG208" s="50"/>
      <c r="LH208" s="50"/>
      <c r="LI208" s="50"/>
      <c r="LJ208" s="50"/>
      <c r="LK208" s="50"/>
      <c r="LL208" s="50"/>
      <c r="LM208" s="50"/>
      <c r="MB208">
        <v>241</v>
      </c>
      <c r="MC208">
        <v>180</v>
      </c>
      <c r="MG208">
        <v>49</v>
      </c>
      <c r="MJ208">
        <v>12.9</v>
      </c>
      <c r="QY208">
        <v>113000</v>
      </c>
      <c r="QZ208">
        <v>108000</v>
      </c>
      <c r="RD208">
        <v>285000</v>
      </c>
      <c r="RG208">
        <v>411000</v>
      </c>
      <c r="YO208">
        <v>42</v>
      </c>
      <c r="YP208">
        <v>38</v>
      </c>
      <c r="YT208">
        <v>40</v>
      </c>
      <c r="YW208">
        <v>41</v>
      </c>
      <c r="AIJ208" s="50"/>
      <c r="AIK208" s="50"/>
      <c r="AIL208" s="50"/>
      <c r="AIM208" s="50"/>
      <c r="AIN208" s="50"/>
      <c r="AIO208" s="50"/>
      <c r="AIP208" s="50"/>
      <c r="AIQ208" s="50"/>
      <c r="AIR208" s="50"/>
      <c r="AIS208" s="50"/>
      <c r="AIT208" s="50"/>
      <c r="AIU208" s="50"/>
      <c r="AIV208" s="50"/>
      <c r="AIW208" s="50"/>
      <c r="AIX208" s="50"/>
      <c r="AIY208" s="50"/>
      <c r="AIZ208" s="50"/>
      <c r="AJA208" s="50"/>
      <c r="AJZ208" s="3">
        <v>138.72319999999999</v>
      </c>
      <c r="ANH208">
        <v>38</v>
      </c>
      <c r="ANI208">
        <v>1</v>
      </c>
      <c r="ANK208">
        <v>24.7</v>
      </c>
      <c r="AXT208" s="50">
        <v>500</v>
      </c>
      <c r="AXU208" s="50">
        <v>3</v>
      </c>
      <c r="AXX208">
        <v>1</v>
      </c>
      <c r="AXZ208">
        <v>7</v>
      </c>
      <c r="AYA208">
        <v>6</v>
      </c>
      <c r="AYB208">
        <v>0</v>
      </c>
      <c r="AYC208">
        <v>0</v>
      </c>
      <c r="BTM208">
        <v>500</v>
      </c>
      <c r="BTN208">
        <v>2</v>
      </c>
      <c r="BTQ208">
        <v>1</v>
      </c>
      <c r="BTR208">
        <v>3</v>
      </c>
      <c r="BTS208">
        <v>2</v>
      </c>
      <c r="BTT208">
        <v>0</v>
      </c>
      <c r="BTU208">
        <v>0</v>
      </c>
      <c r="DUI208">
        <v>8</v>
      </c>
      <c r="DUJ208">
        <v>3</v>
      </c>
      <c r="DUM208">
        <v>1</v>
      </c>
      <c r="DUN208">
        <v>7</v>
      </c>
      <c r="DUO208">
        <v>6</v>
      </c>
      <c r="DUP208">
        <v>0</v>
      </c>
      <c r="DUQ208">
        <v>0</v>
      </c>
      <c r="FWH208">
        <v>1</v>
      </c>
      <c r="FWX208">
        <v>1</v>
      </c>
      <c r="FXQ208">
        <v>1</v>
      </c>
    </row>
    <row r="209" spans="1:1012 1034:1834 2051:2995 3119:4096 4099:5046" x14ac:dyDescent="0.25">
      <c r="A209" s="50">
        <v>4900268</v>
      </c>
      <c r="HC209" s="50"/>
      <c r="HD209" s="50"/>
      <c r="HE209" s="50"/>
      <c r="HF209" s="50"/>
      <c r="HG209" s="50"/>
      <c r="HH209" s="50"/>
      <c r="HI209" s="50"/>
      <c r="HJ209" s="50"/>
      <c r="HK209" s="50"/>
      <c r="HL209" s="50"/>
      <c r="HM209" s="50"/>
      <c r="HN209" s="50"/>
      <c r="HO209" s="50"/>
      <c r="HP209" s="50"/>
      <c r="HQ209" s="50"/>
      <c r="HR209" s="50"/>
      <c r="JK209" s="50"/>
      <c r="JL209" s="50">
        <v>8000</v>
      </c>
      <c r="JM209" s="50"/>
      <c r="JN209" s="50"/>
      <c r="JO209" s="50"/>
      <c r="JP209" s="50"/>
      <c r="JQ209" s="50"/>
      <c r="JR209" s="50"/>
      <c r="JS209" s="50"/>
      <c r="KO209" s="50"/>
      <c r="KP209" s="50"/>
      <c r="KQ209" s="50"/>
      <c r="KR209" s="50"/>
      <c r="KS209" s="50"/>
      <c r="KT209" s="50"/>
      <c r="KU209" s="50"/>
      <c r="KV209" s="50"/>
      <c r="KW209" s="50"/>
      <c r="LD209" s="50"/>
      <c r="LE209" s="50"/>
      <c r="LF209" s="50"/>
      <c r="LG209" s="50"/>
      <c r="LH209" s="50"/>
      <c r="LI209" s="50"/>
      <c r="LJ209" s="50"/>
      <c r="LK209" s="50"/>
      <c r="LL209" s="50"/>
      <c r="LM209" s="50"/>
      <c r="AIJ209" s="50"/>
      <c r="AIK209" s="50"/>
      <c r="AIL209" s="50"/>
      <c r="AIM209" s="50"/>
      <c r="AIN209" s="50"/>
      <c r="AIO209" s="50"/>
      <c r="AIP209" s="50"/>
      <c r="AIQ209" s="50"/>
      <c r="AIR209" s="50"/>
      <c r="AIS209" s="50"/>
      <c r="AIT209" s="50"/>
      <c r="AIU209" s="50"/>
      <c r="AIV209" s="50"/>
      <c r="AIW209" s="50"/>
      <c r="AIX209" s="50"/>
      <c r="AIY209" s="50"/>
      <c r="AIZ209" s="50"/>
      <c r="AJA209" s="50"/>
      <c r="ANH209">
        <v>39</v>
      </c>
      <c r="ANJ209">
        <v>1</v>
      </c>
      <c r="AOU209">
        <v>1</v>
      </c>
      <c r="AVK209">
        <v>1</v>
      </c>
      <c r="AXT209" s="50">
        <v>1000</v>
      </c>
      <c r="AXU209" s="50">
        <v>1</v>
      </c>
      <c r="AXY209">
        <v>1</v>
      </c>
      <c r="EGC209">
        <v>100</v>
      </c>
      <c r="EGD209">
        <v>3</v>
      </c>
      <c r="EGG209">
        <v>1</v>
      </c>
      <c r="EGM209">
        <v>1800</v>
      </c>
      <c r="EGN209">
        <v>1</v>
      </c>
      <c r="EGQ209">
        <v>1</v>
      </c>
      <c r="EJF209">
        <v>15</v>
      </c>
      <c r="EJG209">
        <v>1</v>
      </c>
      <c r="EJJ209">
        <v>1</v>
      </c>
      <c r="FUJ209">
        <v>1</v>
      </c>
      <c r="FWH209">
        <v>1</v>
      </c>
      <c r="FXU209">
        <v>1</v>
      </c>
      <c r="FXW209">
        <v>1</v>
      </c>
      <c r="FYC209">
        <v>1</v>
      </c>
      <c r="FZQ209">
        <v>1</v>
      </c>
      <c r="GAA209">
        <v>1</v>
      </c>
    </row>
    <row r="210" spans="1:1012 1034:1834 2051:2995 3119:4096 4099:5046" x14ac:dyDescent="0.25">
      <c r="A210" s="50">
        <v>5001097</v>
      </c>
      <c r="AC210">
        <v>0.46</v>
      </c>
      <c r="AN210">
        <v>0.36</v>
      </c>
      <c r="EP210">
        <v>93</v>
      </c>
      <c r="EQ210">
        <v>84</v>
      </c>
      <c r="EX210">
        <v>94</v>
      </c>
      <c r="FB210">
        <v>89</v>
      </c>
      <c r="FF210">
        <v>98</v>
      </c>
      <c r="HC210" s="50"/>
      <c r="HD210" s="50"/>
      <c r="HE210" s="50"/>
      <c r="HF210" s="50"/>
      <c r="HG210" s="50"/>
      <c r="HH210" s="50"/>
      <c r="HI210" s="50"/>
      <c r="HJ210" s="50"/>
      <c r="HK210" s="50"/>
      <c r="HL210" s="50"/>
      <c r="HM210" s="50"/>
      <c r="HN210" s="50"/>
      <c r="HO210" s="50"/>
      <c r="HP210" s="50"/>
      <c r="HQ210" s="50"/>
      <c r="HR210" s="50"/>
      <c r="IA210">
        <v>1</v>
      </c>
      <c r="IB210">
        <v>1</v>
      </c>
      <c r="II210">
        <v>0.9</v>
      </c>
      <c r="IQ210">
        <v>0.9</v>
      </c>
      <c r="JK210" s="50"/>
      <c r="JL210" s="50"/>
      <c r="JM210" s="50"/>
      <c r="JN210" s="50"/>
      <c r="JO210" s="50"/>
      <c r="JP210" s="50"/>
      <c r="JQ210" s="50"/>
      <c r="JR210" s="50"/>
      <c r="JS210" s="50"/>
      <c r="KL210" s="14">
        <v>171.5</v>
      </c>
      <c r="KO210" s="50"/>
      <c r="KP210" s="50"/>
      <c r="KQ210" s="50"/>
      <c r="KR210" s="50"/>
      <c r="KS210" s="50"/>
      <c r="KT210" s="50"/>
      <c r="KU210" s="50"/>
      <c r="KV210" s="50"/>
      <c r="KW210" s="50"/>
      <c r="LD210" s="50"/>
      <c r="LE210" s="50"/>
      <c r="LF210" s="50"/>
      <c r="LG210" s="50"/>
      <c r="LH210" s="50"/>
      <c r="LI210" s="50"/>
      <c r="LJ210" s="50"/>
      <c r="LK210" s="50"/>
      <c r="LL210" s="50"/>
      <c r="LM210" s="50"/>
      <c r="LU210">
        <v>11</v>
      </c>
      <c r="LX210">
        <v>3</v>
      </c>
      <c r="MB210">
        <v>2</v>
      </c>
      <c r="MJ210">
        <v>2</v>
      </c>
      <c r="NI210">
        <v>38</v>
      </c>
      <c r="PG210">
        <v>5050000</v>
      </c>
      <c r="PH210" s="3">
        <v>49800000000</v>
      </c>
      <c r="PN210">
        <v>4960000</v>
      </c>
      <c r="PV210">
        <v>5220000</v>
      </c>
      <c r="QR210">
        <v>312000</v>
      </c>
      <c r="QS210">
        <v>371000</v>
      </c>
      <c r="QY210">
        <v>385000</v>
      </c>
      <c r="RG210">
        <v>371000</v>
      </c>
      <c r="SL210">
        <v>60</v>
      </c>
      <c r="SN210">
        <v>15</v>
      </c>
      <c r="SP210">
        <v>20</v>
      </c>
      <c r="TC210">
        <v>1.5</v>
      </c>
      <c r="TD210">
        <v>0.7</v>
      </c>
      <c r="TJ210">
        <v>1.7</v>
      </c>
      <c r="TW210">
        <v>69.900000000000006</v>
      </c>
      <c r="TX210">
        <v>76.7</v>
      </c>
      <c r="UE210">
        <v>67.900000000000006</v>
      </c>
      <c r="US210">
        <v>1.1000000000000001</v>
      </c>
      <c r="UT210">
        <v>0.6</v>
      </c>
      <c r="UY210">
        <v>1.1000000000000001</v>
      </c>
      <c r="YH210">
        <v>40.6</v>
      </c>
      <c r="YI210">
        <v>39.9</v>
      </c>
      <c r="YO210">
        <v>40</v>
      </c>
      <c r="YW210">
        <v>42.4</v>
      </c>
      <c r="AAA210">
        <v>80.5</v>
      </c>
      <c r="AAB210">
        <v>80.099999999999994</v>
      </c>
      <c r="AAG210">
        <v>80.7</v>
      </c>
      <c r="AAN210">
        <v>81.3</v>
      </c>
      <c r="ABG210">
        <v>27.2</v>
      </c>
      <c r="ABH210">
        <v>26.9</v>
      </c>
      <c r="ABM210">
        <v>27</v>
      </c>
      <c r="ABT210">
        <v>27.3</v>
      </c>
      <c r="ACJ210">
        <v>33.700000000000003</v>
      </c>
      <c r="ACK210">
        <v>33.5</v>
      </c>
      <c r="ACP210">
        <v>33.4</v>
      </c>
      <c r="ACW210">
        <v>33.6</v>
      </c>
      <c r="AFB210">
        <v>141</v>
      </c>
      <c r="AFT210">
        <v>3.4</v>
      </c>
      <c r="AFV210">
        <v>4.0999999999999996</v>
      </c>
      <c r="AFZ210">
        <v>4.0999999999999996</v>
      </c>
      <c r="AGH210">
        <v>3.5</v>
      </c>
      <c r="AGW210">
        <v>2.4</v>
      </c>
      <c r="AIJ210" s="50"/>
      <c r="AIK210" s="50"/>
      <c r="AIL210" s="50"/>
      <c r="AIM210" s="50"/>
      <c r="AIN210" s="50"/>
      <c r="AIO210" s="50"/>
      <c r="AIP210" s="50"/>
      <c r="AIQ210" s="50"/>
      <c r="AIR210" s="50"/>
      <c r="AIS210" s="50"/>
      <c r="AIT210" s="50"/>
      <c r="AIU210" s="50"/>
      <c r="AIV210" s="50"/>
      <c r="AIW210" s="50"/>
      <c r="AIX210" s="50"/>
      <c r="AIY210" s="50"/>
      <c r="AIZ210" s="50"/>
      <c r="AJA210" s="50"/>
      <c r="AJU210" s="14">
        <v>107.5</v>
      </c>
      <c r="ANH210">
        <v>77</v>
      </c>
      <c r="ANJ210">
        <v>1</v>
      </c>
      <c r="ANK210">
        <v>24</v>
      </c>
      <c r="ANM210">
        <v>1</v>
      </c>
      <c r="ANN210">
        <v>7</v>
      </c>
      <c r="APC210">
        <v>1</v>
      </c>
      <c r="ARC210">
        <v>1</v>
      </c>
      <c r="ATG210">
        <v>1</v>
      </c>
      <c r="ATW210">
        <v>1</v>
      </c>
      <c r="AXT210" s="50">
        <v>1500</v>
      </c>
      <c r="AXU210" s="50">
        <v>1</v>
      </c>
      <c r="AXX210">
        <v>1</v>
      </c>
      <c r="AXZ210">
        <v>7</v>
      </c>
      <c r="AYA210">
        <v>6</v>
      </c>
      <c r="AYB210">
        <v>0</v>
      </c>
      <c r="AYC210">
        <v>0</v>
      </c>
      <c r="CKT210">
        <v>5</v>
      </c>
      <c r="CKU210">
        <v>1</v>
      </c>
      <c r="CKX210">
        <v>1</v>
      </c>
      <c r="DCS210">
        <v>10</v>
      </c>
      <c r="DCT210">
        <v>1</v>
      </c>
      <c r="DCW210">
        <v>1</v>
      </c>
      <c r="DOY210">
        <v>20</v>
      </c>
      <c r="DOZ210">
        <v>1</v>
      </c>
      <c r="DPC210">
        <v>1</v>
      </c>
      <c r="DPD210" s="35">
        <v>999</v>
      </c>
      <c r="DPE210">
        <v>7</v>
      </c>
      <c r="DPF210">
        <v>0</v>
      </c>
      <c r="DPG210">
        <v>999</v>
      </c>
    </row>
    <row r="211" spans="1:1012 1034:1834 2051:2995 3119:4096 4099:5046" x14ac:dyDescent="0.25">
      <c r="A211" s="50">
        <v>5001098</v>
      </c>
      <c r="AA211">
        <v>0.41</v>
      </c>
      <c r="AB211">
        <v>0.46</v>
      </c>
      <c r="AE211">
        <v>0.52</v>
      </c>
      <c r="EM211">
        <v>159</v>
      </c>
      <c r="EO211">
        <v>142</v>
      </c>
      <c r="EP211">
        <v>138</v>
      </c>
      <c r="ES211">
        <v>137</v>
      </c>
      <c r="EX211">
        <v>131</v>
      </c>
      <c r="HC211" s="50"/>
      <c r="HD211" s="50"/>
      <c r="HE211" s="50"/>
      <c r="HF211" s="50"/>
      <c r="HG211" s="50"/>
      <c r="HH211" s="50"/>
      <c r="HI211" s="50"/>
      <c r="HJ211" s="50"/>
      <c r="HK211" s="50"/>
      <c r="HL211" s="50"/>
      <c r="HM211" s="50"/>
      <c r="HN211" s="50"/>
      <c r="HO211" s="50"/>
      <c r="HP211" s="50"/>
      <c r="HQ211" s="50"/>
      <c r="HR211" s="50"/>
      <c r="HX211">
        <v>1</v>
      </c>
      <c r="HY211">
        <v>1</v>
      </c>
      <c r="IA211">
        <v>0.9</v>
      </c>
      <c r="JK211" s="50"/>
      <c r="JL211" s="50"/>
      <c r="JM211" s="50"/>
      <c r="JN211" s="50"/>
      <c r="JO211" s="50"/>
      <c r="JP211" s="50"/>
      <c r="JQ211" s="50"/>
      <c r="JR211" s="50"/>
      <c r="JS211" s="50"/>
      <c r="KK211">
        <v>267</v>
      </c>
      <c r="KO211" s="50"/>
      <c r="KP211" s="50"/>
      <c r="KQ211" s="50">
        <v>252</v>
      </c>
      <c r="KR211" s="50"/>
      <c r="KS211" s="50"/>
      <c r="KT211" s="50"/>
      <c r="KU211" s="50"/>
      <c r="KV211" s="50"/>
      <c r="KW211" s="50"/>
      <c r="LD211" s="50"/>
      <c r="LE211" s="50"/>
      <c r="LF211" s="50"/>
      <c r="LG211" s="50"/>
      <c r="LH211" s="50"/>
      <c r="LI211" s="50"/>
      <c r="LJ211" s="50"/>
      <c r="LK211" s="50"/>
      <c r="LL211" s="50"/>
      <c r="LM211" s="50"/>
      <c r="LR211">
        <v>45</v>
      </c>
      <c r="LT211">
        <v>10</v>
      </c>
      <c r="LU211">
        <v>5</v>
      </c>
      <c r="PD211" s="3">
        <v>49000000000</v>
      </c>
      <c r="PF211">
        <v>4880000</v>
      </c>
      <c r="PG211" s="3">
        <v>48200000000</v>
      </c>
      <c r="QN211">
        <v>437000</v>
      </c>
      <c r="QQ211">
        <v>452000</v>
      </c>
      <c r="QR211">
        <v>449000</v>
      </c>
      <c r="SK211">
        <v>56</v>
      </c>
      <c r="SL211">
        <v>64</v>
      </c>
      <c r="TA211">
        <v>1.5</v>
      </c>
      <c r="TC211">
        <v>0.4</v>
      </c>
      <c r="TU211">
        <v>79.8</v>
      </c>
      <c r="TW211">
        <v>69.400000000000006</v>
      </c>
      <c r="UQ211">
        <v>0.4</v>
      </c>
      <c r="US211">
        <v>0.6</v>
      </c>
      <c r="YE211">
        <v>41.8</v>
      </c>
      <c r="YG211">
        <v>41.6</v>
      </c>
      <c r="YH211">
        <v>41.1</v>
      </c>
      <c r="ZW211">
        <v>85.2</v>
      </c>
      <c r="ZZ211">
        <v>85.3</v>
      </c>
      <c r="AAA211">
        <v>85.2</v>
      </c>
      <c r="ABD211">
        <v>29.3</v>
      </c>
      <c r="ABF211">
        <v>28.8</v>
      </c>
      <c r="ABG211">
        <v>29.2</v>
      </c>
      <c r="ACG211">
        <v>34.299999999999997</v>
      </c>
      <c r="ACI211">
        <v>33.799999999999997</v>
      </c>
      <c r="ACJ211">
        <v>34.200000000000003</v>
      </c>
      <c r="AEN211">
        <v>137</v>
      </c>
      <c r="AFP211">
        <v>3.7</v>
      </c>
      <c r="AFS211">
        <v>4.2</v>
      </c>
      <c r="AFT211">
        <v>4.2</v>
      </c>
      <c r="AGT211">
        <v>2.5</v>
      </c>
      <c r="AIJ211" s="50"/>
      <c r="AIK211" s="50"/>
      <c r="AIL211" s="50"/>
      <c r="AIM211" s="50"/>
      <c r="AIN211" s="50"/>
      <c r="AIO211" s="50"/>
      <c r="AIP211" s="50"/>
      <c r="AIQ211" s="50"/>
      <c r="AIR211" s="50"/>
      <c r="AIS211" s="50"/>
      <c r="AIT211" s="50">
        <v>109</v>
      </c>
      <c r="AIU211" s="50"/>
      <c r="AIV211" s="50"/>
      <c r="AIW211" s="50"/>
      <c r="AIX211" s="50"/>
      <c r="AIY211" s="50"/>
      <c r="AIZ211" s="50"/>
      <c r="AJA211" s="50"/>
      <c r="AJT211">
        <v>142</v>
      </c>
      <c r="ANH211">
        <v>53</v>
      </c>
      <c r="ANJ211">
        <v>1</v>
      </c>
      <c r="ANK211">
        <v>30.5</v>
      </c>
      <c r="APB211">
        <v>1</v>
      </c>
      <c r="ARC211">
        <v>1</v>
      </c>
      <c r="ARU211">
        <v>1</v>
      </c>
      <c r="ATO211">
        <v>1</v>
      </c>
      <c r="AXT211" s="50">
        <v>1500</v>
      </c>
      <c r="AXU211" s="50">
        <v>1</v>
      </c>
      <c r="AXX211">
        <v>1</v>
      </c>
      <c r="AXZ211">
        <v>13</v>
      </c>
      <c r="AYA211">
        <v>13</v>
      </c>
      <c r="AYB211">
        <v>1</v>
      </c>
      <c r="AYC211">
        <v>0</v>
      </c>
      <c r="BFL211">
        <v>300</v>
      </c>
      <c r="BFM211">
        <v>1</v>
      </c>
      <c r="BFP211">
        <v>1</v>
      </c>
      <c r="CKT211">
        <v>5</v>
      </c>
      <c r="CKU211">
        <v>1</v>
      </c>
      <c r="CKX211">
        <v>1</v>
      </c>
      <c r="DCS211">
        <v>30</v>
      </c>
      <c r="DCT211">
        <v>1</v>
      </c>
      <c r="DCW211">
        <v>1</v>
      </c>
      <c r="DCX211" s="35">
        <v>999</v>
      </c>
      <c r="DCY211">
        <v>11</v>
      </c>
      <c r="DCZ211">
        <v>0</v>
      </c>
      <c r="DDA211">
        <v>999</v>
      </c>
    </row>
    <row r="212" spans="1:1012 1034:1834 2051:2995 3119:4096 4099:5046" x14ac:dyDescent="0.25">
      <c r="A212" s="50">
        <v>5006152</v>
      </c>
      <c r="AG212">
        <v>9.0499999999999997E-2</v>
      </c>
      <c r="AK212">
        <v>0.20699999999999999</v>
      </c>
      <c r="DN212" s="3">
        <v>7.67</v>
      </c>
      <c r="EW212">
        <v>90</v>
      </c>
      <c r="EY212" s="3">
        <v>172.2</v>
      </c>
      <c r="HC212" s="50"/>
      <c r="HD212" s="50"/>
      <c r="HE212" s="50"/>
      <c r="HF212" s="50"/>
      <c r="HG212" s="50"/>
      <c r="HH212" s="50"/>
      <c r="HI212" s="50"/>
      <c r="HJ212" s="50"/>
      <c r="HK212" s="50"/>
      <c r="HL212" s="50"/>
      <c r="HM212" s="50"/>
      <c r="HN212" s="50"/>
      <c r="HO212" s="50"/>
      <c r="HP212" s="50"/>
      <c r="HQ212" s="50"/>
      <c r="HR212" s="50"/>
      <c r="IF212">
        <v>0.70130000000000003</v>
      </c>
      <c r="IJ212" s="3">
        <v>1.9796</v>
      </c>
      <c r="JK212" s="50"/>
      <c r="JL212" s="50"/>
      <c r="JM212" s="50"/>
      <c r="JN212" s="50"/>
      <c r="JO212" s="50"/>
      <c r="JP212" s="50">
        <v>16.2</v>
      </c>
      <c r="JQ212" s="50"/>
      <c r="JR212" s="50"/>
      <c r="JS212" s="50"/>
      <c r="KN212">
        <v>27</v>
      </c>
      <c r="KO212" s="50"/>
      <c r="KP212" s="50"/>
      <c r="KQ212" s="50"/>
      <c r="KR212" s="50"/>
      <c r="KS212" s="50"/>
      <c r="KT212" s="50"/>
      <c r="KU212" s="50"/>
      <c r="KV212" s="50"/>
      <c r="KW212" s="50"/>
      <c r="LD212" s="50"/>
      <c r="LE212" s="50"/>
      <c r="LF212" s="50"/>
      <c r="LG212" s="50"/>
      <c r="LH212" s="50"/>
      <c r="LI212" s="50"/>
      <c r="LJ212" s="50"/>
      <c r="LK212" s="50"/>
      <c r="LL212" s="50"/>
      <c r="LM212" s="50"/>
      <c r="NL212" s="3">
        <v>61.424199999999999</v>
      </c>
      <c r="NM212" s="3"/>
      <c r="NP212" s="3">
        <v>119.2285</v>
      </c>
      <c r="PK212">
        <v>5180000</v>
      </c>
      <c r="PO212">
        <v>3260000</v>
      </c>
      <c r="QV212">
        <v>305000</v>
      </c>
      <c r="QZ212">
        <v>86000</v>
      </c>
      <c r="YL212">
        <v>47</v>
      </c>
      <c r="YP212">
        <v>31</v>
      </c>
      <c r="AAD212">
        <v>90.5</v>
      </c>
      <c r="AAH212">
        <v>35.4</v>
      </c>
      <c r="ABJ212" s="3">
        <v>30.133199999999999</v>
      </c>
      <c r="ABK212" s="3"/>
      <c r="ABN212" s="3">
        <v>29.649799999999999</v>
      </c>
      <c r="AEQ212">
        <v>133.80000000000001</v>
      </c>
      <c r="AEU212">
        <v>142.69999999999999</v>
      </c>
      <c r="AFW212">
        <v>4.55</v>
      </c>
      <c r="AGA212">
        <v>5.98</v>
      </c>
      <c r="AIF212">
        <v>104</v>
      </c>
      <c r="AJW212" s="3">
        <v>119.08580000000001</v>
      </c>
      <c r="AJX212" s="3"/>
      <c r="AKA212" s="3">
        <v>41.076500000000003</v>
      </c>
      <c r="ANH212">
        <v>76</v>
      </c>
      <c r="ANJ212">
        <v>1</v>
      </c>
      <c r="ANK212">
        <v>21.23</v>
      </c>
      <c r="ANL212">
        <v>1</v>
      </c>
      <c r="ANN212">
        <v>3</v>
      </c>
      <c r="ARC212">
        <v>1</v>
      </c>
      <c r="ARM212">
        <v>1</v>
      </c>
      <c r="ASZ212">
        <v>1</v>
      </c>
      <c r="AUW212">
        <v>1</v>
      </c>
      <c r="AUX212">
        <v>1</v>
      </c>
      <c r="AWK212">
        <v>1</v>
      </c>
      <c r="AXT212" s="50">
        <v>2000</v>
      </c>
      <c r="AXU212" s="50">
        <v>1</v>
      </c>
      <c r="AXV212">
        <v>1</v>
      </c>
      <c r="AXZ212">
        <v>3</v>
      </c>
      <c r="AYA212">
        <v>2</v>
      </c>
      <c r="AYB212">
        <v>0</v>
      </c>
      <c r="AYC212">
        <v>0</v>
      </c>
      <c r="BDB212">
        <v>15</v>
      </c>
      <c r="BDC212">
        <v>1</v>
      </c>
      <c r="BDF212">
        <v>1</v>
      </c>
      <c r="BDH212">
        <v>2</v>
      </c>
      <c r="BDI212">
        <v>2</v>
      </c>
      <c r="BDJ212">
        <v>1</v>
      </c>
      <c r="BDK212">
        <v>0</v>
      </c>
      <c r="BIY212">
        <v>10</v>
      </c>
      <c r="BIZ212">
        <v>1</v>
      </c>
      <c r="BJA212">
        <v>1</v>
      </c>
      <c r="BJD212">
        <v>1</v>
      </c>
      <c r="BJE212">
        <v>0</v>
      </c>
      <c r="BJF212">
        <v>0</v>
      </c>
      <c r="BJG212">
        <v>0</v>
      </c>
      <c r="BZW212">
        <v>1</v>
      </c>
      <c r="BZZ212">
        <v>1</v>
      </c>
      <c r="CAA212" s="15">
        <v>999</v>
      </c>
      <c r="CAB212">
        <v>999</v>
      </c>
      <c r="CAC212">
        <v>1</v>
      </c>
      <c r="CAD212">
        <v>0</v>
      </c>
      <c r="CAU212">
        <v>1</v>
      </c>
      <c r="CAV212">
        <v>1</v>
      </c>
      <c r="CAW212">
        <v>0</v>
      </c>
      <c r="CAX212">
        <v>0</v>
      </c>
      <c r="CAY212">
        <v>0</v>
      </c>
      <c r="CBM212">
        <v>40</v>
      </c>
      <c r="CBN212">
        <v>2</v>
      </c>
      <c r="CBQ212">
        <v>1</v>
      </c>
      <c r="CBR212" s="15">
        <v>999</v>
      </c>
      <c r="CBS212">
        <v>999</v>
      </c>
      <c r="CBT212">
        <v>1</v>
      </c>
      <c r="CBU212">
        <v>0</v>
      </c>
      <c r="CSQ212">
        <v>2</v>
      </c>
      <c r="CST212">
        <v>1</v>
      </c>
      <c r="CSU212" s="15">
        <v>999</v>
      </c>
      <c r="CSV212">
        <v>999</v>
      </c>
      <c r="CSW212">
        <v>1</v>
      </c>
      <c r="CSX212">
        <v>0</v>
      </c>
      <c r="DCS212">
        <v>7.5</v>
      </c>
      <c r="DCT212">
        <v>1</v>
      </c>
      <c r="DCW212">
        <v>1</v>
      </c>
      <c r="DCX212" s="15">
        <v>999</v>
      </c>
      <c r="DCY212">
        <v>999</v>
      </c>
      <c r="DCZ212">
        <v>1</v>
      </c>
      <c r="DDA212">
        <v>0</v>
      </c>
      <c r="DSU212">
        <v>600</v>
      </c>
      <c r="DSV212">
        <v>7</v>
      </c>
      <c r="DSY212">
        <v>1</v>
      </c>
      <c r="DSZ212" s="15">
        <v>999</v>
      </c>
      <c r="DTA212">
        <v>999</v>
      </c>
      <c r="DTB212">
        <v>1</v>
      </c>
      <c r="DTC212">
        <v>0</v>
      </c>
      <c r="FUR212">
        <v>1</v>
      </c>
      <c r="FYX212">
        <v>1</v>
      </c>
      <c r="FZS212">
        <v>1</v>
      </c>
      <c r="GAA212">
        <v>1</v>
      </c>
    </row>
    <row r="213" spans="1:1012 1034:1834 2051:2995 3119:4096 4099:5046" x14ac:dyDescent="0.25">
      <c r="A213" s="50">
        <v>6012361</v>
      </c>
      <c r="AL213" s="3">
        <v>2.4556</v>
      </c>
      <c r="AM213" s="3">
        <v>2.0756000000000001</v>
      </c>
      <c r="CO213" s="3">
        <v>1.754</v>
      </c>
      <c r="CP213" s="3">
        <v>1.3797999999999999</v>
      </c>
      <c r="EZ213">
        <v>237</v>
      </c>
      <c r="HC213" s="50"/>
      <c r="HD213" s="50"/>
      <c r="HE213" s="50"/>
      <c r="HF213" s="50"/>
      <c r="HG213" s="50"/>
      <c r="HH213" s="50"/>
      <c r="HI213" s="50"/>
      <c r="HJ213" s="50"/>
      <c r="HK213" s="50"/>
      <c r="HL213" s="50"/>
      <c r="HM213" s="50"/>
      <c r="HN213" s="50"/>
      <c r="HO213" s="50"/>
      <c r="HP213" s="50"/>
      <c r="HQ213" s="50"/>
      <c r="HR213" s="50"/>
      <c r="IH213" s="3">
        <v>1.8099000000000001</v>
      </c>
      <c r="JK213" s="50"/>
      <c r="JL213" s="50"/>
      <c r="JM213" s="50"/>
      <c r="JN213" s="50"/>
      <c r="JO213" s="50"/>
      <c r="JP213" s="50"/>
      <c r="JQ213" s="50"/>
      <c r="JR213" s="50"/>
      <c r="JS213" s="50"/>
      <c r="KO213" s="50"/>
      <c r="KP213" s="50">
        <v>138</v>
      </c>
      <c r="KQ213" s="50"/>
      <c r="KR213" s="50"/>
      <c r="KS213" s="50"/>
      <c r="KT213" s="50"/>
      <c r="KU213" s="50"/>
      <c r="KV213" s="50"/>
      <c r="KW213" s="50"/>
      <c r="LD213" s="50"/>
      <c r="LE213" s="50"/>
      <c r="LF213" s="50"/>
      <c r="LG213" s="50"/>
      <c r="LH213" s="50"/>
      <c r="LI213" s="50"/>
      <c r="LJ213" s="50"/>
      <c r="LK213" s="50"/>
      <c r="LL213" s="50"/>
      <c r="LM213" s="50"/>
      <c r="ME213">
        <v>315</v>
      </c>
      <c r="MS213">
        <v>100</v>
      </c>
      <c r="AIM213">
        <v>77</v>
      </c>
      <c r="ANH213">
        <v>49</v>
      </c>
      <c r="ANI213">
        <v>1</v>
      </c>
      <c r="ANK213">
        <v>37.520000000000003</v>
      </c>
      <c r="ANM213">
        <v>1</v>
      </c>
      <c r="ANS213">
        <v>1</v>
      </c>
      <c r="AOX213">
        <v>1</v>
      </c>
      <c r="ARC213">
        <v>1</v>
      </c>
      <c r="AVU213">
        <v>1</v>
      </c>
      <c r="AXT213" s="50">
        <v>500</v>
      </c>
      <c r="AXU213" s="50">
        <v>3</v>
      </c>
      <c r="AXX213">
        <v>1</v>
      </c>
      <c r="AXZ213">
        <v>4</v>
      </c>
      <c r="CHR213">
        <v>5</v>
      </c>
      <c r="CHS213">
        <v>1</v>
      </c>
      <c r="CJP213">
        <v>0.2</v>
      </c>
      <c r="CJQ213">
        <v>1</v>
      </c>
      <c r="DAH213">
        <v>80</v>
      </c>
      <c r="DAI213">
        <v>0.14285714285714199</v>
      </c>
      <c r="DAL213">
        <v>1</v>
      </c>
      <c r="DAM213">
        <v>29</v>
      </c>
      <c r="DAN213">
        <v>26</v>
      </c>
      <c r="DAO213">
        <v>0</v>
      </c>
      <c r="DAP213">
        <v>2</v>
      </c>
      <c r="FXX213">
        <v>1</v>
      </c>
      <c r="FYB213">
        <v>1</v>
      </c>
      <c r="FYR213">
        <v>1</v>
      </c>
      <c r="FZZ213">
        <v>1</v>
      </c>
      <c r="GAE213">
        <v>1</v>
      </c>
      <c r="GAG213">
        <v>1</v>
      </c>
      <c r="GAH213">
        <v>1</v>
      </c>
      <c r="GAM213">
        <v>1</v>
      </c>
      <c r="GAW213">
        <v>1</v>
      </c>
      <c r="GAX213">
        <v>1</v>
      </c>
      <c r="GBD213">
        <v>1</v>
      </c>
      <c r="GBI213">
        <v>1</v>
      </c>
      <c r="GKT213">
        <v>1</v>
      </c>
      <c r="GKW213">
        <v>1</v>
      </c>
    </row>
    <row r="214" spans="1:1012 1034:1834 2051:2995 3119:4096 4099:5046" x14ac:dyDescent="0.25">
      <c r="A214" s="50">
        <v>6015793</v>
      </c>
      <c r="AH214">
        <v>2.2000000000000002</v>
      </c>
      <c r="AJ214">
        <v>2.11</v>
      </c>
      <c r="AK214">
        <v>1.73</v>
      </c>
      <c r="AN214">
        <v>1.28</v>
      </c>
      <c r="JK214" s="50"/>
      <c r="JL214" s="50"/>
      <c r="JM214" s="50"/>
      <c r="JN214" s="50"/>
      <c r="JO214" s="50"/>
      <c r="JP214" s="50"/>
      <c r="JQ214" s="50"/>
      <c r="JR214" s="50"/>
      <c r="JS214" s="50"/>
      <c r="KO214" s="50">
        <v>121</v>
      </c>
      <c r="KP214" s="50"/>
      <c r="KQ214" s="50">
        <v>520</v>
      </c>
      <c r="KR214" s="50">
        <v>449</v>
      </c>
      <c r="KS214" s="50"/>
      <c r="KT214" s="50"/>
      <c r="KU214" s="50">
        <v>1.091</v>
      </c>
      <c r="KV214" s="50"/>
      <c r="KW214" s="50"/>
      <c r="LD214" s="50"/>
      <c r="LE214" s="50"/>
      <c r="LF214" s="50"/>
      <c r="LG214" s="50"/>
      <c r="LH214" s="50"/>
      <c r="LI214" s="50"/>
      <c r="LJ214" s="50"/>
      <c r="LK214" s="50"/>
      <c r="LL214" s="50"/>
      <c r="LM214" s="50"/>
      <c r="LZ214">
        <v>183</v>
      </c>
      <c r="MB214">
        <v>260</v>
      </c>
      <c r="MC214">
        <v>139</v>
      </c>
      <c r="MF214">
        <v>41</v>
      </c>
      <c r="ANH214">
        <v>67</v>
      </c>
      <c r="ANI214">
        <v>1</v>
      </c>
      <c r="ANK214">
        <v>29.39</v>
      </c>
      <c r="ANL214">
        <v>1</v>
      </c>
      <c r="APB214">
        <v>1</v>
      </c>
      <c r="ARC214">
        <v>1</v>
      </c>
      <c r="ASH214">
        <v>1</v>
      </c>
      <c r="ASZ214">
        <v>1</v>
      </c>
      <c r="ATC214">
        <v>1</v>
      </c>
      <c r="ATD214">
        <v>1</v>
      </c>
      <c r="AXT214" s="50">
        <v>1</v>
      </c>
      <c r="AXU214" s="50">
        <v>1</v>
      </c>
      <c r="AXV214">
        <v>1</v>
      </c>
      <c r="AXZ214">
        <v>2</v>
      </c>
      <c r="AYA214">
        <v>1</v>
      </c>
      <c r="AYB214">
        <v>0</v>
      </c>
      <c r="AYC214">
        <v>0</v>
      </c>
      <c r="GAA214">
        <v>1</v>
      </c>
    </row>
    <row r="215" spans="1:1012 1034:1834 2051:2995 3119:4096 4099:5046" x14ac:dyDescent="0.25">
      <c r="A215" s="50">
        <v>6043619</v>
      </c>
      <c r="EX215">
        <v>307.8</v>
      </c>
      <c r="JK215" s="50"/>
      <c r="JL215" s="50"/>
      <c r="JM215" s="50"/>
      <c r="JN215" s="50"/>
      <c r="JO215" s="50"/>
      <c r="JP215" s="50"/>
      <c r="JQ215" s="50"/>
      <c r="JR215" s="50"/>
      <c r="JS215" s="50"/>
      <c r="KO215" s="50"/>
      <c r="KP215" s="50"/>
      <c r="KQ215" s="50"/>
      <c r="KR215" s="50"/>
      <c r="KS215" s="50"/>
      <c r="KT215" s="50"/>
      <c r="KU215" s="50"/>
      <c r="KV215" s="50"/>
      <c r="KW215" s="50"/>
      <c r="LD215" s="50"/>
      <c r="LE215" s="50"/>
      <c r="LF215" s="50"/>
      <c r="LG215" s="50"/>
      <c r="LH215" s="50"/>
      <c r="LI215" s="50"/>
      <c r="LJ215" s="50"/>
      <c r="LK215" s="50"/>
      <c r="LL215" s="50"/>
      <c r="LM215" s="50"/>
      <c r="ANH215">
        <v>50</v>
      </c>
      <c r="ANJ215">
        <v>1</v>
      </c>
      <c r="ANK215">
        <v>33.97</v>
      </c>
      <c r="ANN215">
        <v>5</v>
      </c>
      <c r="AQT215">
        <v>1</v>
      </c>
      <c r="AXT215" s="50">
        <v>4000</v>
      </c>
      <c r="AXU215" s="50">
        <v>1</v>
      </c>
      <c r="AXV215">
        <v>1</v>
      </c>
      <c r="AXZ215">
        <v>5</v>
      </c>
      <c r="AYA215">
        <v>4</v>
      </c>
      <c r="AYB215">
        <v>0</v>
      </c>
      <c r="AYC215">
        <v>0</v>
      </c>
      <c r="FZY215">
        <v>1</v>
      </c>
    </row>
    <row r="216" spans="1:1012 1034:1834 2051:2995 3119:4096 4099:5046" x14ac:dyDescent="0.25">
      <c r="A216" s="50">
        <v>7001097</v>
      </c>
      <c r="EU216">
        <v>37</v>
      </c>
      <c r="EV216">
        <v>59</v>
      </c>
      <c r="EX216">
        <v>48</v>
      </c>
      <c r="EY216">
        <v>56</v>
      </c>
      <c r="EZ216">
        <v>79</v>
      </c>
      <c r="FA216">
        <v>73</v>
      </c>
      <c r="FB216">
        <v>56</v>
      </c>
      <c r="FC216">
        <v>52</v>
      </c>
      <c r="FE216">
        <v>66</v>
      </c>
      <c r="FF216">
        <v>66</v>
      </c>
      <c r="FK216">
        <v>65</v>
      </c>
      <c r="FL216">
        <v>89</v>
      </c>
      <c r="FM216">
        <v>95</v>
      </c>
      <c r="IF216">
        <v>1.2</v>
      </c>
      <c r="IG216">
        <v>1.99</v>
      </c>
      <c r="IH216">
        <v>2.1</v>
      </c>
      <c r="II216">
        <v>2.1</v>
      </c>
      <c r="IJ216">
        <v>1.9</v>
      </c>
      <c r="IK216">
        <v>1.46</v>
      </c>
      <c r="IL216">
        <v>1.68</v>
      </c>
      <c r="IM216">
        <v>2.08</v>
      </c>
      <c r="IN216">
        <v>2.09</v>
      </c>
      <c r="IQ216">
        <v>0.98</v>
      </c>
      <c r="IR216">
        <v>1.35</v>
      </c>
      <c r="IU216">
        <v>1.17</v>
      </c>
      <c r="IV216">
        <v>1.03</v>
      </c>
      <c r="IW216">
        <v>1.08</v>
      </c>
      <c r="IX216">
        <v>0.96</v>
      </c>
      <c r="KO216" s="50"/>
      <c r="KP216" s="50"/>
      <c r="KQ216" s="50"/>
      <c r="KR216" s="50"/>
      <c r="KS216" s="50"/>
      <c r="KT216" s="50"/>
      <c r="KU216" s="50"/>
      <c r="KV216" s="50"/>
      <c r="KW216" s="50"/>
      <c r="LD216" s="50"/>
      <c r="LE216" s="50"/>
      <c r="LF216" s="50"/>
      <c r="LG216" s="50"/>
      <c r="LH216" s="50"/>
      <c r="LI216" s="50"/>
      <c r="LJ216" s="50"/>
      <c r="LK216" s="50"/>
      <c r="LL216" s="50"/>
      <c r="LM216" s="50"/>
      <c r="ANI216">
        <v>1</v>
      </c>
      <c r="ANM216">
        <v>1</v>
      </c>
      <c r="AWK216">
        <v>1</v>
      </c>
      <c r="AXT216" s="50">
        <v>7000</v>
      </c>
      <c r="AXU216" s="50">
        <v>1</v>
      </c>
      <c r="AXV216">
        <v>1</v>
      </c>
      <c r="AXZ216" s="35">
        <v>999</v>
      </c>
      <c r="AYA216">
        <v>0</v>
      </c>
      <c r="AYB216">
        <v>0</v>
      </c>
      <c r="AYC216">
        <v>999</v>
      </c>
      <c r="GBD216">
        <v>1</v>
      </c>
    </row>
    <row r="217" spans="1:1012 1034:1834 2051:2995 3119:4096 4099:5046" x14ac:dyDescent="0.25">
      <c r="A217" s="50">
        <v>7011435</v>
      </c>
      <c r="AJ217">
        <v>0.85289999999999999</v>
      </c>
      <c r="AL217">
        <v>0.45050000000000001</v>
      </c>
      <c r="AP217">
        <v>0.2102</v>
      </c>
      <c r="CM217">
        <v>0.33629999999999999</v>
      </c>
      <c r="EX217">
        <v>470</v>
      </c>
      <c r="EZ217">
        <v>569</v>
      </c>
      <c r="FD217">
        <v>470</v>
      </c>
      <c r="KO217" s="50"/>
      <c r="KP217" s="50"/>
      <c r="KQ217" s="50">
        <v>99.8</v>
      </c>
      <c r="KR217" s="50"/>
      <c r="KS217" s="50"/>
      <c r="KT217" s="50"/>
      <c r="KU217" s="50"/>
      <c r="KV217" s="50"/>
      <c r="KW217" s="50"/>
      <c r="LD217" s="50"/>
      <c r="LE217" s="50"/>
      <c r="LF217" s="50"/>
      <c r="LG217" s="50"/>
      <c r="LH217" s="50"/>
      <c r="LI217" s="50"/>
      <c r="LJ217" s="50"/>
      <c r="LK217" s="50"/>
      <c r="LL217" s="50"/>
      <c r="LM217" s="50"/>
      <c r="MB217">
        <v>117</v>
      </c>
      <c r="MD217">
        <v>54</v>
      </c>
      <c r="MH217">
        <v>20</v>
      </c>
      <c r="QY217">
        <v>93000</v>
      </c>
      <c r="RA217">
        <v>248000</v>
      </c>
      <c r="RE217">
        <v>532000</v>
      </c>
      <c r="YO217">
        <v>37</v>
      </c>
      <c r="YQ217">
        <v>33</v>
      </c>
      <c r="YU217">
        <v>38</v>
      </c>
      <c r="ANH217">
        <v>49</v>
      </c>
      <c r="ANJ217">
        <v>1</v>
      </c>
      <c r="ANM217">
        <v>1</v>
      </c>
      <c r="ANN217">
        <v>11</v>
      </c>
      <c r="ARC217">
        <v>1</v>
      </c>
      <c r="AUQ217">
        <v>1</v>
      </c>
      <c r="AVU217">
        <v>1</v>
      </c>
      <c r="AXT217" s="50"/>
      <c r="AXU217" s="50"/>
      <c r="AXX217">
        <v>1</v>
      </c>
      <c r="BOA217">
        <v>400</v>
      </c>
      <c r="BOB217">
        <v>1</v>
      </c>
      <c r="BOE217">
        <v>1</v>
      </c>
      <c r="BOF217">
        <v>4</v>
      </c>
      <c r="BOG217">
        <v>6</v>
      </c>
      <c r="BOH217">
        <v>3</v>
      </c>
      <c r="BOI217">
        <v>0</v>
      </c>
      <c r="FWD217">
        <v>1</v>
      </c>
      <c r="GAE217">
        <v>1</v>
      </c>
    </row>
    <row r="218" spans="1:1012 1034:1834 2051:2995 3119:4096 4099:5046" x14ac:dyDescent="0.25">
      <c r="A218" s="50">
        <v>7045811</v>
      </c>
      <c r="FI218">
        <v>139.80000000000001</v>
      </c>
      <c r="II218">
        <v>0.94289999999999996</v>
      </c>
      <c r="IT218">
        <v>0.64259999999999995</v>
      </c>
      <c r="KO218" s="50"/>
      <c r="KP218" s="50"/>
      <c r="KQ218" s="50"/>
      <c r="KR218" s="50"/>
      <c r="KS218" s="50"/>
      <c r="KT218" s="50"/>
      <c r="KU218" s="50"/>
      <c r="KV218" s="50"/>
      <c r="KW218" s="50"/>
      <c r="LD218" s="50"/>
      <c r="LE218" s="50"/>
      <c r="LF218" s="50"/>
      <c r="LG218" s="50"/>
      <c r="LH218" s="50"/>
      <c r="LI218" s="50"/>
      <c r="LJ218" s="50"/>
      <c r="LK218" s="50"/>
      <c r="LL218" s="50"/>
      <c r="LM218" s="50"/>
      <c r="AJZ218" s="3">
        <v>61.681600000000003</v>
      </c>
      <c r="ALO218" s="50"/>
      <c r="AMT218">
        <v>260</v>
      </c>
      <c r="AMV218">
        <v>454</v>
      </c>
      <c r="ANH218">
        <v>43</v>
      </c>
      <c r="ANI218">
        <v>1</v>
      </c>
      <c r="ANM218">
        <v>1</v>
      </c>
      <c r="ARR218">
        <v>1</v>
      </c>
      <c r="AXT218" s="50">
        <v>1000</v>
      </c>
      <c r="AXU218" s="50">
        <v>1</v>
      </c>
      <c r="AXV218">
        <v>1</v>
      </c>
      <c r="AXZ218" s="35">
        <v>999</v>
      </c>
      <c r="AYA218">
        <v>0</v>
      </c>
      <c r="AYB218">
        <v>0</v>
      </c>
      <c r="AYC218">
        <v>999</v>
      </c>
      <c r="FUZ218">
        <v>1</v>
      </c>
      <c r="FWH218">
        <v>1</v>
      </c>
      <c r="GAA218">
        <v>1</v>
      </c>
      <c r="GAB218">
        <v>1</v>
      </c>
      <c r="GAE218">
        <v>1</v>
      </c>
    </row>
    <row r="219" spans="1:1012 1034:1834 2051:2995 3119:4096 4099:5046" x14ac:dyDescent="0.25">
      <c r="A219" s="50">
        <v>7071198</v>
      </c>
      <c r="W219">
        <v>0.39350000000000002</v>
      </c>
      <c r="AN219" t="s">
        <v>2363</v>
      </c>
      <c r="CK219">
        <v>3.5700000000000003E-2</v>
      </c>
      <c r="CQ219">
        <v>0.67</v>
      </c>
      <c r="HU219">
        <v>1.1599999999999999</v>
      </c>
      <c r="KO219" s="50"/>
      <c r="KP219" s="50"/>
      <c r="KQ219" s="50"/>
      <c r="KR219" s="50"/>
      <c r="KS219" s="50"/>
      <c r="KT219" s="50"/>
      <c r="KU219" s="50"/>
      <c r="KV219" s="50"/>
      <c r="KW219" s="50"/>
      <c r="LD219" s="50"/>
      <c r="LE219" s="50"/>
      <c r="LF219" s="50"/>
      <c r="LG219" s="50"/>
      <c r="LH219" s="50"/>
      <c r="LI219" s="50"/>
      <c r="LJ219" s="50"/>
      <c r="LK219" s="50"/>
      <c r="LL219" s="50"/>
      <c r="LM219" s="50"/>
      <c r="OJ219">
        <v>6.8</v>
      </c>
      <c r="SG219">
        <v>7</v>
      </c>
      <c r="TZ219">
        <v>57.6</v>
      </c>
      <c r="XY219">
        <v>35.6</v>
      </c>
      <c r="YS219">
        <v>36.700000000000003</v>
      </c>
      <c r="AJR219">
        <v>89</v>
      </c>
      <c r="ANH219">
        <v>43</v>
      </c>
      <c r="ANI219">
        <v>1</v>
      </c>
      <c r="ANM219">
        <v>1</v>
      </c>
      <c r="ANO219">
        <v>1</v>
      </c>
      <c r="AVJ219">
        <v>1</v>
      </c>
      <c r="AXT219" s="50">
        <v>4000</v>
      </c>
      <c r="AXU219" s="50">
        <v>1</v>
      </c>
      <c r="AXX219">
        <v>1</v>
      </c>
      <c r="AXZ219" s="35">
        <v>999</v>
      </c>
      <c r="AYA219">
        <v>4</v>
      </c>
      <c r="AYB219">
        <v>0</v>
      </c>
      <c r="AYC219">
        <v>999</v>
      </c>
      <c r="FIJ219">
        <v>400</v>
      </c>
      <c r="FIK219">
        <v>1</v>
      </c>
      <c r="FIN219">
        <v>1</v>
      </c>
      <c r="FIO219">
        <v>999</v>
      </c>
      <c r="FIP219">
        <v>999</v>
      </c>
      <c r="FIQ219">
        <v>0</v>
      </c>
      <c r="FIR219">
        <v>6</v>
      </c>
      <c r="FIY219">
        <v>999</v>
      </c>
      <c r="FJD219">
        <v>100</v>
      </c>
      <c r="FJE219">
        <v>1</v>
      </c>
      <c r="FJH219">
        <v>1</v>
      </c>
      <c r="FJI219">
        <v>999</v>
      </c>
      <c r="FJJ219">
        <v>999</v>
      </c>
      <c r="FJK219">
        <v>0</v>
      </c>
      <c r="FJL219">
        <v>6</v>
      </c>
      <c r="FWH219">
        <v>1</v>
      </c>
      <c r="FZF219">
        <v>1</v>
      </c>
      <c r="FZH219">
        <v>1</v>
      </c>
      <c r="GAE219">
        <v>1</v>
      </c>
    </row>
    <row r="220" spans="1:1012 1034:1834 2051:2995 3119:4096 4099:5046" x14ac:dyDescent="0.25">
      <c r="A220" s="50">
        <v>7101143</v>
      </c>
      <c r="AJ220">
        <v>1.61</v>
      </c>
      <c r="AL220">
        <v>2.2599999999999998</v>
      </c>
      <c r="AM220">
        <v>1.76</v>
      </c>
      <c r="AQ220">
        <v>1.59</v>
      </c>
      <c r="AT220">
        <v>1.57</v>
      </c>
      <c r="AV220">
        <v>0.99</v>
      </c>
      <c r="CM220">
        <v>0.96</v>
      </c>
      <c r="CO220">
        <v>0.98</v>
      </c>
      <c r="CP220">
        <v>0.86</v>
      </c>
      <c r="CT220">
        <v>0.74</v>
      </c>
      <c r="CV220">
        <v>0.67</v>
      </c>
      <c r="JS220">
        <v>56.6</v>
      </c>
      <c r="JV220">
        <v>50.4</v>
      </c>
      <c r="KA220">
        <v>56.5</v>
      </c>
      <c r="KO220" s="50"/>
      <c r="KP220" s="50"/>
      <c r="KQ220" s="50"/>
      <c r="KR220" s="50"/>
      <c r="KS220" s="50"/>
      <c r="KT220" s="50"/>
      <c r="KU220" s="50"/>
      <c r="KV220" s="50"/>
      <c r="KW220" s="50"/>
      <c r="LD220" s="50"/>
      <c r="LE220" s="50"/>
      <c r="LF220" s="50"/>
      <c r="LG220" s="50"/>
      <c r="LH220" s="50"/>
      <c r="LI220" s="50"/>
      <c r="LJ220" s="50"/>
      <c r="LK220" s="50"/>
      <c r="LL220" s="50"/>
      <c r="LM220" s="50"/>
      <c r="ANH220">
        <v>15</v>
      </c>
      <c r="ANJ220">
        <v>1</v>
      </c>
      <c r="ANK220">
        <v>22.72</v>
      </c>
      <c r="ANM220">
        <v>1</v>
      </c>
      <c r="ANY220">
        <v>1</v>
      </c>
      <c r="AOG220">
        <v>1</v>
      </c>
      <c r="AVX220">
        <v>1</v>
      </c>
      <c r="AXT220" s="50">
        <v>500</v>
      </c>
      <c r="AXU220" s="50">
        <v>1</v>
      </c>
      <c r="AXX220">
        <v>1</v>
      </c>
      <c r="AXZ220">
        <v>6</v>
      </c>
      <c r="AYA220">
        <v>8</v>
      </c>
      <c r="AYB220">
        <v>2</v>
      </c>
      <c r="AYC220">
        <v>0</v>
      </c>
      <c r="FAM220">
        <v>30</v>
      </c>
      <c r="FAN220">
        <v>1</v>
      </c>
      <c r="FAQ220">
        <v>1</v>
      </c>
      <c r="FAR220">
        <v>12</v>
      </c>
      <c r="FAS220">
        <v>0</v>
      </c>
      <c r="FAT220">
        <v>0</v>
      </c>
      <c r="FAU220">
        <v>12</v>
      </c>
      <c r="FVO220">
        <v>1</v>
      </c>
      <c r="FXG220">
        <v>1</v>
      </c>
      <c r="GKW220">
        <v>1</v>
      </c>
      <c r="GLB220">
        <v>1</v>
      </c>
    </row>
    <row r="221" spans="1:1012 1034:1834 2051:2995 3119:4096 4099:5046" x14ac:dyDescent="0.25">
      <c r="A221" s="50">
        <v>8073350</v>
      </c>
      <c r="AI221" s="14">
        <v>18</v>
      </c>
      <c r="LD221" s="50"/>
      <c r="LE221" s="50"/>
      <c r="LF221" s="50"/>
      <c r="LG221" s="50"/>
      <c r="LH221" s="50"/>
      <c r="LI221" s="50"/>
      <c r="LJ221" s="50"/>
      <c r="LK221" s="50"/>
      <c r="LL221" s="50"/>
      <c r="LM221" s="50"/>
      <c r="ANH221">
        <v>66</v>
      </c>
      <c r="ANI221">
        <v>1</v>
      </c>
      <c r="ANK221">
        <v>19.829999999999998</v>
      </c>
      <c r="ANM221">
        <v>1</v>
      </c>
      <c r="ANP221">
        <v>1</v>
      </c>
      <c r="ARV221">
        <v>1</v>
      </c>
      <c r="AXT221" s="50"/>
      <c r="AXU221" s="50"/>
      <c r="AXV221">
        <v>1</v>
      </c>
      <c r="AXZ221">
        <v>5</v>
      </c>
      <c r="AYA221">
        <v>3</v>
      </c>
      <c r="AYB221">
        <v>1</v>
      </c>
      <c r="AYC221">
        <v>0</v>
      </c>
      <c r="BOA221">
        <v>1000</v>
      </c>
      <c r="BOB221">
        <v>1</v>
      </c>
      <c r="BOF221" s="35">
        <v>999</v>
      </c>
      <c r="BOG221">
        <v>1</v>
      </c>
      <c r="BOH221">
        <v>0</v>
      </c>
      <c r="BOI221">
        <v>999</v>
      </c>
      <c r="FVH221">
        <v>1</v>
      </c>
      <c r="FYC221">
        <v>1</v>
      </c>
      <c r="FYF221">
        <v>1</v>
      </c>
      <c r="GAA221">
        <v>1</v>
      </c>
    </row>
    <row r="222" spans="1:1012 1034:1834 2051:2995 3119:4096 4099:5046" x14ac:dyDescent="0.25">
      <c r="A222" s="50">
        <v>8073645</v>
      </c>
      <c r="AK222" s="50">
        <v>4.0999999999999996</v>
      </c>
      <c r="CN222">
        <v>2.0499999999999998</v>
      </c>
      <c r="HC222">
        <v>4058.5</v>
      </c>
      <c r="IJ222">
        <v>0.75</v>
      </c>
      <c r="LD222" s="50"/>
      <c r="LE222" s="50"/>
      <c r="LF222" s="50"/>
      <c r="LG222" s="50"/>
      <c r="LH222" s="50"/>
      <c r="LI222" s="50"/>
      <c r="LJ222" s="50"/>
      <c r="LK222" s="50"/>
      <c r="LL222" s="50"/>
      <c r="LM222" s="50"/>
      <c r="NP222">
        <v>17</v>
      </c>
      <c r="AKT222" s="50"/>
      <c r="AKU222" s="50"/>
      <c r="AKV222" s="50"/>
      <c r="AKW222" s="50"/>
      <c r="AKX222" s="50"/>
      <c r="AKY222" s="50"/>
      <c r="AKZ222" s="50">
        <v>4080</v>
      </c>
      <c r="ALA222" s="50"/>
      <c r="ANH222">
        <v>58</v>
      </c>
      <c r="ANJ222">
        <v>1</v>
      </c>
      <c r="ANK222">
        <v>31.64</v>
      </c>
      <c r="ANM222">
        <v>1</v>
      </c>
      <c r="APC222">
        <v>1</v>
      </c>
      <c r="APE222">
        <v>1</v>
      </c>
      <c r="APH222">
        <v>1</v>
      </c>
      <c r="APN222">
        <v>1</v>
      </c>
      <c r="APP222">
        <v>1</v>
      </c>
      <c r="APQ222">
        <v>1</v>
      </c>
      <c r="APU222">
        <v>1</v>
      </c>
      <c r="APV222">
        <v>1</v>
      </c>
      <c r="AUZ222">
        <v>1</v>
      </c>
      <c r="AVU222">
        <v>1</v>
      </c>
      <c r="AXT222" s="50">
        <v>10000</v>
      </c>
      <c r="AXU222" s="50">
        <v>1</v>
      </c>
      <c r="AXV222">
        <v>1</v>
      </c>
      <c r="AXZ222">
        <v>2</v>
      </c>
      <c r="AYA222">
        <v>2</v>
      </c>
      <c r="AYB222">
        <v>0</v>
      </c>
      <c r="AYC222">
        <v>0</v>
      </c>
      <c r="BDB222">
        <v>30</v>
      </c>
      <c r="BDC222">
        <v>1</v>
      </c>
      <c r="BDD222">
        <v>1</v>
      </c>
      <c r="BDH222" s="35">
        <v>999</v>
      </c>
      <c r="BDI222">
        <v>3</v>
      </c>
      <c r="BDJ222">
        <v>0</v>
      </c>
      <c r="BDK222">
        <v>999</v>
      </c>
      <c r="DZW222">
        <v>2000</v>
      </c>
      <c r="DZX222">
        <v>1</v>
      </c>
      <c r="DZY222">
        <v>1</v>
      </c>
      <c r="EAB222" s="35">
        <v>999</v>
      </c>
      <c r="EAC222">
        <v>3</v>
      </c>
      <c r="EAD222">
        <v>0</v>
      </c>
      <c r="EAE222">
        <v>999</v>
      </c>
      <c r="GAA222">
        <v>1</v>
      </c>
    </row>
    <row r="223" spans="1:1012 1034:1834 2051:2995 3119:4096 4099:5046" x14ac:dyDescent="0.25">
      <c r="A223" s="53">
        <v>8089666</v>
      </c>
      <c r="AF223">
        <v>0.8</v>
      </c>
      <c r="AG223" s="14">
        <v>1.5</v>
      </c>
      <c r="AH223">
        <v>1.9</v>
      </c>
      <c r="AJ223" s="14">
        <v>3.5</v>
      </c>
      <c r="AK223">
        <v>5.5</v>
      </c>
      <c r="ET223">
        <v>278</v>
      </c>
      <c r="EU223">
        <v>76</v>
      </c>
      <c r="EV223">
        <v>73</v>
      </c>
      <c r="EX223" s="14">
        <v>170.75</v>
      </c>
      <c r="EY223">
        <v>227</v>
      </c>
      <c r="IE223">
        <v>0.34</v>
      </c>
      <c r="IF223" s="14">
        <v>0.29499999999999998</v>
      </c>
      <c r="IG223">
        <v>0.4</v>
      </c>
      <c r="II223" s="47">
        <v>0.73499999999999999</v>
      </c>
      <c r="IJ223">
        <v>1.1499999999999999</v>
      </c>
      <c r="JO223">
        <v>7</v>
      </c>
      <c r="JP223">
        <v>12</v>
      </c>
      <c r="JQ223">
        <v>8</v>
      </c>
      <c r="JS223" s="14">
        <v>9.75</v>
      </c>
      <c r="JT223">
        <v>13</v>
      </c>
      <c r="KM223">
        <v>19</v>
      </c>
      <c r="KN223">
        <v>10</v>
      </c>
      <c r="KO223">
        <v>10</v>
      </c>
      <c r="KQ223" s="14">
        <v>14</v>
      </c>
      <c r="KR223">
        <v>14</v>
      </c>
      <c r="LD223" s="50"/>
      <c r="LE223" s="50"/>
      <c r="LF223" s="50"/>
      <c r="LG223" s="50"/>
      <c r="LH223" s="50"/>
      <c r="LI223" s="50"/>
      <c r="LJ223" s="50"/>
      <c r="LK223" s="50"/>
      <c r="LL223" s="50"/>
      <c r="LM223" s="50"/>
      <c r="LX223">
        <v>173</v>
      </c>
      <c r="LY223">
        <v>35</v>
      </c>
      <c r="LZ223">
        <v>120</v>
      </c>
      <c r="MB223" s="14">
        <v>43</v>
      </c>
      <c r="MC223">
        <v>41</v>
      </c>
      <c r="NK223">
        <v>28</v>
      </c>
      <c r="NL223" s="14">
        <v>14</v>
      </c>
      <c r="NM223">
        <v>17</v>
      </c>
      <c r="NO223" s="14">
        <v>25.5</v>
      </c>
      <c r="NP223">
        <v>24</v>
      </c>
      <c r="ON223" s="50">
        <v>0.7</v>
      </c>
      <c r="PJ223" s="3">
        <v>3700000</v>
      </c>
      <c r="PK223" s="48">
        <v>3200000</v>
      </c>
      <c r="PL223">
        <v>4200000</v>
      </c>
      <c r="PN223" s="14">
        <v>2900000</v>
      </c>
      <c r="PO223">
        <v>3300000</v>
      </c>
      <c r="QU223">
        <v>304000</v>
      </c>
      <c r="QV223" s="48">
        <v>147333.3333</v>
      </c>
      <c r="QW223">
        <v>130000</v>
      </c>
      <c r="QY223" s="14">
        <v>322000</v>
      </c>
      <c r="QZ223">
        <v>34000</v>
      </c>
      <c r="VG223">
        <v>19</v>
      </c>
      <c r="VH223">
        <v>15</v>
      </c>
      <c r="VJ223" s="14">
        <v>15.75</v>
      </c>
      <c r="VK223">
        <v>22</v>
      </c>
      <c r="YK223">
        <v>32</v>
      </c>
      <c r="YL223" s="14">
        <v>27</v>
      </c>
      <c r="YM223">
        <v>34</v>
      </c>
      <c r="YO223" s="14">
        <v>25</v>
      </c>
      <c r="YP223">
        <v>29</v>
      </c>
      <c r="AAC223">
        <v>86</v>
      </c>
      <c r="AAD223" s="14">
        <v>84</v>
      </c>
      <c r="AAE223">
        <v>81</v>
      </c>
      <c r="AAG223" s="14">
        <v>85</v>
      </c>
      <c r="AAH223">
        <v>89</v>
      </c>
      <c r="ABI223">
        <v>30</v>
      </c>
      <c r="ABJ223">
        <v>29</v>
      </c>
      <c r="ABK223">
        <v>30</v>
      </c>
      <c r="ABM223" s="14">
        <v>30</v>
      </c>
      <c r="ABN223">
        <v>30</v>
      </c>
      <c r="ACL223" s="3">
        <v>34.799999999999997</v>
      </c>
      <c r="ACM223" s="14">
        <v>314.33333333333297</v>
      </c>
      <c r="ACN223">
        <v>365</v>
      </c>
      <c r="ACP223" s="14">
        <v>347</v>
      </c>
      <c r="ACQ223">
        <v>339</v>
      </c>
      <c r="AEP223">
        <v>131</v>
      </c>
      <c r="AEQ223" s="14">
        <v>137.5</v>
      </c>
      <c r="AER223">
        <v>143</v>
      </c>
      <c r="AET223" s="14">
        <v>145</v>
      </c>
      <c r="AEU223">
        <v>149</v>
      </c>
      <c r="AFV223">
        <v>3.9</v>
      </c>
      <c r="AFW223" s="14">
        <v>3.7</v>
      </c>
      <c r="AFX223">
        <v>3.9</v>
      </c>
      <c r="AFZ223" s="14">
        <v>4.3</v>
      </c>
      <c r="AGA223">
        <v>3.7</v>
      </c>
      <c r="AGY223">
        <v>2</v>
      </c>
      <c r="AGZ223" s="14">
        <v>1.9</v>
      </c>
      <c r="AHA223">
        <v>2</v>
      </c>
      <c r="AHC223" s="14">
        <v>1.8</v>
      </c>
      <c r="AHD223">
        <v>1.9</v>
      </c>
      <c r="AHU223">
        <v>0.61</v>
      </c>
      <c r="AHV223">
        <v>0.56999999999999995</v>
      </c>
      <c r="AHX223" s="14">
        <v>0.63</v>
      </c>
      <c r="AHY223">
        <v>0.68</v>
      </c>
      <c r="AIB223">
        <v>108</v>
      </c>
      <c r="AIC223">
        <v>114</v>
      </c>
      <c r="AIE223" s="14">
        <v>112</v>
      </c>
      <c r="AIF223">
        <v>106</v>
      </c>
      <c r="AJV223">
        <v>230</v>
      </c>
      <c r="AJW223" s="14">
        <v>139</v>
      </c>
      <c r="AJX223">
        <v>109</v>
      </c>
      <c r="AJZ223" s="14">
        <v>123.25</v>
      </c>
      <c r="AKA223">
        <v>205</v>
      </c>
      <c r="AKT223" s="50"/>
      <c r="AKU223" s="57"/>
      <c r="AKV223" s="50"/>
      <c r="AKW223" s="50"/>
      <c r="AKX223" s="50"/>
      <c r="AKY223" s="50"/>
      <c r="AKZ223" s="50"/>
      <c r="ALA223" s="50"/>
      <c r="ALH223">
        <v>79</v>
      </c>
      <c r="ALT223">
        <v>1.2</v>
      </c>
      <c r="ALU223">
        <v>1.1000000000000001</v>
      </c>
      <c r="ALW223" s="14">
        <v>1.7</v>
      </c>
      <c r="ALX223">
        <v>1.5</v>
      </c>
      <c r="ANH223">
        <v>68</v>
      </c>
      <c r="ANJ223">
        <v>1</v>
      </c>
      <c r="ANK223">
        <v>17.309999999999999</v>
      </c>
      <c r="ANL223">
        <v>1</v>
      </c>
      <c r="ANN223">
        <v>2</v>
      </c>
      <c r="ANO223">
        <v>1</v>
      </c>
      <c r="ANP223">
        <v>1</v>
      </c>
      <c r="ANU223">
        <v>1</v>
      </c>
      <c r="AOH223">
        <v>1</v>
      </c>
      <c r="APB223">
        <v>1</v>
      </c>
      <c r="APH223">
        <v>1</v>
      </c>
      <c r="APR223">
        <v>1</v>
      </c>
      <c r="ARK223">
        <v>1</v>
      </c>
      <c r="ARY223">
        <v>1</v>
      </c>
      <c r="ASZ223">
        <v>1</v>
      </c>
      <c r="ATH223">
        <v>1</v>
      </c>
      <c r="AUC223">
        <v>1</v>
      </c>
      <c r="AUS223">
        <v>1</v>
      </c>
      <c r="AVC223">
        <v>1</v>
      </c>
      <c r="AXT223" s="50">
        <v>7000</v>
      </c>
      <c r="AXU223" s="50">
        <v>1</v>
      </c>
      <c r="AXV223">
        <v>1</v>
      </c>
      <c r="AXZ223">
        <v>3</v>
      </c>
      <c r="AYA223">
        <v>2</v>
      </c>
      <c r="AYB223">
        <v>0</v>
      </c>
      <c r="AYC223">
        <v>0</v>
      </c>
      <c r="BML223">
        <v>1</v>
      </c>
      <c r="BRN223">
        <v>1</v>
      </c>
      <c r="DKE223">
        <v>1</v>
      </c>
      <c r="FVA223">
        <v>1</v>
      </c>
      <c r="FZC223">
        <v>1</v>
      </c>
      <c r="FZS223">
        <v>1</v>
      </c>
    </row>
    <row r="224" spans="1:1012 1034:1834 2051:2995 3119:4096 4099:5046" x14ac:dyDescent="0.25">
      <c r="A224" s="50">
        <v>8103536</v>
      </c>
      <c r="IH224">
        <v>0.65039999999999998</v>
      </c>
      <c r="LD224" s="50"/>
      <c r="LE224" s="50"/>
      <c r="LF224" s="50"/>
      <c r="LG224" s="50"/>
      <c r="LH224" s="50"/>
      <c r="LI224" s="50"/>
      <c r="LJ224" s="50"/>
      <c r="LK224" s="50"/>
      <c r="LL224" s="50"/>
      <c r="LM224" s="50"/>
      <c r="QX224">
        <v>181000</v>
      </c>
      <c r="AKT224" s="50"/>
      <c r="AKU224" s="50"/>
      <c r="AKV224" s="50"/>
      <c r="AKW224" s="50"/>
      <c r="AKX224" s="50"/>
      <c r="AKY224" s="50"/>
      <c r="AKZ224" s="50"/>
      <c r="ALA224" s="50"/>
      <c r="ANH224">
        <v>44</v>
      </c>
      <c r="ANJ224">
        <v>1</v>
      </c>
      <c r="ANK224">
        <v>22.58</v>
      </c>
      <c r="ANM224">
        <v>1</v>
      </c>
      <c r="ANN224">
        <v>10</v>
      </c>
      <c r="AOG224">
        <v>1</v>
      </c>
      <c r="ASB224">
        <v>1</v>
      </c>
      <c r="AUD224">
        <v>1</v>
      </c>
      <c r="AUO224">
        <v>1</v>
      </c>
      <c r="AXT224" s="50">
        <v>1500</v>
      </c>
      <c r="AXU224" s="50">
        <v>1</v>
      </c>
      <c r="AXX224">
        <v>1</v>
      </c>
      <c r="AXZ224">
        <v>999</v>
      </c>
      <c r="ECE224">
        <v>60</v>
      </c>
      <c r="ECF224">
        <v>1</v>
      </c>
      <c r="ECI224">
        <v>1</v>
      </c>
      <c r="ECJ224" s="35">
        <v>999</v>
      </c>
      <c r="ECK224">
        <v>999</v>
      </c>
      <c r="ECL224">
        <v>0</v>
      </c>
      <c r="ECM224">
        <v>999</v>
      </c>
      <c r="FBL224">
        <v>1</v>
      </c>
      <c r="FBM224">
        <v>35</v>
      </c>
      <c r="FBN224">
        <v>34</v>
      </c>
      <c r="FBO224">
        <v>0</v>
      </c>
      <c r="FBP224">
        <v>1</v>
      </c>
      <c r="FWX224">
        <v>1</v>
      </c>
      <c r="FXG224">
        <v>1</v>
      </c>
      <c r="FZC224">
        <v>1</v>
      </c>
      <c r="GAK224">
        <v>1</v>
      </c>
      <c r="GGQ224">
        <v>1</v>
      </c>
    </row>
    <row r="225" spans="1:1014 1035:1966 2083:3004 3112:4042 4334:4611" x14ac:dyDescent="0.25">
      <c r="A225" s="50">
        <v>8124816</v>
      </c>
      <c r="AR225">
        <v>1</v>
      </c>
      <c r="AW225">
        <v>0.37</v>
      </c>
      <c r="BB225">
        <v>0.49</v>
      </c>
      <c r="II225">
        <v>0.6</v>
      </c>
      <c r="IL225">
        <v>0.7</v>
      </c>
      <c r="IP225">
        <v>0.6</v>
      </c>
      <c r="IV225">
        <v>0.7</v>
      </c>
      <c r="LD225" s="50"/>
      <c r="LE225" s="50"/>
      <c r="LF225" s="50"/>
      <c r="LG225" s="50"/>
      <c r="LH225" s="50"/>
      <c r="LI225" s="50"/>
      <c r="LJ225" s="50"/>
      <c r="LK225" s="50"/>
      <c r="LL225" s="50"/>
      <c r="LM225" s="50"/>
      <c r="NO225" s="50"/>
      <c r="NP225" s="50"/>
      <c r="NQ225" s="50"/>
      <c r="NR225" s="50"/>
      <c r="NS225" s="50"/>
      <c r="NT225" s="50"/>
      <c r="NU225" s="50"/>
      <c r="NV225" s="50"/>
      <c r="NW225" s="50"/>
      <c r="NX225" s="50"/>
      <c r="NY225" s="50"/>
      <c r="NZ225" s="50"/>
      <c r="OA225" s="50"/>
      <c r="OB225" s="50"/>
      <c r="OC225" s="50"/>
      <c r="OD225" s="50"/>
      <c r="OE225" s="50"/>
      <c r="OF225" s="50"/>
      <c r="OG225" s="50"/>
      <c r="OH225" s="50"/>
      <c r="OI225" s="50"/>
      <c r="OJ225" s="50"/>
      <c r="OK225" s="50"/>
      <c r="OL225" s="50"/>
      <c r="OM225" s="50"/>
      <c r="ON225" s="50"/>
      <c r="OO225" s="50"/>
      <c r="PN225">
        <v>4700000</v>
      </c>
      <c r="PQ225">
        <v>4300000</v>
      </c>
      <c r="PU225">
        <v>4500000</v>
      </c>
      <c r="QA225">
        <v>4400000</v>
      </c>
      <c r="AET225">
        <v>137</v>
      </c>
      <c r="AEW225">
        <v>140</v>
      </c>
      <c r="AFA225">
        <v>136</v>
      </c>
      <c r="AFG225">
        <v>132</v>
      </c>
      <c r="AFZ225">
        <v>3.3</v>
      </c>
      <c r="AGC225">
        <v>3.5</v>
      </c>
      <c r="AGG225">
        <v>3.7</v>
      </c>
      <c r="AGM225">
        <v>4.0999999999999996</v>
      </c>
      <c r="AJZ225">
        <v>107</v>
      </c>
      <c r="AKC225">
        <v>144</v>
      </c>
      <c r="AKG225">
        <v>97</v>
      </c>
      <c r="AKM225">
        <v>97</v>
      </c>
      <c r="AKT225" s="50"/>
      <c r="AKU225" s="50"/>
      <c r="AKV225" s="50"/>
      <c r="AKW225" s="50"/>
      <c r="AKX225" s="50"/>
      <c r="AKY225" s="50"/>
      <c r="AKZ225" s="50"/>
      <c r="ALA225" s="50"/>
      <c r="ALD225">
        <v>25</v>
      </c>
      <c r="AXH225">
        <v>400</v>
      </c>
      <c r="AXI225">
        <v>1</v>
      </c>
      <c r="AXL225">
        <v>1</v>
      </c>
      <c r="AXN225">
        <v>21</v>
      </c>
      <c r="AXO225">
        <v>10</v>
      </c>
      <c r="AXP225">
        <v>0</v>
      </c>
      <c r="AXQ225">
        <v>10</v>
      </c>
      <c r="AXT225" s="50">
        <v>1500</v>
      </c>
      <c r="AXU225" s="50">
        <v>1</v>
      </c>
      <c r="AXX225">
        <v>1</v>
      </c>
      <c r="AXZ225">
        <v>4</v>
      </c>
      <c r="AYA225">
        <v>3</v>
      </c>
      <c r="AYB225">
        <v>0</v>
      </c>
      <c r="AYC225">
        <v>0</v>
      </c>
      <c r="BNQ225">
        <v>250</v>
      </c>
      <c r="BNR225">
        <v>2</v>
      </c>
      <c r="BNU225">
        <v>1</v>
      </c>
      <c r="BNV225">
        <v>10</v>
      </c>
      <c r="BNW225">
        <v>7</v>
      </c>
      <c r="BNX225">
        <v>0</v>
      </c>
      <c r="BNY225">
        <v>2</v>
      </c>
      <c r="BWL225">
        <v>1</v>
      </c>
      <c r="BWM225" s="35">
        <v>999</v>
      </c>
      <c r="BWN225">
        <v>14</v>
      </c>
      <c r="BWO225">
        <v>0</v>
      </c>
      <c r="BWP225">
        <v>999</v>
      </c>
      <c r="CKT225">
        <v>10</v>
      </c>
      <c r="CKU225">
        <v>1</v>
      </c>
      <c r="CKX225">
        <v>1</v>
      </c>
      <c r="CKY225" s="35">
        <v>999</v>
      </c>
      <c r="CKZ225">
        <v>13</v>
      </c>
      <c r="CLA225">
        <v>0</v>
      </c>
      <c r="CLB225">
        <v>999</v>
      </c>
      <c r="DKF225">
        <v>40</v>
      </c>
      <c r="DKG225">
        <v>1</v>
      </c>
      <c r="DKJ225">
        <v>1</v>
      </c>
      <c r="DKK225" s="35">
        <v>999</v>
      </c>
      <c r="DKL225">
        <v>13</v>
      </c>
      <c r="DKM225">
        <v>0</v>
      </c>
      <c r="DKN225">
        <v>999</v>
      </c>
      <c r="EKJ225">
        <v>20</v>
      </c>
      <c r="EKK225">
        <v>1</v>
      </c>
      <c r="EKN225">
        <v>1</v>
      </c>
      <c r="EKO225">
        <v>7</v>
      </c>
      <c r="EKP225">
        <v>13</v>
      </c>
      <c r="EKQ225">
        <v>6</v>
      </c>
      <c r="EKR225">
        <v>0</v>
      </c>
      <c r="ELO225">
        <v>30</v>
      </c>
      <c r="ELP225">
        <v>1</v>
      </c>
      <c r="ELS225">
        <v>1</v>
      </c>
      <c r="ELT225">
        <v>16</v>
      </c>
      <c r="ELU225">
        <v>13</v>
      </c>
      <c r="ELV225">
        <v>0</v>
      </c>
      <c r="ELW225">
        <v>2</v>
      </c>
      <c r="EYH225">
        <v>1</v>
      </c>
      <c r="EYI225" s="35">
        <v>999</v>
      </c>
      <c r="EYJ225">
        <v>11</v>
      </c>
      <c r="EYK225">
        <v>0</v>
      </c>
      <c r="EYL225">
        <v>999</v>
      </c>
      <c r="FPP225" t="s">
        <v>2452</v>
      </c>
      <c r="FPQ225">
        <v>1</v>
      </c>
      <c r="FPU225" s="35">
        <v>999</v>
      </c>
      <c r="FPV225">
        <v>6</v>
      </c>
      <c r="FPW225">
        <v>0</v>
      </c>
      <c r="FPX225">
        <v>999</v>
      </c>
    </row>
    <row r="226" spans="1:1014 1035:1966 2083:3004 3112:4042 4334:4611" x14ac:dyDescent="0.25">
      <c r="A226" s="50">
        <v>9003267</v>
      </c>
      <c r="EY226">
        <v>218.4</v>
      </c>
      <c r="FA226" s="3">
        <v>289.2</v>
      </c>
      <c r="FH226">
        <v>222</v>
      </c>
      <c r="FI226">
        <v>228.6</v>
      </c>
      <c r="IJ226">
        <v>0.85970000000000002</v>
      </c>
      <c r="LD226" s="50"/>
      <c r="LE226" s="50"/>
      <c r="LF226" s="50"/>
      <c r="LG226" s="50"/>
      <c r="LH226" s="50"/>
      <c r="LI226" s="50"/>
      <c r="LJ226" s="50"/>
      <c r="LK226" s="50"/>
      <c r="LL226" s="50"/>
      <c r="LM226" s="50"/>
      <c r="MC226">
        <v>53.5</v>
      </c>
      <c r="MK226">
        <v>9.1999999999999993</v>
      </c>
      <c r="NO226" s="50"/>
      <c r="NP226" s="57">
        <v>12.6126</v>
      </c>
      <c r="NQ226" s="50"/>
      <c r="NR226" s="50"/>
      <c r="NS226" s="50"/>
      <c r="NT226" s="50"/>
      <c r="NU226" s="50"/>
      <c r="NV226" s="50"/>
      <c r="NW226" s="50"/>
      <c r="NX226" s="50"/>
      <c r="NY226" s="50"/>
      <c r="NZ226" s="50"/>
      <c r="OA226" s="50"/>
      <c r="OB226" s="50"/>
      <c r="OC226" s="50"/>
      <c r="OD226" s="50"/>
      <c r="OE226" s="50"/>
      <c r="OF226" s="50"/>
      <c r="OG226" s="50"/>
      <c r="OH226" s="50"/>
      <c r="OI226" s="50"/>
      <c r="OJ226" s="50"/>
      <c r="OK226" s="50"/>
      <c r="OL226" s="50"/>
      <c r="OM226" s="50"/>
      <c r="ON226" s="50"/>
      <c r="OO226" s="50"/>
      <c r="QZ226">
        <v>115000</v>
      </c>
      <c r="RA226">
        <v>120000</v>
      </c>
      <c r="ABN226" s="3">
        <v>28.1995</v>
      </c>
      <c r="ABO226" s="3">
        <v>27.5549</v>
      </c>
      <c r="AIY226">
        <v>419</v>
      </c>
      <c r="AKT226" s="50"/>
      <c r="AKU226" s="50"/>
      <c r="AKV226" s="50"/>
      <c r="AKW226" s="50"/>
      <c r="AKX226" s="50"/>
      <c r="AKY226" s="50"/>
      <c r="AKZ226" s="50"/>
      <c r="ALA226" s="50"/>
      <c r="AMU226">
        <v>14.9</v>
      </c>
      <c r="AMW226">
        <v>26.2</v>
      </c>
      <c r="AXT226" s="50">
        <v>500</v>
      </c>
      <c r="AXU226" s="50">
        <v>1</v>
      </c>
      <c r="AXX226">
        <v>1</v>
      </c>
      <c r="AXZ226">
        <v>6</v>
      </c>
      <c r="AYA226">
        <v>4</v>
      </c>
      <c r="AYB226">
        <v>0</v>
      </c>
      <c r="AYC226">
        <v>1</v>
      </c>
      <c r="AZL226">
        <v>500</v>
      </c>
      <c r="AZM226">
        <v>1</v>
      </c>
      <c r="AZP226">
        <v>1</v>
      </c>
      <c r="AZQ226">
        <v>5</v>
      </c>
      <c r="AZR226">
        <v>1</v>
      </c>
      <c r="AZS226">
        <v>0</v>
      </c>
      <c r="AZT226">
        <v>3</v>
      </c>
    </row>
    <row r="227" spans="1:1014 1035:1966 2083:3004 3112:4042 4334:4611" x14ac:dyDescent="0.25">
      <c r="A227" s="50">
        <v>9036964</v>
      </c>
      <c r="V227">
        <v>0.21149999999999999</v>
      </c>
      <c r="AL227">
        <v>0.15379999999999999</v>
      </c>
      <c r="AP227">
        <v>0.10630000000000001</v>
      </c>
      <c r="ED227">
        <v>246</v>
      </c>
      <c r="EX227">
        <v>242</v>
      </c>
      <c r="EY227">
        <v>229</v>
      </c>
      <c r="EZ227">
        <v>193</v>
      </c>
      <c r="FD227">
        <v>174</v>
      </c>
      <c r="LD227" s="50"/>
      <c r="LE227" s="50"/>
      <c r="LF227" s="50"/>
      <c r="LG227" s="50"/>
      <c r="LH227" s="50"/>
      <c r="LI227" s="50"/>
      <c r="LJ227" s="50"/>
      <c r="LK227" s="50"/>
      <c r="LL227" s="50"/>
      <c r="LM227" s="50"/>
      <c r="MC227">
        <v>20.100000000000001</v>
      </c>
      <c r="MD227">
        <v>17.7</v>
      </c>
      <c r="YP227">
        <v>46</v>
      </c>
      <c r="AGB227">
        <v>3.6</v>
      </c>
      <c r="AGC227">
        <v>3.4</v>
      </c>
      <c r="AJJ227">
        <v>36.200000000000003</v>
      </c>
      <c r="AXT227" s="50">
        <v>500</v>
      </c>
      <c r="AXU227" s="50">
        <v>1</v>
      </c>
      <c r="AXX227">
        <v>1</v>
      </c>
      <c r="AXZ227">
        <v>153</v>
      </c>
      <c r="AYB227">
        <v>0</v>
      </c>
      <c r="AYC227">
        <v>1</v>
      </c>
      <c r="AYF227">
        <v>100</v>
      </c>
      <c r="AYG227">
        <v>1</v>
      </c>
      <c r="AYJ227">
        <v>1</v>
      </c>
      <c r="AYK227">
        <v>305</v>
      </c>
      <c r="AYM227">
        <v>0</v>
      </c>
      <c r="AYN227">
        <v>2</v>
      </c>
      <c r="CFS227">
        <v>16</v>
      </c>
      <c r="CFT227">
        <v>1</v>
      </c>
      <c r="CFW227">
        <v>1</v>
      </c>
      <c r="CFX227">
        <v>999</v>
      </c>
      <c r="CFY227">
        <v>999</v>
      </c>
      <c r="CFZ227">
        <v>0</v>
      </c>
      <c r="CGA227">
        <v>1</v>
      </c>
      <c r="CLX227">
        <v>20</v>
      </c>
      <c r="CLY227">
        <v>1</v>
      </c>
      <c r="CMB227">
        <v>1</v>
      </c>
      <c r="CMC227" s="35">
        <v>999</v>
      </c>
      <c r="CMD227">
        <v>153</v>
      </c>
      <c r="CME227">
        <v>0</v>
      </c>
      <c r="CMF227">
        <v>999</v>
      </c>
      <c r="CUO227">
        <v>200</v>
      </c>
      <c r="CUP227">
        <v>1</v>
      </c>
      <c r="CUS227">
        <v>1</v>
      </c>
      <c r="CUT227" s="35">
        <v>999</v>
      </c>
      <c r="CUV227">
        <v>0</v>
      </c>
      <c r="CUW227">
        <v>999</v>
      </c>
      <c r="DBC227">
        <v>10</v>
      </c>
      <c r="DBD227">
        <v>1</v>
      </c>
      <c r="DBG227">
        <v>1</v>
      </c>
      <c r="DBH227">
        <v>305</v>
      </c>
      <c r="DBJ227">
        <v>0</v>
      </c>
      <c r="DBK227">
        <v>1</v>
      </c>
      <c r="DBM227">
        <v>1400</v>
      </c>
      <c r="DBN227">
        <v>3</v>
      </c>
      <c r="DBQ227">
        <v>1</v>
      </c>
      <c r="DBR227" s="35">
        <v>999</v>
      </c>
      <c r="DBT227">
        <v>0</v>
      </c>
      <c r="DBU227">
        <v>999</v>
      </c>
      <c r="DCA227">
        <v>1</v>
      </c>
      <c r="DCB227" s="35">
        <v>999</v>
      </c>
      <c r="DCC227">
        <v>244</v>
      </c>
      <c r="DCD227">
        <v>0</v>
      </c>
      <c r="DCE227">
        <v>999</v>
      </c>
      <c r="DDT227">
        <v>1</v>
      </c>
      <c r="DDV227" s="35">
        <v>999</v>
      </c>
      <c r="DDW227">
        <v>999</v>
      </c>
      <c r="DDX227">
        <v>0</v>
      </c>
      <c r="DDY227">
        <v>999</v>
      </c>
      <c r="FKI227">
        <v>125</v>
      </c>
      <c r="FKJ227">
        <v>1</v>
      </c>
      <c r="FKM227">
        <v>1</v>
      </c>
      <c r="FKN227">
        <v>7</v>
      </c>
      <c r="FKO227">
        <v>9</v>
      </c>
      <c r="FKP227">
        <v>3</v>
      </c>
      <c r="FKQ227">
        <v>0</v>
      </c>
      <c r="FSS227">
        <v>1</v>
      </c>
    </row>
    <row r="228" spans="1:1014 1035:1966 2083:3004 3112:4042 4334:4611" x14ac:dyDescent="0.25">
      <c r="A228" s="50">
        <v>9090287</v>
      </c>
      <c r="AL228">
        <v>0.53959999999999997</v>
      </c>
      <c r="AM228">
        <v>0.63009999999999999</v>
      </c>
      <c r="AN228">
        <v>0.67079999999999995</v>
      </c>
      <c r="AO228">
        <v>0.45700000000000002</v>
      </c>
      <c r="AP228">
        <v>0.26919999999999999</v>
      </c>
      <c r="EZ228">
        <v>48</v>
      </c>
      <c r="FA228">
        <v>53</v>
      </c>
      <c r="IK228">
        <v>0.88009999999999999</v>
      </c>
      <c r="IL228">
        <v>0.76470000000000005</v>
      </c>
      <c r="LD228" s="50"/>
      <c r="LE228" s="50"/>
      <c r="LF228" s="50"/>
      <c r="LG228" s="50"/>
      <c r="LH228" s="50"/>
      <c r="LI228" s="50"/>
      <c r="LJ228" s="50"/>
      <c r="LK228" s="50"/>
      <c r="LL228" s="50"/>
      <c r="LM228" s="50"/>
      <c r="MD228">
        <v>36.200000000000003</v>
      </c>
      <c r="ME228">
        <v>40.5</v>
      </c>
      <c r="NR228" s="3">
        <v>37.329599999999999</v>
      </c>
      <c r="RA228">
        <v>12000</v>
      </c>
      <c r="RB228">
        <v>19000</v>
      </c>
      <c r="RD228">
        <v>84000</v>
      </c>
      <c r="RE228">
        <v>129000</v>
      </c>
      <c r="WK228">
        <v>7.43</v>
      </c>
      <c r="WU228">
        <v>2.9</v>
      </c>
      <c r="XA228">
        <v>26.8</v>
      </c>
      <c r="XO228">
        <v>41.253386671511002</v>
      </c>
      <c r="YR228">
        <v>34</v>
      </c>
      <c r="YT228">
        <v>36</v>
      </c>
      <c r="YU228">
        <v>36</v>
      </c>
      <c r="AEV228">
        <v>130</v>
      </c>
      <c r="AEW228">
        <v>133</v>
      </c>
      <c r="AHE228">
        <v>2.1</v>
      </c>
      <c r="AHF228">
        <v>2.0699999999999998</v>
      </c>
      <c r="ALJ228">
        <v>54.7</v>
      </c>
      <c r="ALK228">
        <v>35.4</v>
      </c>
      <c r="ALL228">
        <v>52</v>
      </c>
      <c r="AXT228" s="50">
        <v>500</v>
      </c>
      <c r="AXU228" s="50">
        <v>20</v>
      </c>
      <c r="AXX228">
        <v>1</v>
      </c>
      <c r="AXZ228">
        <v>1</v>
      </c>
      <c r="AYA228">
        <v>1</v>
      </c>
      <c r="AYB228">
        <v>1</v>
      </c>
      <c r="AYC228">
        <v>0</v>
      </c>
    </row>
    <row r="229" spans="1:1014 1035:1966 2083:3004 3112:4042 4334:4611" x14ac:dyDescent="0.25">
      <c r="A229" s="50">
        <v>9095148</v>
      </c>
      <c r="DQ229">
        <v>6.1</v>
      </c>
      <c r="EY229">
        <v>209</v>
      </c>
      <c r="II229">
        <v>0.7</v>
      </c>
      <c r="IJ229">
        <v>0.65</v>
      </c>
      <c r="IK229">
        <v>0.68</v>
      </c>
      <c r="IL229">
        <v>0.65</v>
      </c>
      <c r="LD229" s="50"/>
      <c r="LE229" s="50"/>
      <c r="LF229" s="50"/>
      <c r="LG229" s="50"/>
      <c r="LH229" s="50"/>
      <c r="LI229" s="50"/>
      <c r="LJ229" s="50"/>
      <c r="LK229" s="50"/>
      <c r="LL229" s="50"/>
      <c r="LM229" s="50"/>
      <c r="MB229">
        <v>41</v>
      </c>
      <c r="MC229">
        <v>32.1</v>
      </c>
      <c r="MD229">
        <v>46.1</v>
      </c>
      <c r="ME229">
        <v>85.1</v>
      </c>
      <c r="NP229">
        <v>32</v>
      </c>
      <c r="QK229">
        <v>42</v>
      </c>
      <c r="QY229" s="14">
        <v>65500</v>
      </c>
      <c r="QZ229" s="14">
        <v>84000</v>
      </c>
      <c r="RA229" s="14">
        <v>117000</v>
      </c>
      <c r="RB229">
        <v>163000</v>
      </c>
      <c r="TQ229">
        <v>95.7</v>
      </c>
      <c r="TV229">
        <v>30</v>
      </c>
      <c r="TZ229">
        <v>7</v>
      </c>
      <c r="UC229">
        <v>41.7</v>
      </c>
      <c r="VK229">
        <v>46</v>
      </c>
      <c r="AEU229">
        <v>132</v>
      </c>
      <c r="AEV229">
        <v>130</v>
      </c>
      <c r="AEW229">
        <v>128</v>
      </c>
      <c r="AGA229">
        <v>3.7</v>
      </c>
      <c r="AGB229">
        <v>3.2</v>
      </c>
      <c r="AGC229">
        <v>3.4</v>
      </c>
      <c r="AXT229" s="50">
        <v>1000</v>
      </c>
      <c r="AXU229" s="50">
        <v>1</v>
      </c>
      <c r="AXV229">
        <v>1</v>
      </c>
      <c r="AXZ229">
        <v>14</v>
      </c>
      <c r="AYA229">
        <v>17</v>
      </c>
      <c r="AYB229">
        <v>4</v>
      </c>
      <c r="AYC229">
        <v>0</v>
      </c>
      <c r="AZL229">
        <v>500</v>
      </c>
      <c r="AZM229">
        <v>1</v>
      </c>
      <c r="AZN229">
        <v>1</v>
      </c>
      <c r="AZQ229">
        <v>1</v>
      </c>
      <c r="AZR229">
        <v>3</v>
      </c>
      <c r="AZS229">
        <v>3</v>
      </c>
      <c r="AZT229">
        <v>0</v>
      </c>
      <c r="BLR229">
        <v>0.5</v>
      </c>
      <c r="BLS229">
        <v>2</v>
      </c>
      <c r="BLT229">
        <v>1</v>
      </c>
      <c r="BLV229" s="50"/>
      <c r="BLW229">
        <v>11</v>
      </c>
      <c r="BLX229">
        <v>13</v>
      </c>
      <c r="BLY229">
        <v>3</v>
      </c>
      <c r="BLZ229">
        <v>0</v>
      </c>
      <c r="BTW229">
        <v>80</v>
      </c>
      <c r="BTX229">
        <v>1</v>
      </c>
      <c r="BTY229">
        <v>1</v>
      </c>
      <c r="BUB229">
        <v>2</v>
      </c>
      <c r="BUC229">
        <v>5</v>
      </c>
      <c r="BUD229">
        <v>4</v>
      </c>
      <c r="BUE229">
        <v>0</v>
      </c>
      <c r="BUR229">
        <v>2000</v>
      </c>
      <c r="BUS229">
        <v>1</v>
      </c>
      <c r="BUT229">
        <v>1</v>
      </c>
      <c r="BUW229">
        <v>14</v>
      </c>
      <c r="BUX229">
        <v>16</v>
      </c>
      <c r="BUY229">
        <v>3</v>
      </c>
      <c r="BUZ229">
        <v>0</v>
      </c>
      <c r="CBM229">
        <v>20</v>
      </c>
      <c r="CBN229">
        <v>2</v>
      </c>
      <c r="CBO229">
        <v>1</v>
      </c>
      <c r="CBR229">
        <v>3</v>
      </c>
      <c r="CBS229">
        <v>3</v>
      </c>
      <c r="CBT229">
        <v>1</v>
      </c>
      <c r="CBU229">
        <v>0</v>
      </c>
      <c r="CHR229">
        <v>2.5</v>
      </c>
      <c r="CHV229">
        <v>0</v>
      </c>
      <c r="CHW229" s="15">
        <v>999</v>
      </c>
      <c r="CHX229">
        <v>999</v>
      </c>
      <c r="CHY229">
        <v>19</v>
      </c>
      <c r="CHZ229">
        <v>0</v>
      </c>
      <c r="CPB229">
        <v>7.0000000000000007E-2</v>
      </c>
      <c r="CPC229">
        <v>1</v>
      </c>
      <c r="CPF229">
        <v>1</v>
      </c>
      <c r="CPG229" s="15">
        <v>999</v>
      </c>
      <c r="CPH229">
        <v>999</v>
      </c>
      <c r="CPI229">
        <v>0</v>
      </c>
      <c r="CPJ229">
        <v>4</v>
      </c>
      <c r="CVT229">
        <v>2500</v>
      </c>
      <c r="CVU229">
        <v>1</v>
      </c>
      <c r="CVX229">
        <v>1</v>
      </c>
      <c r="CVZ229">
        <v>1</v>
      </c>
      <c r="CWA229">
        <v>2</v>
      </c>
      <c r="CWB229">
        <v>2</v>
      </c>
      <c r="CWC229">
        <v>0</v>
      </c>
      <c r="CXM229">
        <v>2.5</v>
      </c>
      <c r="CXN229">
        <v>1</v>
      </c>
      <c r="CXQ229">
        <v>1</v>
      </c>
      <c r="CXS229">
        <v>3</v>
      </c>
      <c r="CXT229">
        <v>1</v>
      </c>
      <c r="CXU229">
        <v>0</v>
      </c>
      <c r="CXV229">
        <v>1</v>
      </c>
      <c r="DCS229">
        <v>10</v>
      </c>
      <c r="DCT229">
        <v>1</v>
      </c>
      <c r="DCW229">
        <v>1</v>
      </c>
      <c r="DCX229">
        <v>999</v>
      </c>
      <c r="DCY229">
        <v>10</v>
      </c>
      <c r="DCZ229">
        <v>0</v>
      </c>
      <c r="DFO229">
        <v>10</v>
      </c>
      <c r="DFP229">
        <v>1</v>
      </c>
      <c r="DFS229">
        <v>1</v>
      </c>
      <c r="DFT229">
        <v>1</v>
      </c>
      <c r="DFU229">
        <v>2</v>
      </c>
      <c r="DFV229">
        <v>0</v>
      </c>
      <c r="DFW229">
        <v>2</v>
      </c>
      <c r="DIR229">
        <v>1</v>
      </c>
      <c r="DIU229">
        <v>1</v>
      </c>
      <c r="DIV229">
        <v>999</v>
      </c>
      <c r="DIW229">
        <v>999</v>
      </c>
      <c r="DIX229">
        <v>2</v>
      </c>
      <c r="DIY229">
        <v>0</v>
      </c>
      <c r="DKF229">
        <v>40</v>
      </c>
      <c r="DKG229">
        <v>1</v>
      </c>
      <c r="DKJ229">
        <v>1</v>
      </c>
      <c r="DKK229" s="15">
        <v>999</v>
      </c>
      <c r="DKL229">
        <v>999</v>
      </c>
      <c r="DKM229">
        <v>0</v>
      </c>
      <c r="DKN229">
        <v>4</v>
      </c>
      <c r="EQE229">
        <v>400</v>
      </c>
      <c r="EQF229">
        <v>1</v>
      </c>
      <c r="EQG229">
        <v>1</v>
      </c>
      <c r="EQJ229">
        <v>6</v>
      </c>
      <c r="EQK229">
        <v>9</v>
      </c>
      <c r="EQL229">
        <v>4</v>
      </c>
      <c r="EQM229">
        <v>0</v>
      </c>
    </row>
    <row r="230" spans="1:1014 1035:1966 2083:3004 3112:4042 4334:4611" x14ac:dyDescent="0.25">
      <c r="A230" s="50">
        <v>9104979</v>
      </c>
      <c r="AI230" s="50"/>
      <c r="AJ230" s="50"/>
      <c r="AM230">
        <v>5.4</v>
      </c>
      <c r="AP230">
        <v>2.1</v>
      </c>
      <c r="AT230">
        <v>2.4</v>
      </c>
      <c r="AX230">
        <v>1.3</v>
      </c>
      <c r="BG230" s="50"/>
      <c r="BH230" s="50"/>
      <c r="BM230">
        <v>7.8</v>
      </c>
      <c r="BT230">
        <v>4.5</v>
      </c>
      <c r="FA230">
        <v>377</v>
      </c>
      <c r="FD230">
        <v>355</v>
      </c>
      <c r="FH230">
        <v>512</v>
      </c>
      <c r="FL230">
        <v>483</v>
      </c>
      <c r="GD230">
        <v>68</v>
      </c>
      <c r="GJ230">
        <v>38</v>
      </c>
      <c r="LD230" s="50"/>
      <c r="LE230" s="50"/>
      <c r="LF230" s="50"/>
      <c r="LG230" s="50"/>
      <c r="LH230" s="50"/>
      <c r="LI230" s="50"/>
      <c r="LJ230" s="50">
        <v>3598</v>
      </c>
      <c r="LK230" s="50"/>
      <c r="LL230" s="50">
        <v>68</v>
      </c>
      <c r="LM230" s="50"/>
      <c r="AXT230" s="50">
        <v>500</v>
      </c>
      <c r="AXU230" s="50">
        <v>1</v>
      </c>
      <c r="AXX230">
        <v>1</v>
      </c>
      <c r="AXZ230">
        <v>11</v>
      </c>
      <c r="AYA230">
        <v>7</v>
      </c>
      <c r="AYB230">
        <v>0</v>
      </c>
      <c r="AYC230">
        <v>3</v>
      </c>
      <c r="AZP230">
        <v>1</v>
      </c>
      <c r="AZQ230">
        <v>13</v>
      </c>
      <c r="AZR230">
        <v>6</v>
      </c>
      <c r="AZS230">
        <v>0</v>
      </c>
      <c r="AZT230">
        <v>6</v>
      </c>
      <c r="CGW230">
        <v>10</v>
      </c>
      <c r="CHA230">
        <v>1</v>
      </c>
      <c r="CHB230">
        <v>999</v>
      </c>
      <c r="CHC230">
        <v>999</v>
      </c>
      <c r="CHD230">
        <v>0</v>
      </c>
      <c r="CHE230">
        <v>12</v>
      </c>
      <c r="COQ230">
        <v>400</v>
      </c>
      <c r="COR230">
        <v>1</v>
      </c>
      <c r="COV230">
        <v>1</v>
      </c>
      <c r="COW230">
        <v>1</v>
      </c>
      <c r="COX230">
        <v>12</v>
      </c>
      <c r="COY230">
        <v>12</v>
      </c>
      <c r="COZ230">
        <v>0</v>
      </c>
      <c r="CYS230" s="50"/>
      <c r="CYT230">
        <v>1</v>
      </c>
      <c r="CYW230">
        <v>1</v>
      </c>
      <c r="CYY230">
        <v>7</v>
      </c>
      <c r="CYZ230">
        <v>6</v>
      </c>
      <c r="CZA230">
        <v>0</v>
      </c>
      <c r="CZB230">
        <v>0</v>
      </c>
      <c r="DKF230">
        <v>20</v>
      </c>
      <c r="DKG230">
        <v>1</v>
      </c>
      <c r="DKJ230">
        <v>1</v>
      </c>
      <c r="DKK230">
        <v>11</v>
      </c>
      <c r="DKL230">
        <v>7</v>
      </c>
      <c r="DKM230">
        <v>0</v>
      </c>
      <c r="DKN230">
        <v>3</v>
      </c>
      <c r="EBK230">
        <v>70</v>
      </c>
      <c r="EBL230">
        <v>1</v>
      </c>
      <c r="EBO230">
        <v>1</v>
      </c>
      <c r="EBP230">
        <v>8</v>
      </c>
      <c r="EBQ230">
        <v>4</v>
      </c>
      <c r="EBR230">
        <v>0</v>
      </c>
      <c r="EBS230">
        <v>3</v>
      </c>
    </row>
    <row r="231" spans="1:1014 1035:1966 2083:3004 3112:4042 4334:4611" x14ac:dyDescent="0.25">
      <c r="A231" s="50">
        <v>9139514</v>
      </c>
      <c r="AI231" s="50"/>
      <c r="AJ231" s="50"/>
      <c r="AT231">
        <v>7.71</v>
      </c>
      <c r="AY231">
        <v>17.260000000000002</v>
      </c>
      <c r="BG231" s="50">
        <v>41</v>
      </c>
      <c r="BH231" s="50"/>
      <c r="BI231">
        <v>31</v>
      </c>
      <c r="BU231">
        <v>7</v>
      </c>
      <c r="BZ231">
        <v>5</v>
      </c>
      <c r="CE231">
        <v>2.2000000000000002</v>
      </c>
      <c r="FH231">
        <v>343</v>
      </c>
      <c r="FX231">
        <v>248</v>
      </c>
      <c r="LD231" s="50"/>
      <c r="LE231" s="50"/>
      <c r="LF231" s="50"/>
      <c r="LG231" s="50"/>
      <c r="LH231" s="50"/>
      <c r="LI231" s="50"/>
      <c r="LJ231" s="50"/>
      <c r="LK231" s="50"/>
      <c r="LL231" s="50"/>
      <c r="LM231" s="50"/>
      <c r="AXH231">
        <v>600</v>
      </c>
      <c r="AXI231">
        <v>3</v>
      </c>
      <c r="AXL231">
        <v>1</v>
      </c>
      <c r="AXN231">
        <v>330</v>
      </c>
      <c r="AXO231">
        <v>330</v>
      </c>
      <c r="AXP231">
        <v>0</v>
      </c>
      <c r="AXQ231">
        <v>21</v>
      </c>
      <c r="AXT231" s="50">
        <v>500</v>
      </c>
      <c r="AXU231" s="50">
        <v>2</v>
      </c>
      <c r="AXX231">
        <v>1</v>
      </c>
      <c r="AXZ231">
        <v>999</v>
      </c>
      <c r="AYA231">
        <v>999</v>
      </c>
      <c r="AYB231">
        <v>61</v>
      </c>
      <c r="AYC231">
        <v>0</v>
      </c>
      <c r="AYG231">
        <v>2</v>
      </c>
      <c r="AYJ231">
        <v>1</v>
      </c>
      <c r="AYK231">
        <v>720</v>
      </c>
      <c r="AYL231">
        <v>720</v>
      </c>
      <c r="AYM231">
        <v>0</v>
      </c>
      <c r="AYN231">
        <v>4</v>
      </c>
      <c r="BDW231">
        <v>50</v>
      </c>
      <c r="BDX231">
        <v>3</v>
      </c>
      <c r="BEA231">
        <v>1</v>
      </c>
      <c r="BEB231">
        <v>360</v>
      </c>
      <c r="BED231">
        <v>0</v>
      </c>
      <c r="BEE231">
        <v>2</v>
      </c>
      <c r="CTU231">
        <v>23.75</v>
      </c>
      <c r="CTV231">
        <v>1</v>
      </c>
      <c r="CTY231">
        <v>1</v>
      </c>
      <c r="CTZ231">
        <v>720</v>
      </c>
      <c r="CUA231">
        <v>720</v>
      </c>
      <c r="CUB231">
        <v>0</v>
      </c>
      <c r="CUC231">
        <v>10</v>
      </c>
      <c r="FJR231">
        <v>1</v>
      </c>
      <c r="FJS231">
        <v>720</v>
      </c>
      <c r="FJT231">
        <v>720</v>
      </c>
      <c r="FJU231">
        <v>0</v>
      </c>
      <c r="FJV231">
        <v>10</v>
      </c>
    </row>
    <row r="232" spans="1:1014 1035:1966 2083:3004 3112:4042 4334:4611" x14ac:dyDescent="0.25">
      <c r="A232" s="50">
        <v>10020659</v>
      </c>
      <c r="AI232" s="50"/>
      <c r="AJ232" s="50"/>
      <c r="AM232">
        <v>0.15840000000000001</v>
      </c>
      <c r="BG232" s="50"/>
      <c r="BH232" s="50"/>
      <c r="EE232">
        <v>85.2</v>
      </c>
      <c r="EY232">
        <v>133.80000000000001</v>
      </c>
      <c r="II232" s="3">
        <v>1.1086</v>
      </c>
      <c r="LD232" s="50"/>
      <c r="LE232" s="50"/>
      <c r="LF232" s="50"/>
      <c r="LG232" s="50"/>
      <c r="LH232" s="50"/>
      <c r="LI232" s="50"/>
      <c r="LJ232" s="50"/>
      <c r="LK232" s="50"/>
      <c r="LL232" s="50"/>
      <c r="LM232" s="50"/>
      <c r="MB232">
        <v>2</v>
      </c>
      <c r="ALK232">
        <v>42</v>
      </c>
      <c r="AXT232" s="50">
        <v>1000</v>
      </c>
      <c r="AXU232" s="50">
        <v>1</v>
      </c>
      <c r="AXX232">
        <v>1</v>
      </c>
      <c r="AXZ232">
        <v>36</v>
      </c>
      <c r="AYA232">
        <v>37</v>
      </c>
      <c r="AYB232">
        <v>2</v>
      </c>
      <c r="AYC232">
        <v>0</v>
      </c>
      <c r="CHR232">
        <v>7.5</v>
      </c>
      <c r="CHS232">
        <v>2</v>
      </c>
      <c r="CHV232">
        <v>1</v>
      </c>
      <c r="CHW232" s="35">
        <v>999</v>
      </c>
      <c r="CHX232">
        <v>720</v>
      </c>
      <c r="CHY232">
        <v>0</v>
      </c>
      <c r="CHZ232">
        <v>999</v>
      </c>
      <c r="CLD232">
        <v>5</v>
      </c>
      <c r="CLE232">
        <v>1</v>
      </c>
      <c r="CLH232">
        <v>1</v>
      </c>
      <c r="CLI232">
        <v>999</v>
      </c>
      <c r="CLJ232">
        <v>720</v>
      </c>
      <c r="CLK232">
        <v>0</v>
      </c>
      <c r="CLL232">
        <v>999</v>
      </c>
      <c r="CPB232">
        <v>7.0000000000000007E-2</v>
      </c>
      <c r="CPC232">
        <v>1</v>
      </c>
      <c r="CPF232">
        <v>1</v>
      </c>
      <c r="CPG232" s="35">
        <v>999</v>
      </c>
      <c r="CPH232">
        <v>720</v>
      </c>
      <c r="CPI232">
        <v>0</v>
      </c>
      <c r="CPJ232">
        <v>999</v>
      </c>
      <c r="CVJ232">
        <v>3</v>
      </c>
      <c r="CVK232">
        <v>1</v>
      </c>
      <c r="CVN232">
        <v>1</v>
      </c>
      <c r="CVO232">
        <v>720</v>
      </c>
      <c r="CVP232">
        <v>720</v>
      </c>
      <c r="CVQ232">
        <v>2</v>
      </c>
      <c r="CVR232">
        <v>0</v>
      </c>
      <c r="CZX232">
        <v>1</v>
      </c>
      <c r="CZY232">
        <v>1</v>
      </c>
      <c r="DAB232">
        <v>1</v>
      </c>
      <c r="DAC232">
        <v>720</v>
      </c>
      <c r="DAD232">
        <v>720</v>
      </c>
      <c r="DAE232">
        <v>2</v>
      </c>
      <c r="DAF232">
        <v>0</v>
      </c>
      <c r="DBC232">
        <v>1</v>
      </c>
      <c r="DBD232">
        <v>1</v>
      </c>
      <c r="DBG232">
        <v>1</v>
      </c>
      <c r="DBH232">
        <v>720</v>
      </c>
      <c r="DBI232">
        <v>720</v>
      </c>
      <c r="DBJ232">
        <v>2</v>
      </c>
      <c r="DBK232">
        <v>0</v>
      </c>
      <c r="DKF232">
        <v>40</v>
      </c>
      <c r="DKG232">
        <v>2</v>
      </c>
      <c r="DKJ232">
        <v>1</v>
      </c>
      <c r="DKK232">
        <v>999</v>
      </c>
      <c r="DKL232">
        <v>720</v>
      </c>
      <c r="DKM232">
        <v>0</v>
      </c>
      <c r="DKN232">
        <v>999</v>
      </c>
      <c r="DWS232">
        <v>18</v>
      </c>
      <c r="DWT232">
        <v>1</v>
      </c>
      <c r="DWU232">
        <v>1</v>
      </c>
      <c r="DWX232" s="35">
        <v>999</v>
      </c>
      <c r="DWY232">
        <v>720</v>
      </c>
      <c r="DWZ232">
        <v>0</v>
      </c>
      <c r="DXA232">
        <v>999</v>
      </c>
    </row>
    <row r="233" spans="1:1014 1035:1966 2083:3004 3112:4042 4334:4611" x14ac:dyDescent="0.25">
      <c r="A233" s="50">
        <v>10025902</v>
      </c>
      <c r="AI233" s="50"/>
      <c r="AJ233" s="50">
        <v>0.56559999999999999</v>
      </c>
      <c r="AK233">
        <v>0.37330000000000002</v>
      </c>
      <c r="BG233" s="50"/>
      <c r="BH233" s="50"/>
      <c r="CM233">
        <v>0.4491</v>
      </c>
      <c r="CN233">
        <v>0.2828</v>
      </c>
      <c r="EY233">
        <v>682.2</v>
      </c>
      <c r="FH233">
        <v>541.79999999999995</v>
      </c>
      <c r="II233">
        <v>0.96150000000000002</v>
      </c>
      <c r="LD233" s="50"/>
      <c r="LE233" s="50"/>
      <c r="LF233" s="50"/>
      <c r="LG233" s="50"/>
      <c r="LH233" s="50"/>
      <c r="LI233" s="50"/>
      <c r="LJ233" s="50"/>
      <c r="LK233" s="50"/>
      <c r="LL233" s="50"/>
      <c r="LM233" s="50"/>
      <c r="MB233">
        <v>41.8</v>
      </c>
      <c r="MC233">
        <v>34</v>
      </c>
      <c r="MI233">
        <v>9</v>
      </c>
      <c r="MT233">
        <v>38.5</v>
      </c>
      <c r="AXT233" s="50">
        <v>1000</v>
      </c>
      <c r="AXU233" s="50">
        <v>1</v>
      </c>
      <c r="AXX233">
        <v>1</v>
      </c>
      <c r="AXZ233">
        <v>7</v>
      </c>
      <c r="AYA233">
        <v>9</v>
      </c>
      <c r="AYB233">
        <v>3</v>
      </c>
      <c r="AYC233">
        <v>0</v>
      </c>
      <c r="BTC233">
        <v>500</v>
      </c>
      <c r="BTD233">
        <v>1</v>
      </c>
      <c r="BTG233">
        <v>1</v>
      </c>
      <c r="BTH233">
        <v>7</v>
      </c>
      <c r="BTI233">
        <v>9</v>
      </c>
      <c r="BTJ233">
        <v>3</v>
      </c>
      <c r="BTK233">
        <v>0</v>
      </c>
      <c r="BVX233">
        <v>100</v>
      </c>
      <c r="BVY233">
        <v>1</v>
      </c>
      <c r="BWB233">
        <v>1</v>
      </c>
      <c r="BWC233">
        <v>999</v>
      </c>
      <c r="BWD233">
        <v>999</v>
      </c>
      <c r="BWE233">
        <v>0</v>
      </c>
      <c r="BWF233">
        <v>0</v>
      </c>
      <c r="CBC233">
        <v>50</v>
      </c>
      <c r="CBD233">
        <v>1</v>
      </c>
      <c r="CBF233">
        <v>1</v>
      </c>
      <c r="CBG233" s="35">
        <v>999</v>
      </c>
      <c r="CBH233">
        <v>999</v>
      </c>
      <c r="CBI233">
        <v>0</v>
      </c>
      <c r="CBJ233">
        <v>999</v>
      </c>
      <c r="DVQ233">
        <v>1</v>
      </c>
      <c r="EVP233">
        <v>1</v>
      </c>
      <c r="FPP233">
        <v>0.4</v>
      </c>
      <c r="FPQ233">
        <v>1</v>
      </c>
      <c r="FPT233">
        <v>1</v>
      </c>
      <c r="FPU233" s="35">
        <v>999</v>
      </c>
      <c r="FPW233">
        <v>0</v>
      </c>
      <c r="FPX233">
        <v>999</v>
      </c>
    </row>
    <row r="234" spans="1:1014 1035:1966 2083:3004 3112:4042 4334:4611" x14ac:dyDescent="0.25">
      <c r="A234" s="50">
        <v>10027654</v>
      </c>
      <c r="AI234" s="50"/>
      <c r="AJ234" s="50"/>
      <c r="AK234">
        <v>0.7</v>
      </c>
      <c r="AW234">
        <v>0.8</v>
      </c>
      <c r="EG234">
        <v>101</v>
      </c>
      <c r="FI234">
        <v>137</v>
      </c>
      <c r="GB234">
        <v>98</v>
      </c>
      <c r="LD234" s="50"/>
      <c r="LE234" s="50"/>
      <c r="LF234" s="50"/>
      <c r="LG234" s="50"/>
      <c r="LH234" s="50"/>
      <c r="LI234" s="50"/>
      <c r="LJ234" s="50"/>
      <c r="LK234" s="50"/>
      <c r="LL234" s="50"/>
      <c r="LM234" s="50"/>
      <c r="AXT234" s="50">
        <v>500</v>
      </c>
      <c r="AXU234" s="50">
        <v>1</v>
      </c>
      <c r="AXX234">
        <v>1</v>
      </c>
      <c r="AXZ234" s="35">
        <v>999</v>
      </c>
      <c r="AYA234">
        <v>999</v>
      </c>
      <c r="AYB234">
        <v>0</v>
      </c>
      <c r="AYC234">
        <v>999</v>
      </c>
      <c r="EKU234">
        <v>10</v>
      </c>
      <c r="EKV234">
        <v>1</v>
      </c>
      <c r="EKY234">
        <v>1</v>
      </c>
      <c r="EKZ234">
        <v>30</v>
      </c>
      <c r="ELA234">
        <v>59</v>
      </c>
      <c r="ELB234">
        <v>30</v>
      </c>
      <c r="ELC234">
        <v>0</v>
      </c>
      <c r="ELS234">
        <v>1</v>
      </c>
      <c r="ELT234">
        <v>30</v>
      </c>
      <c r="ELU234">
        <v>30</v>
      </c>
      <c r="ELV234">
        <v>1</v>
      </c>
      <c r="ELW234">
        <v>0</v>
      </c>
      <c r="ENQ234">
        <v>1</v>
      </c>
      <c r="ENR234">
        <v>30</v>
      </c>
      <c r="ENS234">
        <v>30</v>
      </c>
      <c r="ENT234">
        <v>1</v>
      </c>
      <c r="ENU234">
        <v>0</v>
      </c>
    </row>
    <row r="235" spans="1:1014 1035:1966 2083:3004 3112:4042 4334:4611" x14ac:dyDescent="0.25">
      <c r="A235" s="50">
        <v>10084485</v>
      </c>
      <c r="AI235" s="50"/>
      <c r="AJ235" s="50"/>
      <c r="LD235" s="50"/>
      <c r="LE235" s="50"/>
      <c r="LF235" s="50"/>
      <c r="LG235" s="50"/>
      <c r="LH235" s="50"/>
      <c r="LI235" s="50"/>
      <c r="LJ235" s="50"/>
      <c r="LK235" s="50"/>
      <c r="LL235" s="50"/>
      <c r="LM235" s="50"/>
      <c r="AXX235">
        <v>1</v>
      </c>
      <c r="AXZ235">
        <v>1</v>
      </c>
      <c r="AYA235">
        <v>1</v>
      </c>
      <c r="AYB235">
        <v>1</v>
      </c>
      <c r="AYC235">
        <v>0</v>
      </c>
      <c r="BWL235">
        <v>1</v>
      </c>
      <c r="BWM235">
        <v>1</v>
      </c>
      <c r="BWN235">
        <v>1</v>
      </c>
      <c r="BWO235">
        <v>1</v>
      </c>
      <c r="BWP235">
        <v>0</v>
      </c>
      <c r="EJT235">
        <v>1</v>
      </c>
      <c r="EJU235">
        <v>1</v>
      </c>
      <c r="EJV235">
        <v>1</v>
      </c>
      <c r="EJW235">
        <v>1</v>
      </c>
      <c r="EJX235">
        <v>0</v>
      </c>
      <c r="FUI235">
        <v>1</v>
      </c>
    </row>
    <row r="236" spans="1:1014 1035:1966 2083:3004 3112:4042 4334:4611" x14ac:dyDescent="0.25">
      <c r="A236" s="50">
        <v>10098420</v>
      </c>
      <c r="AK236">
        <v>4.88</v>
      </c>
      <c r="AL236">
        <v>1.99</v>
      </c>
      <c r="II236">
        <v>1.48</v>
      </c>
      <c r="IJ236">
        <v>2.09</v>
      </c>
      <c r="IL236">
        <v>5.26</v>
      </c>
      <c r="KQ236">
        <v>97</v>
      </c>
      <c r="KR236">
        <v>127</v>
      </c>
      <c r="KT236">
        <v>323</v>
      </c>
      <c r="LD236" s="50"/>
      <c r="LE236" s="50"/>
      <c r="LF236" s="50"/>
      <c r="LG236" s="50"/>
      <c r="LH236" s="50"/>
      <c r="LI236" s="50"/>
      <c r="LJ236" s="50"/>
      <c r="LK236" s="50"/>
      <c r="LL236" s="50"/>
      <c r="LM236" s="50"/>
      <c r="AXX236">
        <v>1</v>
      </c>
      <c r="AXZ236">
        <v>6</v>
      </c>
    </row>
    <row r="237" spans="1:1014 1035:1966 2083:3004 3112:4042 4334:4611" x14ac:dyDescent="0.25">
      <c r="A237" s="50">
        <v>10129565</v>
      </c>
      <c r="IK237">
        <v>0.8145</v>
      </c>
      <c r="IT237">
        <v>0.78049999999999997</v>
      </c>
      <c r="MC237">
        <v>85.3</v>
      </c>
      <c r="MD237">
        <v>56.9</v>
      </c>
      <c r="MM237">
        <v>3.3</v>
      </c>
      <c r="AXT237">
        <v>2</v>
      </c>
      <c r="AXU237">
        <v>1</v>
      </c>
    </row>
    <row r="238" spans="1:1014 1035:1966 2083:3004 3112:4042 4334:4611" x14ac:dyDescent="0.25">
      <c r="A238" s="50">
        <v>10146828</v>
      </c>
      <c r="AJ238">
        <v>0.4</v>
      </c>
      <c r="AW238">
        <v>0.4</v>
      </c>
      <c r="FK238">
        <v>156</v>
      </c>
      <c r="AXT238">
        <v>500</v>
      </c>
      <c r="AXX238">
        <v>1</v>
      </c>
      <c r="AXZ238">
        <v>18</v>
      </c>
      <c r="AYA238">
        <v>20</v>
      </c>
      <c r="AYB238">
        <v>0</v>
      </c>
      <c r="AYC238">
        <v>0</v>
      </c>
      <c r="AYF238">
        <v>100</v>
      </c>
      <c r="AYG238">
        <v>1</v>
      </c>
      <c r="AYJ238">
        <v>1</v>
      </c>
      <c r="AYK238" s="35">
        <v>999</v>
      </c>
      <c r="AYL238">
        <v>999</v>
      </c>
      <c r="AYM238">
        <v>0</v>
      </c>
      <c r="AYN238">
        <v>999</v>
      </c>
      <c r="BGP238">
        <v>600</v>
      </c>
      <c r="BGQ238">
        <v>1</v>
      </c>
      <c r="BGT238">
        <v>1</v>
      </c>
      <c r="BGV238" s="35">
        <v>999</v>
      </c>
      <c r="BGW238">
        <v>7</v>
      </c>
      <c r="BGX238">
        <v>0</v>
      </c>
      <c r="BGY238">
        <v>999</v>
      </c>
      <c r="BHA238" s="50"/>
      <c r="BHB238">
        <v>1</v>
      </c>
      <c r="BHE238">
        <v>1</v>
      </c>
      <c r="BHF238">
        <v>3</v>
      </c>
      <c r="BHG238">
        <v>9</v>
      </c>
      <c r="BHH238">
        <v>7</v>
      </c>
      <c r="CKT238">
        <v>10</v>
      </c>
      <c r="CKU238">
        <v>3</v>
      </c>
      <c r="CKX238">
        <v>1</v>
      </c>
      <c r="CKY238" s="35">
        <v>999</v>
      </c>
      <c r="CKZ238">
        <v>999</v>
      </c>
      <c r="CLA238">
        <v>0</v>
      </c>
      <c r="CLB238">
        <v>999</v>
      </c>
      <c r="CTJ238">
        <v>25</v>
      </c>
      <c r="CTK238">
        <v>1</v>
      </c>
      <c r="CTN238">
        <v>1</v>
      </c>
      <c r="CTO238" s="35">
        <v>999</v>
      </c>
      <c r="CTP238">
        <v>999</v>
      </c>
      <c r="CTQ238">
        <v>0</v>
      </c>
      <c r="CTR238">
        <v>999</v>
      </c>
      <c r="CUO238">
        <v>10</v>
      </c>
      <c r="CUS238">
        <v>1</v>
      </c>
      <c r="CUT238" s="35">
        <v>999</v>
      </c>
      <c r="CUU238">
        <v>20</v>
      </c>
      <c r="CUV238">
        <v>0</v>
      </c>
      <c r="CUW238">
        <v>999</v>
      </c>
      <c r="CWP238">
        <v>5000</v>
      </c>
      <c r="CWQ238">
        <v>1</v>
      </c>
      <c r="CWS238">
        <v>1</v>
      </c>
      <c r="CWV238" s="35">
        <v>999</v>
      </c>
      <c r="CWW238">
        <v>3</v>
      </c>
      <c r="CWX238">
        <v>0</v>
      </c>
      <c r="CWY238">
        <v>999</v>
      </c>
      <c r="CZY238">
        <v>40</v>
      </c>
      <c r="CZZ238">
        <v>1</v>
      </c>
      <c r="DAB238">
        <v>1</v>
      </c>
      <c r="DAC238">
        <v>999</v>
      </c>
      <c r="DAD238">
        <v>999</v>
      </c>
      <c r="DAE238">
        <v>0</v>
      </c>
      <c r="DAF238">
        <v>0</v>
      </c>
      <c r="DOR238">
        <v>1</v>
      </c>
      <c r="DOS238">
        <v>12</v>
      </c>
      <c r="DOT238">
        <v>12</v>
      </c>
      <c r="DOU238">
        <v>1</v>
      </c>
      <c r="DOV238">
        <v>0</v>
      </c>
    </row>
    <row r="239" spans="1:1014 1035:1966 2083:3004 3112:4042 4334:4611" x14ac:dyDescent="0.25">
      <c r="A239">
        <v>10163776</v>
      </c>
      <c r="MB239">
        <v>18.7</v>
      </c>
      <c r="ALZ239">
        <v>40.4</v>
      </c>
      <c r="AXS239">
        <v>1</v>
      </c>
      <c r="AZK239">
        <v>1</v>
      </c>
      <c r="BHA239">
        <v>5</v>
      </c>
      <c r="BHB239">
        <v>1</v>
      </c>
      <c r="BHE239">
        <v>1</v>
      </c>
      <c r="BHF239">
        <v>999</v>
      </c>
      <c r="BHG239">
        <v>8</v>
      </c>
      <c r="BHH239">
        <v>0</v>
      </c>
      <c r="BHI239">
        <v>999</v>
      </c>
      <c r="CBL239">
        <v>1</v>
      </c>
      <c r="CHQ239">
        <v>1</v>
      </c>
      <c r="CPV239">
        <v>1</v>
      </c>
      <c r="CVI239">
        <v>1</v>
      </c>
      <c r="DAR239">
        <v>1</v>
      </c>
      <c r="EHG239">
        <v>1</v>
      </c>
      <c r="EKT239">
        <v>1</v>
      </c>
      <c r="FLW239">
        <v>1</v>
      </c>
      <c r="FNN239">
        <v>1</v>
      </c>
    </row>
    <row r="240" spans="1:1014 1035:1966 2083:3004 3112:4042 4334:4611" x14ac:dyDescent="0.25">
      <c r="A240">
        <v>10173664</v>
      </c>
      <c r="CP240">
        <v>0.11650000000000001</v>
      </c>
      <c r="CR240">
        <v>0.13120000000000001</v>
      </c>
      <c r="CV240">
        <v>0.2364</v>
      </c>
      <c r="FA240">
        <v>129</v>
      </c>
      <c r="FC240">
        <v>118.2</v>
      </c>
      <c r="FH240">
        <v>125.4</v>
      </c>
      <c r="IL240">
        <v>0.73980000000000001</v>
      </c>
      <c r="ME240">
        <v>2.1</v>
      </c>
      <c r="ML240">
        <v>1.5</v>
      </c>
      <c r="NR240" s="3">
        <v>28.828800000000001</v>
      </c>
      <c r="RB240">
        <v>180000</v>
      </c>
      <c r="YR240">
        <v>46</v>
      </c>
      <c r="ABP240" s="57"/>
      <c r="AEW240">
        <v>140</v>
      </c>
      <c r="AGC240">
        <v>4.21</v>
      </c>
      <c r="AHF240">
        <v>2.4300000000000002</v>
      </c>
      <c r="AXX240">
        <v>1</v>
      </c>
      <c r="AXZ240">
        <v>92</v>
      </c>
      <c r="AYA240">
        <v>92</v>
      </c>
      <c r="AYB240">
        <v>0</v>
      </c>
      <c r="AYC240">
        <v>0</v>
      </c>
      <c r="ECO240">
        <v>44</v>
      </c>
      <c r="ECP240">
        <v>3</v>
      </c>
      <c r="ECS240">
        <v>1</v>
      </c>
      <c r="ECU240">
        <v>92</v>
      </c>
      <c r="ECV240">
        <v>92</v>
      </c>
      <c r="ECW240">
        <v>0</v>
      </c>
      <c r="ECX240">
        <v>0</v>
      </c>
    </row>
  </sheetData>
  <conditionalFormatting sqref="A20">
    <cfRule type="duplicateValues" dxfId="67" priority="3"/>
  </conditionalFormatting>
  <pageMargins left="0.7" right="0.7" top="0.78740157499999996" bottom="0.78740157499999996" header="0.3" footer="0.3"/>
  <pageSetup paperSize="9" scale="10" fitToWidth="0" fitToHeight="0" orientation="landscape" horizontalDpi="4294967293" vertic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240"/>
  <sheetViews>
    <sheetView workbookViewId="0">
      <selection activeCell="E10" sqref="E10"/>
    </sheetView>
  </sheetViews>
  <sheetFormatPr defaultColWidth="11.42578125" defaultRowHeight="15" x14ac:dyDescent="0.25"/>
  <cols>
    <col min="1" max="1" width="24.85546875" customWidth="1"/>
    <col min="2" max="2" width="12.42578125" customWidth="1"/>
    <col min="3" max="4" width="21.7109375" customWidth="1"/>
    <col min="5" max="6" width="20.7109375" customWidth="1"/>
    <col min="7" max="7" width="20.7109375" style="79" customWidth="1"/>
    <col min="8" max="10" width="20.7109375" customWidth="1"/>
    <col min="11" max="11" width="18.7109375" customWidth="1"/>
  </cols>
  <sheetData>
    <row r="1" spans="1:28" x14ac:dyDescent="0.25">
      <c r="A1" s="75" t="s">
        <v>3440</v>
      </c>
      <c r="B1" s="76" t="s">
        <v>3441</v>
      </c>
      <c r="C1" s="77" t="s">
        <v>3442</v>
      </c>
      <c r="D1" s="77" t="s">
        <v>3443</v>
      </c>
      <c r="E1" s="77" t="s">
        <v>3444</v>
      </c>
      <c r="F1" s="77" t="s">
        <v>3445</v>
      </c>
      <c r="G1" s="80" t="s">
        <v>3446</v>
      </c>
      <c r="H1" s="77" t="s">
        <v>3447</v>
      </c>
      <c r="I1" s="77" t="s">
        <v>3448</v>
      </c>
      <c r="J1" s="77" t="s">
        <v>3449</v>
      </c>
      <c r="K1" s="77" t="s">
        <v>3450</v>
      </c>
      <c r="L1" s="78" t="s">
        <v>3451</v>
      </c>
      <c r="M1" s="78" t="s">
        <v>3452</v>
      </c>
      <c r="N1" s="78" t="s">
        <v>3453</v>
      </c>
      <c r="O1" s="78" t="s">
        <v>3454</v>
      </c>
      <c r="P1" s="78" t="s">
        <v>3455</v>
      </c>
      <c r="Q1" s="78" t="s">
        <v>3456</v>
      </c>
      <c r="R1" s="78" t="s">
        <v>3457</v>
      </c>
      <c r="S1" s="78" t="s">
        <v>3458</v>
      </c>
      <c r="T1" s="78" t="s">
        <v>3459</v>
      </c>
      <c r="U1" s="78" t="s">
        <v>3460</v>
      </c>
      <c r="V1" s="78" t="s">
        <v>3461</v>
      </c>
      <c r="W1" s="78" t="s">
        <v>3462</v>
      </c>
      <c r="X1" s="78" t="s">
        <v>3463</v>
      </c>
      <c r="Y1" s="78" t="s">
        <v>3464</v>
      </c>
      <c r="Z1" s="78" t="s">
        <v>3465</v>
      </c>
      <c r="AA1" s="78" t="s">
        <v>3466</v>
      </c>
      <c r="AB1" s="78" t="s">
        <v>3467</v>
      </c>
    </row>
    <row r="2" spans="1:28" ht="30" x14ac:dyDescent="0.25">
      <c r="A2" s="9" t="s">
        <v>59</v>
      </c>
      <c r="B2" s="9" t="s">
        <v>3346</v>
      </c>
      <c r="C2" s="74" t="s">
        <v>2524</v>
      </c>
      <c r="D2" s="74" t="s">
        <v>2525</v>
      </c>
      <c r="E2" s="74" t="s">
        <v>2526</v>
      </c>
      <c r="F2" s="74" t="s">
        <v>2527</v>
      </c>
      <c r="G2" s="81" t="s">
        <v>2528</v>
      </c>
      <c r="H2" s="74" t="s">
        <v>2529</v>
      </c>
      <c r="I2" s="74" t="s">
        <v>2530</v>
      </c>
      <c r="J2" s="74" t="s">
        <v>2531</v>
      </c>
      <c r="K2" s="74" t="s">
        <v>2532</v>
      </c>
      <c r="L2" s="74" t="s">
        <v>2533</v>
      </c>
      <c r="M2" s="74" t="s">
        <v>2534</v>
      </c>
      <c r="N2" s="74" t="s">
        <v>2535</v>
      </c>
      <c r="O2" s="74" t="s">
        <v>2536</v>
      </c>
      <c r="P2" s="74" t="s">
        <v>2537</v>
      </c>
      <c r="Q2" s="74" t="s">
        <v>2538</v>
      </c>
      <c r="R2" s="74" t="s">
        <v>2539</v>
      </c>
      <c r="S2" s="74" t="s">
        <v>2540</v>
      </c>
      <c r="T2" s="74" t="s">
        <v>2541</v>
      </c>
      <c r="U2" s="74" t="s">
        <v>2542</v>
      </c>
      <c r="V2" s="74" t="s">
        <v>2543</v>
      </c>
      <c r="W2" s="74" t="s">
        <v>2544</v>
      </c>
      <c r="X2" s="74" t="s">
        <v>2545</v>
      </c>
      <c r="Y2" s="74" t="s">
        <v>2546</v>
      </c>
      <c r="Z2" s="74" t="s">
        <v>2547</v>
      </c>
      <c r="AA2" s="74" t="s">
        <v>2548</v>
      </c>
      <c r="AB2" s="74" t="s">
        <v>2549</v>
      </c>
    </row>
    <row r="3" spans="1:28" x14ac:dyDescent="0.25">
      <c r="A3" s="40" t="s">
        <v>561</v>
      </c>
      <c r="B3" s="40"/>
    </row>
    <row r="4" spans="1:28" x14ac:dyDescent="0.25">
      <c r="A4" s="10" t="s">
        <v>2519</v>
      </c>
      <c r="B4" s="10"/>
      <c r="D4" s="10"/>
      <c r="E4" s="10"/>
      <c r="F4" s="10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</row>
    <row r="5" spans="1:28" x14ac:dyDescent="0.25">
      <c r="A5">
        <v>7072184</v>
      </c>
      <c r="B5" s="10" t="s">
        <v>3398</v>
      </c>
      <c r="K5">
        <v>12.441000000000001</v>
      </c>
      <c r="L5" s="6"/>
      <c r="M5" s="6"/>
      <c r="N5" s="6"/>
      <c r="O5" s="6"/>
      <c r="P5" s="6"/>
      <c r="Q5" s="6"/>
      <c r="R5" s="6"/>
      <c r="W5" s="6"/>
      <c r="X5" s="6"/>
      <c r="Y5" s="6"/>
      <c r="Z5" s="6"/>
      <c r="AA5" s="6"/>
      <c r="AB5" s="6"/>
    </row>
    <row r="6" spans="1:28" x14ac:dyDescent="0.25">
      <c r="A6">
        <v>9108231</v>
      </c>
      <c r="B6" s="10" t="s">
        <v>3398</v>
      </c>
      <c r="G6" s="82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</row>
    <row r="7" spans="1:28" x14ac:dyDescent="0.25">
      <c r="A7">
        <v>12061933</v>
      </c>
      <c r="B7" s="10" t="s">
        <v>3398</v>
      </c>
      <c r="G7" s="82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</row>
    <row r="8" spans="1:28" x14ac:dyDescent="0.25">
      <c r="A8">
        <v>95005911</v>
      </c>
      <c r="B8" s="10" t="s">
        <v>3398</v>
      </c>
    </row>
    <row r="9" spans="1:28" x14ac:dyDescent="0.25">
      <c r="A9">
        <v>99001908</v>
      </c>
      <c r="B9" s="10" t="s">
        <v>3398</v>
      </c>
    </row>
    <row r="10" spans="1:28" x14ac:dyDescent="0.25">
      <c r="A10">
        <v>99004067</v>
      </c>
      <c r="B10" s="10" t="s">
        <v>3398</v>
      </c>
    </row>
    <row r="11" spans="1:28" x14ac:dyDescent="0.25">
      <c r="A11">
        <v>97002136</v>
      </c>
      <c r="B11" s="10" t="s">
        <v>3398</v>
      </c>
    </row>
    <row r="12" spans="1:28" x14ac:dyDescent="0.25">
      <c r="A12">
        <v>1502</v>
      </c>
      <c r="B12" s="10" t="s">
        <v>3398</v>
      </c>
      <c r="G12" s="82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</row>
    <row r="13" spans="1:28" x14ac:dyDescent="0.25">
      <c r="A13">
        <v>4003543</v>
      </c>
      <c r="B13" s="10" t="s">
        <v>3398</v>
      </c>
      <c r="G13" s="82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</row>
    <row r="14" spans="1:28" x14ac:dyDescent="0.25">
      <c r="A14">
        <v>4900261</v>
      </c>
      <c r="B14" s="10" t="s">
        <v>3398</v>
      </c>
      <c r="G14" s="79">
        <v>20000</v>
      </c>
      <c r="H14">
        <v>12480</v>
      </c>
      <c r="I14">
        <v>13564</v>
      </c>
      <c r="K14">
        <v>18000</v>
      </c>
      <c r="L14">
        <v>7207</v>
      </c>
      <c r="N14" s="2"/>
      <c r="O14" s="2"/>
      <c r="P14" s="2"/>
      <c r="Q14" s="6"/>
      <c r="R14">
        <v>4544</v>
      </c>
      <c r="S14" s="2"/>
      <c r="T14" s="2"/>
      <c r="U14" s="2"/>
      <c r="V14" s="2"/>
      <c r="W14" s="2"/>
      <c r="X14" s="2"/>
      <c r="Y14" s="2"/>
      <c r="Z14">
        <v>341</v>
      </c>
    </row>
    <row r="16" spans="1:28" x14ac:dyDescent="0.25">
      <c r="A16" s="10" t="s">
        <v>2520</v>
      </c>
      <c r="B16" s="10"/>
      <c r="D16" s="10"/>
      <c r="E16" s="10"/>
      <c r="F16" s="10"/>
      <c r="G16" s="82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</row>
    <row r="17" spans="1:28" x14ac:dyDescent="0.25">
      <c r="A17">
        <v>14242856</v>
      </c>
      <c r="B17" s="10" t="s">
        <v>3399</v>
      </c>
      <c r="G17" s="82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</row>
    <row r="18" spans="1:28" x14ac:dyDescent="0.25">
      <c r="A18">
        <v>99001183</v>
      </c>
      <c r="B18" s="10" t="s">
        <v>3399</v>
      </c>
      <c r="G18" s="82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</row>
    <row r="19" spans="1:28" x14ac:dyDescent="0.25">
      <c r="A19">
        <v>3000983</v>
      </c>
      <c r="B19" s="10" t="s">
        <v>3399</v>
      </c>
      <c r="G19" s="82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</row>
    <row r="20" spans="1:28" x14ac:dyDescent="0.25">
      <c r="A20">
        <v>10064335</v>
      </c>
      <c r="B20" s="10" t="s">
        <v>3399</v>
      </c>
      <c r="G20" s="82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</row>
    <row r="21" spans="1:28" x14ac:dyDescent="0.25">
      <c r="A21" s="6"/>
      <c r="B21" s="6"/>
      <c r="D21" s="6"/>
      <c r="E21" s="6"/>
      <c r="F21" s="6"/>
      <c r="G21" s="82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</row>
    <row r="22" spans="1:28" x14ac:dyDescent="0.25">
      <c r="A22" s="10" t="s">
        <v>2521</v>
      </c>
      <c r="B22" s="10"/>
      <c r="D22" s="10"/>
      <c r="E22" s="10"/>
      <c r="F22" s="10"/>
      <c r="G22" s="82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</row>
    <row r="23" spans="1:28" x14ac:dyDescent="0.25">
      <c r="A23">
        <v>1480</v>
      </c>
      <c r="B23" s="10" t="s">
        <v>3400</v>
      </c>
      <c r="D23" s="64"/>
      <c r="E23" s="64"/>
      <c r="F23" s="64"/>
      <c r="G23" s="83"/>
      <c r="H23" s="64"/>
      <c r="I23" s="64"/>
      <c r="J23" s="64"/>
      <c r="K23" s="64"/>
    </row>
    <row r="24" spans="1:28" x14ac:dyDescent="0.25">
      <c r="A24">
        <v>7063959</v>
      </c>
      <c r="B24" s="10" t="s">
        <v>3400</v>
      </c>
      <c r="G24" s="82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</row>
    <row r="25" spans="1:28" x14ac:dyDescent="0.25">
      <c r="A25">
        <v>1003215</v>
      </c>
      <c r="B25" s="10" t="s">
        <v>3400</v>
      </c>
      <c r="G25" s="82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</row>
    <row r="26" spans="1:28" x14ac:dyDescent="0.25">
      <c r="A26">
        <v>99000802</v>
      </c>
      <c r="B26" s="10" t="s">
        <v>3400</v>
      </c>
      <c r="G26" s="82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</row>
    <row r="27" spans="1:28" x14ac:dyDescent="0.25">
      <c r="A27">
        <v>99000892</v>
      </c>
      <c r="B27" s="10" t="s">
        <v>3400</v>
      </c>
      <c r="G27" s="82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</row>
    <row r="28" spans="1:28" x14ac:dyDescent="0.25">
      <c r="A28">
        <v>1000192</v>
      </c>
      <c r="B28" s="10" t="s">
        <v>3400</v>
      </c>
      <c r="G28" s="82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</row>
    <row r="29" spans="1:28" x14ac:dyDescent="0.25">
      <c r="A29">
        <v>1506</v>
      </c>
      <c r="B29" s="10" t="s">
        <v>3400</v>
      </c>
      <c r="G29" s="82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</row>
    <row r="30" spans="1:28" x14ac:dyDescent="0.25">
      <c r="A30">
        <v>99000894</v>
      </c>
      <c r="B30" s="10" t="s">
        <v>3400</v>
      </c>
      <c r="G30" s="82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</row>
    <row r="31" spans="1:28" x14ac:dyDescent="0.25">
      <c r="A31">
        <v>99000897</v>
      </c>
      <c r="B31" s="10" t="s">
        <v>3400</v>
      </c>
    </row>
    <row r="32" spans="1:28" x14ac:dyDescent="0.25">
      <c r="A32">
        <v>99001245</v>
      </c>
      <c r="B32" s="10" t="s">
        <v>3400</v>
      </c>
    </row>
    <row r="33" spans="1:28" x14ac:dyDescent="0.25">
      <c r="A33">
        <v>99001902</v>
      </c>
      <c r="B33" s="10" t="s">
        <v>3400</v>
      </c>
    </row>
    <row r="34" spans="1:28" x14ac:dyDescent="0.25">
      <c r="A34">
        <v>99001912</v>
      </c>
      <c r="B34" s="10" t="s">
        <v>3400</v>
      </c>
    </row>
    <row r="35" spans="1:28" x14ac:dyDescent="0.25">
      <c r="A35">
        <v>99001913</v>
      </c>
      <c r="B35" s="10" t="s">
        <v>3400</v>
      </c>
    </row>
    <row r="36" spans="1:28" x14ac:dyDescent="0.25">
      <c r="A36">
        <v>99001937</v>
      </c>
      <c r="B36" s="10" t="s">
        <v>3400</v>
      </c>
    </row>
    <row r="37" spans="1:28" x14ac:dyDescent="0.25">
      <c r="A37">
        <v>99001943</v>
      </c>
      <c r="B37" s="10" t="s">
        <v>3400</v>
      </c>
    </row>
    <row r="38" spans="1:28" x14ac:dyDescent="0.25">
      <c r="A38">
        <v>99001927</v>
      </c>
      <c r="B38" s="10" t="s">
        <v>3400</v>
      </c>
    </row>
    <row r="39" spans="1:28" x14ac:dyDescent="0.25">
      <c r="A39">
        <v>1505</v>
      </c>
      <c r="B39" s="10" t="s">
        <v>3400</v>
      </c>
      <c r="G39" s="82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</row>
    <row r="40" spans="1:28" x14ac:dyDescent="0.25">
      <c r="A40">
        <v>1000197</v>
      </c>
      <c r="B40" s="10" t="s">
        <v>3400</v>
      </c>
      <c r="G40" s="82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</row>
    <row r="41" spans="1:28" x14ac:dyDescent="0.25">
      <c r="A41">
        <v>96018835</v>
      </c>
      <c r="B41" s="10" t="s">
        <v>3400</v>
      </c>
      <c r="L41" s="6"/>
      <c r="M41" s="6"/>
      <c r="N41" s="6"/>
      <c r="O41" s="6"/>
      <c r="P41" s="6"/>
      <c r="Q41">
        <v>40</v>
      </c>
      <c r="S41" s="6"/>
      <c r="T41" s="6"/>
      <c r="U41" s="6"/>
      <c r="V41" s="6"/>
      <c r="W41" s="6"/>
      <c r="X41" s="6"/>
      <c r="Y41" s="6"/>
      <c r="Z41" s="6"/>
      <c r="AA41" s="6"/>
      <c r="AB41" s="6"/>
    </row>
    <row r="42" spans="1:28" x14ac:dyDescent="0.25">
      <c r="A42">
        <v>98008326</v>
      </c>
      <c r="B42" s="10" t="s">
        <v>3400</v>
      </c>
      <c r="G42" s="82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</row>
    <row r="43" spans="1:28" x14ac:dyDescent="0.25">
      <c r="A43">
        <v>99000717</v>
      </c>
      <c r="B43" s="10" t="s">
        <v>3400</v>
      </c>
      <c r="G43" s="82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</row>
    <row r="44" spans="1:28" x14ac:dyDescent="0.25">
      <c r="G44" s="82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</row>
    <row r="45" spans="1:28" x14ac:dyDescent="0.25">
      <c r="A45" s="25" t="s">
        <v>169</v>
      </c>
      <c r="B45" s="25"/>
      <c r="D45" s="10"/>
      <c r="E45" s="10"/>
      <c r="F45" s="10"/>
    </row>
    <row r="46" spans="1:28" x14ac:dyDescent="0.25">
      <c r="A46" s="10" t="s">
        <v>143</v>
      </c>
      <c r="B46" s="10"/>
      <c r="D46" s="10"/>
      <c r="E46" s="10"/>
      <c r="F46" s="10"/>
    </row>
    <row r="47" spans="1:28" x14ac:dyDescent="0.25">
      <c r="A47">
        <v>6016435</v>
      </c>
      <c r="B47" t="s">
        <v>3347</v>
      </c>
    </row>
    <row r="48" spans="1:28" x14ac:dyDescent="0.25">
      <c r="A48">
        <v>8045149</v>
      </c>
      <c r="B48" t="s">
        <v>3347</v>
      </c>
    </row>
    <row r="49" spans="1:6" x14ac:dyDescent="0.25">
      <c r="A49">
        <v>10023001</v>
      </c>
      <c r="B49" t="s">
        <v>3347</v>
      </c>
    </row>
    <row r="50" spans="1:6" x14ac:dyDescent="0.25">
      <c r="A50">
        <v>10027526</v>
      </c>
      <c r="B50" t="s">
        <v>3347</v>
      </c>
    </row>
    <row r="51" spans="1:6" x14ac:dyDescent="0.25">
      <c r="A51">
        <v>14222171</v>
      </c>
      <c r="B51" t="s">
        <v>3347</v>
      </c>
    </row>
    <row r="52" spans="1:6" x14ac:dyDescent="0.25">
      <c r="A52">
        <v>1006143</v>
      </c>
      <c r="B52" t="s">
        <v>3347</v>
      </c>
    </row>
    <row r="53" spans="1:6" x14ac:dyDescent="0.25">
      <c r="A53">
        <v>6006917</v>
      </c>
      <c r="B53" t="s">
        <v>3347</v>
      </c>
    </row>
    <row r="55" spans="1:6" x14ac:dyDescent="0.25">
      <c r="A55" s="10" t="s">
        <v>146</v>
      </c>
      <c r="B55" s="10"/>
    </row>
    <row r="56" spans="1:6" x14ac:dyDescent="0.25">
      <c r="A56">
        <v>8057159</v>
      </c>
      <c r="B56" s="10" t="s">
        <v>3348</v>
      </c>
    </row>
    <row r="57" spans="1:6" x14ac:dyDescent="0.25">
      <c r="A57">
        <v>9140312</v>
      </c>
      <c r="B57" s="10" t="s">
        <v>3348</v>
      </c>
    </row>
    <row r="58" spans="1:6" x14ac:dyDescent="0.25">
      <c r="A58">
        <v>12008230</v>
      </c>
      <c r="B58" s="10" t="s">
        <v>3348</v>
      </c>
      <c r="D58" s="23"/>
      <c r="E58" s="23"/>
      <c r="F58" s="23"/>
    </row>
    <row r="59" spans="1:6" x14ac:dyDescent="0.25">
      <c r="A59">
        <v>12088444</v>
      </c>
      <c r="B59" s="10" t="s">
        <v>3348</v>
      </c>
      <c r="D59" s="23"/>
      <c r="E59" s="23"/>
      <c r="F59" s="23"/>
    </row>
    <row r="60" spans="1:6" x14ac:dyDescent="0.25">
      <c r="A60">
        <v>13118872</v>
      </c>
      <c r="B60" s="10" t="s">
        <v>3348</v>
      </c>
    </row>
    <row r="61" spans="1:6" x14ac:dyDescent="0.25">
      <c r="A61">
        <v>12012030</v>
      </c>
      <c r="B61" s="10" t="s">
        <v>3348</v>
      </c>
    </row>
    <row r="63" spans="1:6" x14ac:dyDescent="0.25">
      <c r="A63" s="10" t="s">
        <v>120</v>
      </c>
      <c r="B63" s="10"/>
    </row>
    <row r="64" spans="1:6" x14ac:dyDescent="0.25">
      <c r="A64">
        <v>9074418</v>
      </c>
      <c r="B64" s="10" t="s">
        <v>3349</v>
      </c>
    </row>
    <row r="65" spans="1:28" x14ac:dyDescent="0.25">
      <c r="A65">
        <v>1263</v>
      </c>
      <c r="B65" s="10" t="s">
        <v>3349</v>
      </c>
      <c r="D65" s="64"/>
      <c r="E65" s="64"/>
      <c r="F65" s="64"/>
      <c r="G65" s="83"/>
      <c r="H65" s="64"/>
      <c r="I65" s="64"/>
      <c r="J65" s="64"/>
      <c r="K65" s="64"/>
      <c r="L65">
        <v>124</v>
      </c>
      <c r="N65">
        <v>41</v>
      </c>
    </row>
    <row r="66" spans="1:28" x14ac:dyDescent="0.25">
      <c r="A66">
        <v>98004910</v>
      </c>
      <c r="B66" s="10" t="s">
        <v>3349</v>
      </c>
    </row>
    <row r="67" spans="1:28" x14ac:dyDescent="0.25">
      <c r="A67">
        <v>7103068</v>
      </c>
      <c r="B67" s="10" t="s">
        <v>3349</v>
      </c>
    </row>
    <row r="68" spans="1:28" x14ac:dyDescent="0.25">
      <c r="A68">
        <v>11240728</v>
      </c>
      <c r="B68" s="10" t="s">
        <v>3349</v>
      </c>
    </row>
    <row r="69" spans="1:28" x14ac:dyDescent="0.25">
      <c r="G69" s="82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</row>
    <row r="70" spans="1:28" x14ac:dyDescent="0.25">
      <c r="A70" s="26" t="s">
        <v>170</v>
      </c>
      <c r="B70" s="26"/>
      <c r="D70" s="10"/>
      <c r="E70" s="10"/>
      <c r="F70" s="10"/>
    </row>
    <row r="71" spans="1:28" x14ac:dyDescent="0.25">
      <c r="A71" s="10" t="s">
        <v>143</v>
      </c>
      <c r="B71" s="10"/>
    </row>
    <row r="72" spans="1:28" x14ac:dyDescent="0.25">
      <c r="A72">
        <v>5015869</v>
      </c>
      <c r="B72" t="s">
        <v>3350</v>
      </c>
    </row>
    <row r="73" spans="1:28" x14ac:dyDescent="0.25">
      <c r="A73">
        <v>5016969</v>
      </c>
      <c r="B73" t="s">
        <v>3350</v>
      </c>
    </row>
    <row r="74" spans="1:28" x14ac:dyDescent="0.25">
      <c r="A74">
        <v>6023231</v>
      </c>
      <c r="B74" t="s">
        <v>3350</v>
      </c>
      <c r="K74">
        <v>83400</v>
      </c>
    </row>
    <row r="75" spans="1:28" x14ac:dyDescent="0.25">
      <c r="A75">
        <v>6010712</v>
      </c>
      <c r="B75" t="s">
        <v>3350</v>
      </c>
    </row>
    <row r="76" spans="1:28" x14ac:dyDescent="0.25">
      <c r="A76">
        <v>6011198</v>
      </c>
      <c r="B76" t="s">
        <v>3350</v>
      </c>
    </row>
    <row r="77" spans="1:28" x14ac:dyDescent="0.25">
      <c r="A77">
        <v>6012681</v>
      </c>
      <c r="B77" t="s">
        <v>3350</v>
      </c>
    </row>
    <row r="78" spans="1:28" x14ac:dyDescent="0.25">
      <c r="A78">
        <v>6014511</v>
      </c>
      <c r="B78" t="s">
        <v>3350</v>
      </c>
    </row>
    <row r="79" spans="1:28" x14ac:dyDescent="0.25">
      <c r="A79">
        <v>6045127</v>
      </c>
      <c r="B79" t="s">
        <v>3350</v>
      </c>
    </row>
    <row r="80" spans="1:28" x14ac:dyDescent="0.25">
      <c r="A80">
        <v>7000458</v>
      </c>
      <c r="B80" t="s">
        <v>3350</v>
      </c>
    </row>
    <row r="81" spans="1:11" x14ac:dyDescent="0.25">
      <c r="A81">
        <v>7015502</v>
      </c>
      <c r="B81" t="s">
        <v>3350</v>
      </c>
    </row>
    <row r="82" spans="1:11" x14ac:dyDescent="0.25">
      <c r="A82">
        <v>7025847</v>
      </c>
      <c r="B82" t="s">
        <v>3350</v>
      </c>
    </row>
    <row r="83" spans="1:11" x14ac:dyDescent="0.25">
      <c r="A83">
        <v>7082707</v>
      </c>
      <c r="B83" t="s">
        <v>3350</v>
      </c>
    </row>
    <row r="84" spans="1:11" x14ac:dyDescent="0.25">
      <c r="A84">
        <v>7083159</v>
      </c>
      <c r="B84" t="s">
        <v>3350</v>
      </c>
    </row>
    <row r="85" spans="1:11" x14ac:dyDescent="0.25">
      <c r="A85">
        <v>7084659</v>
      </c>
      <c r="B85" t="s">
        <v>3350</v>
      </c>
    </row>
    <row r="86" spans="1:11" x14ac:dyDescent="0.25">
      <c r="A86">
        <v>7076814</v>
      </c>
      <c r="B86" t="s">
        <v>3350</v>
      </c>
    </row>
    <row r="87" spans="1:11" x14ac:dyDescent="0.25">
      <c r="A87">
        <v>7076815</v>
      </c>
      <c r="B87" t="s">
        <v>3350</v>
      </c>
    </row>
    <row r="88" spans="1:11" x14ac:dyDescent="0.25">
      <c r="A88">
        <v>7089231</v>
      </c>
      <c r="B88" t="s">
        <v>3350</v>
      </c>
    </row>
    <row r="89" spans="1:11" x14ac:dyDescent="0.25">
      <c r="A89">
        <v>7116004</v>
      </c>
      <c r="B89" t="s">
        <v>3350</v>
      </c>
      <c r="K89">
        <v>40</v>
      </c>
    </row>
    <row r="90" spans="1:11" x14ac:dyDescent="0.25">
      <c r="A90">
        <v>8003819</v>
      </c>
      <c r="B90" t="s">
        <v>3350</v>
      </c>
    </row>
    <row r="91" spans="1:11" x14ac:dyDescent="0.25">
      <c r="A91">
        <v>8091779</v>
      </c>
      <c r="B91" t="s">
        <v>3350</v>
      </c>
    </row>
    <row r="92" spans="1:11" x14ac:dyDescent="0.25">
      <c r="A92">
        <v>8097989</v>
      </c>
      <c r="B92" t="s">
        <v>3350</v>
      </c>
    </row>
    <row r="93" spans="1:11" x14ac:dyDescent="0.25">
      <c r="A93">
        <v>8112522</v>
      </c>
      <c r="B93" t="s">
        <v>3350</v>
      </c>
    </row>
    <row r="94" spans="1:11" x14ac:dyDescent="0.25">
      <c r="A94">
        <v>8127397</v>
      </c>
      <c r="B94" t="s">
        <v>3350</v>
      </c>
    </row>
    <row r="95" spans="1:11" x14ac:dyDescent="0.25">
      <c r="A95">
        <v>8130998</v>
      </c>
      <c r="B95" t="s">
        <v>3350</v>
      </c>
    </row>
    <row r="96" spans="1:11" x14ac:dyDescent="0.25">
      <c r="A96">
        <v>9002836</v>
      </c>
      <c r="B96" t="s">
        <v>3350</v>
      </c>
    </row>
    <row r="97" spans="1:2" x14ac:dyDescent="0.25">
      <c r="A97">
        <v>9003331</v>
      </c>
      <c r="B97" t="s">
        <v>3350</v>
      </c>
    </row>
    <row r="98" spans="1:2" x14ac:dyDescent="0.25">
      <c r="A98">
        <v>9003370</v>
      </c>
      <c r="B98" t="s">
        <v>3350</v>
      </c>
    </row>
    <row r="99" spans="1:2" x14ac:dyDescent="0.25">
      <c r="A99">
        <v>9016278</v>
      </c>
      <c r="B99" t="s">
        <v>3350</v>
      </c>
    </row>
    <row r="100" spans="1:2" x14ac:dyDescent="0.25">
      <c r="A100">
        <v>9030684</v>
      </c>
      <c r="B100" t="s">
        <v>3350</v>
      </c>
    </row>
    <row r="101" spans="1:2" x14ac:dyDescent="0.25">
      <c r="A101">
        <v>9031387</v>
      </c>
      <c r="B101" t="s">
        <v>3350</v>
      </c>
    </row>
    <row r="102" spans="1:2" x14ac:dyDescent="0.25">
      <c r="A102">
        <v>9038676</v>
      </c>
      <c r="B102" t="s">
        <v>3350</v>
      </c>
    </row>
    <row r="103" spans="1:2" x14ac:dyDescent="0.25">
      <c r="A103">
        <v>9039416</v>
      </c>
      <c r="B103" t="s">
        <v>3350</v>
      </c>
    </row>
    <row r="104" spans="1:2" x14ac:dyDescent="0.25">
      <c r="A104">
        <v>9042861</v>
      </c>
      <c r="B104" t="s">
        <v>3350</v>
      </c>
    </row>
    <row r="105" spans="1:2" x14ac:dyDescent="0.25">
      <c r="A105">
        <v>9044899</v>
      </c>
      <c r="B105" t="s">
        <v>3350</v>
      </c>
    </row>
    <row r="106" spans="1:2" x14ac:dyDescent="0.25">
      <c r="A106">
        <v>9052398</v>
      </c>
      <c r="B106" t="s">
        <v>3350</v>
      </c>
    </row>
    <row r="107" spans="1:2" x14ac:dyDescent="0.25">
      <c r="A107">
        <v>9085204</v>
      </c>
      <c r="B107" t="s">
        <v>3350</v>
      </c>
    </row>
    <row r="108" spans="1:2" x14ac:dyDescent="0.25">
      <c r="A108">
        <v>9090323</v>
      </c>
      <c r="B108" t="s">
        <v>3350</v>
      </c>
    </row>
    <row r="109" spans="1:2" x14ac:dyDescent="0.25">
      <c r="A109">
        <v>9105492</v>
      </c>
      <c r="B109" t="s">
        <v>3350</v>
      </c>
    </row>
    <row r="110" spans="1:2" x14ac:dyDescent="0.25">
      <c r="A110">
        <v>9138470</v>
      </c>
      <c r="B110" t="s">
        <v>3350</v>
      </c>
    </row>
    <row r="111" spans="1:2" x14ac:dyDescent="0.25">
      <c r="A111">
        <v>9150676</v>
      </c>
      <c r="B111" t="s">
        <v>3350</v>
      </c>
    </row>
    <row r="112" spans="1:2" x14ac:dyDescent="0.25">
      <c r="A112">
        <v>10010926</v>
      </c>
      <c r="B112" t="s">
        <v>3350</v>
      </c>
    </row>
    <row r="113" spans="1:22" x14ac:dyDescent="0.25">
      <c r="A113">
        <v>10016588</v>
      </c>
      <c r="B113" t="s">
        <v>3350</v>
      </c>
    </row>
    <row r="114" spans="1:22" x14ac:dyDescent="0.25">
      <c r="A114">
        <v>10030897</v>
      </c>
      <c r="B114" t="s">
        <v>3350</v>
      </c>
    </row>
    <row r="115" spans="1:22" x14ac:dyDescent="0.25">
      <c r="A115">
        <v>324</v>
      </c>
      <c r="B115" t="s">
        <v>3350</v>
      </c>
    </row>
    <row r="116" spans="1:22" x14ac:dyDescent="0.25">
      <c r="A116">
        <v>3909</v>
      </c>
      <c r="B116" t="s">
        <v>3350</v>
      </c>
    </row>
    <row r="117" spans="1:22" x14ac:dyDescent="0.25">
      <c r="A117">
        <v>4663</v>
      </c>
      <c r="B117" t="s">
        <v>3350</v>
      </c>
    </row>
    <row r="118" spans="1:22" x14ac:dyDescent="0.25">
      <c r="A118">
        <v>1005522</v>
      </c>
      <c r="B118" t="s">
        <v>3350</v>
      </c>
    </row>
    <row r="119" spans="1:22" x14ac:dyDescent="0.25">
      <c r="A119">
        <v>1007631</v>
      </c>
      <c r="B119" t="s">
        <v>3350</v>
      </c>
    </row>
    <row r="120" spans="1:22" x14ac:dyDescent="0.25">
      <c r="A120">
        <v>1009760</v>
      </c>
      <c r="B120" t="s">
        <v>3350</v>
      </c>
    </row>
    <row r="121" spans="1:22" x14ac:dyDescent="0.25">
      <c r="A121">
        <v>2000646</v>
      </c>
      <c r="B121" t="s">
        <v>3350</v>
      </c>
      <c r="L121">
        <v>1987</v>
      </c>
      <c r="M121">
        <v>5772</v>
      </c>
      <c r="S121">
        <v>1366</v>
      </c>
      <c r="T121">
        <v>1330</v>
      </c>
      <c r="U121">
        <v>1190</v>
      </c>
      <c r="V121">
        <v>1001</v>
      </c>
    </row>
    <row r="122" spans="1:22" x14ac:dyDescent="0.25">
      <c r="A122">
        <v>2003761</v>
      </c>
      <c r="B122" t="s">
        <v>3350</v>
      </c>
    </row>
    <row r="123" spans="1:22" x14ac:dyDescent="0.25">
      <c r="A123">
        <v>2004061</v>
      </c>
      <c r="B123" t="s">
        <v>3350</v>
      </c>
    </row>
    <row r="124" spans="1:22" x14ac:dyDescent="0.25">
      <c r="A124">
        <v>2006469</v>
      </c>
      <c r="B124" t="s">
        <v>3350</v>
      </c>
    </row>
    <row r="125" spans="1:22" x14ac:dyDescent="0.25">
      <c r="A125">
        <v>3005132</v>
      </c>
      <c r="B125" t="s">
        <v>3350</v>
      </c>
    </row>
    <row r="126" spans="1:22" x14ac:dyDescent="0.25">
      <c r="A126">
        <v>3009119</v>
      </c>
      <c r="B126" t="s">
        <v>3350</v>
      </c>
      <c r="L126">
        <v>250</v>
      </c>
    </row>
    <row r="127" spans="1:22" x14ac:dyDescent="0.25">
      <c r="A127">
        <v>3009936</v>
      </c>
      <c r="B127" t="s">
        <v>3350</v>
      </c>
    </row>
    <row r="128" spans="1:22" x14ac:dyDescent="0.25">
      <c r="A128">
        <v>3011094</v>
      </c>
      <c r="B128" t="s">
        <v>3350</v>
      </c>
    </row>
    <row r="129" spans="1:19" x14ac:dyDescent="0.25">
      <c r="A129">
        <v>3014643</v>
      </c>
      <c r="B129" t="s">
        <v>3350</v>
      </c>
    </row>
    <row r="130" spans="1:19" x14ac:dyDescent="0.25">
      <c r="A130">
        <v>3016056</v>
      </c>
      <c r="B130" t="s">
        <v>3350</v>
      </c>
    </row>
    <row r="131" spans="1:19" x14ac:dyDescent="0.25">
      <c r="A131">
        <v>3900219</v>
      </c>
      <c r="B131" t="s">
        <v>3350</v>
      </c>
    </row>
    <row r="132" spans="1:19" x14ac:dyDescent="0.25">
      <c r="A132">
        <v>4000158</v>
      </c>
      <c r="B132" t="s">
        <v>3350</v>
      </c>
    </row>
    <row r="133" spans="1:19" x14ac:dyDescent="0.25">
      <c r="A133">
        <v>4000304</v>
      </c>
      <c r="B133" t="s">
        <v>3350</v>
      </c>
    </row>
    <row r="134" spans="1:19" x14ac:dyDescent="0.25">
      <c r="A134">
        <v>4001905</v>
      </c>
      <c r="B134" t="s">
        <v>3350</v>
      </c>
      <c r="L134">
        <v>8209</v>
      </c>
      <c r="M134">
        <v>8047</v>
      </c>
      <c r="N134">
        <v>3881</v>
      </c>
      <c r="O134">
        <v>1505</v>
      </c>
      <c r="P134">
        <v>782</v>
      </c>
      <c r="S134">
        <v>261</v>
      </c>
    </row>
    <row r="135" spans="1:19" x14ac:dyDescent="0.25">
      <c r="A135">
        <v>4002206</v>
      </c>
      <c r="B135" t="s">
        <v>3350</v>
      </c>
    </row>
    <row r="136" spans="1:19" x14ac:dyDescent="0.25">
      <c r="A136">
        <v>4002715</v>
      </c>
      <c r="B136" t="s">
        <v>3350</v>
      </c>
    </row>
    <row r="137" spans="1:19" x14ac:dyDescent="0.25">
      <c r="A137">
        <v>4003924</v>
      </c>
      <c r="B137" t="s">
        <v>3350</v>
      </c>
    </row>
    <row r="138" spans="1:19" x14ac:dyDescent="0.25">
      <c r="A138">
        <v>4006051</v>
      </c>
      <c r="B138" t="s">
        <v>3350</v>
      </c>
    </row>
    <row r="139" spans="1:19" x14ac:dyDescent="0.25">
      <c r="A139">
        <v>4008140</v>
      </c>
      <c r="B139" t="s">
        <v>3350</v>
      </c>
    </row>
    <row r="140" spans="1:19" x14ac:dyDescent="0.25">
      <c r="A140">
        <v>4009906</v>
      </c>
      <c r="B140" t="s">
        <v>3350</v>
      </c>
    </row>
    <row r="141" spans="1:19" x14ac:dyDescent="0.25">
      <c r="A141">
        <v>4011027</v>
      </c>
      <c r="B141" t="s">
        <v>3350</v>
      </c>
    </row>
    <row r="142" spans="1:19" x14ac:dyDescent="0.25">
      <c r="A142">
        <v>4011920</v>
      </c>
      <c r="B142" t="s">
        <v>3350</v>
      </c>
    </row>
    <row r="143" spans="1:19" x14ac:dyDescent="0.25">
      <c r="A143">
        <v>4012248</v>
      </c>
      <c r="B143" t="s">
        <v>3350</v>
      </c>
    </row>
    <row r="144" spans="1:19" x14ac:dyDescent="0.25">
      <c r="A144">
        <v>4013603</v>
      </c>
      <c r="B144" t="s">
        <v>3350</v>
      </c>
    </row>
    <row r="145" spans="1:25" x14ac:dyDescent="0.25">
      <c r="A145">
        <v>5004654</v>
      </c>
      <c r="B145" t="s">
        <v>3350</v>
      </c>
      <c r="M145">
        <v>186</v>
      </c>
    </row>
    <row r="146" spans="1:25" x14ac:dyDescent="0.25">
      <c r="A146" s="65"/>
      <c r="B146" s="65"/>
    </row>
    <row r="147" spans="1:25" x14ac:dyDescent="0.25">
      <c r="A147" s="10" t="s">
        <v>146</v>
      </c>
      <c r="B147" s="10"/>
    </row>
    <row r="148" spans="1:25" x14ac:dyDescent="0.25">
      <c r="A148">
        <v>4289</v>
      </c>
      <c r="B148" t="s">
        <v>3351</v>
      </c>
      <c r="M148">
        <v>18780</v>
      </c>
      <c r="N148">
        <v>67895</v>
      </c>
    </row>
    <row r="149" spans="1:25" x14ac:dyDescent="0.25">
      <c r="A149">
        <v>500245</v>
      </c>
      <c r="B149" t="s">
        <v>3351</v>
      </c>
    </row>
    <row r="150" spans="1:25" x14ac:dyDescent="0.25">
      <c r="A150">
        <v>2002573</v>
      </c>
      <c r="B150" t="s">
        <v>3351</v>
      </c>
    </row>
    <row r="151" spans="1:25" x14ac:dyDescent="0.25">
      <c r="A151">
        <v>2003539</v>
      </c>
      <c r="B151" t="s">
        <v>3351</v>
      </c>
    </row>
    <row r="152" spans="1:25" x14ac:dyDescent="0.25">
      <c r="A152">
        <v>2003649</v>
      </c>
      <c r="B152" t="s">
        <v>3351</v>
      </c>
    </row>
    <row r="153" spans="1:25" x14ac:dyDescent="0.25">
      <c r="A153">
        <v>2005572</v>
      </c>
      <c r="B153" t="s">
        <v>3351</v>
      </c>
    </row>
    <row r="154" spans="1:25" x14ac:dyDescent="0.25">
      <c r="A154">
        <v>2013117</v>
      </c>
      <c r="B154" t="s">
        <v>3351</v>
      </c>
    </row>
    <row r="155" spans="1:25" x14ac:dyDescent="0.25">
      <c r="A155">
        <v>3009633</v>
      </c>
      <c r="B155" t="s">
        <v>3351</v>
      </c>
    </row>
    <row r="156" spans="1:25" x14ac:dyDescent="0.25">
      <c r="A156">
        <v>3010583</v>
      </c>
      <c r="B156" t="s">
        <v>3351</v>
      </c>
    </row>
    <row r="157" spans="1:25" x14ac:dyDescent="0.25">
      <c r="A157" s="23">
        <v>3011892</v>
      </c>
      <c r="B157" t="s">
        <v>3351</v>
      </c>
    </row>
    <row r="158" spans="1:25" x14ac:dyDescent="0.25">
      <c r="A158">
        <v>4001382</v>
      </c>
      <c r="B158" t="s">
        <v>3351</v>
      </c>
      <c r="X158" s="14">
        <v>126</v>
      </c>
      <c r="Y158" s="14">
        <v>275.5</v>
      </c>
    </row>
    <row r="159" spans="1:25" x14ac:dyDescent="0.25">
      <c r="A159">
        <v>5018675</v>
      </c>
      <c r="B159" t="s">
        <v>3351</v>
      </c>
    </row>
    <row r="160" spans="1:25" x14ac:dyDescent="0.25">
      <c r="A160">
        <v>6050168</v>
      </c>
      <c r="B160" t="s">
        <v>3351</v>
      </c>
    </row>
    <row r="161" spans="1:12" x14ac:dyDescent="0.25">
      <c r="A161">
        <v>5006592</v>
      </c>
      <c r="B161" t="s">
        <v>3351</v>
      </c>
    </row>
    <row r="162" spans="1:12" x14ac:dyDescent="0.25">
      <c r="A162">
        <v>5007274</v>
      </c>
      <c r="B162" t="s">
        <v>3351</v>
      </c>
    </row>
    <row r="163" spans="1:12" x14ac:dyDescent="0.25">
      <c r="A163">
        <v>5015851</v>
      </c>
      <c r="B163" t="s">
        <v>3351</v>
      </c>
    </row>
    <row r="164" spans="1:12" x14ac:dyDescent="0.25">
      <c r="A164">
        <v>6015647</v>
      </c>
      <c r="B164" t="s">
        <v>3351</v>
      </c>
      <c r="L164">
        <v>75</v>
      </c>
    </row>
    <row r="165" spans="1:12" x14ac:dyDescent="0.25">
      <c r="A165">
        <v>6056633</v>
      </c>
      <c r="B165" t="s">
        <v>3351</v>
      </c>
    </row>
    <row r="166" spans="1:12" x14ac:dyDescent="0.25">
      <c r="A166">
        <v>7086224</v>
      </c>
      <c r="B166" t="s">
        <v>3351</v>
      </c>
    </row>
    <row r="167" spans="1:12" x14ac:dyDescent="0.25">
      <c r="A167">
        <v>8040959</v>
      </c>
      <c r="B167" t="s">
        <v>3351</v>
      </c>
    </row>
    <row r="168" spans="1:12" x14ac:dyDescent="0.25">
      <c r="A168">
        <v>8107048</v>
      </c>
      <c r="B168" t="s">
        <v>3351</v>
      </c>
    </row>
    <row r="169" spans="1:12" x14ac:dyDescent="0.25">
      <c r="A169">
        <v>8124044</v>
      </c>
      <c r="B169" t="s">
        <v>3351</v>
      </c>
    </row>
    <row r="170" spans="1:12" x14ac:dyDescent="0.25">
      <c r="A170">
        <v>8142949</v>
      </c>
      <c r="B170" t="s">
        <v>3351</v>
      </c>
    </row>
    <row r="171" spans="1:12" x14ac:dyDescent="0.25">
      <c r="A171">
        <v>9023306</v>
      </c>
      <c r="B171" t="s">
        <v>3351</v>
      </c>
    </row>
    <row r="172" spans="1:12" x14ac:dyDescent="0.25">
      <c r="A172">
        <v>9030615</v>
      </c>
      <c r="B172" t="s">
        <v>3351</v>
      </c>
    </row>
    <row r="173" spans="1:12" x14ac:dyDescent="0.25">
      <c r="A173">
        <v>9034464</v>
      </c>
      <c r="B173" t="s">
        <v>3351</v>
      </c>
    </row>
    <row r="174" spans="1:12" x14ac:dyDescent="0.25">
      <c r="A174">
        <v>9040167</v>
      </c>
      <c r="B174" t="s">
        <v>3351</v>
      </c>
    </row>
    <row r="175" spans="1:12" x14ac:dyDescent="0.25">
      <c r="A175">
        <v>9054567</v>
      </c>
      <c r="B175" t="s">
        <v>3351</v>
      </c>
    </row>
    <row r="176" spans="1:12" x14ac:dyDescent="0.25">
      <c r="A176">
        <v>9083682</v>
      </c>
      <c r="B176" t="s">
        <v>3351</v>
      </c>
      <c r="K176">
        <v>55</v>
      </c>
    </row>
    <row r="177" spans="1:2" x14ac:dyDescent="0.25">
      <c r="A177">
        <v>9102044</v>
      </c>
      <c r="B177" t="s">
        <v>3351</v>
      </c>
    </row>
    <row r="178" spans="1:2" x14ac:dyDescent="0.25">
      <c r="A178">
        <v>9119854</v>
      </c>
      <c r="B178" t="s">
        <v>3351</v>
      </c>
    </row>
    <row r="179" spans="1:2" x14ac:dyDescent="0.25">
      <c r="A179">
        <v>9125126</v>
      </c>
      <c r="B179" t="s">
        <v>3351</v>
      </c>
    </row>
    <row r="180" spans="1:2" x14ac:dyDescent="0.25">
      <c r="A180">
        <v>9174811</v>
      </c>
      <c r="B180" t="s">
        <v>3351</v>
      </c>
    </row>
    <row r="181" spans="1:2" x14ac:dyDescent="0.25">
      <c r="A181">
        <v>10002875</v>
      </c>
      <c r="B181" t="s">
        <v>3351</v>
      </c>
    </row>
    <row r="182" spans="1:2" x14ac:dyDescent="0.25">
      <c r="A182">
        <v>10023080</v>
      </c>
      <c r="B182" t="s">
        <v>3351</v>
      </c>
    </row>
    <row r="183" spans="1:2" x14ac:dyDescent="0.25">
      <c r="A183">
        <v>10025212</v>
      </c>
      <c r="B183" t="s">
        <v>3351</v>
      </c>
    </row>
    <row r="184" spans="1:2" x14ac:dyDescent="0.25">
      <c r="A184">
        <v>10069407</v>
      </c>
      <c r="B184" t="s">
        <v>3351</v>
      </c>
    </row>
    <row r="185" spans="1:2" x14ac:dyDescent="0.25">
      <c r="A185">
        <v>10071135</v>
      </c>
      <c r="B185" t="s">
        <v>3351</v>
      </c>
    </row>
    <row r="186" spans="1:2" x14ac:dyDescent="0.25">
      <c r="A186">
        <v>10083649</v>
      </c>
      <c r="B186" t="s">
        <v>3351</v>
      </c>
    </row>
    <row r="187" spans="1:2" x14ac:dyDescent="0.25">
      <c r="A187">
        <v>10102021</v>
      </c>
      <c r="B187" t="s">
        <v>3351</v>
      </c>
    </row>
    <row r="188" spans="1:2" x14ac:dyDescent="0.25">
      <c r="A188">
        <v>10123729</v>
      </c>
      <c r="B188" t="s">
        <v>3351</v>
      </c>
    </row>
    <row r="189" spans="1:2" x14ac:dyDescent="0.25">
      <c r="A189">
        <v>10144736</v>
      </c>
      <c r="B189" t="s">
        <v>3351</v>
      </c>
    </row>
    <row r="190" spans="1:2" x14ac:dyDescent="0.25">
      <c r="A190">
        <v>10157275</v>
      </c>
      <c r="B190" t="s">
        <v>3351</v>
      </c>
    </row>
    <row r="191" spans="1:2" x14ac:dyDescent="0.25">
      <c r="A191" s="65"/>
      <c r="B191" s="65"/>
    </row>
    <row r="192" spans="1:2" x14ac:dyDescent="0.25">
      <c r="A192" s="10" t="s">
        <v>120</v>
      </c>
      <c r="B192" s="10"/>
    </row>
    <row r="193" spans="1:22" x14ac:dyDescent="0.25">
      <c r="A193">
        <v>5281</v>
      </c>
      <c r="B193" t="s">
        <v>3352</v>
      </c>
    </row>
    <row r="194" spans="1:22" x14ac:dyDescent="0.25">
      <c r="A194">
        <v>200085</v>
      </c>
      <c r="B194" t="s">
        <v>3352</v>
      </c>
      <c r="L194">
        <v>20</v>
      </c>
      <c r="M194">
        <v>12</v>
      </c>
      <c r="Q194">
        <v>8</v>
      </c>
      <c r="R194">
        <v>8</v>
      </c>
      <c r="S194">
        <v>8</v>
      </c>
      <c r="U194">
        <v>9</v>
      </c>
    </row>
    <row r="195" spans="1:22" x14ac:dyDescent="0.25">
      <c r="A195">
        <v>500129</v>
      </c>
      <c r="B195" t="s">
        <v>3352</v>
      </c>
    </row>
    <row r="196" spans="1:22" x14ac:dyDescent="0.25">
      <c r="A196" s="23">
        <v>1002033</v>
      </c>
      <c r="B196" t="s">
        <v>3352</v>
      </c>
    </row>
    <row r="197" spans="1:22" x14ac:dyDescent="0.25">
      <c r="A197">
        <v>1003457</v>
      </c>
      <c r="B197" t="s">
        <v>3352</v>
      </c>
    </row>
    <row r="198" spans="1:22" x14ac:dyDescent="0.25">
      <c r="A198">
        <v>2005223</v>
      </c>
      <c r="B198" t="s">
        <v>3352</v>
      </c>
      <c r="N198">
        <v>348.6</v>
      </c>
    </row>
    <row r="199" spans="1:22" x14ac:dyDescent="0.25">
      <c r="A199">
        <v>2006107</v>
      </c>
      <c r="B199" t="s">
        <v>3352</v>
      </c>
    </row>
    <row r="200" spans="1:22" x14ac:dyDescent="0.25">
      <c r="A200">
        <v>2012014</v>
      </c>
      <c r="B200" t="s">
        <v>3352</v>
      </c>
    </row>
    <row r="201" spans="1:22" x14ac:dyDescent="0.25">
      <c r="A201">
        <v>3000152</v>
      </c>
      <c r="B201" t="s">
        <v>3352</v>
      </c>
      <c r="K201">
        <v>65.400000000000006</v>
      </c>
    </row>
    <row r="202" spans="1:22" x14ac:dyDescent="0.25">
      <c r="A202">
        <v>3014566</v>
      </c>
      <c r="B202" t="s">
        <v>3352</v>
      </c>
    </row>
    <row r="203" spans="1:22" x14ac:dyDescent="0.25">
      <c r="A203">
        <v>3015058</v>
      </c>
      <c r="B203" t="s">
        <v>3352</v>
      </c>
      <c r="D203">
        <v>105</v>
      </c>
      <c r="M203">
        <v>56</v>
      </c>
      <c r="N203">
        <v>37</v>
      </c>
      <c r="T203">
        <v>132</v>
      </c>
    </row>
    <row r="204" spans="1:22" x14ac:dyDescent="0.25">
      <c r="A204" s="23">
        <v>4000996</v>
      </c>
      <c r="B204" t="s">
        <v>3352</v>
      </c>
      <c r="V204">
        <v>13.8</v>
      </c>
    </row>
    <row r="205" spans="1:22" x14ac:dyDescent="0.25">
      <c r="A205">
        <v>4003768</v>
      </c>
      <c r="B205" t="s">
        <v>3352</v>
      </c>
    </row>
    <row r="206" spans="1:22" x14ac:dyDescent="0.25">
      <c r="A206">
        <v>4006540</v>
      </c>
      <c r="B206" t="s">
        <v>3352</v>
      </c>
    </row>
    <row r="207" spans="1:22" x14ac:dyDescent="0.25">
      <c r="A207">
        <v>4007054</v>
      </c>
      <c r="B207" t="s">
        <v>3352</v>
      </c>
    </row>
    <row r="208" spans="1:22" x14ac:dyDescent="0.25">
      <c r="A208">
        <v>4011002</v>
      </c>
      <c r="B208" t="s">
        <v>3352</v>
      </c>
    </row>
    <row r="209" spans="1:19" x14ac:dyDescent="0.25">
      <c r="A209">
        <v>4900268</v>
      </c>
      <c r="B209" t="s">
        <v>3352</v>
      </c>
    </row>
    <row r="210" spans="1:19" x14ac:dyDescent="0.25">
      <c r="A210">
        <v>5001097</v>
      </c>
      <c r="B210" t="s">
        <v>3352</v>
      </c>
      <c r="E210">
        <v>63</v>
      </c>
      <c r="F210">
        <v>42</v>
      </c>
    </row>
    <row r="211" spans="1:19" x14ac:dyDescent="0.25">
      <c r="A211">
        <v>5001098</v>
      </c>
      <c r="B211" t="s">
        <v>3352</v>
      </c>
      <c r="C211">
        <v>24</v>
      </c>
      <c r="E211">
        <v>16</v>
      </c>
    </row>
    <row r="212" spans="1:19" x14ac:dyDescent="0.25">
      <c r="A212">
        <v>5006152</v>
      </c>
      <c r="B212" t="s">
        <v>3352</v>
      </c>
      <c r="M212">
        <v>234</v>
      </c>
    </row>
    <row r="213" spans="1:19" x14ac:dyDescent="0.25">
      <c r="A213">
        <v>6012361</v>
      </c>
      <c r="B213" t="s">
        <v>3352</v>
      </c>
    </row>
    <row r="214" spans="1:19" x14ac:dyDescent="0.25">
      <c r="A214">
        <v>6015793</v>
      </c>
      <c r="B214" t="s">
        <v>3352</v>
      </c>
    </row>
    <row r="215" spans="1:19" x14ac:dyDescent="0.25">
      <c r="A215">
        <v>6043619</v>
      </c>
      <c r="B215" t="s">
        <v>3352</v>
      </c>
    </row>
    <row r="216" spans="1:19" x14ac:dyDescent="0.25">
      <c r="A216">
        <v>7001097</v>
      </c>
      <c r="B216" t="s">
        <v>3352</v>
      </c>
    </row>
    <row r="217" spans="1:19" x14ac:dyDescent="0.25">
      <c r="A217">
        <v>7011435</v>
      </c>
      <c r="B217" t="s">
        <v>3352</v>
      </c>
    </row>
    <row r="218" spans="1:19" x14ac:dyDescent="0.25">
      <c r="A218">
        <v>7045811</v>
      </c>
      <c r="B218" t="s">
        <v>3352</v>
      </c>
      <c r="P218">
        <v>500.4</v>
      </c>
      <c r="S218">
        <v>336</v>
      </c>
    </row>
    <row r="219" spans="1:19" x14ac:dyDescent="0.25">
      <c r="A219">
        <v>7071198</v>
      </c>
      <c r="B219" t="s">
        <v>3352</v>
      </c>
    </row>
    <row r="220" spans="1:19" x14ac:dyDescent="0.25">
      <c r="A220">
        <v>7101143</v>
      </c>
      <c r="B220" t="s">
        <v>3352</v>
      </c>
    </row>
    <row r="221" spans="1:19" x14ac:dyDescent="0.25">
      <c r="A221">
        <v>8073350</v>
      </c>
      <c r="B221" t="s">
        <v>3352</v>
      </c>
    </row>
    <row r="222" spans="1:19" x14ac:dyDescent="0.25">
      <c r="A222">
        <v>8073645</v>
      </c>
      <c r="B222" t="s">
        <v>3352</v>
      </c>
    </row>
    <row r="223" spans="1:19" x14ac:dyDescent="0.25">
      <c r="A223" s="23">
        <v>8089666</v>
      </c>
      <c r="B223" t="s">
        <v>3352</v>
      </c>
      <c r="I223" s="14">
        <v>55.5</v>
      </c>
      <c r="J223">
        <v>45</v>
      </c>
      <c r="L223" s="14">
        <v>102.5</v>
      </c>
      <c r="M223">
        <v>147</v>
      </c>
    </row>
    <row r="224" spans="1:19" x14ac:dyDescent="0.25">
      <c r="A224">
        <v>8103536</v>
      </c>
      <c r="B224" t="s">
        <v>3352</v>
      </c>
      <c r="K224">
        <v>83</v>
      </c>
    </row>
    <row r="225" spans="1:12" x14ac:dyDescent="0.25">
      <c r="A225">
        <v>8124816</v>
      </c>
      <c r="B225" t="s">
        <v>3352</v>
      </c>
    </row>
    <row r="226" spans="1:12" x14ac:dyDescent="0.25">
      <c r="A226">
        <v>9003267</v>
      </c>
      <c r="B226" t="s">
        <v>3352</v>
      </c>
    </row>
    <row r="227" spans="1:12" x14ac:dyDescent="0.25">
      <c r="A227">
        <v>9036964</v>
      </c>
      <c r="B227" t="s">
        <v>3352</v>
      </c>
    </row>
    <row r="228" spans="1:12" x14ac:dyDescent="0.25">
      <c r="A228">
        <v>9090287</v>
      </c>
      <c r="B228" t="s">
        <v>3352</v>
      </c>
    </row>
    <row r="229" spans="1:12" x14ac:dyDescent="0.25">
      <c r="A229">
        <v>9095148</v>
      </c>
      <c r="B229" t="s">
        <v>3352</v>
      </c>
    </row>
    <row r="230" spans="1:12" x14ac:dyDescent="0.25">
      <c r="A230">
        <v>9104979</v>
      </c>
      <c r="B230" t="s">
        <v>3352</v>
      </c>
    </row>
    <row r="231" spans="1:12" x14ac:dyDescent="0.25">
      <c r="A231">
        <v>9139514</v>
      </c>
      <c r="B231" t="s">
        <v>3352</v>
      </c>
    </row>
    <row r="232" spans="1:12" x14ac:dyDescent="0.25">
      <c r="A232">
        <v>10020659</v>
      </c>
      <c r="B232" t="s">
        <v>3352</v>
      </c>
    </row>
    <row r="233" spans="1:12" x14ac:dyDescent="0.25">
      <c r="A233">
        <v>10025902</v>
      </c>
      <c r="B233" t="s">
        <v>3352</v>
      </c>
    </row>
    <row r="234" spans="1:12" x14ac:dyDescent="0.25">
      <c r="A234">
        <v>10027654</v>
      </c>
      <c r="B234" t="s">
        <v>3352</v>
      </c>
    </row>
    <row r="235" spans="1:12" x14ac:dyDescent="0.25">
      <c r="A235">
        <v>10084485</v>
      </c>
      <c r="B235" t="s">
        <v>3352</v>
      </c>
      <c r="L235">
        <v>4000</v>
      </c>
    </row>
    <row r="236" spans="1:12" x14ac:dyDescent="0.25">
      <c r="A236">
        <v>10098420</v>
      </c>
      <c r="B236" t="s">
        <v>3352</v>
      </c>
    </row>
    <row r="237" spans="1:12" x14ac:dyDescent="0.25">
      <c r="A237">
        <v>10129565</v>
      </c>
      <c r="B237" t="s">
        <v>3352</v>
      </c>
    </row>
    <row r="238" spans="1:12" x14ac:dyDescent="0.25">
      <c r="A238">
        <v>10146828</v>
      </c>
      <c r="B238" t="s">
        <v>3352</v>
      </c>
    </row>
    <row r="239" spans="1:12" x14ac:dyDescent="0.25">
      <c r="A239">
        <v>10163776</v>
      </c>
      <c r="B239" t="s">
        <v>3352</v>
      </c>
    </row>
    <row r="240" spans="1:12" x14ac:dyDescent="0.25">
      <c r="A240">
        <v>10173664</v>
      </c>
      <c r="B240" t="s">
        <v>3352</v>
      </c>
    </row>
  </sheetData>
  <conditionalFormatting sqref="G4:K4">
    <cfRule type="duplicateValues" dxfId="66" priority="6"/>
  </conditionalFormatting>
  <conditionalFormatting sqref="P38">
    <cfRule type="duplicateValues" dxfId="65" priority="5"/>
  </conditionalFormatting>
  <conditionalFormatting sqref="P38">
    <cfRule type="duplicateValues" dxfId="64" priority="4"/>
  </conditionalFormatting>
  <conditionalFormatting sqref="A20">
    <cfRule type="duplicateValues" dxfId="63" priority="3"/>
  </conditionalFormatting>
  <conditionalFormatting sqref="D31:K31">
    <cfRule type="duplicateValues" dxfId="62" priority="7"/>
  </conditionalFormatting>
  <conditionalFormatting sqref="D32:K32">
    <cfRule type="duplicateValues" dxfId="61" priority="8"/>
  </conditionalFormatting>
  <conditionalFormatting sqref="D34:K34">
    <cfRule type="duplicateValues" dxfId="60" priority="9"/>
  </conditionalFormatting>
  <conditionalFormatting sqref="D35:K35">
    <cfRule type="duplicateValues" dxfId="59" priority="10"/>
  </conditionalFormatting>
  <conditionalFormatting sqref="D38:F38">
    <cfRule type="duplicateValues" dxfId="58" priority="11"/>
  </conditionalFormatting>
  <conditionalFormatting sqref="D36:K36">
    <cfRule type="duplicateValues" dxfId="57" priority="12"/>
  </conditionalFormatting>
  <conditionalFormatting sqref="D8:K8">
    <cfRule type="duplicateValues" dxfId="56" priority="13"/>
  </conditionalFormatting>
  <conditionalFormatting sqref="D9:K9">
    <cfRule type="duplicateValues" dxfId="55" priority="14"/>
  </conditionalFormatting>
  <conditionalFormatting sqref="D10:K10">
    <cfRule type="duplicateValues" dxfId="54" priority="15"/>
  </conditionalFormatting>
  <conditionalFormatting sqref="D25:F25">
    <cfRule type="duplicateValues" dxfId="53" priority="16"/>
  </conditionalFormatting>
  <conditionalFormatting sqref="D26:F26">
    <cfRule type="duplicateValues" dxfId="52" priority="17"/>
  </conditionalFormatting>
  <conditionalFormatting sqref="D27:F27">
    <cfRule type="duplicateValues" dxfId="51" priority="18"/>
  </conditionalFormatting>
  <conditionalFormatting sqref="D39:F39">
    <cfRule type="duplicateValues" dxfId="50" priority="19"/>
  </conditionalFormatting>
  <conditionalFormatting sqref="D40:F40">
    <cfRule type="duplicateValues" dxfId="49" priority="20"/>
  </conditionalFormatting>
  <conditionalFormatting sqref="D29:F29">
    <cfRule type="duplicateValues" dxfId="48" priority="21"/>
  </conditionalFormatting>
  <conditionalFormatting sqref="D28:F28">
    <cfRule type="duplicateValues" dxfId="47" priority="22"/>
  </conditionalFormatting>
  <conditionalFormatting sqref="D41:F41">
    <cfRule type="duplicateValues" dxfId="46" priority="23"/>
  </conditionalFormatting>
  <conditionalFormatting sqref="D42:F42">
    <cfRule type="duplicateValues" dxfId="45" priority="24"/>
  </conditionalFormatting>
  <conditionalFormatting sqref="D43:F43">
    <cfRule type="duplicateValues" dxfId="44" priority="25"/>
  </conditionalFormatting>
  <conditionalFormatting sqref="D30:F30">
    <cfRule type="duplicateValues" dxfId="43" priority="26"/>
  </conditionalFormatting>
  <conditionalFormatting sqref="D37:K37">
    <cfRule type="duplicateValues" dxfId="42" priority="27"/>
  </conditionalFormatting>
  <conditionalFormatting sqref="D13:F13">
    <cfRule type="duplicateValues" dxfId="41" priority="1"/>
  </conditionalFormatting>
  <conditionalFormatting sqref="D14:F14">
    <cfRule type="duplicateValues" dxfId="40" priority="2"/>
  </conditionalFormatting>
  <conditionalFormatting sqref="D11:K11 D15:K15">
    <cfRule type="duplicateValues" dxfId="39" priority="28"/>
  </conditionalFormatting>
  <conditionalFormatting sqref="D33:K33">
    <cfRule type="duplicateValues" dxfId="38" priority="29"/>
  </conditionalFormatting>
  <conditionalFormatting sqref="D18:F18">
    <cfRule type="duplicateValues" dxfId="37" priority="30"/>
  </conditionalFormatting>
  <conditionalFormatting sqref="D44:F44 D69:F69 D42:F42">
    <cfRule type="duplicateValues" dxfId="36" priority="31"/>
  </conditionalFormatting>
  <pageMargins left="0.7" right="0.7" top="0.78740157499999996" bottom="0.78740157499999996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9"/>
  <sheetViews>
    <sheetView zoomScale="85" zoomScaleNormal="85" workbookViewId="0">
      <selection sqref="A1:E27"/>
    </sheetView>
  </sheetViews>
  <sheetFormatPr defaultColWidth="11.42578125" defaultRowHeight="15" x14ac:dyDescent="0.25"/>
  <cols>
    <col min="1" max="1" width="22" bestFit="1" customWidth="1"/>
    <col min="2" max="2" width="13.28515625" bestFit="1" customWidth="1"/>
    <col min="3" max="3" width="8.85546875" bestFit="1" customWidth="1"/>
    <col min="4" max="4" width="74.7109375" bestFit="1" customWidth="1"/>
    <col min="5" max="5" width="37.28515625" customWidth="1"/>
  </cols>
  <sheetData>
    <row r="1" spans="1:5" ht="15.75" x14ac:dyDescent="0.25">
      <c r="A1" s="67" t="s">
        <v>59</v>
      </c>
      <c r="B1" t="s">
        <v>3346</v>
      </c>
      <c r="C1" s="67" t="s">
        <v>3436</v>
      </c>
      <c r="D1" s="67" t="s">
        <v>2522</v>
      </c>
      <c r="E1" s="67" t="s">
        <v>2523</v>
      </c>
    </row>
    <row r="2" spans="1:5" x14ac:dyDescent="0.25">
      <c r="A2" s="66">
        <v>7072184</v>
      </c>
      <c r="B2" t="s">
        <v>3398</v>
      </c>
      <c r="C2" s="66" t="s">
        <v>2550</v>
      </c>
      <c r="D2" s="66" t="s">
        <v>2532</v>
      </c>
      <c r="E2" s="66">
        <v>1</v>
      </c>
    </row>
    <row r="3" spans="1:5" ht="30" x14ac:dyDescent="0.25">
      <c r="A3" s="66">
        <v>4900261</v>
      </c>
      <c r="B3" t="s">
        <v>3398</v>
      </c>
      <c r="C3" s="66" t="s">
        <v>2550</v>
      </c>
      <c r="D3" s="68" t="s">
        <v>2551</v>
      </c>
      <c r="E3" s="66">
        <v>7</v>
      </c>
    </row>
    <row r="4" spans="1:5" x14ac:dyDescent="0.25">
      <c r="A4" s="66">
        <v>96018835</v>
      </c>
      <c r="B4" t="s">
        <v>3400</v>
      </c>
      <c r="C4" s="66" t="s">
        <v>2550</v>
      </c>
      <c r="D4" s="66" t="s">
        <v>2538</v>
      </c>
      <c r="E4" s="66">
        <v>1</v>
      </c>
    </row>
    <row r="5" spans="1:5" x14ac:dyDescent="0.25">
      <c r="A5" s="66">
        <v>1263</v>
      </c>
      <c r="B5" t="s">
        <v>3349</v>
      </c>
      <c r="C5" s="66" t="s">
        <v>2550</v>
      </c>
      <c r="D5" s="66" t="s">
        <v>2552</v>
      </c>
      <c r="E5" s="66">
        <v>2</v>
      </c>
    </row>
    <row r="6" spans="1:5" x14ac:dyDescent="0.25">
      <c r="A6" s="66">
        <v>6023231</v>
      </c>
      <c r="B6" t="s">
        <v>3350</v>
      </c>
      <c r="C6" s="66" t="s">
        <v>2550</v>
      </c>
      <c r="D6" s="66" t="s">
        <v>2532</v>
      </c>
      <c r="E6" s="66">
        <v>1</v>
      </c>
    </row>
    <row r="7" spans="1:5" x14ac:dyDescent="0.25">
      <c r="A7" s="66">
        <v>7116004</v>
      </c>
      <c r="B7" t="s">
        <v>3350</v>
      </c>
      <c r="C7" s="66" t="s">
        <v>2550</v>
      </c>
      <c r="D7" s="66" t="s">
        <v>2532</v>
      </c>
      <c r="E7" s="66">
        <v>1</v>
      </c>
    </row>
    <row r="8" spans="1:5" x14ac:dyDescent="0.25">
      <c r="A8" s="66">
        <v>2000646</v>
      </c>
      <c r="B8" t="s">
        <v>3350</v>
      </c>
      <c r="C8" s="66" t="s">
        <v>2550</v>
      </c>
      <c r="D8" s="66" t="s">
        <v>2553</v>
      </c>
      <c r="E8" s="66">
        <v>6</v>
      </c>
    </row>
    <row r="9" spans="1:5" x14ac:dyDescent="0.25">
      <c r="A9" s="66">
        <v>3009119</v>
      </c>
      <c r="B9" t="s">
        <v>3350</v>
      </c>
      <c r="C9" s="66" t="s">
        <v>2550</v>
      </c>
      <c r="D9" s="66" t="s">
        <v>2533</v>
      </c>
      <c r="E9" s="66">
        <v>1</v>
      </c>
    </row>
    <row r="10" spans="1:5" x14ac:dyDescent="0.25">
      <c r="A10" s="66">
        <v>4001905</v>
      </c>
      <c r="B10" t="s">
        <v>3350</v>
      </c>
      <c r="C10" s="66" t="s">
        <v>2550</v>
      </c>
      <c r="D10" s="66" t="s">
        <v>2554</v>
      </c>
      <c r="E10" s="66">
        <v>6</v>
      </c>
    </row>
    <row r="11" spans="1:5" x14ac:dyDescent="0.25">
      <c r="A11" s="66">
        <v>5004654</v>
      </c>
      <c r="B11" t="s">
        <v>3350</v>
      </c>
      <c r="C11" s="66" t="s">
        <v>2550</v>
      </c>
      <c r="D11" s="66" t="s">
        <v>2534</v>
      </c>
      <c r="E11" s="66">
        <v>1</v>
      </c>
    </row>
    <row r="12" spans="1:5" x14ac:dyDescent="0.25">
      <c r="A12" s="66">
        <v>4289</v>
      </c>
      <c r="B12" t="s">
        <v>3351</v>
      </c>
      <c r="C12" s="66" t="s">
        <v>2550</v>
      </c>
      <c r="D12" s="66" t="s">
        <v>2555</v>
      </c>
      <c r="E12" s="66">
        <v>2</v>
      </c>
    </row>
    <row r="13" spans="1:5" x14ac:dyDescent="0.25">
      <c r="A13" s="66">
        <v>4001382</v>
      </c>
      <c r="B13" t="s">
        <v>3351</v>
      </c>
      <c r="C13" s="66" t="s">
        <v>2550</v>
      </c>
      <c r="D13" s="66" t="s">
        <v>2556</v>
      </c>
      <c r="E13" s="66">
        <v>2</v>
      </c>
    </row>
    <row r="14" spans="1:5" x14ac:dyDescent="0.25">
      <c r="A14" s="66">
        <v>6015647</v>
      </c>
      <c r="B14" t="s">
        <v>3351</v>
      </c>
      <c r="C14" s="66" t="s">
        <v>2550</v>
      </c>
      <c r="D14" s="66" t="s">
        <v>2533</v>
      </c>
      <c r="E14" s="66">
        <v>1</v>
      </c>
    </row>
    <row r="15" spans="1:5" x14ac:dyDescent="0.25">
      <c r="A15" s="66">
        <v>9083682</v>
      </c>
      <c r="B15" t="s">
        <v>3351</v>
      </c>
      <c r="C15" s="66" t="s">
        <v>2550</v>
      </c>
      <c r="D15" s="66" t="s">
        <v>2532</v>
      </c>
      <c r="E15" s="66">
        <v>1</v>
      </c>
    </row>
    <row r="16" spans="1:5" x14ac:dyDescent="0.25">
      <c r="A16" s="66">
        <v>200085</v>
      </c>
      <c r="B16" t="s">
        <v>3352</v>
      </c>
      <c r="C16" s="66" t="s">
        <v>2550</v>
      </c>
      <c r="D16" s="66" t="s">
        <v>2557</v>
      </c>
      <c r="E16" s="66">
        <v>6</v>
      </c>
    </row>
    <row r="17" spans="1:5" x14ac:dyDescent="0.25">
      <c r="A17" s="66">
        <v>2005223</v>
      </c>
      <c r="B17" t="s">
        <v>3352</v>
      </c>
      <c r="C17" s="66" t="s">
        <v>2550</v>
      </c>
      <c r="D17" s="66" t="s">
        <v>2535</v>
      </c>
      <c r="E17" s="66">
        <v>1</v>
      </c>
    </row>
    <row r="18" spans="1:5" x14ac:dyDescent="0.25">
      <c r="A18" s="66">
        <v>3000152</v>
      </c>
      <c r="B18" t="s">
        <v>3352</v>
      </c>
      <c r="C18" s="66" t="s">
        <v>2550</v>
      </c>
      <c r="D18" s="66" t="s">
        <v>2532</v>
      </c>
      <c r="E18" s="66">
        <v>1</v>
      </c>
    </row>
    <row r="19" spans="1:5" x14ac:dyDescent="0.25">
      <c r="A19" s="66">
        <v>3015058</v>
      </c>
      <c r="B19" t="s">
        <v>3352</v>
      </c>
      <c r="C19" s="66" t="s">
        <v>2550</v>
      </c>
      <c r="D19" s="66" t="s">
        <v>2558</v>
      </c>
      <c r="E19" s="66">
        <v>4</v>
      </c>
    </row>
    <row r="20" spans="1:5" x14ac:dyDescent="0.25">
      <c r="A20" s="66">
        <v>4000996</v>
      </c>
      <c r="B20" t="s">
        <v>3352</v>
      </c>
      <c r="C20" s="66" t="s">
        <v>2550</v>
      </c>
      <c r="D20" s="66" t="s">
        <v>2543</v>
      </c>
      <c r="E20" s="66">
        <v>1</v>
      </c>
    </row>
    <row r="21" spans="1:5" x14ac:dyDescent="0.25">
      <c r="A21" s="66">
        <v>5001097</v>
      </c>
      <c r="B21" t="s">
        <v>3352</v>
      </c>
      <c r="C21" s="66" t="s">
        <v>2550</v>
      </c>
      <c r="D21" s="66" t="s">
        <v>2559</v>
      </c>
      <c r="E21" s="66">
        <v>2</v>
      </c>
    </row>
    <row r="22" spans="1:5" x14ac:dyDescent="0.25">
      <c r="A22" s="66">
        <v>5001098</v>
      </c>
      <c r="B22" t="s">
        <v>3352</v>
      </c>
      <c r="C22" s="66" t="s">
        <v>2550</v>
      </c>
      <c r="D22" s="66" t="s">
        <v>2560</v>
      </c>
      <c r="E22" s="66">
        <v>2</v>
      </c>
    </row>
    <row r="23" spans="1:5" x14ac:dyDescent="0.25">
      <c r="A23" s="66">
        <v>5006152</v>
      </c>
      <c r="B23" t="s">
        <v>3352</v>
      </c>
      <c r="C23" s="66" t="s">
        <v>2550</v>
      </c>
      <c r="D23" s="66" t="s">
        <v>2534</v>
      </c>
      <c r="E23" s="66">
        <v>1</v>
      </c>
    </row>
    <row r="24" spans="1:5" x14ac:dyDescent="0.25">
      <c r="A24" s="66">
        <v>7045811</v>
      </c>
      <c r="B24" t="s">
        <v>3352</v>
      </c>
      <c r="C24" s="66" t="s">
        <v>2550</v>
      </c>
      <c r="D24" s="66" t="s">
        <v>2561</v>
      </c>
      <c r="E24" s="66">
        <v>2</v>
      </c>
    </row>
    <row r="25" spans="1:5" x14ac:dyDescent="0.25">
      <c r="A25" s="66">
        <v>8089666</v>
      </c>
      <c r="B25" t="s">
        <v>3352</v>
      </c>
      <c r="C25" s="66" t="s">
        <v>2550</v>
      </c>
      <c r="D25" s="66" t="s">
        <v>2562</v>
      </c>
      <c r="E25" s="66">
        <v>4</v>
      </c>
    </row>
    <row r="26" spans="1:5" x14ac:dyDescent="0.25">
      <c r="A26" s="66">
        <v>8103536</v>
      </c>
      <c r="B26" t="s">
        <v>3352</v>
      </c>
      <c r="C26" s="66" t="s">
        <v>2550</v>
      </c>
      <c r="D26" s="66" t="s">
        <v>2532</v>
      </c>
      <c r="E26" s="66">
        <v>1</v>
      </c>
    </row>
    <row r="27" spans="1:5" x14ac:dyDescent="0.25">
      <c r="A27" s="66">
        <v>10084485</v>
      </c>
      <c r="B27" t="s">
        <v>3352</v>
      </c>
      <c r="C27" s="66" t="s">
        <v>2550</v>
      </c>
      <c r="D27" s="66" t="s">
        <v>2533</v>
      </c>
      <c r="E27" s="66">
        <v>1</v>
      </c>
    </row>
    <row r="29" spans="1:5" x14ac:dyDescent="0.25">
      <c r="A29">
        <f>SUBTOTAL(3,CK[BfArM Nummer])</f>
        <v>26</v>
      </c>
      <c r="B29">
        <f>SUBTOTAL(3,CK[BfArM Nummer])</f>
        <v>26</v>
      </c>
      <c r="C29">
        <f>SUBTOTAL(3,CK[BfArM Nummer])</f>
        <v>26</v>
      </c>
      <c r="D29">
        <f>SUBTOTAL(3,CK[BfArM Nummer])</f>
        <v>26</v>
      </c>
      <c r="E29">
        <f>SUBTOTAL(9,CK[Total Number of Observations])</f>
        <v>59</v>
      </c>
    </row>
  </sheetData>
  <phoneticPr fontId="6" type="noConversion"/>
  <conditionalFormatting sqref="A2:A27">
    <cfRule type="duplicateValues" dxfId="35" priority="328"/>
  </conditionalFormatting>
  <pageMargins left="0.7" right="0.7" top="0.78740157499999996" bottom="0.78740157499999996" header="0.3" footer="0.3"/>
  <pageSetup paperSize="9"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39"/>
  <sheetViews>
    <sheetView workbookViewId="0">
      <selection activeCell="B1" sqref="B1:B1048576"/>
    </sheetView>
  </sheetViews>
  <sheetFormatPr defaultColWidth="11.42578125" defaultRowHeight="15" x14ac:dyDescent="0.25"/>
  <cols>
    <col min="1" max="1" width="17.140625" style="50" customWidth="1"/>
    <col min="2" max="2" width="12.42578125" customWidth="1"/>
    <col min="3" max="3" width="39.42578125" customWidth="1"/>
    <col min="4" max="4" width="34.7109375" customWidth="1"/>
    <col min="5" max="5" width="39.42578125" customWidth="1"/>
    <col min="6" max="6" width="17" customWidth="1"/>
    <col min="7" max="8" width="12" customWidth="1"/>
    <col min="9" max="9" width="17.140625" customWidth="1"/>
    <col min="10" max="11" width="12" customWidth="1"/>
    <col min="12" max="12" width="19.7109375" customWidth="1"/>
    <col min="13" max="15" width="15" customWidth="1"/>
    <col min="16" max="16" width="20.140625" customWidth="1"/>
    <col min="17" max="17" width="15" customWidth="1"/>
    <col min="18" max="18" width="20.140625" customWidth="1"/>
    <col min="19" max="19" width="22.85546875" customWidth="1"/>
  </cols>
  <sheetData>
    <row r="1" spans="1:19" x14ac:dyDescent="0.25">
      <c r="A1" s="61" t="s">
        <v>59</v>
      </c>
      <c r="B1" s="61" t="s">
        <v>3346</v>
      </c>
      <c r="C1" s="62" t="s">
        <v>1344</v>
      </c>
      <c r="D1" s="62" t="s">
        <v>496</v>
      </c>
      <c r="E1" s="62" t="s">
        <v>1345</v>
      </c>
      <c r="F1" s="69" t="s">
        <v>497</v>
      </c>
      <c r="G1" s="70" t="s">
        <v>1328</v>
      </c>
      <c r="H1" s="70" t="s">
        <v>1329</v>
      </c>
      <c r="I1" s="70" t="s">
        <v>1336</v>
      </c>
      <c r="J1" s="70" t="s">
        <v>1330</v>
      </c>
      <c r="K1" s="70" t="s">
        <v>1331</v>
      </c>
      <c r="L1" s="70" t="s">
        <v>1337</v>
      </c>
      <c r="M1" s="70" t="s">
        <v>1332</v>
      </c>
      <c r="N1" s="70" t="s">
        <v>1333</v>
      </c>
      <c r="O1" s="70" t="s">
        <v>1334</v>
      </c>
      <c r="P1" s="70" t="s">
        <v>1338</v>
      </c>
      <c r="Q1" s="70" t="s">
        <v>1335</v>
      </c>
      <c r="R1" s="70" t="s">
        <v>1339</v>
      </c>
      <c r="S1" s="70" t="s">
        <v>2337</v>
      </c>
    </row>
    <row r="2" spans="1:19" x14ac:dyDescent="0.25">
      <c r="A2" s="40" t="s">
        <v>561</v>
      </c>
      <c r="B2" s="40"/>
    </row>
    <row r="3" spans="1:19" x14ac:dyDescent="0.25">
      <c r="A3" s="10" t="s">
        <v>2519</v>
      </c>
      <c r="B3" s="10"/>
      <c r="C3" s="6"/>
      <c r="D3" s="6"/>
      <c r="E3" s="6"/>
      <c r="F3" s="6"/>
      <c r="G3" s="6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</row>
    <row r="4" spans="1:19" x14ac:dyDescent="0.25">
      <c r="A4" s="50">
        <v>7072184</v>
      </c>
      <c r="B4" s="10" t="s">
        <v>3398</v>
      </c>
      <c r="C4" s="6"/>
      <c r="D4" s="6"/>
      <c r="E4" s="6"/>
      <c r="F4" s="6"/>
      <c r="G4" s="6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</row>
    <row r="5" spans="1:19" x14ac:dyDescent="0.25">
      <c r="A5" s="50">
        <v>9108231</v>
      </c>
      <c r="B5" s="10" t="s">
        <v>3398</v>
      </c>
      <c r="C5" s="6"/>
      <c r="D5" s="6"/>
      <c r="E5" s="6"/>
      <c r="F5" s="6"/>
      <c r="G5" s="6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</row>
    <row r="6" spans="1:19" x14ac:dyDescent="0.25">
      <c r="A6" s="50">
        <v>12061933</v>
      </c>
      <c r="B6" s="10" t="s">
        <v>3398</v>
      </c>
      <c r="C6" s="6"/>
      <c r="D6" s="6"/>
      <c r="E6" s="6"/>
      <c r="F6" s="6"/>
      <c r="G6" s="6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</row>
    <row r="7" spans="1:19" x14ac:dyDescent="0.25">
      <c r="A7" s="50">
        <v>95005911</v>
      </c>
      <c r="B7" s="10" t="s">
        <v>3398</v>
      </c>
    </row>
    <row r="8" spans="1:19" x14ac:dyDescent="0.25">
      <c r="A8" s="50">
        <v>99001908</v>
      </c>
      <c r="B8" s="10" t="s">
        <v>3398</v>
      </c>
    </row>
    <row r="9" spans="1:19" x14ac:dyDescent="0.25">
      <c r="A9" s="50">
        <v>99004067</v>
      </c>
      <c r="B9" s="10" t="s">
        <v>3398</v>
      </c>
    </row>
    <row r="10" spans="1:19" x14ac:dyDescent="0.25">
      <c r="A10" s="50">
        <v>97002136</v>
      </c>
      <c r="B10" s="10" t="s">
        <v>3398</v>
      </c>
    </row>
    <row r="11" spans="1:19" x14ac:dyDescent="0.25">
      <c r="A11" s="50">
        <v>1502</v>
      </c>
      <c r="B11" s="10" t="s">
        <v>3398</v>
      </c>
      <c r="C11" s="6"/>
      <c r="D11" s="6"/>
      <c r="E11" s="6"/>
      <c r="F11" s="6"/>
      <c r="G11" s="6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</row>
    <row r="12" spans="1:19" x14ac:dyDescent="0.25">
      <c r="A12" s="50">
        <v>4003543</v>
      </c>
      <c r="B12" s="10" t="s">
        <v>3398</v>
      </c>
      <c r="C12" s="6"/>
      <c r="D12" s="6"/>
      <c r="E12" s="6"/>
      <c r="F12" s="6"/>
      <c r="G12" s="6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</row>
    <row r="13" spans="1:19" x14ac:dyDescent="0.25">
      <c r="A13" s="50">
        <v>4900261</v>
      </c>
      <c r="B13" s="10" t="s">
        <v>3398</v>
      </c>
      <c r="C13">
        <v>258</v>
      </c>
      <c r="D13">
        <v>165</v>
      </c>
      <c r="E13">
        <v>132</v>
      </c>
      <c r="F13">
        <v>106</v>
      </c>
      <c r="K13">
        <v>71</v>
      </c>
      <c r="Q13">
        <v>24</v>
      </c>
    </row>
    <row r="15" spans="1:19" x14ac:dyDescent="0.25">
      <c r="A15" s="52" t="s">
        <v>2520</v>
      </c>
      <c r="B15" s="10"/>
      <c r="C15" s="6"/>
      <c r="D15" s="6"/>
      <c r="E15" s="6"/>
      <c r="F15" s="6"/>
      <c r="G15" s="6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</row>
    <row r="16" spans="1:19" x14ac:dyDescent="0.25">
      <c r="A16" s="50">
        <v>14242856</v>
      </c>
      <c r="B16" s="10" t="s">
        <v>3399</v>
      </c>
      <c r="C16" s="6"/>
      <c r="D16" s="6"/>
      <c r="E16" s="6"/>
      <c r="F16" s="6"/>
      <c r="G16" s="6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</row>
    <row r="17" spans="1:19" x14ac:dyDescent="0.25">
      <c r="A17" s="50">
        <v>99001183</v>
      </c>
      <c r="B17" s="10" t="s">
        <v>3399</v>
      </c>
      <c r="C17" s="6"/>
      <c r="D17" s="6"/>
      <c r="E17" s="6"/>
      <c r="F17" s="6"/>
      <c r="G17" s="6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</row>
    <row r="18" spans="1:19" x14ac:dyDescent="0.25">
      <c r="A18" s="50">
        <v>3000983</v>
      </c>
      <c r="B18" s="10" t="s">
        <v>3399</v>
      </c>
      <c r="C18" s="6"/>
      <c r="D18" s="6"/>
      <c r="E18" s="6"/>
      <c r="F18" s="6"/>
      <c r="G18" s="6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</row>
    <row r="19" spans="1:19" x14ac:dyDescent="0.25">
      <c r="A19" s="50">
        <v>10064335</v>
      </c>
      <c r="B19" s="10" t="s">
        <v>3399</v>
      </c>
      <c r="C19" s="6"/>
      <c r="D19" s="6"/>
      <c r="E19" s="6"/>
      <c r="F19" s="6"/>
      <c r="G19" s="6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</row>
    <row r="20" spans="1:19" x14ac:dyDescent="0.25">
      <c r="A20" s="51"/>
      <c r="B20" s="6"/>
      <c r="C20" s="6"/>
      <c r="D20" s="6"/>
      <c r="E20" s="6"/>
      <c r="F20" s="6"/>
      <c r="G20" s="6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</row>
    <row r="21" spans="1:19" x14ac:dyDescent="0.25">
      <c r="A21" s="52" t="s">
        <v>2521</v>
      </c>
      <c r="B21" s="10"/>
      <c r="C21" s="6"/>
      <c r="D21" s="6"/>
      <c r="E21" s="6"/>
      <c r="F21" s="6"/>
      <c r="G21" s="6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</row>
    <row r="22" spans="1:19" x14ac:dyDescent="0.25">
      <c r="A22" s="50">
        <v>1480</v>
      </c>
      <c r="B22" s="10" t="s">
        <v>3400</v>
      </c>
    </row>
    <row r="23" spans="1:19" x14ac:dyDescent="0.25">
      <c r="A23" s="50">
        <v>7063959</v>
      </c>
      <c r="B23" s="10" t="s">
        <v>3400</v>
      </c>
      <c r="C23" s="6"/>
      <c r="D23" s="6"/>
      <c r="E23" s="6"/>
      <c r="F23" s="6"/>
      <c r="G23" s="6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</row>
    <row r="24" spans="1:19" x14ac:dyDescent="0.25">
      <c r="A24" s="50">
        <v>1003215</v>
      </c>
      <c r="B24" s="10" t="s">
        <v>3400</v>
      </c>
      <c r="C24" s="6"/>
      <c r="D24" s="6"/>
      <c r="E24" s="6"/>
      <c r="F24" s="6"/>
      <c r="G24" s="6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</row>
    <row r="25" spans="1:19" x14ac:dyDescent="0.25">
      <c r="A25" s="50">
        <v>99000802</v>
      </c>
      <c r="B25" s="10" t="s">
        <v>3400</v>
      </c>
      <c r="C25" s="6"/>
      <c r="D25" s="6"/>
      <c r="E25" s="6"/>
      <c r="F25" s="6"/>
      <c r="G25" s="6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</row>
    <row r="26" spans="1:19" x14ac:dyDescent="0.25">
      <c r="A26" s="50">
        <v>99000892</v>
      </c>
      <c r="B26" s="10" t="s">
        <v>3400</v>
      </c>
      <c r="C26" s="6"/>
      <c r="D26" s="6"/>
      <c r="E26" s="6"/>
      <c r="F26" s="6"/>
      <c r="G26" s="6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</row>
    <row r="27" spans="1:19" x14ac:dyDescent="0.25">
      <c r="A27" s="50">
        <v>1000192</v>
      </c>
      <c r="B27" s="10" t="s">
        <v>3400</v>
      </c>
      <c r="C27" s="6"/>
      <c r="D27" s="6"/>
      <c r="E27" s="6"/>
      <c r="F27" s="6"/>
      <c r="G27" s="6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</row>
    <row r="28" spans="1:19" x14ac:dyDescent="0.25">
      <c r="A28" s="50">
        <v>1506</v>
      </c>
      <c r="B28" s="10" t="s">
        <v>3400</v>
      </c>
      <c r="C28" s="6"/>
      <c r="D28" s="6"/>
      <c r="E28" s="6"/>
      <c r="F28" s="6"/>
      <c r="G28" s="6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</row>
    <row r="29" spans="1:19" x14ac:dyDescent="0.25">
      <c r="A29" s="50">
        <v>99000894</v>
      </c>
      <c r="B29" s="10" t="s">
        <v>3400</v>
      </c>
      <c r="C29" s="6"/>
      <c r="D29" s="6"/>
      <c r="E29" s="6"/>
      <c r="F29" s="6"/>
      <c r="G29" s="6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</row>
    <row r="30" spans="1:19" x14ac:dyDescent="0.25">
      <c r="A30" s="50">
        <v>99000897</v>
      </c>
      <c r="B30" s="10" t="s">
        <v>3400</v>
      </c>
    </row>
    <row r="31" spans="1:19" x14ac:dyDescent="0.25">
      <c r="A31" s="50">
        <v>99001245</v>
      </c>
      <c r="B31" s="10" t="s">
        <v>3400</v>
      </c>
    </row>
    <row r="32" spans="1:19" x14ac:dyDescent="0.25">
      <c r="A32" s="50">
        <v>99001902</v>
      </c>
      <c r="B32" s="10" t="s">
        <v>3400</v>
      </c>
    </row>
    <row r="33" spans="1:19" x14ac:dyDescent="0.25">
      <c r="A33" s="50">
        <v>99001912</v>
      </c>
      <c r="B33" s="10" t="s">
        <v>3400</v>
      </c>
    </row>
    <row r="34" spans="1:19" x14ac:dyDescent="0.25">
      <c r="A34" s="50">
        <v>99001913</v>
      </c>
      <c r="B34" s="10" t="s">
        <v>3400</v>
      </c>
    </row>
    <row r="35" spans="1:19" x14ac:dyDescent="0.25">
      <c r="A35" s="50">
        <v>99001937</v>
      </c>
      <c r="B35" s="10" t="s">
        <v>3400</v>
      </c>
    </row>
    <row r="36" spans="1:19" x14ac:dyDescent="0.25">
      <c r="A36" s="50">
        <v>99001943</v>
      </c>
      <c r="B36" s="10" t="s">
        <v>3400</v>
      </c>
    </row>
    <row r="37" spans="1:19" x14ac:dyDescent="0.25">
      <c r="A37" s="50">
        <v>99001927</v>
      </c>
      <c r="B37" s="10" t="s">
        <v>3400</v>
      </c>
    </row>
    <row r="38" spans="1:19" x14ac:dyDescent="0.25">
      <c r="A38" s="50">
        <v>1505</v>
      </c>
      <c r="B38" s="10" t="s">
        <v>3400</v>
      </c>
      <c r="C38" s="6"/>
      <c r="D38" s="6"/>
      <c r="E38" s="6"/>
      <c r="F38" s="6"/>
      <c r="G38" s="6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</row>
    <row r="39" spans="1:19" x14ac:dyDescent="0.25">
      <c r="A39" s="50">
        <v>1000197</v>
      </c>
      <c r="B39" s="10" t="s">
        <v>3400</v>
      </c>
      <c r="C39" s="6"/>
      <c r="D39" s="6"/>
      <c r="E39" s="6"/>
      <c r="F39" s="6"/>
      <c r="G39" s="6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</row>
    <row r="40" spans="1:19" x14ac:dyDescent="0.25">
      <c r="A40" s="50">
        <v>96018835</v>
      </c>
      <c r="B40" s="10" t="s">
        <v>3400</v>
      </c>
      <c r="C40" s="6"/>
      <c r="D40" s="6"/>
      <c r="E40" s="6"/>
      <c r="F40" s="6"/>
      <c r="G40" s="6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</row>
    <row r="41" spans="1:19" x14ac:dyDescent="0.25">
      <c r="A41" s="50">
        <v>98008326</v>
      </c>
      <c r="B41" s="10" t="s">
        <v>3400</v>
      </c>
      <c r="C41" s="6"/>
      <c r="D41" s="6"/>
      <c r="E41" s="6"/>
      <c r="F41" s="6"/>
      <c r="G41" s="6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</row>
    <row r="42" spans="1:19" x14ac:dyDescent="0.25">
      <c r="A42" s="50">
        <v>99000717</v>
      </c>
      <c r="B42" s="10" t="s">
        <v>3400</v>
      </c>
      <c r="C42" s="6"/>
      <c r="D42" s="6"/>
      <c r="E42" s="6"/>
      <c r="F42" s="6"/>
      <c r="G42" s="6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</row>
    <row r="43" spans="1:19" x14ac:dyDescent="0.25">
      <c r="C43" s="6"/>
      <c r="D43" s="6"/>
      <c r="E43" s="6"/>
      <c r="F43" s="6"/>
      <c r="G43" s="6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</row>
    <row r="44" spans="1:19" x14ac:dyDescent="0.25">
      <c r="A44" s="25" t="s">
        <v>169</v>
      </c>
      <c r="B44" s="25"/>
    </row>
    <row r="45" spans="1:19" x14ac:dyDescent="0.25">
      <c r="A45" s="52" t="s">
        <v>143</v>
      </c>
      <c r="B45" s="10"/>
    </row>
    <row r="46" spans="1:19" x14ac:dyDescent="0.25">
      <c r="A46" s="50">
        <v>6016435</v>
      </c>
      <c r="B46" t="s">
        <v>3347</v>
      </c>
    </row>
    <row r="47" spans="1:19" x14ac:dyDescent="0.25">
      <c r="A47" s="50">
        <v>8045149</v>
      </c>
      <c r="B47" t="s">
        <v>3347</v>
      </c>
    </row>
    <row r="48" spans="1:19" x14ac:dyDescent="0.25">
      <c r="A48" s="50">
        <v>10023001</v>
      </c>
      <c r="B48" t="s">
        <v>3347</v>
      </c>
    </row>
    <row r="49" spans="1:2" x14ac:dyDescent="0.25">
      <c r="A49" s="50">
        <v>10027526</v>
      </c>
      <c r="B49" t="s">
        <v>3347</v>
      </c>
    </row>
    <row r="50" spans="1:2" x14ac:dyDescent="0.25">
      <c r="A50" s="50">
        <v>14222171</v>
      </c>
      <c r="B50" t="s">
        <v>3347</v>
      </c>
    </row>
    <row r="51" spans="1:2" x14ac:dyDescent="0.25">
      <c r="A51" s="50">
        <v>1006143</v>
      </c>
      <c r="B51" t="s">
        <v>3347</v>
      </c>
    </row>
    <row r="52" spans="1:2" x14ac:dyDescent="0.25">
      <c r="A52" s="50">
        <v>6006917</v>
      </c>
      <c r="B52" t="s">
        <v>3347</v>
      </c>
    </row>
    <row r="54" spans="1:2" x14ac:dyDescent="0.25">
      <c r="A54" s="52" t="s">
        <v>146</v>
      </c>
      <c r="B54" s="10"/>
    </row>
    <row r="55" spans="1:2" x14ac:dyDescent="0.25">
      <c r="A55" s="50">
        <v>8057159</v>
      </c>
      <c r="B55" s="10" t="s">
        <v>3348</v>
      </c>
    </row>
    <row r="56" spans="1:2" x14ac:dyDescent="0.25">
      <c r="A56" s="50">
        <v>9140312</v>
      </c>
      <c r="B56" s="10" t="s">
        <v>3348</v>
      </c>
    </row>
    <row r="57" spans="1:2" x14ac:dyDescent="0.25">
      <c r="A57" s="50">
        <v>12008230</v>
      </c>
      <c r="B57" s="10" t="s">
        <v>3348</v>
      </c>
    </row>
    <row r="58" spans="1:2" x14ac:dyDescent="0.25">
      <c r="A58" s="50">
        <v>12088444</v>
      </c>
      <c r="B58" s="10" t="s">
        <v>3348</v>
      </c>
    </row>
    <row r="59" spans="1:2" x14ac:dyDescent="0.25">
      <c r="A59" s="50">
        <v>13118872</v>
      </c>
      <c r="B59" s="10" t="s">
        <v>3348</v>
      </c>
    </row>
    <row r="60" spans="1:2" x14ac:dyDescent="0.25">
      <c r="A60" s="50">
        <v>12012030</v>
      </c>
      <c r="B60" s="10" t="s">
        <v>3348</v>
      </c>
    </row>
    <row r="62" spans="1:2" x14ac:dyDescent="0.25">
      <c r="A62" s="52" t="s">
        <v>120</v>
      </c>
      <c r="B62" s="10"/>
    </row>
    <row r="63" spans="1:2" x14ac:dyDescent="0.25">
      <c r="A63" s="50">
        <v>9074418</v>
      </c>
      <c r="B63" s="10" t="s">
        <v>3349</v>
      </c>
    </row>
    <row r="64" spans="1:2" x14ac:dyDescent="0.25">
      <c r="A64" s="50">
        <v>1263</v>
      </c>
      <c r="B64" s="10" t="s">
        <v>3349</v>
      </c>
    </row>
    <row r="65" spans="1:19" x14ac:dyDescent="0.25">
      <c r="A65" s="50">
        <v>98004910</v>
      </c>
      <c r="B65" s="10" t="s">
        <v>3349</v>
      </c>
    </row>
    <row r="66" spans="1:19" x14ac:dyDescent="0.25">
      <c r="A66" s="50">
        <v>7103068</v>
      </c>
      <c r="B66" s="10" t="s">
        <v>3349</v>
      </c>
    </row>
    <row r="67" spans="1:19" x14ac:dyDescent="0.25">
      <c r="A67" s="50">
        <v>11240728</v>
      </c>
      <c r="B67" s="10" t="s">
        <v>3349</v>
      </c>
    </row>
    <row r="68" spans="1:19" x14ac:dyDescent="0.25">
      <c r="A68"/>
      <c r="C68" s="6"/>
      <c r="D68" s="6"/>
      <c r="E68" s="6"/>
      <c r="F68" s="6"/>
      <c r="G68" s="6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</row>
    <row r="69" spans="1:19" x14ac:dyDescent="0.25">
      <c r="A69" s="26" t="s">
        <v>170</v>
      </c>
      <c r="B69" s="26"/>
    </row>
    <row r="70" spans="1:19" x14ac:dyDescent="0.25">
      <c r="A70" s="10" t="s">
        <v>143</v>
      </c>
      <c r="B70" s="10"/>
    </row>
    <row r="71" spans="1:19" x14ac:dyDescent="0.25">
      <c r="A71" s="50">
        <v>5015869</v>
      </c>
      <c r="B71" t="s">
        <v>3350</v>
      </c>
    </row>
    <row r="72" spans="1:19" x14ac:dyDescent="0.25">
      <c r="A72" s="50">
        <v>5016969</v>
      </c>
      <c r="B72" t="s">
        <v>3350</v>
      </c>
    </row>
    <row r="73" spans="1:19" x14ac:dyDescent="0.25">
      <c r="A73" s="50">
        <v>6023231</v>
      </c>
      <c r="B73" t="s">
        <v>3350</v>
      </c>
    </row>
    <row r="74" spans="1:19" x14ac:dyDescent="0.25">
      <c r="A74" s="50">
        <v>6010712</v>
      </c>
      <c r="B74" t="s">
        <v>3350</v>
      </c>
    </row>
    <row r="75" spans="1:19" x14ac:dyDescent="0.25">
      <c r="A75" s="50">
        <v>6011198</v>
      </c>
      <c r="B75" t="s">
        <v>3350</v>
      </c>
    </row>
    <row r="76" spans="1:19" x14ac:dyDescent="0.25">
      <c r="A76" s="50">
        <v>6012681</v>
      </c>
      <c r="B76" t="s">
        <v>3350</v>
      </c>
    </row>
    <row r="77" spans="1:19" x14ac:dyDescent="0.25">
      <c r="A77" s="50">
        <v>6014511</v>
      </c>
      <c r="B77" t="s">
        <v>3350</v>
      </c>
    </row>
    <row r="78" spans="1:19" x14ac:dyDescent="0.25">
      <c r="A78" s="50">
        <v>6045127</v>
      </c>
      <c r="B78" t="s">
        <v>3350</v>
      </c>
    </row>
    <row r="79" spans="1:19" x14ac:dyDescent="0.25">
      <c r="A79" s="50">
        <v>7000458</v>
      </c>
      <c r="B79" t="s">
        <v>3350</v>
      </c>
    </row>
    <row r="80" spans="1:19" x14ac:dyDescent="0.25">
      <c r="A80" s="50">
        <v>7015502</v>
      </c>
      <c r="B80" t="s">
        <v>3350</v>
      </c>
    </row>
    <row r="81" spans="1:2" x14ac:dyDescent="0.25">
      <c r="A81" s="50">
        <v>7025847</v>
      </c>
      <c r="B81" t="s">
        <v>3350</v>
      </c>
    </row>
    <row r="82" spans="1:2" x14ac:dyDescent="0.25">
      <c r="A82" s="50">
        <v>7082707</v>
      </c>
      <c r="B82" t="s">
        <v>3350</v>
      </c>
    </row>
    <row r="83" spans="1:2" x14ac:dyDescent="0.25">
      <c r="A83" s="50">
        <v>7083159</v>
      </c>
      <c r="B83" t="s">
        <v>3350</v>
      </c>
    </row>
    <row r="84" spans="1:2" x14ac:dyDescent="0.25">
      <c r="A84" s="50">
        <v>7084659</v>
      </c>
      <c r="B84" t="s">
        <v>3350</v>
      </c>
    </row>
    <row r="85" spans="1:2" x14ac:dyDescent="0.25">
      <c r="A85" s="50">
        <v>7076814</v>
      </c>
      <c r="B85" t="s">
        <v>3350</v>
      </c>
    </row>
    <row r="86" spans="1:2" x14ac:dyDescent="0.25">
      <c r="A86" s="50">
        <v>7076815</v>
      </c>
      <c r="B86" t="s">
        <v>3350</v>
      </c>
    </row>
    <row r="87" spans="1:2" x14ac:dyDescent="0.25">
      <c r="A87" s="50">
        <v>7089231</v>
      </c>
      <c r="B87" t="s">
        <v>3350</v>
      </c>
    </row>
    <row r="88" spans="1:2" x14ac:dyDescent="0.25">
      <c r="A88" s="50">
        <v>7116004</v>
      </c>
      <c r="B88" t="s">
        <v>3350</v>
      </c>
    </row>
    <row r="89" spans="1:2" x14ac:dyDescent="0.25">
      <c r="A89" s="50">
        <v>8003819</v>
      </c>
      <c r="B89" t="s">
        <v>3350</v>
      </c>
    </row>
    <row r="90" spans="1:2" x14ac:dyDescent="0.25">
      <c r="A90" s="50">
        <v>8091779</v>
      </c>
      <c r="B90" t="s">
        <v>3350</v>
      </c>
    </row>
    <row r="91" spans="1:2" x14ac:dyDescent="0.25">
      <c r="A91" s="50">
        <v>8097989</v>
      </c>
      <c r="B91" t="s">
        <v>3350</v>
      </c>
    </row>
    <row r="92" spans="1:2" x14ac:dyDescent="0.25">
      <c r="A92" s="50">
        <v>8112522</v>
      </c>
      <c r="B92" t="s">
        <v>3350</v>
      </c>
    </row>
    <row r="93" spans="1:2" x14ac:dyDescent="0.25">
      <c r="A93" s="50">
        <v>8127397</v>
      </c>
      <c r="B93" t="s">
        <v>3350</v>
      </c>
    </row>
    <row r="94" spans="1:2" x14ac:dyDescent="0.25">
      <c r="A94" s="50">
        <v>8130998</v>
      </c>
      <c r="B94" t="s">
        <v>3350</v>
      </c>
    </row>
    <row r="95" spans="1:2" x14ac:dyDescent="0.25">
      <c r="A95" s="50">
        <v>9002836</v>
      </c>
      <c r="B95" t="s">
        <v>3350</v>
      </c>
    </row>
    <row r="96" spans="1:2" x14ac:dyDescent="0.25">
      <c r="A96" s="50">
        <v>9003331</v>
      </c>
      <c r="B96" t="s">
        <v>3350</v>
      </c>
    </row>
    <row r="97" spans="1:2" x14ac:dyDescent="0.25">
      <c r="A97" s="50">
        <v>9003370</v>
      </c>
      <c r="B97" t="s">
        <v>3350</v>
      </c>
    </row>
    <row r="98" spans="1:2" x14ac:dyDescent="0.25">
      <c r="A98" s="50">
        <v>9016278</v>
      </c>
      <c r="B98" t="s">
        <v>3350</v>
      </c>
    </row>
    <row r="99" spans="1:2" x14ac:dyDescent="0.25">
      <c r="A99" s="50">
        <v>9030684</v>
      </c>
      <c r="B99" t="s">
        <v>3350</v>
      </c>
    </row>
    <row r="100" spans="1:2" x14ac:dyDescent="0.25">
      <c r="A100" s="50">
        <v>9031387</v>
      </c>
      <c r="B100" t="s">
        <v>3350</v>
      </c>
    </row>
    <row r="101" spans="1:2" x14ac:dyDescent="0.25">
      <c r="A101" s="50">
        <v>9038676</v>
      </c>
      <c r="B101" t="s">
        <v>3350</v>
      </c>
    </row>
    <row r="102" spans="1:2" x14ac:dyDescent="0.25">
      <c r="A102" s="50">
        <v>9039416</v>
      </c>
      <c r="B102" t="s">
        <v>3350</v>
      </c>
    </row>
    <row r="103" spans="1:2" x14ac:dyDescent="0.25">
      <c r="A103" s="50">
        <v>9042861</v>
      </c>
      <c r="B103" t="s">
        <v>3350</v>
      </c>
    </row>
    <row r="104" spans="1:2" x14ac:dyDescent="0.25">
      <c r="A104" s="50">
        <v>9044899</v>
      </c>
      <c r="B104" t="s">
        <v>3350</v>
      </c>
    </row>
    <row r="105" spans="1:2" x14ac:dyDescent="0.25">
      <c r="A105" s="50">
        <v>9052398</v>
      </c>
      <c r="B105" t="s">
        <v>3350</v>
      </c>
    </row>
    <row r="106" spans="1:2" x14ac:dyDescent="0.25">
      <c r="A106" s="50">
        <v>9085204</v>
      </c>
      <c r="B106" t="s">
        <v>3350</v>
      </c>
    </row>
    <row r="107" spans="1:2" x14ac:dyDescent="0.25">
      <c r="A107" s="50">
        <v>9090323</v>
      </c>
      <c r="B107" t="s">
        <v>3350</v>
      </c>
    </row>
    <row r="108" spans="1:2" x14ac:dyDescent="0.25">
      <c r="A108" s="50">
        <v>9105492</v>
      </c>
      <c r="B108" t="s">
        <v>3350</v>
      </c>
    </row>
    <row r="109" spans="1:2" x14ac:dyDescent="0.25">
      <c r="A109" s="50">
        <v>9138470</v>
      </c>
      <c r="B109" t="s">
        <v>3350</v>
      </c>
    </row>
    <row r="110" spans="1:2" x14ac:dyDescent="0.25">
      <c r="A110" s="50">
        <v>9150676</v>
      </c>
      <c r="B110" t="s">
        <v>3350</v>
      </c>
    </row>
    <row r="111" spans="1:2" x14ac:dyDescent="0.25">
      <c r="A111" s="50">
        <v>10010926</v>
      </c>
      <c r="B111" t="s">
        <v>3350</v>
      </c>
    </row>
    <row r="112" spans="1:2" x14ac:dyDescent="0.25">
      <c r="A112" s="50">
        <v>10016588</v>
      </c>
      <c r="B112" t="s">
        <v>3350</v>
      </c>
    </row>
    <row r="113" spans="1:15" x14ac:dyDescent="0.25">
      <c r="A113" s="50">
        <v>10030897</v>
      </c>
      <c r="B113" t="s">
        <v>3350</v>
      </c>
    </row>
    <row r="114" spans="1:15" x14ac:dyDescent="0.25">
      <c r="A114" s="50">
        <v>324</v>
      </c>
      <c r="B114" t="s">
        <v>3350</v>
      </c>
    </row>
    <row r="115" spans="1:15" x14ac:dyDescent="0.25">
      <c r="A115" s="50">
        <v>3909</v>
      </c>
      <c r="B115" t="s">
        <v>3350</v>
      </c>
    </row>
    <row r="116" spans="1:15" x14ac:dyDescent="0.25">
      <c r="A116" s="50">
        <v>4663</v>
      </c>
      <c r="B116" t="s">
        <v>3350</v>
      </c>
    </row>
    <row r="117" spans="1:15" x14ac:dyDescent="0.25">
      <c r="A117" s="50">
        <v>1005522</v>
      </c>
      <c r="B117" t="s">
        <v>3350</v>
      </c>
    </row>
    <row r="118" spans="1:15" x14ac:dyDescent="0.25">
      <c r="A118" s="50">
        <v>1007631</v>
      </c>
      <c r="B118" t="s">
        <v>3350</v>
      </c>
    </row>
    <row r="119" spans="1:15" x14ac:dyDescent="0.25">
      <c r="A119" s="50">
        <v>1009760</v>
      </c>
      <c r="B119" t="s">
        <v>3350</v>
      </c>
    </row>
    <row r="120" spans="1:15" x14ac:dyDescent="0.25">
      <c r="A120" s="50">
        <v>2000646</v>
      </c>
      <c r="B120" t="s">
        <v>3350</v>
      </c>
      <c r="F120">
        <v>104</v>
      </c>
      <c r="G120">
        <v>94</v>
      </c>
      <c r="L120">
        <v>27</v>
      </c>
      <c r="M120">
        <v>37</v>
      </c>
      <c r="N120">
        <v>26</v>
      </c>
      <c r="O120">
        <v>73</v>
      </c>
    </row>
    <row r="121" spans="1:15" x14ac:dyDescent="0.25">
      <c r="A121" s="50">
        <v>2003761</v>
      </c>
      <c r="B121" t="s">
        <v>3350</v>
      </c>
    </row>
    <row r="122" spans="1:15" x14ac:dyDescent="0.25">
      <c r="A122" s="50">
        <v>2004061</v>
      </c>
      <c r="B122" t="s">
        <v>3350</v>
      </c>
    </row>
    <row r="123" spans="1:15" x14ac:dyDescent="0.25">
      <c r="A123" s="50">
        <v>2006469</v>
      </c>
      <c r="B123" t="s">
        <v>3350</v>
      </c>
    </row>
    <row r="124" spans="1:15" x14ac:dyDescent="0.25">
      <c r="A124" s="50">
        <v>3005132</v>
      </c>
      <c r="B124" t="s">
        <v>3350</v>
      </c>
    </row>
    <row r="125" spans="1:15" x14ac:dyDescent="0.25">
      <c r="A125" s="50">
        <v>3009119</v>
      </c>
      <c r="B125" t="s">
        <v>3350</v>
      </c>
    </row>
    <row r="126" spans="1:15" x14ac:dyDescent="0.25">
      <c r="A126" s="50">
        <v>3009936</v>
      </c>
      <c r="B126" t="s">
        <v>3350</v>
      </c>
    </row>
    <row r="127" spans="1:15" x14ac:dyDescent="0.25">
      <c r="A127" s="50">
        <v>3011094</v>
      </c>
      <c r="B127" t="s">
        <v>3350</v>
      </c>
    </row>
    <row r="128" spans="1:15" x14ac:dyDescent="0.25">
      <c r="A128" s="50">
        <v>3014643</v>
      </c>
      <c r="B128" t="s">
        <v>3350</v>
      </c>
    </row>
    <row r="129" spans="1:7" x14ac:dyDescent="0.25">
      <c r="A129" s="50">
        <v>3016056</v>
      </c>
      <c r="B129" t="s">
        <v>3350</v>
      </c>
    </row>
    <row r="130" spans="1:7" x14ac:dyDescent="0.25">
      <c r="A130" s="50">
        <v>3900219</v>
      </c>
      <c r="B130" t="s">
        <v>3350</v>
      </c>
    </row>
    <row r="131" spans="1:7" x14ac:dyDescent="0.25">
      <c r="A131" s="50">
        <v>4000158</v>
      </c>
      <c r="B131" t="s">
        <v>3350</v>
      </c>
    </row>
    <row r="132" spans="1:7" x14ac:dyDescent="0.25">
      <c r="A132" s="50">
        <v>4000304</v>
      </c>
      <c r="B132" t="s">
        <v>3350</v>
      </c>
    </row>
    <row r="133" spans="1:7" x14ac:dyDescent="0.25">
      <c r="A133" s="50">
        <v>4001905</v>
      </c>
      <c r="B133" t="s">
        <v>3350</v>
      </c>
    </row>
    <row r="134" spans="1:7" x14ac:dyDescent="0.25">
      <c r="A134" s="50">
        <v>4002206</v>
      </c>
      <c r="B134" t="s">
        <v>3350</v>
      </c>
    </row>
    <row r="135" spans="1:7" x14ac:dyDescent="0.25">
      <c r="A135" s="50">
        <v>4002715</v>
      </c>
      <c r="B135" t="s">
        <v>3350</v>
      </c>
    </row>
    <row r="136" spans="1:7" x14ac:dyDescent="0.25">
      <c r="A136" s="50">
        <v>4003924</v>
      </c>
      <c r="B136" t="s">
        <v>3350</v>
      </c>
    </row>
    <row r="137" spans="1:7" x14ac:dyDescent="0.25">
      <c r="A137" s="50">
        <v>4006051</v>
      </c>
      <c r="B137" t="s">
        <v>3350</v>
      </c>
    </row>
    <row r="138" spans="1:7" x14ac:dyDescent="0.25">
      <c r="A138" s="50">
        <v>4008140</v>
      </c>
      <c r="B138" t="s">
        <v>3350</v>
      </c>
    </row>
    <row r="139" spans="1:7" x14ac:dyDescent="0.25">
      <c r="A139" s="50">
        <v>4009906</v>
      </c>
      <c r="B139" t="s">
        <v>3350</v>
      </c>
    </row>
    <row r="140" spans="1:7" x14ac:dyDescent="0.25">
      <c r="A140" s="50">
        <v>4011027</v>
      </c>
      <c r="B140" t="s">
        <v>3350</v>
      </c>
    </row>
    <row r="141" spans="1:7" x14ac:dyDescent="0.25">
      <c r="A141" s="50">
        <v>4011920</v>
      </c>
      <c r="B141" t="s">
        <v>3350</v>
      </c>
    </row>
    <row r="142" spans="1:7" x14ac:dyDescent="0.25">
      <c r="A142" s="50">
        <v>4012248</v>
      </c>
      <c r="B142" t="s">
        <v>3350</v>
      </c>
    </row>
    <row r="143" spans="1:7" x14ac:dyDescent="0.25">
      <c r="A143" s="50">
        <v>4013603</v>
      </c>
      <c r="B143" t="s">
        <v>3350</v>
      </c>
    </row>
    <row r="144" spans="1:7" x14ac:dyDescent="0.25">
      <c r="A144" s="50">
        <v>5004654</v>
      </c>
      <c r="B144" t="s">
        <v>3350</v>
      </c>
      <c r="G144">
        <v>6.6</v>
      </c>
    </row>
    <row r="145" spans="1:7" x14ac:dyDescent="0.25">
      <c r="A145" s="54"/>
      <c r="B145" s="65"/>
    </row>
    <row r="146" spans="1:7" x14ac:dyDescent="0.25">
      <c r="A146" s="52" t="s">
        <v>146</v>
      </c>
      <c r="B146" s="10"/>
    </row>
    <row r="147" spans="1:7" x14ac:dyDescent="0.25">
      <c r="A147" s="50">
        <v>4289</v>
      </c>
      <c r="B147" t="s">
        <v>3351</v>
      </c>
      <c r="G147">
        <v>280</v>
      </c>
    </row>
    <row r="148" spans="1:7" x14ac:dyDescent="0.25">
      <c r="A148" s="50">
        <v>500245</v>
      </c>
      <c r="B148" t="s">
        <v>3351</v>
      </c>
    </row>
    <row r="149" spans="1:7" x14ac:dyDescent="0.25">
      <c r="A149" s="50">
        <v>2002573</v>
      </c>
      <c r="B149" t="s">
        <v>3351</v>
      </c>
    </row>
    <row r="150" spans="1:7" x14ac:dyDescent="0.25">
      <c r="A150" s="50">
        <v>2003539</v>
      </c>
      <c r="B150" t="s">
        <v>3351</v>
      </c>
    </row>
    <row r="151" spans="1:7" x14ac:dyDescent="0.25">
      <c r="A151" s="50">
        <v>2003649</v>
      </c>
      <c r="B151" t="s">
        <v>3351</v>
      </c>
    </row>
    <row r="152" spans="1:7" x14ac:dyDescent="0.25">
      <c r="A152" s="50">
        <v>2005572</v>
      </c>
      <c r="B152" t="s">
        <v>3351</v>
      </c>
    </row>
    <row r="153" spans="1:7" x14ac:dyDescent="0.25">
      <c r="A153" s="50">
        <v>2013117</v>
      </c>
      <c r="B153" t="s">
        <v>3351</v>
      </c>
    </row>
    <row r="154" spans="1:7" x14ac:dyDescent="0.25">
      <c r="A154" s="50">
        <v>3009633</v>
      </c>
      <c r="B154" t="s">
        <v>3351</v>
      </c>
    </row>
    <row r="155" spans="1:7" x14ac:dyDescent="0.25">
      <c r="A155" s="50">
        <v>3010583</v>
      </c>
      <c r="B155" t="s">
        <v>3351</v>
      </c>
    </row>
    <row r="156" spans="1:7" x14ac:dyDescent="0.25">
      <c r="A156" s="23">
        <v>3011892</v>
      </c>
      <c r="B156" t="s">
        <v>3351</v>
      </c>
    </row>
    <row r="157" spans="1:7" x14ac:dyDescent="0.25">
      <c r="A157">
        <v>4001382</v>
      </c>
      <c r="B157" t="s">
        <v>3351</v>
      </c>
    </row>
    <row r="158" spans="1:7" x14ac:dyDescent="0.25">
      <c r="A158" s="50">
        <v>5018675</v>
      </c>
      <c r="B158" t="s">
        <v>3351</v>
      </c>
    </row>
    <row r="159" spans="1:7" x14ac:dyDescent="0.25">
      <c r="A159" s="50">
        <v>6050168</v>
      </c>
      <c r="B159" t="s">
        <v>3351</v>
      </c>
    </row>
    <row r="160" spans="1:7" x14ac:dyDescent="0.25">
      <c r="A160" s="50">
        <v>5006592</v>
      </c>
      <c r="B160" t="s">
        <v>3351</v>
      </c>
    </row>
    <row r="161" spans="1:2" x14ac:dyDescent="0.25">
      <c r="A161" s="50">
        <v>5007274</v>
      </c>
      <c r="B161" t="s">
        <v>3351</v>
      </c>
    </row>
    <row r="162" spans="1:2" x14ac:dyDescent="0.25">
      <c r="A162" s="50">
        <v>5015851</v>
      </c>
      <c r="B162" t="s">
        <v>3351</v>
      </c>
    </row>
    <row r="163" spans="1:2" x14ac:dyDescent="0.25">
      <c r="A163" s="50">
        <v>6015647</v>
      </c>
      <c r="B163" t="s">
        <v>3351</v>
      </c>
    </row>
    <row r="164" spans="1:2" x14ac:dyDescent="0.25">
      <c r="A164" s="50">
        <v>6056633</v>
      </c>
      <c r="B164" t="s">
        <v>3351</v>
      </c>
    </row>
    <row r="165" spans="1:2" x14ac:dyDescent="0.25">
      <c r="A165" s="50">
        <v>7086224</v>
      </c>
      <c r="B165" t="s">
        <v>3351</v>
      </c>
    </row>
    <row r="166" spans="1:2" x14ac:dyDescent="0.25">
      <c r="A166" s="50">
        <v>8040959</v>
      </c>
      <c r="B166" t="s">
        <v>3351</v>
      </c>
    </row>
    <row r="167" spans="1:2" x14ac:dyDescent="0.25">
      <c r="A167" s="50">
        <v>8107048</v>
      </c>
      <c r="B167" t="s">
        <v>3351</v>
      </c>
    </row>
    <row r="168" spans="1:2" x14ac:dyDescent="0.25">
      <c r="A168" s="50">
        <v>8124044</v>
      </c>
      <c r="B168" t="s">
        <v>3351</v>
      </c>
    </row>
    <row r="169" spans="1:2" x14ac:dyDescent="0.25">
      <c r="A169" s="50">
        <v>8142949</v>
      </c>
      <c r="B169" t="s">
        <v>3351</v>
      </c>
    </row>
    <row r="170" spans="1:2" x14ac:dyDescent="0.25">
      <c r="A170" s="50">
        <v>9023306</v>
      </c>
      <c r="B170" t="s">
        <v>3351</v>
      </c>
    </row>
    <row r="171" spans="1:2" x14ac:dyDescent="0.25">
      <c r="A171" s="50">
        <v>9030615</v>
      </c>
      <c r="B171" t="s">
        <v>3351</v>
      </c>
    </row>
    <row r="172" spans="1:2" x14ac:dyDescent="0.25">
      <c r="A172" s="50">
        <v>9034464</v>
      </c>
      <c r="B172" t="s">
        <v>3351</v>
      </c>
    </row>
    <row r="173" spans="1:2" x14ac:dyDescent="0.25">
      <c r="A173" s="50">
        <v>9040167</v>
      </c>
      <c r="B173" t="s">
        <v>3351</v>
      </c>
    </row>
    <row r="174" spans="1:2" x14ac:dyDescent="0.25">
      <c r="A174" s="50">
        <v>9054567</v>
      </c>
      <c r="B174" t="s">
        <v>3351</v>
      </c>
    </row>
    <row r="175" spans="1:2" x14ac:dyDescent="0.25">
      <c r="A175" s="50">
        <v>9083682</v>
      </c>
      <c r="B175" t="s">
        <v>3351</v>
      </c>
    </row>
    <row r="176" spans="1:2" x14ac:dyDescent="0.25">
      <c r="A176" s="50">
        <v>9102044</v>
      </c>
      <c r="B176" t="s">
        <v>3351</v>
      </c>
    </row>
    <row r="177" spans="1:2" x14ac:dyDescent="0.25">
      <c r="A177" s="50">
        <v>9119854</v>
      </c>
      <c r="B177" t="s">
        <v>3351</v>
      </c>
    </row>
    <row r="178" spans="1:2" x14ac:dyDescent="0.25">
      <c r="A178" s="50">
        <v>9125126</v>
      </c>
      <c r="B178" t="s">
        <v>3351</v>
      </c>
    </row>
    <row r="179" spans="1:2" x14ac:dyDescent="0.25">
      <c r="A179" s="50">
        <v>9174811</v>
      </c>
      <c r="B179" t="s">
        <v>3351</v>
      </c>
    </row>
    <row r="180" spans="1:2" x14ac:dyDescent="0.25">
      <c r="A180" s="50">
        <v>10002875</v>
      </c>
      <c r="B180" t="s">
        <v>3351</v>
      </c>
    </row>
    <row r="181" spans="1:2" x14ac:dyDescent="0.25">
      <c r="A181" s="50">
        <v>10023080</v>
      </c>
      <c r="B181" t="s">
        <v>3351</v>
      </c>
    </row>
    <row r="182" spans="1:2" x14ac:dyDescent="0.25">
      <c r="A182" s="50">
        <v>10025212</v>
      </c>
      <c r="B182" t="s">
        <v>3351</v>
      </c>
    </row>
    <row r="183" spans="1:2" x14ac:dyDescent="0.25">
      <c r="A183" s="50">
        <v>10069407</v>
      </c>
      <c r="B183" t="s">
        <v>3351</v>
      </c>
    </row>
    <row r="184" spans="1:2" x14ac:dyDescent="0.25">
      <c r="A184" s="50">
        <v>10071135</v>
      </c>
      <c r="B184" t="s">
        <v>3351</v>
      </c>
    </row>
    <row r="185" spans="1:2" x14ac:dyDescent="0.25">
      <c r="A185" s="50">
        <v>10083649</v>
      </c>
      <c r="B185" t="s">
        <v>3351</v>
      </c>
    </row>
    <row r="186" spans="1:2" x14ac:dyDescent="0.25">
      <c r="A186" s="50">
        <v>10102021</v>
      </c>
      <c r="B186" t="s">
        <v>3351</v>
      </c>
    </row>
    <row r="187" spans="1:2" x14ac:dyDescent="0.25">
      <c r="A187" s="50">
        <v>10123729</v>
      </c>
      <c r="B187" t="s">
        <v>3351</v>
      </c>
    </row>
    <row r="188" spans="1:2" x14ac:dyDescent="0.25">
      <c r="A188" s="50">
        <v>10144736</v>
      </c>
      <c r="B188" t="s">
        <v>3351</v>
      </c>
    </row>
    <row r="189" spans="1:2" x14ac:dyDescent="0.25">
      <c r="A189" s="50">
        <v>10157275</v>
      </c>
      <c r="B189" t="s">
        <v>3351</v>
      </c>
    </row>
    <row r="190" spans="1:2" x14ac:dyDescent="0.25">
      <c r="A190" s="54"/>
      <c r="B190" s="65"/>
    </row>
    <row r="191" spans="1:2" x14ac:dyDescent="0.25">
      <c r="A191" s="52" t="s">
        <v>120</v>
      </c>
      <c r="B191" s="10"/>
    </row>
    <row r="192" spans="1:2" x14ac:dyDescent="0.25">
      <c r="A192" s="50">
        <v>5281</v>
      </c>
      <c r="B192" t="s">
        <v>3352</v>
      </c>
    </row>
    <row r="193" spans="1:2" x14ac:dyDescent="0.25">
      <c r="A193" s="50">
        <v>200085</v>
      </c>
      <c r="B193" t="s">
        <v>3352</v>
      </c>
    </row>
    <row r="194" spans="1:2" x14ac:dyDescent="0.25">
      <c r="A194" s="50">
        <v>500129</v>
      </c>
      <c r="B194" t="s">
        <v>3352</v>
      </c>
    </row>
    <row r="195" spans="1:2" x14ac:dyDescent="0.25">
      <c r="A195" s="53">
        <v>1002033</v>
      </c>
      <c r="B195" t="s">
        <v>3352</v>
      </c>
    </row>
    <row r="196" spans="1:2" x14ac:dyDescent="0.25">
      <c r="A196" s="50">
        <v>1003457</v>
      </c>
      <c r="B196" t="s">
        <v>3352</v>
      </c>
    </row>
    <row r="197" spans="1:2" x14ac:dyDescent="0.25">
      <c r="A197" s="50">
        <v>2005223</v>
      </c>
      <c r="B197" t="s">
        <v>3352</v>
      </c>
    </row>
    <row r="198" spans="1:2" x14ac:dyDescent="0.25">
      <c r="A198" s="50">
        <v>2006107</v>
      </c>
      <c r="B198" t="s">
        <v>3352</v>
      </c>
    </row>
    <row r="199" spans="1:2" x14ac:dyDescent="0.25">
      <c r="A199" s="50">
        <v>2012014</v>
      </c>
      <c r="B199" t="s">
        <v>3352</v>
      </c>
    </row>
    <row r="200" spans="1:2" x14ac:dyDescent="0.25">
      <c r="A200" s="50">
        <v>3000152</v>
      </c>
      <c r="B200" t="s">
        <v>3352</v>
      </c>
    </row>
    <row r="201" spans="1:2" x14ac:dyDescent="0.25">
      <c r="A201" s="50">
        <v>3014566</v>
      </c>
      <c r="B201" t="s">
        <v>3352</v>
      </c>
    </row>
    <row r="202" spans="1:2" x14ac:dyDescent="0.25">
      <c r="A202" s="50">
        <v>3015058</v>
      </c>
      <c r="B202" t="s">
        <v>3352</v>
      </c>
    </row>
    <row r="203" spans="1:2" x14ac:dyDescent="0.25">
      <c r="A203" s="53">
        <v>4000996</v>
      </c>
      <c r="B203" t="s">
        <v>3352</v>
      </c>
    </row>
    <row r="204" spans="1:2" x14ac:dyDescent="0.25">
      <c r="A204" s="50">
        <v>4003768</v>
      </c>
      <c r="B204" t="s">
        <v>3352</v>
      </c>
    </row>
    <row r="205" spans="1:2" x14ac:dyDescent="0.25">
      <c r="A205" s="50">
        <v>4006540</v>
      </c>
      <c r="B205" t="s">
        <v>3352</v>
      </c>
    </row>
    <row r="206" spans="1:2" x14ac:dyDescent="0.25">
      <c r="A206" s="50">
        <v>4007054</v>
      </c>
      <c r="B206" t="s">
        <v>3352</v>
      </c>
    </row>
    <row r="207" spans="1:2" x14ac:dyDescent="0.25">
      <c r="A207" s="50">
        <v>4011002</v>
      </c>
      <c r="B207" t="s">
        <v>3352</v>
      </c>
    </row>
    <row r="208" spans="1:2" x14ac:dyDescent="0.25">
      <c r="A208" s="50">
        <v>4900268</v>
      </c>
      <c r="B208" t="s">
        <v>3352</v>
      </c>
    </row>
    <row r="209" spans="1:10" x14ac:dyDescent="0.25">
      <c r="A209" s="50">
        <v>5001097</v>
      </c>
      <c r="B209" t="s">
        <v>3352</v>
      </c>
    </row>
    <row r="210" spans="1:10" x14ac:dyDescent="0.25">
      <c r="A210" s="50">
        <v>5001098</v>
      </c>
      <c r="B210" t="s">
        <v>3352</v>
      </c>
    </row>
    <row r="211" spans="1:10" x14ac:dyDescent="0.25">
      <c r="A211" s="50">
        <v>5006152</v>
      </c>
      <c r="B211" t="s">
        <v>3352</v>
      </c>
    </row>
    <row r="212" spans="1:10" x14ac:dyDescent="0.25">
      <c r="A212" s="50">
        <v>6012361</v>
      </c>
      <c r="B212" t="s">
        <v>3352</v>
      </c>
    </row>
    <row r="213" spans="1:10" x14ac:dyDescent="0.25">
      <c r="A213" s="50">
        <v>6015793</v>
      </c>
      <c r="B213" t="s">
        <v>3352</v>
      </c>
    </row>
    <row r="214" spans="1:10" x14ac:dyDescent="0.25">
      <c r="A214" s="50">
        <v>6043619</v>
      </c>
      <c r="B214" t="s">
        <v>3352</v>
      </c>
    </row>
    <row r="215" spans="1:10" x14ac:dyDescent="0.25">
      <c r="A215" s="50">
        <v>7001097</v>
      </c>
      <c r="B215" t="s">
        <v>3352</v>
      </c>
    </row>
    <row r="216" spans="1:10" x14ac:dyDescent="0.25">
      <c r="A216" s="50">
        <v>7011435</v>
      </c>
      <c r="B216" t="s">
        <v>3352</v>
      </c>
    </row>
    <row r="217" spans="1:10" x14ac:dyDescent="0.25">
      <c r="A217" s="50">
        <v>7045811</v>
      </c>
      <c r="B217" t="s">
        <v>3352</v>
      </c>
      <c r="J217">
        <v>34.799999999999997</v>
      </c>
    </row>
    <row r="218" spans="1:10" x14ac:dyDescent="0.25">
      <c r="A218" s="50">
        <v>7071198</v>
      </c>
      <c r="B218" t="s">
        <v>3352</v>
      </c>
    </row>
    <row r="219" spans="1:10" x14ac:dyDescent="0.25">
      <c r="A219" s="50">
        <v>7101143</v>
      </c>
      <c r="B219" t="s">
        <v>3352</v>
      </c>
    </row>
    <row r="220" spans="1:10" x14ac:dyDescent="0.25">
      <c r="A220" s="50">
        <v>8073350</v>
      </c>
      <c r="B220" t="s">
        <v>3352</v>
      </c>
    </row>
    <row r="221" spans="1:10" x14ac:dyDescent="0.25">
      <c r="A221" s="50">
        <v>8073645</v>
      </c>
      <c r="B221" t="s">
        <v>3352</v>
      </c>
    </row>
    <row r="222" spans="1:10" x14ac:dyDescent="0.25">
      <c r="A222" s="53">
        <v>8089666</v>
      </c>
      <c r="B222" t="s">
        <v>3352</v>
      </c>
    </row>
    <row r="223" spans="1:10" x14ac:dyDescent="0.25">
      <c r="A223" s="50">
        <v>8103536</v>
      </c>
      <c r="B223" t="s">
        <v>3352</v>
      </c>
    </row>
    <row r="224" spans="1:10" x14ac:dyDescent="0.25">
      <c r="A224" s="50">
        <v>8124816</v>
      </c>
      <c r="B224" t="s">
        <v>3352</v>
      </c>
    </row>
    <row r="225" spans="1:2" x14ac:dyDescent="0.25">
      <c r="A225" s="50">
        <v>9003267</v>
      </c>
      <c r="B225" t="s">
        <v>3352</v>
      </c>
    </row>
    <row r="226" spans="1:2" x14ac:dyDescent="0.25">
      <c r="A226" s="50">
        <v>9036964</v>
      </c>
      <c r="B226" t="s">
        <v>3352</v>
      </c>
    </row>
    <row r="227" spans="1:2" x14ac:dyDescent="0.25">
      <c r="A227" s="50">
        <v>9090287</v>
      </c>
      <c r="B227" t="s">
        <v>3352</v>
      </c>
    </row>
    <row r="228" spans="1:2" x14ac:dyDescent="0.25">
      <c r="A228" s="50">
        <v>9095148</v>
      </c>
      <c r="B228" t="s">
        <v>3352</v>
      </c>
    </row>
    <row r="229" spans="1:2" x14ac:dyDescent="0.25">
      <c r="A229" s="50">
        <v>9104979</v>
      </c>
      <c r="B229" t="s">
        <v>3352</v>
      </c>
    </row>
    <row r="230" spans="1:2" x14ac:dyDescent="0.25">
      <c r="A230" s="50">
        <v>9139514</v>
      </c>
      <c r="B230" t="s">
        <v>3352</v>
      </c>
    </row>
    <row r="231" spans="1:2" x14ac:dyDescent="0.25">
      <c r="A231" s="50">
        <v>10020659</v>
      </c>
      <c r="B231" t="s">
        <v>3352</v>
      </c>
    </row>
    <row r="232" spans="1:2" x14ac:dyDescent="0.25">
      <c r="A232" s="50">
        <v>10025902</v>
      </c>
      <c r="B232" t="s">
        <v>3352</v>
      </c>
    </row>
    <row r="233" spans="1:2" x14ac:dyDescent="0.25">
      <c r="A233" s="50">
        <v>10027654</v>
      </c>
      <c r="B233" t="s">
        <v>3352</v>
      </c>
    </row>
    <row r="234" spans="1:2" x14ac:dyDescent="0.25">
      <c r="A234" s="50">
        <v>10084485</v>
      </c>
      <c r="B234" t="s">
        <v>3352</v>
      </c>
    </row>
    <row r="235" spans="1:2" x14ac:dyDescent="0.25">
      <c r="A235" s="50">
        <v>10098420</v>
      </c>
      <c r="B235" t="s">
        <v>3352</v>
      </c>
    </row>
    <row r="236" spans="1:2" x14ac:dyDescent="0.25">
      <c r="A236" s="50">
        <v>10129565</v>
      </c>
      <c r="B236" t="s">
        <v>3352</v>
      </c>
    </row>
    <row r="237" spans="1:2" x14ac:dyDescent="0.25">
      <c r="A237" s="50">
        <v>10146828</v>
      </c>
      <c r="B237" t="s">
        <v>3352</v>
      </c>
    </row>
    <row r="238" spans="1:2" x14ac:dyDescent="0.25">
      <c r="A238">
        <v>10163776</v>
      </c>
      <c r="B238" t="s">
        <v>3352</v>
      </c>
    </row>
    <row r="239" spans="1:2" x14ac:dyDescent="0.25">
      <c r="A239">
        <v>10173664</v>
      </c>
      <c r="B239" t="s">
        <v>3352</v>
      </c>
    </row>
  </sheetData>
  <conditionalFormatting sqref="A19">
    <cfRule type="duplicateValues" dxfId="34" priority="1"/>
  </conditionalFormatting>
  <pageMargins left="0.7" right="0.7" top="0.78740157499999996" bottom="0.78740157499999996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Views>
    <sheetView workbookViewId="0">
      <selection activeCell="C10" sqref="C10"/>
    </sheetView>
  </sheetViews>
  <sheetFormatPr defaultColWidth="11.42578125" defaultRowHeight="15" x14ac:dyDescent="0.25"/>
  <cols>
    <col min="1" max="1" width="17.28515625" bestFit="1" customWidth="1"/>
    <col min="2" max="2" width="12.5703125" bestFit="1" customWidth="1"/>
    <col min="3" max="3" width="9.28515625" bestFit="1" customWidth="1"/>
    <col min="4" max="4" width="81.140625" bestFit="1" customWidth="1"/>
    <col min="5" max="5" width="30.28515625" customWidth="1"/>
  </cols>
  <sheetData>
    <row r="1" spans="1:5" x14ac:dyDescent="0.25">
      <c r="A1" s="66" t="s">
        <v>59</v>
      </c>
      <c r="B1" t="s">
        <v>3346</v>
      </c>
      <c r="C1" s="66" t="s">
        <v>2563</v>
      </c>
      <c r="D1" s="66" t="s">
        <v>2564</v>
      </c>
      <c r="E1" s="66" t="s">
        <v>2523</v>
      </c>
    </row>
    <row r="2" spans="1:5" x14ac:dyDescent="0.25">
      <c r="A2" s="66">
        <v>4900261</v>
      </c>
      <c r="B2" t="s">
        <v>3398</v>
      </c>
      <c r="C2" s="66" t="s">
        <v>2563</v>
      </c>
      <c r="D2" s="66" t="s">
        <v>2565</v>
      </c>
      <c r="E2" s="66">
        <v>6</v>
      </c>
    </row>
    <row r="3" spans="1:5" x14ac:dyDescent="0.25">
      <c r="A3" s="66">
        <v>2000646</v>
      </c>
      <c r="B3" t="s">
        <v>3350</v>
      </c>
      <c r="C3" s="66" t="s">
        <v>2563</v>
      </c>
      <c r="D3" s="66" t="s">
        <v>2566</v>
      </c>
      <c r="E3" s="66">
        <v>6</v>
      </c>
    </row>
    <row r="4" spans="1:5" x14ac:dyDescent="0.25">
      <c r="A4" s="66">
        <v>5004654</v>
      </c>
      <c r="B4" t="s">
        <v>3350</v>
      </c>
      <c r="C4" s="66" t="s">
        <v>2563</v>
      </c>
      <c r="D4" s="66" t="s">
        <v>1328</v>
      </c>
      <c r="E4" s="66">
        <v>1</v>
      </c>
    </row>
    <row r="5" spans="1:5" x14ac:dyDescent="0.25">
      <c r="A5" s="66">
        <v>4289</v>
      </c>
      <c r="B5" t="s">
        <v>3351</v>
      </c>
      <c r="C5" s="66" t="s">
        <v>2563</v>
      </c>
      <c r="D5" s="66" t="s">
        <v>1328</v>
      </c>
      <c r="E5" s="66">
        <v>1</v>
      </c>
    </row>
    <row r="6" spans="1:5" x14ac:dyDescent="0.25">
      <c r="A6" s="66">
        <v>7045811</v>
      </c>
      <c r="B6" t="s">
        <v>3352</v>
      </c>
      <c r="C6" s="66" t="s">
        <v>2563</v>
      </c>
      <c r="D6" s="66" t="s">
        <v>1330</v>
      </c>
      <c r="E6" s="66">
        <v>1</v>
      </c>
    </row>
  </sheetData>
  <phoneticPr fontId="6" type="noConversion"/>
  <pageMargins left="0.7" right="0.7" top="0.78740157499999996" bottom="0.78740157499999996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239"/>
  <sheetViews>
    <sheetView workbookViewId="0">
      <selection activeCell="B1" sqref="B1:B1048576"/>
    </sheetView>
  </sheetViews>
  <sheetFormatPr defaultColWidth="11.42578125" defaultRowHeight="15" x14ac:dyDescent="0.25"/>
  <cols>
    <col min="1" max="1" width="17.140625" style="50" customWidth="1"/>
    <col min="2" max="2" width="12.42578125" customWidth="1"/>
    <col min="3" max="4" width="34.7109375" customWidth="1"/>
    <col min="5" max="5" width="38.140625" customWidth="1"/>
    <col min="6" max="9" width="33.7109375" customWidth="1"/>
    <col min="10" max="10" width="32.5703125" customWidth="1"/>
    <col min="11" max="11" width="28.140625" customWidth="1"/>
    <col min="12" max="12" width="26.7109375" customWidth="1"/>
    <col min="16" max="16" width="14.85546875" customWidth="1"/>
    <col min="19" max="20" width="13.5703125" customWidth="1"/>
    <col min="21" max="21" width="17.42578125" customWidth="1"/>
    <col min="22" max="26" width="13.5703125" customWidth="1"/>
    <col min="27" max="27" width="17.42578125" customWidth="1"/>
    <col min="28" max="30" width="13.5703125" customWidth="1"/>
    <col min="31" max="31" width="17.42578125" customWidth="1"/>
    <col min="32" max="39" width="16.28515625" customWidth="1"/>
  </cols>
  <sheetData>
    <row r="1" spans="1:39" x14ac:dyDescent="0.25">
      <c r="A1" s="61" t="s">
        <v>59</v>
      </c>
      <c r="B1" s="61" t="s">
        <v>3346</v>
      </c>
      <c r="C1" s="70" t="s">
        <v>2441</v>
      </c>
      <c r="D1" s="70" t="s">
        <v>1978</v>
      </c>
      <c r="E1" s="70" t="s">
        <v>1346</v>
      </c>
      <c r="F1" s="70" t="s">
        <v>1902</v>
      </c>
      <c r="G1" s="70" t="s">
        <v>1953</v>
      </c>
      <c r="H1" s="70" t="s">
        <v>2398</v>
      </c>
      <c r="I1" s="70" t="s">
        <v>1159</v>
      </c>
      <c r="J1" s="70" t="s">
        <v>2310</v>
      </c>
      <c r="K1" s="70" t="s">
        <v>1347</v>
      </c>
      <c r="L1" s="63" t="s">
        <v>1268</v>
      </c>
      <c r="M1" s="62" t="s">
        <v>4</v>
      </c>
      <c r="N1" s="62" t="s">
        <v>5</v>
      </c>
      <c r="O1" s="62" t="s">
        <v>886</v>
      </c>
      <c r="P1" s="62" t="s">
        <v>1340</v>
      </c>
      <c r="Q1" s="62" t="s">
        <v>6</v>
      </c>
      <c r="R1" s="62" t="s">
        <v>1266</v>
      </c>
      <c r="S1" s="62" t="s">
        <v>1234</v>
      </c>
      <c r="T1" s="62" t="s">
        <v>1141</v>
      </c>
      <c r="U1" s="62" t="s">
        <v>1341</v>
      </c>
      <c r="V1" s="62" t="s">
        <v>1142</v>
      </c>
      <c r="W1" s="62" t="s">
        <v>1795</v>
      </c>
      <c r="X1" s="62" t="s">
        <v>1818</v>
      </c>
      <c r="Y1" s="62" t="s">
        <v>1296</v>
      </c>
      <c r="Z1" s="62" t="s">
        <v>1078</v>
      </c>
      <c r="AA1" s="62" t="s">
        <v>1342</v>
      </c>
      <c r="AB1" s="62" t="s">
        <v>894</v>
      </c>
      <c r="AC1" s="62" t="s">
        <v>872</v>
      </c>
      <c r="AD1" s="62" t="s">
        <v>881</v>
      </c>
      <c r="AE1" s="62" t="s">
        <v>1343</v>
      </c>
      <c r="AF1" s="62" t="s">
        <v>1819</v>
      </c>
      <c r="AG1" s="62" t="s">
        <v>2105</v>
      </c>
      <c r="AH1" s="62" t="s">
        <v>2106</v>
      </c>
      <c r="AI1" s="62" t="s">
        <v>2326</v>
      </c>
      <c r="AJ1" s="62" t="s">
        <v>2347</v>
      </c>
      <c r="AK1" s="62" t="s">
        <v>2107</v>
      </c>
      <c r="AL1" s="62" t="s">
        <v>1169</v>
      </c>
      <c r="AM1" s="62" t="s">
        <v>2108</v>
      </c>
    </row>
    <row r="2" spans="1:39" x14ac:dyDescent="0.25">
      <c r="A2" s="40" t="s">
        <v>561</v>
      </c>
      <c r="B2" s="40"/>
    </row>
    <row r="3" spans="1:39" x14ac:dyDescent="0.25">
      <c r="A3" s="10" t="s">
        <v>2519</v>
      </c>
      <c r="B3" s="10"/>
      <c r="C3" s="7"/>
      <c r="D3" s="7"/>
      <c r="E3" s="7"/>
      <c r="F3" s="7"/>
      <c r="G3" s="7"/>
      <c r="H3" s="7"/>
      <c r="I3" s="7"/>
      <c r="J3" s="7"/>
      <c r="K3" s="7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</row>
    <row r="4" spans="1:39" x14ac:dyDescent="0.25">
      <c r="A4" s="50">
        <v>7072184</v>
      </c>
      <c r="B4" s="10" t="s">
        <v>3398</v>
      </c>
      <c r="C4" s="7"/>
      <c r="D4" s="7"/>
      <c r="E4" s="7"/>
      <c r="F4" s="7"/>
      <c r="G4" s="7"/>
      <c r="H4" s="7"/>
      <c r="I4" s="7"/>
      <c r="J4" s="7"/>
      <c r="K4" s="7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</row>
    <row r="5" spans="1:39" x14ac:dyDescent="0.25">
      <c r="A5" s="50">
        <v>9108231</v>
      </c>
      <c r="B5" s="10" t="s">
        <v>3398</v>
      </c>
      <c r="C5" s="7"/>
      <c r="D5" s="7"/>
      <c r="E5" s="7"/>
      <c r="F5" s="7"/>
      <c r="G5" s="7"/>
      <c r="H5" s="7"/>
      <c r="I5" s="7"/>
      <c r="J5" s="7"/>
      <c r="K5" s="7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</row>
    <row r="6" spans="1:39" x14ac:dyDescent="0.25">
      <c r="A6" s="50">
        <v>12061933</v>
      </c>
      <c r="B6" s="10" t="s">
        <v>3398</v>
      </c>
      <c r="C6" s="7"/>
      <c r="D6" s="7"/>
      <c r="E6" s="7"/>
      <c r="F6" s="7"/>
      <c r="G6" s="7"/>
      <c r="H6" s="7"/>
      <c r="I6" s="7"/>
      <c r="J6" s="7"/>
      <c r="K6" s="7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</row>
    <row r="7" spans="1:39" x14ac:dyDescent="0.25">
      <c r="A7" s="50">
        <v>95005911</v>
      </c>
      <c r="B7" s="10" t="s">
        <v>3398</v>
      </c>
    </row>
    <row r="8" spans="1:39" x14ac:dyDescent="0.25">
      <c r="A8" s="50">
        <v>99001908</v>
      </c>
      <c r="B8" s="10" t="s">
        <v>3398</v>
      </c>
    </row>
    <row r="9" spans="1:39" x14ac:dyDescent="0.25">
      <c r="A9" s="50">
        <v>99004067</v>
      </c>
      <c r="B9" s="10" t="s">
        <v>3398</v>
      </c>
    </row>
    <row r="10" spans="1:39" x14ac:dyDescent="0.25">
      <c r="A10" s="50">
        <v>97002136</v>
      </c>
      <c r="B10" s="10" t="s">
        <v>3398</v>
      </c>
    </row>
    <row r="11" spans="1:39" x14ac:dyDescent="0.25">
      <c r="A11" s="50">
        <v>1502</v>
      </c>
      <c r="B11" s="10" t="s">
        <v>3398</v>
      </c>
      <c r="C11" s="7"/>
      <c r="D11" s="7"/>
      <c r="E11" s="7"/>
      <c r="F11" s="7"/>
      <c r="G11" s="7"/>
      <c r="H11" s="7"/>
      <c r="I11" s="7"/>
      <c r="J11" s="7"/>
      <c r="K11" s="7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</row>
    <row r="12" spans="1:39" x14ac:dyDescent="0.25">
      <c r="A12" s="50">
        <v>4003543</v>
      </c>
      <c r="B12" s="10" t="s">
        <v>3398</v>
      </c>
      <c r="C12" s="7"/>
      <c r="D12" s="7"/>
      <c r="E12" s="7"/>
      <c r="F12" s="7"/>
      <c r="G12" s="7"/>
      <c r="H12" s="7"/>
      <c r="I12" s="7"/>
      <c r="J12" s="7"/>
      <c r="K12" s="7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</row>
    <row r="13" spans="1:39" x14ac:dyDescent="0.25">
      <c r="A13" s="50">
        <v>4900261</v>
      </c>
      <c r="B13" s="10" t="s">
        <v>3398</v>
      </c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</row>
    <row r="15" spans="1:39" x14ac:dyDescent="0.25">
      <c r="A15" s="52" t="s">
        <v>2520</v>
      </c>
      <c r="B15" s="10"/>
      <c r="C15" s="7"/>
      <c r="D15" s="7"/>
      <c r="E15" s="7"/>
      <c r="F15" s="7"/>
      <c r="G15" s="7"/>
      <c r="H15" s="7"/>
      <c r="I15" s="7"/>
      <c r="J15" s="7"/>
      <c r="K15" s="7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</row>
    <row r="16" spans="1:39" x14ac:dyDescent="0.25">
      <c r="A16" s="50">
        <v>14242856</v>
      </c>
      <c r="B16" s="10" t="s">
        <v>3399</v>
      </c>
      <c r="C16" s="7"/>
      <c r="D16" s="7"/>
      <c r="E16" s="7"/>
      <c r="F16" s="7"/>
      <c r="G16" s="7"/>
      <c r="H16" s="7"/>
      <c r="I16" s="7"/>
      <c r="J16" s="7"/>
      <c r="K16" s="7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</row>
    <row r="17" spans="1:39" x14ac:dyDescent="0.25">
      <c r="A17" s="50">
        <v>99001183</v>
      </c>
      <c r="B17" s="10" t="s">
        <v>3399</v>
      </c>
      <c r="C17" s="7"/>
      <c r="D17" s="7"/>
      <c r="E17" s="7"/>
      <c r="F17" s="7"/>
      <c r="G17" s="7"/>
      <c r="H17" s="7"/>
      <c r="I17" s="7"/>
      <c r="J17" s="7"/>
      <c r="K17" s="7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</row>
    <row r="18" spans="1:39" x14ac:dyDescent="0.25">
      <c r="A18" s="50">
        <v>3000983</v>
      </c>
      <c r="B18" s="10" t="s">
        <v>3399</v>
      </c>
      <c r="C18" s="7"/>
      <c r="D18" s="7"/>
      <c r="E18" s="7"/>
      <c r="F18" s="7"/>
      <c r="G18" s="7"/>
      <c r="H18" s="7"/>
      <c r="I18" s="7"/>
      <c r="J18" s="7"/>
      <c r="K18" s="7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</row>
    <row r="19" spans="1:39" x14ac:dyDescent="0.25">
      <c r="A19" s="50">
        <v>10064335</v>
      </c>
      <c r="B19" s="10" t="s">
        <v>3399</v>
      </c>
      <c r="C19" s="7"/>
      <c r="D19" s="7"/>
      <c r="E19" s="7"/>
      <c r="F19" s="7"/>
      <c r="G19" s="7"/>
      <c r="H19" s="7"/>
      <c r="I19" s="7"/>
      <c r="J19" s="7"/>
      <c r="K19" s="7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</row>
    <row r="20" spans="1:39" x14ac:dyDescent="0.25">
      <c r="A20" s="51"/>
      <c r="B20" s="6"/>
      <c r="C20" s="7"/>
      <c r="D20" s="7"/>
      <c r="E20" s="7"/>
      <c r="F20" s="7"/>
      <c r="G20" s="7"/>
      <c r="H20" s="7"/>
      <c r="I20" s="7"/>
      <c r="J20" s="7"/>
      <c r="K20" s="7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</row>
    <row r="21" spans="1:39" x14ac:dyDescent="0.25">
      <c r="A21" s="52" t="s">
        <v>2521</v>
      </c>
      <c r="B21" s="10"/>
      <c r="C21" s="7"/>
      <c r="D21" s="7"/>
      <c r="E21" s="7"/>
      <c r="F21" s="7"/>
      <c r="G21" s="7"/>
      <c r="H21" s="7"/>
      <c r="I21" s="7"/>
      <c r="J21" s="7"/>
      <c r="K21" s="7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</row>
    <row r="22" spans="1:39" x14ac:dyDescent="0.25">
      <c r="A22" s="50">
        <v>1480</v>
      </c>
      <c r="B22" s="10" t="s">
        <v>3400</v>
      </c>
    </row>
    <row r="23" spans="1:39" x14ac:dyDescent="0.25">
      <c r="A23" s="50">
        <v>7063959</v>
      </c>
      <c r="B23" s="10" t="s">
        <v>3400</v>
      </c>
      <c r="C23" s="7"/>
      <c r="D23" s="7"/>
      <c r="E23" s="7"/>
      <c r="F23" s="7"/>
      <c r="G23" s="7"/>
      <c r="H23" s="7"/>
      <c r="I23" s="7"/>
      <c r="J23" s="7"/>
      <c r="K23" s="7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</row>
    <row r="24" spans="1:39" x14ac:dyDescent="0.25">
      <c r="A24" s="50">
        <v>1003215</v>
      </c>
      <c r="B24" s="10" t="s">
        <v>3400</v>
      </c>
      <c r="C24" s="7"/>
      <c r="D24" s="7"/>
      <c r="E24" s="7"/>
      <c r="F24" s="7"/>
      <c r="G24" s="7"/>
      <c r="H24" s="7"/>
      <c r="I24" s="7"/>
      <c r="J24" s="7"/>
      <c r="K24" s="7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</row>
    <row r="25" spans="1:39" x14ac:dyDescent="0.25">
      <c r="A25" s="50">
        <v>99000802</v>
      </c>
      <c r="B25" s="10" t="s">
        <v>3400</v>
      </c>
      <c r="C25" s="7"/>
      <c r="D25" s="7"/>
      <c r="E25" s="7"/>
      <c r="F25" s="7"/>
      <c r="G25" s="7"/>
      <c r="H25" s="7"/>
      <c r="I25" s="7"/>
      <c r="J25" s="7"/>
      <c r="K25" s="7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</row>
    <row r="26" spans="1:39" x14ac:dyDescent="0.25">
      <c r="A26" s="50">
        <v>99000892</v>
      </c>
      <c r="B26" s="10" t="s">
        <v>3400</v>
      </c>
      <c r="C26" s="7"/>
      <c r="D26" s="7"/>
      <c r="E26" s="7"/>
      <c r="F26" s="7"/>
      <c r="G26" s="7"/>
      <c r="H26" s="7"/>
      <c r="I26" s="7"/>
      <c r="J26" s="7"/>
      <c r="K26" s="7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</row>
    <row r="27" spans="1:39" x14ac:dyDescent="0.25">
      <c r="A27" s="50">
        <v>1000192</v>
      </c>
      <c r="B27" s="10" t="s">
        <v>3400</v>
      </c>
      <c r="C27" s="7"/>
      <c r="D27" s="7"/>
      <c r="E27" s="7"/>
      <c r="F27" s="7"/>
      <c r="G27" s="7"/>
      <c r="H27" s="7"/>
      <c r="I27" s="7"/>
      <c r="J27" s="7"/>
      <c r="K27" s="7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</row>
    <row r="28" spans="1:39" x14ac:dyDescent="0.25">
      <c r="A28" s="50">
        <v>1506</v>
      </c>
      <c r="B28" s="10" t="s">
        <v>3400</v>
      </c>
      <c r="C28" s="7"/>
      <c r="D28" s="7"/>
      <c r="E28" s="7"/>
      <c r="F28" s="7"/>
      <c r="G28" s="7"/>
      <c r="H28" s="7"/>
      <c r="I28" s="7"/>
      <c r="J28" s="7"/>
      <c r="K28" s="7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</row>
    <row r="29" spans="1:39" x14ac:dyDescent="0.25">
      <c r="A29" s="50">
        <v>99000894</v>
      </c>
      <c r="B29" s="10" t="s">
        <v>3400</v>
      </c>
      <c r="C29" s="7"/>
      <c r="D29" s="7"/>
      <c r="E29" s="7"/>
      <c r="F29" s="7"/>
      <c r="G29" s="7"/>
      <c r="H29" s="7"/>
      <c r="I29" s="7"/>
      <c r="J29" s="7"/>
      <c r="K29" s="7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</row>
    <row r="30" spans="1:39" x14ac:dyDescent="0.25">
      <c r="A30" s="50">
        <v>99000897</v>
      </c>
      <c r="B30" s="10" t="s">
        <v>3400</v>
      </c>
    </row>
    <row r="31" spans="1:39" x14ac:dyDescent="0.25">
      <c r="A31" s="50">
        <v>99001245</v>
      </c>
      <c r="B31" s="10" t="s">
        <v>3400</v>
      </c>
    </row>
    <row r="32" spans="1:39" x14ac:dyDescent="0.25">
      <c r="A32" s="50">
        <v>99001902</v>
      </c>
      <c r="B32" s="10" t="s">
        <v>3400</v>
      </c>
    </row>
    <row r="33" spans="1:39" x14ac:dyDescent="0.25">
      <c r="A33" s="50">
        <v>99001912</v>
      </c>
      <c r="B33" s="10" t="s">
        <v>3400</v>
      </c>
    </row>
    <row r="34" spans="1:39" x14ac:dyDescent="0.25">
      <c r="A34" s="50">
        <v>99001913</v>
      </c>
      <c r="B34" s="10" t="s">
        <v>3400</v>
      </c>
    </row>
    <row r="35" spans="1:39" x14ac:dyDescent="0.25">
      <c r="A35" s="50">
        <v>99001937</v>
      </c>
      <c r="B35" s="10" t="s">
        <v>3400</v>
      </c>
    </row>
    <row r="36" spans="1:39" x14ac:dyDescent="0.25">
      <c r="A36" s="50">
        <v>99001943</v>
      </c>
      <c r="B36" s="10" t="s">
        <v>3400</v>
      </c>
    </row>
    <row r="37" spans="1:39" x14ac:dyDescent="0.25">
      <c r="A37" s="50">
        <v>99001927</v>
      </c>
      <c r="B37" s="10" t="s">
        <v>3400</v>
      </c>
    </row>
    <row r="38" spans="1:39" x14ac:dyDescent="0.25">
      <c r="A38" s="50">
        <v>1505</v>
      </c>
      <c r="B38" s="10" t="s">
        <v>3400</v>
      </c>
      <c r="C38" s="7"/>
      <c r="D38" s="7"/>
      <c r="E38" s="7"/>
      <c r="F38" s="7"/>
      <c r="G38" s="7"/>
      <c r="H38" s="7"/>
      <c r="I38" s="7"/>
      <c r="J38" s="7"/>
      <c r="K38" s="7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</row>
    <row r="39" spans="1:39" x14ac:dyDescent="0.25">
      <c r="A39" s="50">
        <v>1000197</v>
      </c>
      <c r="B39" s="10" t="s">
        <v>3400</v>
      </c>
      <c r="C39" s="7"/>
      <c r="D39" s="7"/>
      <c r="E39" s="7"/>
      <c r="F39" s="7"/>
      <c r="G39" s="7"/>
      <c r="H39" s="7"/>
      <c r="I39" s="7"/>
      <c r="J39" s="7"/>
      <c r="K39" s="7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</row>
    <row r="40" spans="1:39" x14ac:dyDescent="0.25">
      <c r="A40" s="50">
        <v>96018835</v>
      </c>
      <c r="B40" s="10" t="s">
        <v>3400</v>
      </c>
      <c r="C40" s="7"/>
      <c r="D40" s="7"/>
      <c r="E40" s="7"/>
      <c r="F40" s="7"/>
      <c r="G40" s="7"/>
      <c r="H40" s="7"/>
      <c r="I40" s="7"/>
      <c r="J40" s="7"/>
      <c r="K40" s="7"/>
      <c r="L40" s="6"/>
      <c r="M40">
        <v>67</v>
      </c>
      <c r="N40">
        <v>82</v>
      </c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</row>
    <row r="41" spans="1:39" x14ac:dyDescent="0.25">
      <c r="A41" s="50">
        <v>98008326</v>
      </c>
      <c r="B41" s="10" t="s">
        <v>3400</v>
      </c>
      <c r="C41" s="7"/>
      <c r="D41" s="7"/>
      <c r="E41" s="7"/>
      <c r="F41" s="7"/>
      <c r="G41" s="7"/>
      <c r="H41" s="7"/>
      <c r="I41" s="7"/>
      <c r="J41" s="7"/>
      <c r="K41" s="7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</row>
    <row r="42" spans="1:39" x14ac:dyDescent="0.25">
      <c r="A42" s="50">
        <v>99000717</v>
      </c>
      <c r="B42" s="10" t="s">
        <v>3400</v>
      </c>
      <c r="C42" s="7"/>
      <c r="D42" s="7"/>
      <c r="E42" s="7"/>
      <c r="F42" s="7"/>
      <c r="G42" s="7"/>
      <c r="H42" s="7"/>
      <c r="I42" s="7"/>
      <c r="J42" s="7"/>
      <c r="K42" s="7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</row>
    <row r="43" spans="1:39" x14ac:dyDescent="0.25">
      <c r="C43" s="7"/>
      <c r="D43" s="7"/>
      <c r="E43" s="7"/>
      <c r="F43" s="7"/>
      <c r="G43" s="7"/>
      <c r="H43" s="7"/>
      <c r="I43" s="7"/>
      <c r="J43" s="7"/>
      <c r="K43" s="7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</row>
    <row r="44" spans="1:39" x14ac:dyDescent="0.25">
      <c r="A44" s="25" t="s">
        <v>169</v>
      </c>
      <c r="B44" s="25"/>
    </row>
    <row r="45" spans="1:39" x14ac:dyDescent="0.25">
      <c r="A45" s="52" t="s">
        <v>143</v>
      </c>
      <c r="B45" s="10"/>
    </row>
    <row r="46" spans="1:39" x14ac:dyDescent="0.25">
      <c r="A46" s="50">
        <v>6016435</v>
      </c>
      <c r="B46" t="s">
        <v>3347</v>
      </c>
      <c r="M46">
        <v>43</v>
      </c>
    </row>
    <row r="47" spans="1:39" x14ac:dyDescent="0.25">
      <c r="A47" s="50">
        <v>8045149</v>
      </c>
      <c r="B47" t="s">
        <v>3347</v>
      </c>
    </row>
    <row r="48" spans="1:39" x14ac:dyDescent="0.25">
      <c r="A48" s="50">
        <v>10023001</v>
      </c>
      <c r="B48" t="s">
        <v>3347</v>
      </c>
      <c r="K48">
        <v>24</v>
      </c>
    </row>
    <row r="49" spans="1:19" x14ac:dyDescent="0.25">
      <c r="A49" s="50">
        <v>10027526</v>
      </c>
      <c r="B49" t="s">
        <v>3347</v>
      </c>
    </row>
    <row r="50" spans="1:19" x14ac:dyDescent="0.25">
      <c r="A50" s="50">
        <v>14222171</v>
      </c>
      <c r="B50" t="s">
        <v>3347</v>
      </c>
    </row>
    <row r="51" spans="1:19" x14ac:dyDescent="0.25">
      <c r="A51" s="50">
        <v>1006143</v>
      </c>
      <c r="B51" t="s">
        <v>3347</v>
      </c>
    </row>
    <row r="52" spans="1:19" x14ac:dyDescent="0.25">
      <c r="A52" s="50">
        <v>6006917</v>
      </c>
      <c r="B52" t="s">
        <v>3347</v>
      </c>
    </row>
    <row r="54" spans="1:19" x14ac:dyDescent="0.25">
      <c r="A54" s="52" t="s">
        <v>146</v>
      </c>
      <c r="B54" s="10"/>
    </row>
    <row r="55" spans="1:19" x14ac:dyDescent="0.25">
      <c r="A55" s="50">
        <v>8057159</v>
      </c>
      <c r="B55" s="10" t="s">
        <v>3348</v>
      </c>
    </row>
    <row r="56" spans="1:19" x14ac:dyDescent="0.25">
      <c r="A56" s="50">
        <v>9140312</v>
      </c>
      <c r="B56" s="10" t="s">
        <v>3348</v>
      </c>
    </row>
    <row r="57" spans="1:19" x14ac:dyDescent="0.25">
      <c r="A57" s="50">
        <v>12008230</v>
      </c>
      <c r="B57" s="10" t="s">
        <v>3348</v>
      </c>
    </row>
    <row r="58" spans="1:19" x14ac:dyDescent="0.25">
      <c r="A58" s="50">
        <v>12088444</v>
      </c>
      <c r="B58" s="10" t="s">
        <v>3348</v>
      </c>
    </row>
    <row r="59" spans="1:19" x14ac:dyDescent="0.25">
      <c r="A59" s="50">
        <v>13118872</v>
      </c>
      <c r="B59" s="10" t="s">
        <v>3348</v>
      </c>
    </row>
    <row r="60" spans="1:19" x14ac:dyDescent="0.25">
      <c r="A60" s="50">
        <v>12012030</v>
      </c>
      <c r="B60" s="10" t="s">
        <v>3348</v>
      </c>
    </row>
    <row r="62" spans="1:19" x14ac:dyDescent="0.25">
      <c r="A62" s="52" t="s">
        <v>120</v>
      </c>
      <c r="B62" s="10"/>
    </row>
    <row r="63" spans="1:19" x14ac:dyDescent="0.25">
      <c r="A63" s="50">
        <v>9074418</v>
      </c>
      <c r="B63" s="10" t="s">
        <v>3349</v>
      </c>
    </row>
    <row r="64" spans="1:19" x14ac:dyDescent="0.25">
      <c r="A64" s="50">
        <v>1263</v>
      </c>
      <c r="B64" s="10" t="s">
        <v>3349</v>
      </c>
      <c r="L64">
        <v>5</v>
      </c>
      <c r="N64">
        <v>20</v>
      </c>
      <c r="Q64">
        <v>75</v>
      </c>
      <c r="S64">
        <v>74</v>
      </c>
    </row>
    <row r="65" spans="1:39" x14ac:dyDescent="0.25">
      <c r="A65" s="50">
        <v>98004910</v>
      </c>
      <c r="B65" s="10" t="s">
        <v>3349</v>
      </c>
    </row>
    <row r="66" spans="1:39" x14ac:dyDescent="0.25">
      <c r="A66" s="50">
        <v>7103068</v>
      </c>
      <c r="B66" s="10" t="s">
        <v>3349</v>
      </c>
      <c r="K66">
        <v>29</v>
      </c>
    </row>
    <row r="67" spans="1:39" x14ac:dyDescent="0.25">
      <c r="A67" s="50">
        <v>11240728</v>
      </c>
      <c r="B67" s="10" t="s">
        <v>3349</v>
      </c>
    </row>
    <row r="68" spans="1:39" x14ac:dyDescent="0.25">
      <c r="A68"/>
      <c r="C68" s="7"/>
      <c r="D68" s="7"/>
      <c r="E68" s="7"/>
      <c r="F68" s="7"/>
      <c r="G68" s="7"/>
      <c r="H68" s="7"/>
      <c r="I68" s="7"/>
      <c r="J68" s="7"/>
      <c r="K68" s="7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</row>
    <row r="69" spans="1:39" x14ac:dyDescent="0.25">
      <c r="A69" s="26" t="s">
        <v>170</v>
      </c>
      <c r="B69" s="26"/>
    </row>
    <row r="70" spans="1:39" x14ac:dyDescent="0.25">
      <c r="A70" s="10" t="s">
        <v>143</v>
      </c>
      <c r="B70" s="10"/>
    </row>
    <row r="71" spans="1:39" x14ac:dyDescent="0.25">
      <c r="A71" s="50">
        <v>5015869</v>
      </c>
      <c r="B71" t="s">
        <v>3350</v>
      </c>
    </row>
    <row r="72" spans="1:39" x14ac:dyDescent="0.25">
      <c r="A72" s="50">
        <v>5016969</v>
      </c>
      <c r="B72" t="s">
        <v>3350</v>
      </c>
      <c r="L72">
        <v>12</v>
      </c>
    </row>
    <row r="73" spans="1:39" x14ac:dyDescent="0.25">
      <c r="A73" s="50">
        <v>6023231</v>
      </c>
      <c r="B73" t="s">
        <v>3350</v>
      </c>
    </row>
    <row r="74" spans="1:39" x14ac:dyDescent="0.25">
      <c r="A74" s="50">
        <v>6010712</v>
      </c>
      <c r="B74" t="s">
        <v>3350</v>
      </c>
    </row>
    <row r="75" spans="1:39" x14ac:dyDescent="0.25">
      <c r="A75" s="50">
        <v>6011198</v>
      </c>
      <c r="B75" t="s">
        <v>3350</v>
      </c>
    </row>
    <row r="76" spans="1:39" x14ac:dyDescent="0.25">
      <c r="A76" s="50">
        <v>6012681</v>
      </c>
      <c r="B76" t="s">
        <v>3350</v>
      </c>
    </row>
    <row r="77" spans="1:39" x14ac:dyDescent="0.25">
      <c r="A77" s="50">
        <v>6014511</v>
      </c>
      <c r="B77" t="s">
        <v>3350</v>
      </c>
    </row>
    <row r="78" spans="1:39" x14ac:dyDescent="0.25">
      <c r="A78" s="50">
        <v>6045127</v>
      </c>
      <c r="B78" t="s">
        <v>3350</v>
      </c>
    </row>
    <row r="79" spans="1:39" x14ac:dyDescent="0.25">
      <c r="A79" s="50">
        <v>7000458</v>
      </c>
      <c r="B79" t="s">
        <v>3350</v>
      </c>
    </row>
    <row r="80" spans="1:39" x14ac:dyDescent="0.25">
      <c r="A80" s="50">
        <v>7015502</v>
      </c>
      <c r="B80" t="s">
        <v>3350</v>
      </c>
    </row>
    <row r="81" spans="1:2" x14ac:dyDescent="0.25">
      <c r="A81" s="50">
        <v>7025847</v>
      </c>
      <c r="B81" t="s">
        <v>3350</v>
      </c>
    </row>
    <row r="82" spans="1:2" x14ac:dyDescent="0.25">
      <c r="A82" s="50">
        <v>7082707</v>
      </c>
      <c r="B82" t="s">
        <v>3350</v>
      </c>
    </row>
    <row r="83" spans="1:2" x14ac:dyDescent="0.25">
      <c r="A83" s="50">
        <v>7083159</v>
      </c>
      <c r="B83" t="s">
        <v>3350</v>
      </c>
    </row>
    <row r="84" spans="1:2" x14ac:dyDescent="0.25">
      <c r="A84" s="50">
        <v>7084659</v>
      </c>
      <c r="B84" t="s">
        <v>3350</v>
      </c>
    </row>
    <row r="85" spans="1:2" x14ac:dyDescent="0.25">
      <c r="A85" s="50">
        <v>7076814</v>
      </c>
      <c r="B85" t="s">
        <v>3350</v>
      </c>
    </row>
    <row r="86" spans="1:2" x14ac:dyDescent="0.25">
      <c r="A86" s="50">
        <v>7076815</v>
      </c>
      <c r="B86" t="s">
        <v>3350</v>
      </c>
    </row>
    <row r="87" spans="1:2" x14ac:dyDescent="0.25">
      <c r="A87" s="50">
        <v>7089231</v>
      </c>
      <c r="B87" t="s">
        <v>3350</v>
      </c>
    </row>
    <row r="88" spans="1:2" x14ac:dyDescent="0.25">
      <c r="A88" s="50">
        <v>7116004</v>
      </c>
      <c r="B88" t="s">
        <v>3350</v>
      </c>
    </row>
    <row r="89" spans="1:2" x14ac:dyDescent="0.25">
      <c r="A89" s="50">
        <v>8003819</v>
      </c>
      <c r="B89" t="s">
        <v>3350</v>
      </c>
    </row>
    <row r="90" spans="1:2" x14ac:dyDescent="0.25">
      <c r="A90" s="50">
        <v>8091779</v>
      </c>
      <c r="B90" t="s">
        <v>3350</v>
      </c>
    </row>
    <row r="91" spans="1:2" x14ac:dyDescent="0.25">
      <c r="A91" s="50">
        <v>8097989</v>
      </c>
      <c r="B91" t="s">
        <v>3350</v>
      </c>
    </row>
    <row r="92" spans="1:2" x14ac:dyDescent="0.25">
      <c r="A92" s="50">
        <v>8112522</v>
      </c>
      <c r="B92" t="s">
        <v>3350</v>
      </c>
    </row>
    <row r="93" spans="1:2" x14ac:dyDescent="0.25">
      <c r="A93" s="50">
        <v>8127397</v>
      </c>
      <c r="B93" t="s">
        <v>3350</v>
      </c>
    </row>
    <row r="94" spans="1:2" x14ac:dyDescent="0.25">
      <c r="A94" s="50">
        <v>8130998</v>
      </c>
      <c r="B94" t="s">
        <v>3350</v>
      </c>
    </row>
    <row r="95" spans="1:2" x14ac:dyDescent="0.25">
      <c r="A95" s="50">
        <v>9002836</v>
      </c>
      <c r="B95" t="s">
        <v>3350</v>
      </c>
    </row>
    <row r="96" spans="1:2" x14ac:dyDescent="0.25">
      <c r="A96" s="50">
        <v>9003331</v>
      </c>
      <c r="B96" t="s">
        <v>3350</v>
      </c>
    </row>
    <row r="97" spans="1:30" x14ac:dyDescent="0.25">
      <c r="A97" s="50">
        <v>9003370</v>
      </c>
      <c r="B97" t="s">
        <v>3350</v>
      </c>
      <c r="L97">
        <v>96.7</v>
      </c>
    </row>
    <row r="98" spans="1:30" x14ac:dyDescent="0.25">
      <c r="A98" s="50">
        <v>9016278</v>
      </c>
      <c r="B98" t="s">
        <v>3350</v>
      </c>
    </row>
    <row r="99" spans="1:30" x14ac:dyDescent="0.25">
      <c r="A99" s="50">
        <v>9030684</v>
      </c>
      <c r="B99" t="s">
        <v>3350</v>
      </c>
      <c r="L99">
        <v>8</v>
      </c>
      <c r="M99">
        <v>80</v>
      </c>
      <c r="N99">
        <v>72</v>
      </c>
    </row>
    <row r="100" spans="1:30" x14ac:dyDescent="0.25">
      <c r="A100" s="50">
        <v>9031387</v>
      </c>
      <c r="B100" t="s">
        <v>3350</v>
      </c>
      <c r="AC100">
        <v>32.1</v>
      </c>
      <c r="AD100">
        <v>58.9</v>
      </c>
    </row>
    <row r="101" spans="1:30" x14ac:dyDescent="0.25">
      <c r="A101" s="50">
        <v>9038676</v>
      </c>
      <c r="B101" t="s">
        <v>3350</v>
      </c>
      <c r="L101">
        <v>25</v>
      </c>
      <c r="M101">
        <v>48</v>
      </c>
      <c r="N101">
        <v>81</v>
      </c>
    </row>
    <row r="102" spans="1:30" x14ac:dyDescent="0.25">
      <c r="A102" s="50">
        <v>9039416</v>
      </c>
      <c r="B102" t="s">
        <v>3350</v>
      </c>
      <c r="O102">
        <v>122</v>
      </c>
    </row>
    <row r="103" spans="1:30" x14ac:dyDescent="0.25">
      <c r="A103" s="50">
        <v>9042861</v>
      </c>
      <c r="B103" t="s">
        <v>3350</v>
      </c>
      <c r="O103">
        <v>64</v>
      </c>
      <c r="AA103">
        <v>80</v>
      </c>
      <c r="AB103">
        <v>99</v>
      </c>
    </row>
    <row r="104" spans="1:30" x14ac:dyDescent="0.25">
      <c r="A104" s="50">
        <v>9044899</v>
      </c>
      <c r="B104" t="s">
        <v>3350</v>
      </c>
    </row>
    <row r="105" spans="1:30" x14ac:dyDescent="0.25">
      <c r="A105" s="50">
        <v>9052398</v>
      </c>
      <c r="B105" t="s">
        <v>3350</v>
      </c>
      <c r="L105">
        <v>65</v>
      </c>
    </row>
    <row r="106" spans="1:30" x14ac:dyDescent="0.25">
      <c r="A106" s="50">
        <v>9085204</v>
      </c>
      <c r="B106" t="s">
        <v>3350</v>
      </c>
    </row>
    <row r="107" spans="1:30" x14ac:dyDescent="0.25">
      <c r="A107" s="50">
        <v>9090323</v>
      </c>
      <c r="B107" t="s">
        <v>3350</v>
      </c>
    </row>
    <row r="108" spans="1:30" x14ac:dyDescent="0.25">
      <c r="A108" s="50">
        <v>9105492</v>
      </c>
      <c r="B108" t="s">
        <v>3350</v>
      </c>
    </row>
    <row r="109" spans="1:30" x14ac:dyDescent="0.25">
      <c r="A109" s="50">
        <v>9138470</v>
      </c>
      <c r="B109" t="s">
        <v>3350</v>
      </c>
    </row>
    <row r="110" spans="1:30" x14ac:dyDescent="0.25">
      <c r="A110" s="50">
        <v>9150676</v>
      </c>
      <c r="B110" t="s">
        <v>3350</v>
      </c>
    </row>
    <row r="111" spans="1:30" x14ac:dyDescent="0.25">
      <c r="A111" s="50">
        <v>10010926</v>
      </c>
      <c r="B111" t="s">
        <v>3350</v>
      </c>
      <c r="L111">
        <v>84</v>
      </c>
      <c r="N111">
        <v>83</v>
      </c>
    </row>
    <row r="112" spans="1:30" x14ac:dyDescent="0.25">
      <c r="A112" s="50">
        <v>10016588</v>
      </c>
      <c r="B112" t="s">
        <v>3350</v>
      </c>
    </row>
    <row r="113" spans="1:26" x14ac:dyDescent="0.25">
      <c r="A113" s="50">
        <v>10030897</v>
      </c>
      <c r="B113" t="s">
        <v>3350</v>
      </c>
    </row>
    <row r="114" spans="1:26" x14ac:dyDescent="0.25">
      <c r="A114" s="50">
        <v>324</v>
      </c>
      <c r="B114" t="s">
        <v>3350</v>
      </c>
    </row>
    <row r="115" spans="1:26" x14ac:dyDescent="0.25">
      <c r="A115" s="50">
        <v>3909</v>
      </c>
      <c r="B115" t="s">
        <v>3350</v>
      </c>
      <c r="Q115">
        <v>50</v>
      </c>
    </row>
    <row r="116" spans="1:26" x14ac:dyDescent="0.25">
      <c r="A116" s="50">
        <v>4663</v>
      </c>
      <c r="B116" t="s">
        <v>3350</v>
      </c>
      <c r="E116">
        <v>103</v>
      </c>
      <c r="Z116">
        <v>28</v>
      </c>
    </row>
    <row r="117" spans="1:26" x14ac:dyDescent="0.25">
      <c r="A117" s="50">
        <v>1005522</v>
      </c>
      <c r="B117" t="s">
        <v>3350</v>
      </c>
    </row>
    <row r="118" spans="1:26" x14ac:dyDescent="0.25">
      <c r="A118" s="50">
        <v>1007631</v>
      </c>
      <c r="B118" t="s">
        <v>3350</v>
      </c>
      <c r="M118">
        <v>95</v>
      </c>
    </row>
    <row r="119" spans="1:26" x14ac:dyDescent="0.25">
      <c r="A119" s="50">
        <v>1009760</v>
      </c>
      <c r="B119" t="s">
        <v>3350</v>
      </c>
    </row>
    <row r="120" spans="1:26" x14ac:dyDescent="0.25">
      <c r="A120" s="50">
        <v>2000646</v>
      </c>
      <c r="B120" t="s">
        <v>3350</v>
      </c>
      <c r="L120">
        <v>84</v>
      </c>
      <c r="M120">
        <v>82</v>
      </c>
      <c r="T120">
        <v>91</v>
      </c>
      <c r="U120">
        <v>100</v>
      </c>
      <c r="V120">
        <v>95</v>
      </c>
    </row>
    <row r="121" spans="1:26" x14ac:dyDescent="0.25">
      <c r="A121" s="50">
        <v>2003761</v>
      </c>
      <c r="B121" t="s">
        <v>3350</v>
      </c>
      <c r="I121">
        <v>6</v>
      </c>
      <c r="L121">
        <v>6</v>
      </c>
    </row>
    <row r="122" spans="1:26" x14ac:dyDescent="0.25">
      <c r="A122" s="50">
        <v>2004061</v>
      </c>
      <c r="B122" t="s">
        <v>3350</v>
      </c>
      <c r="L122" s="14">
        <v>64</v>
      </c>
      <c r="M122">
        <v>82</v>
      </c>
      <c r="N122">
        <v>96</v>
      </c>
      <c r="O122">
        <v>110</v>
      </c>
    </row>
    <row r="123" spans="1:26" x14ac:dyDescent="0.25">
      <c r="A123" s="50">
        <v>2006469</v>
      </c>
      <c r="B123" t="s">
        <v>3350</v>
      </c>
    </row>
    <row r="124" spans="1:26" x14ac:dyDescent="0.25">
      <c r="A124" s="50">
        <v>3005132</v>
      </c>
      <c r="B124" t="s">
        <v>3350</v>
      </c>
    </row>
    <row r="125" spans="1:26" x14ac:dyDescent="0.25">
      <c r="A125" s="50">
        <v>3009119</v>
      </c>
      <c r="B125" t="s">
        <v>3350</v>
      </c>
    </row>
    <row r="126" spans="1:26" x14ac:dyDescent="0.25">
      <c r="A126" s="50">
        <v>3009936</v>
      </c>
      <c r="B126" t="s">
        <v>3350</v>
      </c>
    </row>
    <row r="127" spans="1:26" x14ac:dyDescent="0.25">
      <c r="A127" s="50">
        <v>3011094</v>
      </c>
      <c r="B127" t="s">
        <v>3350</v>
      </c>
      <c r="L127">
        <v>93</v>
      </c>
      <c r="N127">
        <v>64</v>
      </c>
    </row>
    <row r="128" spans="1:26" x14ac:dyDescent="0.25">
      <c r="A128" s="50">
        <v>3014643</v>
      </c>
      <c r="B128" t="s">
        <v>3350</v>
      </c>
    </row>
    <row r="129" spans="1:38" x14ac:dyDescent="0.25">
      <c r="A129" s="50">
        <v>3016056</v>
      </c>
      <c r="B129" t="s">
        <v>3350</v>
      </c>
      <c r="AL129">
        <v>100</v>
      </c>
    </row>
    <row r="130" spans="1:38" x14ac:dyDescent="0.25">
      <c r="A130" s="50">
        <v>3900219</v>
      </c>
      <c r="B130" t="s">
        <v>3350</v>
      </c>
    </row>
    <row r="131" spans="1:38" x14ac:dyDescent="0.25">
      <c r="A131" s="50">
        <v>4000158</v>
      </c>
      <c r="B131" t="s">
        <v>3350</v>
      </c>
      <c r="M131">
        <v>115</v>
      </c>
    </row>
    <row r="132" spans="1:38" x14ac:dyDescent="0.25">
      <c r="A132" s="50">
        <v>4000304</v>
      </c>
      <c r="B132" t="s">
        <v>3350</v>
      </c>
      <c r="L132">
        <v>100</v>
      </c>
    </row>
    <row r="133" spans="1:38" x14ac:dyDescent="0.25">
      <c r="A133" s="50">
        <v>4001905</v>
      </c>
      <c r="B133" t="s">
        <v>3350</v>
      </c>
    </row>
    <row r="134" spans="1:38" x14ac:dyDescent="0.25">
      <c r="A134" s="50">
        <v>4002206</v>
      </c>
      <c r="B134" t="s">
        <v>3350</v>
      </c>
      <c r="L134">
        <v>110</v>
      </c>
    </row>
    <row r="135" spans="1:38" x14ac:dyDescent="0.25">
      <c r="A135" s="50">
        <v>4002715</v>
      </c>
      <c r="B135" t="s">
        <v>3350</v>
      </c>
    </row>
    <row r="136" spans="1:38" x14ac:dyDescent="0.25">
      <c r="A136" s="50">
        <v>4003924</v>
      </c>
      <c r="B136" t="s">
        <v>3350</v>
      </c>
      <c r="O136">
        <v>71</v>
      </c>
    </row>
    <row r="137" spans="1:38" x14ac:dyDescent="0.25">
      <c r="A137" s="50">
        <v>4006051</v>
      </c>
      <c r="B137" t="s">
        <v>3350</v>
      </c>
    </row>
    <row r="138" spans="1:38" x14ac:dyDescent="0.25">
      <c r="A138" s="50">
        <v>4008140</v>
      </c>
      <c r="B138" t="s">
        <v>3350</v>
      </c>
    </row>
    <row r="139" spans="1:38" x14ac:dyDescent="0.25">
      <c r="A139" s="50">
        <v>4009906</v>
      </c>
      <c r="B139" t="s">
        <v>3350</v>
      </c>
    </row>
    <row r="140" spans="1:38" x14ac:dyDescent="0.25">
      <c r="A140" s="50">
        <v>4011027</v>
      </c>
      <c r="B140" t="s">
        <v>3350</v>
      </c>
      <c r="M140">
        <v>28</v>
      </c>
      <c r="N140">
        <v>37</v>
      </c>
      <c r="S140">
        <v>81</v>
      </c>
      <c r="T140">
        <v>82</v>
      </c>
    </row>
    <row r="141" spans="1:38" x14ac:dyDescent="0.25">
      <c r="A141" s="50">
        <v>4011920</v>
      </c>
      <c r="B141" t="s">
        <v>3350</v>
      </c>
    </row>
    <row r="142" spans="1:38" x14ac:dyDescent="0.25">
      <c r="A142" s="50">
        <v>4012248</v>
      </c>
      <c r="B142" t="s">
        <v>3350</v>
      </c>
    </row>
    <row r="143" spans="1:38" x14ac:dyDescent="0.25">
      <c r="A143" s="50">
        <v>4013603</v>
      </c>
      <c r="B143" t="s">
        <v>3350</v>
      </c>
    </row>
    <row r="144" spans="1:38" x14ac:dyDescent="0.25">
      <c r="A144" s="50">
        <v>5004654</v>
      </c>
      <c r="B144" t="s">
        <v>3350</v>
      </c>
      <c r="O144">
        <v>81</v>
      </c>
      <c r="P144">
        <v>78</v>
      </c>
      <c r="Q144">
        <v>82</v>
      </c>
      <c r="T144">
        <v>91</v>
      </c>
    </row>
    <row r="145" spans="1:31" x14ac:dyDescent="0.25">
      <c r="A145" s="54"/>
      <c r="B145" s="65"/>
    </row>
    <row r="146" spans="1:31" x14ac:dyDescent="0.25">
      <c r="A146" s="52" t="s">
        <v>146</v>
      </c>
      <c r="B146" s="10"/>
    </row>
    <row r="147" spans="1:31" x14ac:dyDescent="0.25">
      <c r="A147" s="50">
        <v>4289</v>
      </c>
      <c r="B147" t="s">
        <v>3351</v>
      </c>
      <c r="L147">
        <v>93</v>
      </c>
      <c r="M147">
        <v>20</v>
      </c>
      <c r="N147">
        <v>17</v>
      </c>
    </row>
    <row r="148" spans="1:31" x14ac:dyDescent="0.25">
      <c r="A148" s="50">
        <v>500245</v>
      </c>
      <c r="B148" t="s">
        <v>3351</v>
      </c>
      <c r="L148">
        <v>121</v>
      </c>
      <c r="O148">
        <v>99</v>
      </c>
      <c r="U148">
        <v>109</v>
      </c>
    </row>
    <row r="149" spans="1:31" x14ac:dyDescent="0.25">
      <c r="A149" s="50">
        <v>2002573</v>
      </c>
      <c r="B149" t="s">
        <v>3351</v>
      </c>
    </row>
    <row r="150" spans="1:31" x14ac:dyDescent="0.25">
      <c r="A150" s="50">
        <v>2003539</v>
      </c>
      <c r="B150" t="s">
        <v>3351</v>
      </c>
    </row>
    <row r="151" spans="1:31" x14ac:dyDescent="0.25">
      <c r="A151" s="50">
        <v>2003649</v>
      </c>
      <c r="B151" t="s">
        <v>3351</v>
      </c>
      <c r="L151">
        <v>58.1</v>
      </c>
    </row>
    <row r="152" spans="1:31" x14ac:dyDescent="0.25">
      <c r="A152" s="50">
        <v>2005572</v>
      </c>
      <c r="B152" t="s">
        <v>3351</v>
      </c>
      <c r="L152">
        <v>90</v>
      </c>
    </row>
    <row r="153" spans="1:31" x14ac:dyDescent="0.25">
      <c r="A153" s="50">
        <v>2013117</v>
      </c>
      <c r="B153" t="s">
        <v>3351</v>
      </c>
    </row>
    <row r="154" spans="1:31" x14ac:dyDescent="0.25">
      <c r="A154" s="50">
        <v>3009633</v>
      </c>
      <c r="B154" t="s">
        <v>3351</v>
      </c>
      <c r="Y154">
        <v>85.8</v>
      </c>
    </row>
    <row r="155" spans="1:31" x14ac:dyDescent="0.25">
      <c r="A155" s="50">
        <v>3010583</v>
      </c>
      <c r="B155" t="s">
        <v>3351</v>
      </c>
    </row>
    <row r="156" spans="1:31" x14ac:dyDescent="0.25">
      <c r="A156" s="23">
        <v>3011892</v>
      </c>
      <c r="B156" t="s">
        <v>3351</v>
      </c>
      <c r="U156">
        <v>72</v>
      </c>
      <c r="AE156">
        <v>100</v>
      </c>
    </row>
    <row r="157" spans="1:31" x14ac:dyDescent="0.25">
      <c r="A157">
        <v>4001382</v>
      </c>
      <c r="B157" t="s">
        <v>3351</v>
      </c>
      <c r="K157">
        <v>46</v>
      </c>
      <c r="L157">
        <v>68</v>
      </c>
    </row>
    <row r="158" spans="1:31" x14ac:dyDescent="0.25">
      <c r="A158" s="50">
        <v>5018675</v>
      </c>
      <c r="B158" t="s">
        <v>3351</v>
      </c>
    </row>
    <row r="159" spans="1:31" x14ac:dyDescent="0.25">
      <c r="A159" s="50">
        <v>6050168</v>
      </c>
      <c r="B159" t="s">
        <v>3351</v>
      </c>
    </row>
    <row r="160" spans="1:31" x14ac:dyDescent="0.25">
      <c r="A160" s="50">
        <v>5006592</v>
      </c>
      <c r="B160" t="s">
        <v>3351</v>
      </c>
    </row>
    <row r="161" spans="1:39" x14ac:dyDescent="0.25">
      <c r="A161" s="50">
        <v>5007274</v>
      </c>
      <c r="B161" t="s">
        <v>3351</v>
      </c>
    </row>
    <row r="162" spans="1:39" x14ac:dyDescent="0.25">
      <c r="A162" s="50">
        <v>5015851</v>
      </c>
      <c r="B162" t="s">
        <v>3351</v>
      </c>
      <c r="L162" s="14">
        <v>99</v>
      </c>
      <c r="AG162">
        <v>113</v>
      </c>
      <c r="AH162">
        <v>108</v>
      </c>
      <c r="AK162">
        <v>98</v>
      </c>
      <c r="AM162">
        <v>107</v>
      </c>
    </row>
    <row r="163" spans="1:39" x14ac:dyDescent="0.25">
      <c r="A163" s="50">
        <v>6015647</v>
      </c>
      <c r="B163" t="s">
        <v>3351</v>
      </c>
      <c r="L163">
        <v>70</v>
      </c>
    </row>
    <row r="164" spans="1:39" x14ac:dyDescent="0.25">
      <c r="A164" s="50">
        <v>6056633</v>
      </c>
      <c r="B164" t="s">
        <v>3351</v>
      </c>
    </row>
    <row r="165" spans="1:39" x14ac:dyDescent="0.25">
      <c r="A165" s="50">
        <v>7086224</v>
      </c>
      <c r="B165" t="s">
        <v>3351</v>
      </c>
      <c r="V165">
        <v>83.8</v>
      </c>
    </row>
    <row r="166" spans="1:39" x14ac:dyDescent="0.25">
      <c r="A166" s="50">
        <v>8040959</v>
      </c>
      <c r="B166" t="s">
        <v>3351</v>
      </c>
    </row>
    <row r="167" spans="1:39" x14ac:dyDescent="0.25">
      <c r="A167" s="50">
        <v>8107048</v>
      </c>
      <c r="B167" t="s">
        <v>3351</v>
      </c>
    </row>
    <row r="168" spans="1:39" x14ac:dyDescent="0.25">
      <c r="A168" s="50">
        <v>8124044</v>
      </c>
      <c r="B168" t="s">
        <v>3351</v>
      </c>
    </row>
    <row r="169" spans="1:39" x14ac:dyDescent="0.25">
      <c r="A169" s="50">
        <v>8142949</v>
      </c>
      <c r="B169" t="s">
        <v>3351</v>
      </c>
    </row>
    <row r="170" spans="1:39" x14ac:dyDescent="0.25">
      <c r="A170" s="50">
        <v>9023306</v>
      </c>
      <c r="B170" t="s">
        <v>3351</v>
      </c>
    </row>
    <row r="171" spans="1:39" x14ac:dyDescent="0.25">
      <c r="A171" s="50">
        <v>9030615</v>
      </c>
      <c r="B171" t="s">
        <v>3351</v>
      </c>
      <c r="O171">
        <v>90.8</v>
      </c>
    </row>
    <row r="172" spans="1:39" x14ac:dyDescent="0.25">
      <c r="A172" s="50">
        <v>9034464</v>
      </c>
      <c r="B172" t="s">
        <v>3351</v>
      </c>
      <c r="L172">
        <v>47</v>
      </c>
      <c r="M172">
        <v>67</v>
      </c>
    </row>
    <row r="173" spans="1:39" x14ac:dyDescent="0.25">
      <c r="A173" s="50">
        <v>9040167</v>
      </c>
      <c r="B173" t="s">
        <v>3351</v>
      </c>
      <c r="I173">
        <v>110</v>
      </c>
    </row>
    <row r="174" spans="1:39" x14ac:dyDescent="0.25">
      <c r="A174" s="50">
        <v>9054567</v>
      </c>
      <c r="B174" t="s">
        <v>3351</v>
      </c>
    </row>
    <row r="175" spans="1:39" x14ac:dyDescent="0.25">
      <c r="A175" s="50">
        <v>9083682</v>
      </c>
      <c r="B175" t="s">
        <v>3351</v>
      </c>
      <c r="K175">
        <v>90</v>
      </c>
    </row>
    <row r="176" spans="1:39" x14ac:dyDescent="0.25">
      <c r="A176" s="50">
        <v>9102044</v>
      </c>
      <c r="B176" t="s">
        <v>3351</v>
      </c>
    </row>
    <row r="177" spans="1:13" x14ac:dyDescent="0.25">
      <c r="A177" s="50">
        <v>9119854</v>
      </c>
      <c r="B177" t="s">
        <v>3351</v>
      </c>
    </row>
    <row r="178" spans="1:13" x14ac:dyDescent="0.25">
      <c r="A178" s="50">
        <v>9125126</v>
      </c>
      <c r="B178" t="s">
        <v>3351</v>
      </c>
    </row>
    <row r="179" spans="1:13" x14ac:dyDescent="0.25">
      <c r="A179" s="50">
        <v>9174811</v>
      </c>
      <c r="B179" t="s">
        <v>3351</v>
      </c>
    </row>
    <row r="180" spans="1:13" x14ac:dyDescent="0.25">
      <c r="A180" s="50">
        <v>10002875</v>
      </c>
      <c r="B180" t="s">
        <v>3351</v>
      </c>
    </row>
    <row r="181" spans="1:13" x14ac:dyDescent="0.25">
      <c r="A181" s="50">
        <v>10023080</v>
      </c>
      <c r="B181" t="s">
        <v>3351</v>
      </c>
    </row>
    <row r="182" spans="1:13" x14ac:dyDescent="0.25">
      <c r="A182" s="50">
        <v>10025212</v>
      </c>
      <c r="B182" t="s">
        <v>3351</v>
      </c>
    </row>
    <row r="183" spans="1:13" x14ac:dyDescent="0.25">
      <c r="A183" s="50">
        <v>10069407</v>
      </c>
      <c r="B183" t="s">
        <v>3351</v>
      </c>
    </row>
    <row r="184" spans="1:13" x14ac:dyDescent="0.25">
      <c r="A184" s="50">
        <v>10071135</v>
      </c>
      <c r="B184" t="s">
        <v>3351</v>
      </c>
    </row>
    <row r="185" spans="1:13" x14ac:dyDescent="0.25">
      <c r="A185" s="50">
        <v>10083649</v>
      </c>
      <c r="B185" t="s">
        <v>3351</v>
      </c>
      <c r="L185">
        <v>60</v>
      </c>
      <c r="M185">
        <v>58</v>
      </c>
    </row>
    <row r="186" spans="1:13" x14ac:dyDescent="0.25">
      <c r="A186" s="50">
        <v>10102021</v>
      </c>
      <c r="B186" t="s">
        <v>3351</v>
      </c>
    </row>
    <row r="187" spans="1:13" x14ac:dyDescent="0.25">
      <c r="A187" s="50">
        <v>10123729</v>
      </c>
      <c r="B187" t="s">
        <v>3351</v>
      </c>
    </row>
    <row r="188" spans="1:13" x14ac:dyDescent="0.25">
      <c r="A188" s="50">
        <v>10144736</v>
      </c>
      <c r="B188" t="s">
        <v>3351</v>
      </c>
    </row>
    <row r="189" spans="1:13" x14ac:dyDescent="0.25">
      <c r="A189" s="50">
        <v>10157275</v>
      </c>
      <c r="B189" t="s">
        <v>3351</v>
      </c>
    </row>
    <row r="190" spans="1:13" x14ac:dyDescent="0.25">
      <c r="A190" s="54"/>
      <c r="B190" s="65"/>
    </row>
    <row r="191" spans="1:13" x14ac:dyDescent="0.25">
      <c r="A191" s="52" t="s">
        <v>120</v>
      </c>
      <c r="B191" s="10"/>
    </row>
    <row r="192" spans="1:13" x14ac:dyDescent="0.25">
      <c r="A192" s="50">
        <v>5281</v>
      </c>
      <c r="B192" t="s">
        <v>3352</v>
      </c>
      <c r="K192">
        <v>18</v>
      </c>
    </row>
    <row r="193" spans="1:32" x14ac:dyDescent="0.25">
      <c r="A193" s="50">
        <v>200085</v>
      </c>
      <c r="B193" t="s">
        <v>3352</v>
      </c>
      <c r="P193">
        <v>100</v>
      </c>
      <c r="R193">
        <v>100</v>
      </c>
      <c r="U193">
        <v>100</v>
      </c>
      <c r="W193">
        <v>100</v>
      </c>
      <c r="Z193">
        <v>100</v>
      </c>
      <c r="AA193">
        <v>100</v>
      </c>
    </row>
    <row r="194" spans="1:32" x14ac:dyDescent="0.25">
      <c r="A194" s="50">
        <v>500129</v>
      </c>
      <c r="B194" t="s">
        <v>3352</v>
      </c>
      <c r="U194">
        <v>39</v>
      </c>
      <c r="X194">
        <v>48</v>
      </c>
      <c r="AF194">
        <v>88</v>
      </c>
    </row>
    <row r="195" spans="1:32" x14ac:dyDescent="0.25">
      <c r="A195" s="53">
        <v>1002033</v>
      </c>
      <c r="B195" t="s">
        <v>3352</v>
      </c>
    </row>
    <row r="196" spans="1:32" x14ac:dyDescent="0.25">
      <c r="A196" s="50">
        <v>1003457</v>
      </c>
      <c r="B196" t="s">
        <v>3352</v>
      </c>
    </row>
    <row r="197" spans="1:32" x14ac:dyDescent="0.25">
      <c r="A197" s="50">
        <v>2005223</v>
      </c>
      <c r="B197" t="s">
        <v>3352</v>
      </c>
    </row>
    <row r="198" spans="1:32" x14ac:dyDescent="0.25">
      <c r="A198" s="50">
        <v>2006107</v>
      </c>
      <c r="B198" t="s">
        <v>3352</v>
      </c>
    </row>
    <row r="199" spans="1:32" x14ac:dyDescent="0.25">
      <c r="A199" s="50">
        <v>2012014</v>
      </c>
      <c r="B199" t="s">
        <v>3352</v>
      </c>
      <c r="E199">
        <v>114</v>
      </c>
      <c r="O199">
        <v>95</v>
      </c>
    </row>
    <row r="200" spans="1:32" x14ac:dyDescent="0.25">
      <c r="A200" s="50">
        <v>3000152</v>
      </c>
      <c r="B200" t="s">
        <v>3352</v>
      </c>
      <c r="K200">
        <v>74</v>
      </c>
    </row>
    <row r="201" spans="1:32" x14ac:dyDescent="0.25">
      <c r="A201" s="50">
        <v>3014566</v>
      </c>
      <c r="B201" t="s">
        <v>3352</v>
      </c>
    </row>
    <row r="202" spans="1:32" x14ac:dyDescent="0.25">
      <c r="A202" s="50">
        <v>3015058</v>
      </c>
      <c r="B202" t="s">
        <v>3352</v>
      </c>
      <c r="E202">
        <v>105</v>
      </c>
      <c r="F202" s="14">
        <v>77</v>
      </c>
      <c r="L202">
        <v>23</v>
      </c>
      <c r="M202">
        <v>64</v>
      </c>
      <c r="N202">
        <v>91</v>
      </c>
      <c r="T202">
        <v>93</v>
      </c>
    </row>
    <row r="203" spans="1:32" x14ac:dyDescent="0.25">
      <c r="A203" s="53">
        <v>4000996</v>
      </c>
      <c r="B203" t="s">
        <v>3352</v>
      </c>
      <c r="M203">
        <v>98</v>
      </c>
      <c r="O203">
        <v>92</v>
      </c>
    </row>
    <row r="204" spans="1:32" x14ac:dyDescent="0.25">
      <c r="A204" s="50">
        <v>4003768</v>
      </c>
      <c r="B204" t="s">
        <v>3352</v>
      </c>
    </row>
    <row r="205" spans="1:32" x14ac:dyDescent="0.25">
      <c r="A205" s="50">
        <v>4006540</v>
      </c>
      <c r="B205" t="s">
        <v>3352</v>
      </c>
      <c r="V205">
        <v>96</v>
      </c>
    </row>
    <row r="206" spans="1:32" x14ac:dyDescent="0.25">
      <c r="A206" s="50">
        <v>4007054</v>
      </c>
      <c r="B206" t="s">
        <v>3352</v>
      </c>
      <c r="P206">
        <v>97</v>
      </c>
    </row>
    <row r="207" spans="1:32" x14ac:dyDescent="0.25">
      <c r="A207" s="50">
        <v>4011002</v>
      </c>
      <c r="B207" t="s">
        <v>3352</v>
      </c>
      <c r="M207">
        <v>70</v>
      </c>
      <c r="Q207">
        <v>67</v>
      </c>
    </row>
    <row r="208" spans="1:32" x14ac:dyDescent="0.25">
      <c r="A208" s="50">
        <v>4900268</v>
      </c>
      <c r="B208" t="s">
        <v>3352</v>
      </c>
      <c r="K208">
        <v>13</v>
      </c>
    </row>
    <row r="209" spans="1:18" x14ac:dyDescent="0.25">
      <c r="A209" s="50">
        <v>5001097</v>
      </c>
      <c r="B209" t="s">
        <v>3352</v>
      </c>
      <c r="G209">
        <v>100</v>
      </c>
      <c r="R209">
        <v>100</v>
      </c>
    </row>
    <row r="210" spans="1:18" x14ac:dyDescent="0.25">
      <c r="A210" s="50">
        <v>5001098</v>
      </c>
      <c r="B210" t="s">
        <v>3352</v>
      </c>
      <c r="D210">
        <v>100</v>
      </c>
    </row>
    <row r="211" spans="1:18" x14ac:dyDescent="0.25">
      <c r="A211" s="50">
        <v>5006152</v>
      </c>
      <c r="B211" t="s">
        <v>3352</v>
      </c>
      <c r="I211">
        <v>110</v>
      </c>
      <c r="M211">
        <v>33</v>
      </c>
    </row>
    <row r="212" spans="1:18" x14ac:dyDescent="0.25">
      <c r="A212" s="50">
        <v>6012361</v>
      </c>
      <c r="B212" t="s">
        <v>3352</v>
      </c>
    </row>
    <row r="213" spans="1:18" x14ac:dyDescent="0.25">
      <c r="A213" s="50">
        <v>6015793</v>
      </c>
      <c r="B213" t="s">
        <v>3352</v>
      </c>
      <c r="J213">
        <v>90</v>
      </c>
      <c r="L213">
        <v>54</v>
      </c>
      <c r="M213">
        <v>53</v>
      </c>
      <c r="P213">
        <v>74</v>
      </c>
    </row>
    <row r="214" spans="1:18" x14ac:dyDescent="0.25">
      <c r="A214" s="50">
        <v>6043619</v>
      </c>
      <c r="B214" t="s">
        <v>3352</v>
      </c>
    </row>
    <row r="215" spans="1:18" x14ac:dyDescent="0.25">
      <c r="A215" s="50">
        <v>7001097</v>
      </c>
      <c r="B215" t="s">
        <v>3352</v>
      </c>
    </row>
    <row r="216" spans="1:18" x14ac:dyDescent="0.25">
      <c r="A216" s="50">
        <v>7011435</v>
      </c>
      <c r="B216" t="s">
        <v>3352</v>
      </c>
    </row>
    <row r="217" spans="1:18" x14ac:dyDescent="0.25">
      <c r="A217" s="50">
        <v>7045811</v>
      </c>
      <c r="B217" t="s">
        <v>3352</v>
      </c>
    </row>
    <row r="218" spans="1:18" x14ac:dyDescent="0.25">
      <c r="A218" s="50">
        <v>7071198</v>
      </c>
      <c r="B218" t="s">
        <v>3352</v>
      </c>
    </row>
    <row r="219" spans="1:18" x14ac:dyDescent="0.25">
      <c r="A219" s="50">
        <v>7101143</v>
      </c>
      <c r="B219" t="s">
        <v>3352</v>
      </c>
    </row>
    <row r="220" spans="1:18" x14ac:dyDescent="0.25">
      <c r="A220" s="50">
        <v>8073350</v>
      </c>
      <c r="B220" t="s">
        <v>3352</v>
      </c>
    </row>
    <row r="221" spans="1:18" x14ac:dyDescent="0.25">
      <c r="A221" s="50">
        <v>8073645</v>
      </c>
      <c r="B221" t="s">
        <v>3352</v>
      </c>
      <c r="M221" s="14">
        <v>32</v>
      </c>
    </row>
    <row r="222" spans="1:18" x14ac:dyDescent="0.25">
      <c r="A222" s="53">
        <v>8089666</v>
      </c>
      <c r="B222" t="s">
        <v>3352</v>
      </c>
      <c r="H222">
        <v>100</v>
      </c>
      <c r="I222" s="14">
        <v>83.3333333333333</v>
      </c>
      <c r="J222">
        <v>58</v>
      </c>
      <c r="L222" s="14">
        <v>10.5</v>
      </c>
      <c r="M222">
        <v>12</v>
      </c>
    </row>
    <row r="223" spans="1:18" x14ac:dyDescent="0.25">
      <c r="A223" s="50">
        <v>8103536</v>
      </c>
      <c r="B223" t="s">
        <v>3352</v>
      </c>
    </row>
    <row r="224" spans="1:18" x14ac:dyDescent="0.25">
      <c r="A224" s="50">
        <v>8124816</v>
      </c>
      <c r="B224" t="s">
        <v>3352</v>
      </c>
    </row>
    <row r="225" spans="1:22" x14ac:dyDescent="0.25">
      <c r="A225" s="50">
        <v>9003267</v>
      </c>
      <c r="B225" t="s">
        <v>3352</v>
      </c>
    </row>
    <row r="226" spans="1:22" x14ac:dyDescent="0.25">
      <c r="A226" s="50">
        <v>9036964</v>
      </c>
      <c r="B226" t="s">
        <v>3352</v>
      </c>
    </row>
    <row r="227" spans="1:22" x14ac:dyDescent="0.25">
      <c r="A227" s="50">
        <v>9090287</v>
      </c>
      <c r="B227" t="s">
        <v>3352</v>
      </c>
      <c r="N227">
        <v>36</v>
      </c>
      <c r="O227">
        <v>42</v>
      </c>
      <c r="P227">
        <v>69</v>
      </c>
      <c r="Q227">
        <v>86</v>
      </c>
    </row>
    <row r="228" spans="1:22" x14ac:dyDescent="0.25">
      <c r="A228" s="50">
        <v>9095148</v>
      </c>
      <c r="B228" t="s">
        <v>3352</v>
      </c>
      <c r="L228">
        <v>69</v>
      </c>
      <c r="M228">
        <v>85</v>
      </c>
    </row>
    <row r="229" spans="1:22" x14ac:dyDescent="0.25">
      <c r="A229" s="50">
        <v>9104979</v>
      </c>
      <c r="B229" t="s">
        <v>3352</v>
      </c>
    </row>
    <row r="230" spans="1:22" x14ac:dyDescent="0.25">
      <c r="A230" s="50">
        <v>9139514</v>
      </c>
      <c r="B230" t="s">
        <v>3352</v>
      </c>
    </row>
    <row r="231" spans="1:22" x14ac:dyDescent="0.25">
      <c r="A231" s="50">
        <v>10020659</v>
      </c>
      <c r="B231" t="s">
        <v>3352</v>
      </c>
      <c r="C231">
        <v>28</v>
      </c>
      <c r="I231">
        <v>17</v>
      </c>
      <c r="T231">
        <v>99</v>
      </c>
    </row>
    <row r="232" spans="1:22" x14ac:dyDescent="0.25">
      <c r="A232" s="50">
        <v>10025902</v>
      </c>
      <c r="B232" t="s">
        <v>3352</v>
      </c>
      <c r="S232">
        <v>65</v>
      </c>
      <c r="V232">
        <v>75</v>
      </c>
    </row>
    <row r="233" spans="1:22" x14ac:dyDescent="0.25">
      <c r="A233" s="50">
        <v>10027654</v>
      </c>
      <c r="B233" t="s">
        <v>3352</v>
      </c>
    </row>
    <row r="234" spans="1:22" x14ac:dyDescent="0.25">
      <c r="A234" s="50">
        <v>10084485</v>
      </c>
      <c r="B234" t="s">
        <v>3352</v>
      </c>
    </row>
    <row r="235" spans="1:22" x14ac:dyDescent="0.25">
      <c r="A235" s="50">
        <v>10098420</v>
      </c>
      <c r="B235" t="s">
        <v>3352</v>
      </c>
      <c r="L235">
        <v>8</v>
      </c>
      <c r="M235">
        <v>15</v>
      </c>
      <c r="O235">
        <v>12</v>
      </c>
    </row>
    <row r="236" spans="1:22" x14ac:dyDescent="0.25">
      <c r="A236" s="50">
        <v>10129565</v>
      </c>
      <c r="B236" t="s">
        <v>3352</v>
      </c>
    </row>
    <row r="237" spans="1:22" x14ac:dyDescent="0.25">
      <c r="A237" s="50">
        <v>10146828</v>
      </c>
      <c r="B237" t="s">
        <v>3352</v>
      </c>
    </row>
    <row r="238" spans="1:22" x14ac:dyDescent="0.25">
      <c r="A238">
        <v>10163776</v>
      </c>
      <c r="B238" t="s">
        <v>3352</v>
      </c>
    </row>
    <row r="239" spans="1:22" x14ac:dyDescent="0.25">
      <c r="A239">
        <v>10173664</v>
      </c>
      <c r="B239" t="s">
        <v>3352</v>
      </c>
      <c r="O239">
        <v>77.8</v>
      </c>
    </row>
  </sheetData>
  <conditionalFormatting sqref="A19">
    <cfRule type="duplicateValues" dxfId="33" priority="1"/>
  </conditionalFormatting>
  <pageMargins left="0.7" right="0.7" top="0.78740157499999996" bottom="0.78740157499999996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0"/>
  <sheetViews>
    <sheetView workbookViewId="0">
      <selection activeCell="G13" sqref="G13"/>
    </sheetView>
  </sheetViews>
  <sheetFormatPr defaultColWidth="11.42578125" defaultRowHeight="15" x14ac:dyDescent="0.25"/>
  <cols>
    <col min="1" max="1" width="17.28515625" bestFit="1" customWidth="1"/>
    <col min="2" max="2" width="12.5703125" bestFit="1" customWidth="1"/>
    <col min="3" max="3" width="8.28515625" bestFit="1" customWidth="1"/>
    <col min="4" max="4" width="81.140625" bestFit="1" customWidth="1"/>
    <col min="5" max="5" width="30" customWidth="1"/>
  </cols>
  <sheetData>
    <row r="1" spans="1:5" x14ac:dyDescent="0.25">
      <c r="A1" s="66" t="s">
        <v>59</v>
      </c>
      <c r="B1" t="s">
        <v>3346</v>
      </c>
      <c r="C1" s="66" t="s">
        <v>2567</v>
      </c>
      <c r="D1" s="66" t="s">
        <v>2564</v>
      </c>
      <c r="E1" s="66" t="s">
        <v>2568</v>
      </c>
    </row>
    <row r="2" spans="1:5" x14ac:dyDescent="0.25">
      <c r="A2" s="66">
        <v>96018835</v>
      </c>
      <c r="B2" t="s">
        <v>3400</v>
      </c>
      <c r="C2" s="66" t="s">
        <v>2567</v>
      </c>
      <c r="D2" s="66" t="s">
        <v>2569</v>
      </c>
      <c r="E2" s="66">
        <v>2</v>
      </c>
    </row>
    <row r="3" spans="1:5" x14ac:dyDescent="0.25">
      <c r="A3" s="66">
        <v>6016435</v>
      </c>
      <c r="B3" t="s">
        <v>3347</v>
      </c>
      <c r="C3" s="66" t="s">
        <v>2567</v>
      </c>
      <c r="D3" s="66" t="s">
        <v>4</v>
      </c>
      <c r="E3" s="66">
        <v>1</v>
      </c>
    </row>
    <row r="4" spans="1:5" x14ac:dyDescent="0.25">
      <c r="A4" s="66">
        <v>10023001</v>
      </c>
      <c r="B4" t="s">
        <v>3347</v>
      </c>
      <c r="C4" s="66" t="s">
        <v>2567</v>
      </c>
      <c r="D4" s="66" t="s">
        <v>1347</v>
      </c>
      <c r="E4" s="66">
        <v>1</v>
      </c>
    </row>
    <row r="5" spans="1:5" x14ac:dyDescent="0.25">
      <c r="A5" s="66">
        <v>1263</v>
      </c>
      <c r="B5" t="s">
        <v>3349</v>
      </c>
      <c r="C5" s="66" t="s">
        <v>2567</v>
      </c>
      <c r="D5" s="66" t="s">
        <v>2570</v>
      </c>
      <c r="E5" s="66">
        <v>4</v>
      </c>
    </row>
    <row r="6" spans="1:5" x14ac:dyDescent="0.25">
      <c r="A6" s="66">
        <v>7103068</v>
      </c>
      <c r="B6" t="s">
        <v>3349</v>
      </c>
      <c r="C6" s="66" t="s">
        <v>2567</v>
      </c>
      <c r="D6" s="66" t="s">
        <v>1347</v>
      </c>
      <c r="E6" s="66">
        <v>1</v>
      </c>
    </row>
    <row r="7" spans="1:5" x14ac:dyDescent="0.25">
      <c r="A7" s="66">
        <v>5016969</v>
      </c>
      <c r="B7" t="s">
        <v>3350</v>
      </c>
      <c r="C7" s="66" t="s">
        <v>2567</v>
      </c>
      <c r="D7" s="66" t="s">
        <v>1268</v>
      </c>
      <c r="E7" s="66">
        <v>1</v>
      </c>
    </row>
    <row r="8" spans="1:5" x14ac:dyDescent="0.25">
      <c r="A8" s="66">
        <v>9003370</v>
      </c>
      <c r="B8" t="s">
        <v>3350</v>
      </c>
      <c r="C8" s="66" t="s">
        <v>2567</v>
      </c>
      <c r="D8" s="66" t="s">
        <v>1268</v>
      </c>
      <c r="E8" s="66">
        <v>1</v>
      </c>
    </row>
    <row r="9" spans="1:5" x14ac:dyDescent="0.25">
      <c r="A9" s="66">
        <v>9030684</v>
      </c>
      <c r="B9" t="s">
        <v>3350</v>
      </c>
      <c r="C9" s="66" t="s">
        <v>2567</v>
      </c>
      <c r="D9" s="66" t="s">
        <v>2571</v>
      </c>
      <c r="E9" s="66">
        <v>3</v>
      </c>
    </row>
    <row r="10" spans="1:5" x14ac:dyDescent="0.25">
      <c r="A10" s="66">
        <v>9031387</v>
      </c>
      <c r="B10" t="s">
        <v>3350</v>
      </c>
      <c r="C10" s="66" t="s">
        <v>2567</v>
      </c>
      <c r="D10" s="66" t="s">
        <v>2572</v>
      </c>
      <c r="E10" s="66">
        <v>2</v>
      </c>
    </row>
    <row r="11" spans="1:5" x14ac:dyDescent="0.25">
      <c r="A11" s="66">
        <v>9038676</v>
      </c>
      <c r="B11" t="s">
        <v>3350</v>
      </c>
      <c r="C11" s="66" t="s">
        <v>2567</v>
      </c>
      <c r="D11" s="66" t="s">
        <v>2571</v>
      </c>
      <c r="E11" s="66">
        <v>3</v>
      </c>
    </row>
    <row r="12" spans="1:5" x14ac:dyDescent="0.25">
      <c r="A12" s="66">
        <v>9039416</v>
      </c>
      <c r="B12" t="s">
        <v>3350</v>
      </c>
      <c r="C12" s="66" t="s">
        <v>2567</v>
      </c>
      <c r="D12" s="66" t="s">
        <v>886</v>
      </c>
      <c r="E12" s="66">
        <v>1</v>
      </c>
    </row>
    <row r="13" spans="1:5" x14ac:dyDescent="0.25">
      <c r="A13" s="66">
        <v>9042861</v>
      </c>
      <c r="B13" t="s">
        <v>3350</v>
      </c>
      <c r="C13" s="66" t="s">
        <v>2567</v>
      </c>
      <c r="D13" s="66" t="s">
        <v>2573</v>
      </c>
      <c r="E13" s="66">
        <v>3</v>
      </c>
    </row>
    <row r="14" spans="1:5" x14ac:dyDescent="0.25">
      <c r="A14" s="66">
        <v>9052398</v>
      </c>
      <c r="B14" t="s">
        <v>3350</v>
      </c>
      <c r="C14" s="66" t="s">
        <v>2567</v>
      </c>
      <c r="D14" s="66" t="s">
        <v>1268</v>
      </c>
      <c r="E14" s="66">
        <v>1</v>
      </c>
    </row>
    <row r="15" spans="1:5" x14ac:dyDescent="0.25">
      <c r="A15" s="66">
        <v>10010926</v>
      </c>
      <c r="B15" t="s">
        <v>3350</v>
      </c>
      <c r="C15" s="66" t="s">
        <v>2567</v>
      </c>
      <c r="D15" s="66" t="s">
        <v>2574</v>
      </c>
      <c r="E15" s="66">
        <v>2</v>
      </c>
    </row>
    <row r="16" spans="1:5" x14ac:dyDescent="0.25">
      <c r="A16" s="66">
        <v>3909</v>
      </c>
      <c r="B16" t="s">
        <v>3350</v>
      </c>
      <c r="C16" s="66" t="s">
        <v>2567</v>
      </c>
      <c r="D16" s="66" t="s">
        <v>6</v>
      </c>
      <c r="E16" s="66">
        <v>1</v>
      </c>
    </row>
    <row r="17" spans="1:5" x14ac:dyDescent="0.25">
      <c r="A17" s="66">
        <v>4663</v>
      </c>
      <c r="B17" t="s">
        <v>3350</v>
      </c>
      <c r="C17" s="66" t="s">
        <v>2567</v>
      </c>
      <c r="D17" s="66" t="s">
        <v>2575</v>
      </c>
      <c r="E17" s="66">
        <v>2</v>
      </c>
    </row>
    <row r="18" spans="1:5" x14ac:dyDescent="0.25">
      <c r="A18" s="66">
        <v>1007631</v>
      </c>
      <c r="B18" t="s">
        <v>3350</v>
      </c>
      <c r="C18" s="66" t="s">
        <v>2567</v>
      </c>
      <c r="D18" s="66" t="s">
        <v>4</v>
      </c>
      <c r="E18" s="66">
        <v>1</v>
      </c>
    </row>
    <row r="19" spans="1:5" x14ac:dyDescent="0.25">
      <c r="A19" s="66">
        <v>2000646</v>
      </c>
      <c r="B19" t="s">
        <v>3350</v>
      </c>
      <c r="C19" s="66" t="s">
        <v>2567</v>
      </c>
      <c r="D19" s="66" t="s">
        <v>2576</v>
      </c>
      <c r="E19" s="66">
        <v>5</v>
      </c>
    </row>
    <row r="20" spans="1:5" x14ac:dyDescent="0.25">
      <c r="A20" s="66">
        <v>2003761</v>
      </c>
      <c r="B20" t="s">
        <v>3350</v>
      </c>
      <c r="C20" s="66" t="s">
        <v>2567</v>
      </c>
      <c r="D20" s="66" t="s">
        <v>2577</v>
      </c>
      <c r="E20" s="66">
        <v>2</v>
      </c>
    </row>
    <row r="21" spans="1:5" x14ac:dyDescent="0.25">
      <c r="A21" s="66">
        <v>2004061</v>
      </c>
      <c r="B21" t="s">
        <v>3350</v>
      </c>
      <c r="C21" s="66" t="s">
        <v>2567</v>
      </c>
      <c r="D21" s="66" t="s">
        <v>2578</v>
      </c>
      <c r="E21" s="66">
        <v>4</v>
      </c>
    </row>
    <row r="22" spans="1:5" x14ac:dyDescent="0.25">
      <c r="A22" s="66">
        <v>3011094</v>
      </c>
      <c r="B22" t="s">
        <v>3350</v>
      </c>
      <c r="C22" s="66" t="s">
        <v>2567</v>
      </c>
      <c r="D22" s="66" t="s">
        <v>2574</v>
      </c>
      <c r="E22" s="66">
        <v>2</v>
      </c>
    </row>
    <row r="23" spans="1:5" x14ac:dyDescent="0.25">
      <c r="A23" s="66">
        <v>3016056</v>
      </c>
      <c r="B23" t="s">
        <v>3350</v>
      </c>
      <c r="C23" s="66" t="s">
        <v>2567</v>
      </c>
      <c r="D23" s="66" t="s">
        <v>1169</v>
      </c>
      <c r="E23" s="66">
        <v>1</v>
      </c>
    </row>
    <row r="24" spans="1:5" x14ac:dyDescent="0.25">
      <c r="A24" s="66">
        <v>4000158</v>
      </c>
      <c r="B24" t="s">
        <v>3350</v>
      </c>
      <c r="C24" s="66" t="s">
        <v>2567</v>
      </c>
      <c r="D24" s="66" t="s">
        <v>4</v>
      </c>
      <c r="E24" s="66">
        <v>1</v>
      </c>
    </row>
    <row r="25" spans="1:5" x14ac:dyDescent="0.25">
      <c r="A25" s="66">
        <v>4000304</v>
      </c>
      <c r="B25" t="s">
        <v>3350</v>
      </c>
      <c r="C25" s="66" t="s">
        <v>2567</v>
      </c>
      <c r="D25" s="66" t="s">
        <v>1268</v>
      </c>
      <c r="E25" s="66">
        <v>1</v>
      </c>
    </row>
    <row r="26" spans="1:5" x14ac:dyDescent="0.25">
      <c r="A26" s="66">
        <v>4002206</v>
      </c>
      <c r="B26" t="s">
        <v>3350</v>
      </c>
      <c r="C26" s="66" t="s">
        <v>2567</v>
      </c>
      <c r="D26" s="66" t="s">
        <v>1268</v>
      </c>
      <c r="E26" s="66">
        <v>1</v>
      </c>
    </row>
    <row r="27" spans="1:5" x14ac:dyDescent="0.25">
      <c r="A27" s="66">
        <v>4003924</v>
      </c>
      <c r="B27" t="s">
        <v>3350</v>
      </c>
      <c r="C27" s="66" t="s">
        <v>2567</v>
      </c>
      <c r="D27" s="66" t="s">
        <v>886</v>
      </c>
      <c r="E27" s="66">
        <v>1</v>
      </c>
    </row>
    <row r="28" spans="1:5" x14ac:dyDescent="0.25">
      <c r="A28" s="66">
        <v>4011027</v>
      </c>
      <c r="B28" t="s">
        <v>3350</v>
      </c>
      <c r="C28" s="66" t="s">
        <v>2567</v>
      </c>
      <c r="D28" s="66" t="s">
        <v>2579</v>
      </c>
      <c r="E28" s="66">
        <v>4</v>
      </c>
    </row>
    <row r="29" spans="1:5" x14ac:dyDescent="0.25">
      <c r="A29" s="66">
        <v>5004654</v>
      </c>
      <c r="B29" t="s">
        <v>3350</v>
      </c>
      <c r="C29" s="66" t="s">
        <v>2567</v>
      </c>
      <c r="D29" s="66" t="s">
        <v>2580</v>
      </c>
      <c r="E29" s="66">
        <v>4</v>
      </c>
    </row>
    <row r="30" spans="1:5" x14ac:dyDescent="0.25">
      <c r="A30" s="66">
        <v>4289</v>
      </c>
      <c r="B30" t="s">
        <v>3351</v>
      </c>
      <c r="C30" s="66" t="s">
        <v>2567</v>
      </c>
      <c r="D30" s="66" t="s">
        <v>2571</v>
      </c>
      <c r="E30" s="66">
        <v>3</v>
      </c>
    </row>
    <row r="31" spans="1:5" x14ac:dyDescent="0.25">
      <c r="A31" s="66">
        <v>500245</v>
      </c>
      <c r="B31" t="s">
        <v>3351</v>
      </c>
      <c r="C31" s="66" t="s">
        <v>2567</v>
      </c>
      <c r="D31" s="66" t="s">
        <v>2581</v>
      </c>
      <c r="E31" s="66">
        <v>3</v>
      </c>
    </row>
    <row r="32" spans="1:5" x14ac:dyDescent="0.25">
      <c r="A32" s="66">
        <v>2003649</v>
      </c>
      <c r="B32" t="s">
        <v>3351</v>
      </c>
      <c r="C32" s="66" t="s">
        <v>2567</v>
      </c>
      <c r="D32" s="66" t="s">
        <v>1268</v>
      </c>
      <c r="E32" s="66">
        <v>1</v>
      </c>
    </row>
    <row r="33" spans="1:5" x14ac:dyDescent="0.25">
      <c r="A33" s="66">
        <v>2005572</v>
      </c>
      <c r="B33" t="s">
        <v>3351</v>
      </c>
      <c r="C33" s="66" t="s">
        <v>2567</v>
      </c>
      <c r="D33" s="66" t="s">
        <v>1268</v>
      </c>
      <c r="E33" s="66">
        <v>1</v>
      </c>
    </row>
    <row r="34" spans="1:5" x14ac:dyDescent="0.25">
      <c r="A34" s="66">
        <v>3009633</v>
      </c>
      <c r="B34" t="s">
        <v>3351</v>
      </c>
      <c r="C34" s="66" t="s">
        <v>2567</v>
      </c>
      <c r="D34" s="66" t="s">
        <v>1296</v>
      </c>
      <c r="E34" s="66">
        <v>1</v>
      </c>
    </row>
    <row r="35" spans="1:5" x14ac:dyDescent="0.25">
      <c r="A35" s="66">
        <v>3011892</v>
      </c>
      <c r="B35" t="s">
        <v>3351</v>
      </c>
      <c r="C35" s="66" t="s">
        <v>2567</v>
      </c>
      <c r="D35" s="66" t="s">
        <v>2582</v>
      </c>
      <c r="E35" s="66">
        <v>2</v>
      </c>
    </row>
    <row r="36" spans="1:5" x14ac:dyDescent="0.25">
      <c r="A36" s="66">
        <v>4001382</v>
      </c>
      <c r="B36" t="s">
        <v>3351</v>
      </c>
      <c r="C36" s="66" t="s">
        <v>2567</v>
      </c>
      <c r="D36" s="66" t="s">
        <v>2583</v>
      </c>
      <c r="E36" s="66">
        <v>2</v>
      </c>
    </row>
    <row r="37" spans="1:5" x14ac:dyDescent="0.25">
      <c r="A37" s="66">
        <v>5015851</v>
      </c>
      <c r="B37" t="s">
        <v>3351</v>
      </c>
      <c r="C37" s="66" t="s">
        <v>2567</v>
      </c>
      <c r="D37" s="66" t="s">
        <v>2584</v>
      </c>
      <c r="E37" s="66">
        <v>5</v>
      </c>
    </row>
    <row r="38" spans="1:5" x14ac:dyDescent="0.25">
      <c r="A38" s="66">
        <v>6015647</v>
      </c>
      <c r="B38" t="s">
        <v>3351</v>
      </c>
      <c r="C38" s="66" t="s">
        <v>2567</v>
      </c>
      <c r="D38" s="66" t="s">
        <v>1268</v>
      </c>
      <c r="E38" s="66">
        <v>1</v>
      </c>
    </row>
    <row r="39" spans="1:5" x14ac:dyDescent="0.25">
      <c r="A39" s="66">
        <v>7086224</v>
      </c>
      <c r="B39" t="s">
        <v>3351</v>
      </c>
      <c r="C39" s="66" t="s">
        <v>2567</v>
      </c>
      <c r="D39" s="66" t="s">
        <v>1142</v>
      </c>
      <c r="E39" s="66">
        <v>1</v>
      </c>
    </row>
    <row r="40" spans="1:5" x14ac:dyDescent="0.25">
      <c r="A40" s="66">
        <v>9030615</v>
      </c>
      <c r="B40" t="s">
        <v>3351</v>
      </c>
      <c r="C40" s="66" t="s">
        <v>2567</v>
      </c>
      <c r="D40" s="66" t="s">
        <v>886</v>
      </c>
      <c r="E40" s="66">
        <v>1</v>
      </c>
    </row>
    <row r="41" spans="1:5" x14ac:dyDescent="0.25">
      <c r="A41" s="66">
        <v>9034464</v>
      </c>
      <c r="B41" t="s">
        <v>3351</v>
      </c>
      <c r="C41" s="66" t="s">
        <v>2567</v>
      </c>
      <c r="D41" s="66" t="s">
        <v>2585</v>
      </c>
      <c r="E41" s="66">
        <v>2</v>
      </c>
    </row>
    <row r="42" spans="1:5" x14ac:dyDescent="0.25">
      <c r="A42" s="66">
        <v>9040167</v>
      </c>
      <c r="B42" t="s">
        <v>3351</v>
      </c>
      <c r="C42" s="66" t="s">
        <v>2567</v>
      </c>
      <c r="D42" s="66" t="s">
        <v>1159</v>
      </c>
      <c r="E42" s="66">
        <v>1</v>
      </c>
    </row>
    <row r="43" spans="1:5" x14ac:dyDescent="0.25">
      <c r="A43" s="66">
        <v>9083682</v>
      </c>
      <c r="B43" t="s">
        <v>3351</v>
      </c>
      <c r="C43" s="66" t="s">
        <v>2567</v>
      </c>
      <c r="D43" s="66" t="s">
        <v>1347</v>
      </c>
      <c r="E43" s="66">
        <v>1</v>
      </c>
    </row>
    <row r="44" spans="1:5" x14ac:dyDescent="0.25">
      <c r="A44" s="66">
        <v>10083649</v>
      </c>
      <c r="B44" t="s">
        <v>3351</v>
      </c>
      <c r="C44" s="66" t="s">
        <v>2567</v>
      </c>
      <c r="D44" s="66" t="s">
        <v>2585</v>
      </c>
      <c r="E44" s="66">
        <v>2</v>
      </c>
    </row>
    <row r="45" spans="1:5" x14ac:dyDescent="0.25">
      <c r="A45" s="66">
        <v>5281</v>
      </c>
      <c r="B45" t="s">
        <v>3352</v>
      </c>
      <c r="C45" s="66" t="s">
        <v>2567</v>
      </c>
      <c r="D45" s="66" t="s">
        <v>1347</v>
      </c>
      <c r="E45" s="66">
        <v>1</v>
      </c>
    </row>
    <row r="46" spans="1:5" x14ac:dyDescent="0.25">
      <c r="A46" s="66">
        <v>200085</v>
      </c>
      <c r="B46" t="s">
        <v>3352</v>
      </c>
      <c r="C46" s="66" t="s">
        <v>2567</v>
      </c>
      <c r="D46" s="66" t="s">
        <v>2586</v>
      </c>
      <c r="E46" s="66">
        <v>6</v>
      </c>
    </row>
    <row r="47" spans="1:5" x14ac:dyDescent="0.25">
      <c r="A47" s="66">
        <v>500129</v>
      </c>
      <c r="B47" t="s">
        <v>3352</v>
      </c>
      <c r="C47" s="66" t="s">
        <v>2567</v>
      </c>
      <c r="D47" s="66" t="s">
        <v>2587</v>
      </c>
      <c r="E47" s="66">
        <v>3</v>
      </c>
    </row>
    <row r="48" spans="1:5" x14ac:dyDescent="0.25">
      <c r="A48" s="66">
        <v>2012014</v>
      </c>
      <c r="B48" t="s">
        <v>3352</v>
      </c>
      <c r="C48" s="66" t="s">
        <v>2567</v>
      </c>
      <c r="D48" s="66" t="s">
        <v>2588</v>
      </c>
      <c r="E48" s="66">
        <v>2</v>
      </c>
    </row>
    <row r="49" spans="1:5" x14ac:dyDescent="0.25">
      <c r="A49" s="66">
        <v>3000152</v>
      </c>
      <c r="B49" t="s">
        <v>3352</v>
      </c>
      <c r="C49" s="66" t="s">
        <v>2567</v>
      </c>
      <c r="D49" s="66" t="s">
        <v>1347</v>
      </c>
      <c r="E49" s="66">
        <v>1</v>
      </c>
    </row>
    <row r="50" spans="1:5" x14ac:dyDescent="0.25">
      <c r="A50" s="66">
        <v>3015058</v>
      </c>
      <c r="B50" t="s">
        <v>3352</v>
      </c>
      <c r="C50" s="66" t="s">
        <v>2567</v>
      </c>
      <c r="D50" s="66" t="s">
        <v>2589</v>
      </c>
      <c r="E50" s="66">
        <v>6</v>
      </c>
    </row>
    <row r="51" spans="1:5" x14ac:dyDescent="0.25">
      <c r="A51">
        <v>4000996</v>
      </c>
      <c r="B51" t="s">
        <v>3352</v>
      </c>
      <c r="C51" s="66" t="s">
        <v>2567</v>
      </c>
      <c r="D51" t="s">
        <v>2590</v>
      </c>
      <c r="E51">
        <v>2</v>
      </c>
    </row>
    <row r="52" spans="1:5" x14ac:dyDescent="0.25">
      <c r="A52">
        <v>4006540</v>
      </c>
      <c r="B52" t="s">
        <v>3352</v>
      </c>
      <c r="C52" s="66" t="s">
        <v>2567</v>
      </c>
      <c r="D52" t="s">
        <v>1142</v>
      </c>
      <c r="E52">
        <v>1</v>
      </c>
    </row>
    <row r="53" spans="1:5" x14ac:dyDescent="0.25">
      <c r="A53">
        <v>4007054</v>
      </c>
      <c r="B53" t="s">
        <v>3352</v>
      </c>
      <c r="C53" s="66" t="s">
        <v>2567</v>
      </c>
      <c r="D53" t="s">
        <v>1340</v>
      </c>
      <c r="E53">
        <v>1</v>
      </c>
    </row>
    <row r="54" spans="1:5" x14ac:dyDescent="0.25">
      <c r="A54">
        <v>4011002</v>
      </c>
      <c r="B54" t="s">
        <v>3352</v>
      </c>
      <c r="C54" s="66" t="s">
        <v>2567</v>
      </c>
      <c r="D54" t="s">
        <v>2591</v>
      </c>
      <c r="E54">
        <v>2</v>
      </c>
    </row>
    <row r="55" spans="1:5" x14ac:dyDescent="0.25">
      <c r="A55">
        <v>4900268</v>
      </c>
      <c r="B55" t="s">
        <v>3352</v>
      </c>
      <c r="C55" s="66" t="s">
        <v>2567</v>
      </c>
      <c r="D55" t="s">
        <v>1347</v>
      </c>
      <c r="E55">
        <v>1</v>
      </c>
    </row>
    <row r="56" spans="1:5" x14ac:dyDescent="0.25">
      <c r="A56">
        <v>5001097</v>
      </c>
      <c r="B56" t="s">
        <v>3352</v>
      </c>
      <c r="C56" s="66" t="s">
        <v>2567</v>
      </c>
      <c r="D56" t="s">
        <v>2592</v>
      </c>
      <c r="E56">
        <v>2</v>
      </c>
    </row>
    <row r="57" spans="1:5" x14ac:dyDescent="0.25">
      <c r="A57">
        <v>5001098</v>
      </c>
      <c r="B57" t="s">
        <v>3352</v>
      </c>
      <c r="C57" s="66" t="s">
        <v>2567</v>
      </c>
      <c r="D57" t="s">
        <v>1978</v>
      </c>
      <c r="E57">
        <v>1</v>
      </c>
    </row>
    <row r="58" spans="1:5" x14ac:dyDescent="0.25">
      <c r="A58">
        <v>5006152</v>
      </c>
      <c r="B58" t="s">
        <v>3352</v>
      </c>
      <c r="C58" s="66" t="s">
        <v>2567</v>
      </c>
      <c r="D58" t="s">
        <v>2593</v>
      </c>
      <c r="E58">
        <v>2</v>
      </c>
    </row>
    <row r="59" spans="1:5" x14ac:dyDescent="0.25">
      <c r="A59">
        <v>6015793</v>
      </c>
      <c r="B59" t="s">
        <v>3352</v>
      </c>
      <c r="C59" s="66" t="s">
        <v>2567</v>
      </c>
      <c r="D59" t="s">
        <v>2594</v>
      </c>
      <c r="E59">
        <v>4</v>
      </c>
    </row>
    <row r="60" spans="1:5" x14ac:dyDescent="0.25">
      <c r="A60">
        <v>8073645</v>
      </c>
      <c r="B60" t="s">
        <v>3352</v>
      </c>
      <c r="C60" s="66" t="s">
        <v>2567</v>
      </c>
      <c r="D60" t="s">
        <v>4</v>
      </c>
      <c r="E60">
        <v>1</v>
      </c>
    </row>
    <row r="61" spans="1:5" x14ac:dyDescent="0.25">
      <c r="A61">
        <v>8089666</v>
      </c>
      <c r="B61" t="s">
        <v>3352</v>
      </c>
      <c r="C61" s="66" t="s">
        <v>2567</v>
      </c>
      <c r="D61" t="s">
        <v>2595</v>
      </c>
      <c r="E61">
        <v>5</v>
      </c>
    </row>
    <row r="62" spans="1:5" x14ac:dyDescent="0.25">
      <c r="A62">
        <v>9090287</v>
      </c>
      <c r="B62" t="s">
        <v>3352</v>
      </c>
      <c r="C62" s="66" t="s">
        <v>2567</v>
      </c>
      <c r="D62" t="s">
        <v>2596</v>
      </c>
      <c r="E62">
        <v>4</v>
      </c>
    </row>
    <row r="63" spans="1:5" x14ac:dyDescent="0.25">
      <c r="A63">
        <v>9095148</v>
      </c>
      <c r="B63" t="s">
        <v>3352</v>
      </c>
      <c r="C63" s="66" t="s">
        <v>2567</v>
      </c>
      <c r="D63" t="s">
        <v>2585</v>
      </c>
      <c r="E63">
        <v>2</v>
      </c>
    </row>
    <row r="64" spans="1:5" x14ac:dyDescent="0.25">
      <c r="A64">
        <v>10020659</v>
      </c>
      <c r="B64" t="s">
        <v>3352</v>
      </c>
      <c r="C64" s="66" t="s">
        <v>2567</v>
      </c>
      <c r="D64" t="s">
        <v>2597</v>
      </c>
      <c r="E64">
        <v>3</v>
      </c>
    </row>
    <row r="65" spans="1:6" x14ac:dyDescent="0.25">
      <c r="A65">
        <v>10025902</v>
      </c>
      <c r="B65" t="s">
        <v>3352</v>
      </c>
      <c r="C65" s="66" t="s">
        <v>2567</v>
      </c>
      <c r="D65" t="s">
        <v>2598</v>
      </c>
      <c r="E65">
        <v>2</v>
      </c>
    </row>
    <row r="66" spans="1:6" x14ac:dyDescent="0.25">
      <c r="A66">
        <v>10098420</v>
      </c>
      <c r="B66" t="s">
        <v>3352</v>
      </c>
      <c r="C66" s="66" t="s">
        <v>2567</v>
      </c>
      <c r="D66" t="s">
        <v>2599</v>
      </c>
      <c r="E66">
        <v>3</v>
      </c>
    </row>
    <row r="67" spans="1:6" x14ac:dyDescent="0.25">
      <c r="A67">
        <v>10173664</v>
      </c>
      <c r="B67" t="s">
        <v>3352</v>
      </c>
      <c r="C67" s="66" t="s">
        <v>2567</v>
      </c>
      <c r="D67" t="s">
        <v>886</v>
      </c>
      <c r="E67">
        <v>1</v>
      </c>
    </row>
    <row r="69" spans="1:6" x14ac:dyDescent="0.25">
      <c r="A69">
        <f>SUBTOTAL(3,Quick[BfArM Nummer])</f>
        <v>66</v>
      </c>
      <c r="B69">
        <f>SUBTOTAL(3,Quick[BfArM Nummer])</f>
        <v>66</v>
      </c>
      <c r="C69">
        <f>SUBTOTAL(3,Quick[BfArM Nummer])</f>
        <v>66</v>
      </c>
      <c r="D69">
        <f>SUBTOTAL(3,Quick[BfArM Nummer])</f>
        <v>66</v>
      </c>
      <c r="E69">
        <f>SUBTOTAL(9,Quick[Total number of Observations])</f>
        <v>139</v>
      </c>
      <c r="F69" t="s">
        <v>3437</v>
      </c>
    </row>
    <row r="70" spans="1:6" x14ac:dyDescent="0.25">
      <c r="E70">
        <f>SUBTOTAL(1,Quick[Total number of Observations])</f>
        <v>2.106060606060606</v>
      </c>
      <c r="F70" t="s">
        <v>3438</v>
      </c>
    </row>
  </sheetData>
  <phoneticPr fontId="6" type="noConversion"/>
  <pageMargins left="0.7" right="0.7" top="0.78740157499999996" bottom="0.78740157499999996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239"/>
  <sheetViews>
    <sheetView workbookViewId="0">
      <selection activeCell="B1" sqref="B1:B1048576"/>
    </sheetView>
  </sheetViews>
  <sheetFormatPr defaultColWidth="11.42578125" defaultRowHeight="15" x14ac:dyDescent="0.25"/>
  <cols>
    <col min="1" max="1" width="17.140625" style="50" customWidth="1"/>
    <col min="2" max="2" width="12.42578125" customWidth="1"/>
    <col min="3" max="4" width="32.85546875" customWidth="1"/>
    <col min="5" max="8" width="31.85546875" customWidth="1"/>
    <col min="9" max="9" width="30.7109375" customWidth="1"/>
    <col min="10" max="10" width="22.85546875" customWidth="1"/>
    <col min="18" max="25" width="11.7109375" customWidth="1"/>
    <col min="26" max="32" width="14.42578125" customWidth="1"/>
  </cols>
  <sheetData>
    <row r="1" spans="1:32" x14ac:dyDescent="0.25">
      <c r="A1" s="61" t="s">
        <v>59</v>
      </c>
      <c r="B1" s="61" t="s">
        <v>3346</v>
      </c>
      <c r="C1" s="70" t="s">
        <v>1979</v>
      </c>
      <c r="D1" s="70" t="s">
        <v>1074</v>
      </c>
      <c r="E1" s="70" t="s">
        <v>1903</v>
      </c>
      <c r="F1" s="70" t="s">
        <v>1954</v>
      </c>
      <c r="G1" s="70" t="s">
        <v>2399</v>
      </c>
      <c r="H1" s="70" t="s">
        <v>2173</v>
      </c>
      <c r="I1" s="70" t="s">
        <v>2400</v>
      </c>
      <c r="J1" s="70" t="s">
        <v>661</v>
      </c>
      <c r="K1" s="69" t="s">
        <v>845</v>
      </c>
      <c r="L1" s="70" t="s">
        <v>868</v>
      </c>
      <c r="M1" s="70" t="s">
        <v>885</v>
      </c>
      <c r="N1" s="70" t="s">
        <v>887</v>
      </c>
      <c r="O1" s="70" t="s">
        <v>869</v>
      </c>
      <c r="P1" s="70" t="s">
        <v>969</v>
      </c>
      <c r="Q1" s="70" t="s">
        <v>1955</v>
      </c>
      <c r="R1" s="70" t="s">
        <v>1236</v>
      </c>
      <c r="S1" s="70" t="s">
        <v>1143</v>
      </c>
      <c r="T1" s="70" t="s">
        <v>1144</v>
      </c>
      <c r="U1" s="70" t="s">
        <v>970</v>
      </c>
      <c r="V1" s="70" t="s">
        <v>2078</v>
      </c>
      <c r="W1" s="70" t="s">
        <v>1079</v>
      </c>
      <c r="X1" s="70" t="s">
        <v>816</v>
      </c>
      <c r="Y1" s="70" t="s">
        <v>882</v>
      </c>
      <c r="Z1" s="70" t="s">
        <v>2110</v>
      </c>
      <c r="AA1" s="70" t="s">
        <v>2109</v>
      </c>
      <c r="AB1" s="70" t="s">
        <v>2111</v>
      </c>
      <c r="AC1" s="70" t="s">
        <v>2327</v>
      </c>
      <c r="AD1" s="70" t="s">
        <v>2112</v>
      </c>
      <c r="AE1" s="70" t="s">
        <v>1170</v>
      </c>
      <c r="AF1" s="70" t="s">
        <v>2113</v>
      </c>
    </row>
    <row r="2" spans="1:32" x14ac:dyDescent="0.25">
      <c r="A2" s="40" t="s">
        <v>561</v>
      </c>
      <c r="B2" s="40"/>
    </row>
    <row r="3" spans="1:32" x14ac:dyDescent="0.25">
      <c r="A3" s="10" t="s">
        <v>2519</v>
      </c>
      <c r="B3" s="10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</row>
    <row r="4" spans="1:32" x14ac:dyDescent="0.25">
      <c r="A4" s="50">
        <v>7072184</v>
      </c>
      <c r="B4" s="10" t="s">
        <v>3398</v>
      </c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</row>
    <row r="5" spans="1:32" x14ac:dyDescent="0.25">
      <c r="A5" s="50">
        <v>9108231</v>
      </c>
      <c r="B5" s="10" t="s">
        <v>3398</v>
      </c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</row>
    <row r="6" spans="1:32" x14ac:dyDescent="0.25">
      <c r="A6" s="50">
        <v>12061933</v>
      </c>
      <c r="B6" s="10" t="s">
        <v>3398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</row>
    <row r="7" spans="1:32" x14ac:dyDescent="0.25">
      <c r="A7" s="50">
        <v>95005911</v>
      </c>
      <c r="B7" s="10" t="s">
        <v>3398</v>
      </c>
    </row>
    <row r="8" spans="1:32" x14ac:dyDescent="0.25">
      <c r="A8" s="50">
        <v>99001908</v>
      </c>
      <c r="B8" s="10" t="s">
        <v>3398</v>
      </c>
    </row>
    <row r="9" spans="1:32" x14ac:dyDescent="0.25">
      <c r="A9" s="50">
        <v>99004067</v>
      </c>
      <c r="B9" s="10" t="s">
        <v>3398</v>
      </c>
    </row>
    <row r="10" spans="1:32" x14ac:dyDescent="0.25">
      <c r="A10" s="50">
        <v>97002136</v>
      </c>
      <c r="B10" s="10" t="s">
        <v>3398</v>
      </c>
    </row>
    <row r="11" spans="1:32" x14ac:dyDescent="0.25">
      <c r="A11" s="50">
        <v>1502</v>
      </c>
      <c r="B11" s="10" t="s">
        <v>3398</v>
      </c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</row>
    <row r="12" spans="1:32" x14ac:dyDescent="0.25">
      <c r="A12" s="50">
        <v>4003543</v>
      </c>
      <c r="B12" s="10" t="s">
        <v>3398</v>
      </c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</row>
    <row r="13" spans="1:32" x14ac:dyDescent="0.25">
      <c r="A13" s="50">
        <v>4900261</v>
      </c>
      <c r="B13" s="10" t="s">
        <v>3398</v>
      </c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</row>
    <row r="15" spans="1:32" x14ac:dyDescent="0.25">
      <c r="A15" s="52" t="s">
        <v>2520</v>
      </c>
      <c r="B15" s="10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</row>
    <row r="16" spans="1:32" x14ac:dyDescent="0.25">
      <c r="A16" s="50">
        <v>14242856</v>
      </c>
      <c r="B16" s="10" t="s">
        <v>3399</v>
      </c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</row>
    <row r="17" spans="1:32" x14ac:dyDescent="0.25">
      <c r="A17" s="50">
        <v>99001183</v>
      </c>
      <c r="B17" s="10" t="s">
        <v>3399</v>
      </c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</row>
    <row r="18" spans="1:32" x14ac:dyDescent="0.25">
      <c r="A18" s="50">
        <v>3000983</v>
      </c>
      <c r="B18" s="10" t="s">
        <v>3399</v>
      </c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</row>
    <row r="19" spans="1:32" x14ac:dyDescent="0.25">
      <c r="A19" s="50">
        <v>10064335</v>
      </c>
      <c r="B19" s="10" t="s">
        <v>3399</v>
      </c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</row>
    <row r="20" spans="1:32" x14ac:dyDescent="0.25">
      <c r="A20" s="51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</row>
    <row r="21" spans="1:32" x14ac:dyDescent="0.25">
      <c r="A21" s="52" t="s">
        <v>2521</v>
      </c>
      <c r="B21" s="10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</row>
    <row r="22" spans="1:32" x14ac:dyDescent="0.25">
      <c r="A22" s="50">
        <v>1480</v>
      </c>
      <c r="B22" s="10" t="s">
        <v>3400</v>
      </c>
    </row>
    <row r="23" spans="1:32" x14ac:dyDescent="0.25">
      <c r="A23" s="50">
        <v>7063959</v>
      </c>
      <c r="B23" s="10" t="s">
        <v>3400</v>
      </c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</row>
    <row r="24" spans="1:32" x14ac:dyDescent="0.25">
      <c r="A24" s="50">
        <v>1003215</v>
      </c>
      <c r="B24" s="10" t="s">
        <v>3400</v>
      </c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</row>
    <row r="25" spans="1:32" x14ac:dyDescent="0.25">
      <c r="A25" s="50">
        <v>99000802</v>
      </c>
      <c r="B25" s="10" t="s">
        <v>3400</v>
      </c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</row>
    <row r="26" spans="1:32" x14ac:dyDescent="0.25">
      <c r="A26" s="50">
        <v>99000892</v>
      </c>
      <c r="B26" s="10" t="s">
        <v>3400</v>
      </c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</row>
    <row r="27" spans="1:32" x14ac:dyDescent="0.25">
      <c r="A27" s="50">
        <v>1000192</v>
      </c>
      <c r="B27" s="10" t="s">
        <v>3400</v>
      </c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</row>
    <row r="28" spans="1:32" x14ac:dyDescent="0.25">
      <c r="A28" s="50">
        <v>1506</v>
      </c>
      <c r="B28" s="10" t="s">
        <v>3400</v>
      </c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</row>
    <row r="29" spans="1:32" x14ac:dyDescent="0.25">
      <c r="A29" s="50">
        <v>99000894</v>
      </c>
      <c r="B29" s="10" t="s">
        <v>3400</v>
      </c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</row>
    <row r="30" spans="1:32" x14ac:dyDescent="0.25">
      <c r="A30" s="50">
        <v>99000897</v>
      </c>
      <c r="B30" s="10" t="s">
        <v>3400</v>
      </c>
    </row>
    <row r="31" spans="1:32" x14ac:dyDescent="0.25">
      <c r="A31" s="50">
        <v>99001245</v>
      </c>
      <c r="B31" s="10" t="s">
        <v>3400</v>
      </c>
    </row>
    <row r="32" spans="1:32" x14ac:dyDescent="0.25">
      <c r="A32" s="50">
        <v>99001902</v>
      </c>
      <c r="B32" s="10" t="s">
        <v>3400</v>
      </c>
    </row>
    <row r="33" spans="1:32" x14ac:dyDescent="0.25">
      <c r="A33" s="50">
        <v>99001912</v>
      </c>
      <c r="B33" s="10" t="s">
        <v>3400</v>
      </c>
    </row>
    <row r="34" spans="1:32" x14ac:dyDescent="0.25">
      <c r="A34" s="50">
        <v>99001913</v>
      </c>
      <c r="B34" s="10" t="s">
        <v>3400</v>
      </c>
    </row>
    <row r="35" spans="1:32" x14ac:dyDescent="0.25">
      <c r="A35" s="50">
        <v>99001937</v>
      </c>
      <c r="B35" s="10" t="s">
        <v>3400</v>
      </c>
    </row>
    <row r="36" spans="1:32" x14ac:dyDescent="0.25">
      <c r="A36" s="50">
        <v>99001943</v>
      </c>
      <c r="B36" s="10" t="s">
        <v>3400</v>
      </c>
    </row>
    <row r="37" spans="1:32" x14ac:dyDescent="0.25">
      <c r="A37" s="50">
        <v>99001927</v>
      </c>
      <c r="B37" s="10" t="s">
        <v>3400</v>
      </c>
    </row>
    <row r="38" spans="1:32" x14ac:dyDescent="0.25">
      <c r="A38" s="50">
        <v>1505</v>
      </c>
      <c r="B38" s="10" t="s">
        <v>3400</v>
      </c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</row>
    <row r="39" spans="1:32" x14ac:dyDescent="0.25">
      <c r="A39" s="50">
        <v>1000197</v>
      </c>
      <c r="B39" s="10" t="s">
        <v>3400</v>
      </c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</row>
    <row r="40" spans="1:32" x14ac:dyDescent="0.25">
      <c r="A40" s="50">
        <v>96018835</v>
      </c>
      <c r="B40" s="10" t="s">
        <v>3400</v>
      </c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</row>
    <row r="41" spans="1:32" x14ac:dyDescent="0.25">
      <c r="A41" s="50">
        <v>98008326</v>
      </c>
      <c r="B41" s="10" t="s">
        <v>3400</v>
      </c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</row>
    <row r="42" spans="1:32" x14ac:dyDescent="0.25">
      <c r="A42" s="50">
        <v>99000717</v>
      </c>
      <c r="B42" s="10" t="s">
        <v>3400</v>
      </c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</row>
    <row r="43" spans="1:32" x14ac:dyDescent="0.25"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</row>
    <row r="44" spans="1:32" x14ac:dyDescent="0.25">
      <c r="A44" s="25" t="s">
        <v>169</v>
      </c>
      <c r="B44" s="25"/>
    </row>
    <row r="45" spans="1:32" x14ac:dyDescent="0.25">
      <c r="A45" s="52" t="s">
        <v>143</v>
      </c>
      <c r="B45" s="10"/>
    </row>
    <row r="46" spans="1:32" x14ac:dyDescent="0.25">
      <c r="A46" s="50">
        <v>6016435</v>
      </c>
      <c r="B46" t="s">
        <v>3347</v>
      </c>
    </row>
    <row r="47" spans="1:32" x14ac:dyDescent="0.25">
      <c r="A47" s="50">
        <v>8045149</v>
      </c>
      <c r="B47" t="s">
        <v>3347</v>
      </c>
    </row>
    <row r="48" spans="1:32" x14ac:dyDescent="0.25">
      <c r="A48" s="50">
        <v>10023001</v>
      </c>
      <c r="B48" t="s">
        <v>3347</v>
      </c>
    </row>
    <row r="49" spans="1:2" x14ac:dyDescent="0.25">
      <c r="A49" s="50">
        <v>10027526</v>
      </c>
      <c r="B49" t="s">
        <v>3347</v>
      </c>
    </row>
    <row r="50" spans="1:2" x14ac:dyDescent="0.25">
      <c r="A50" s="50">
        <v>14222171</v>
      </c>
      <c r="B50" t="s">
        <v>3347</v>
      </c>
    </row>
    <row r="51" spans="1:2" x14ac:dyDescent="0.25">
      <c r="A51" s="50">
        <v>1006143</v>
      </c>
      <c r="B51" t="s">
        <v>3347</v>
      </c>
    </row>
    <row r="52" spans="1:2" x14ac:dyDescent="0.25">
      <c r="A52" s="50">
        <v>6006917</v>
      </c>
      <c r="B52" t="s">
        <v>3347</v>
      </c>
    </row>
    <row r="54" spans="1:2" x14ac:dyDescent="0.25">
      <c r="A54" s="52" t="s">
        <v>146</v>
      </c>
      <c r="B54" s="10"/>
    </row>
    <row r="55" spans="1:2" x14ac:dyDescent="0.25">
      <c r="A55" s="50">
        <v>8057159</v>
      </c>
      <c r="B55" s="10" t="s">
        <v>3348</v>
      </c>
    </row>
    <row r="56" spans="1:2" x14ac:dyDescent="0.25">
      <c r="A56" s="50">
        <v>9140312</v>
      </c>
      <c r="B56" s="10" t="s">
        <v>3348</v>
      </c>
    </row>
    <row r="57" spans="1:2" x14ac:dyDescent="0.25">
      <c r="A57" s="50">
        <v>12008230</v>
      </c>
      <c r="B57" s="10" t="s">
        <v>3348</v>
      </c>
    </row>
    <row r="58" spans="1:2" x14ac:dyDescent="0.25">
      <c r="A58" s="50">
        <v>12088444</v>
      </c>
      <c r="B58" s="10" t="s">
        <v>3348</v>
      </c>
    </row>
    <row r="59" spans="1:2" x14ac:dyDescent="0.25">
      <c r="A59" s="50">
        <v>13118872</v>
      </c>
      <c r="B59" s="10" t="s">
        <v>3348</v>
      </c>
    </row>
    <row r="60" spans="1:2" x14ac:dyDescent="0.25">
      <c r="A60" s="50">
        <v>12012030</v>
      </c>
      <c r="B60" s="10" t="s">
        <v>3348</v>
      </c>
    </row>
    <row r="62" spans="1:2" x14ac:dyDescent="0.25">
      <c r="A62" s="52" t="s">
        <v>120</v>
      </c>
      <c r="B62" s="10"/>
    </row>
    <row r="63" spans="1:2" x14ac:dyDescent="0.25">
      <c r="A63" s="50">
        <v>9074418</v>
      </c>
      <c r="B63" s="10" t="s">
        <v>3349</v>
      </c>
    </row>
    <row r="64" spans="1:2" x14ac:dyDescent="0.25">
      <c r="A64" s="50">
        <v>1263</v>
      </c>
      <c r="B64" s="10" t="s">
        <v>3349</v>
      </c>
    </row>
    <row r="65" spans="1:32" x14ac:dyDescent="0.25">
      <c r="A65" s="50">
        <v>98004910</v>
      </c>
      <c r="B65" s="10" t="s">
        <v>3349</v>
      </c>
    </row>
    <row r="66" spans="1:32" x14ac:dyDescent="0.25">
      <c r="A66" s="50">
        <v>7103068</v>
      </c>
      <c r="B66" s="10" t="s">
        <v>3349</v>
      </c>
      <c r="J66">
        <v>2.0499999999999998</v>
      </c>
    </row>
    <row r="67" spans="1:32" x14ac:dyDescent="0.25">
      <c r="A67" s="50">
        <v>11240728</v>
      </c>
      <c r="B67" s="10" t="s">
        <v>3349</v>
      </c>
    </row>
    <row r="68" spans="1:32" x14ac:dyDescent="0.25">
      <c r="A68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</row>
    <row r="69" spans="1:32" x14ac:dyDescent="0.25">
      <c r="A69" s="26" t="s">
        <v>170</v>
      </c>
      <c r="B69" s="26"/>
    </row>
    <row r="70" spans="1:32" x14ac:dyDescent="0.25">
      <c r="A70" s="10" t="s">
        <v>143</v>
      </c>
      <c r="B70" s="10"/>
    </row>
    <row r="71" spans="1:32" x14ac:dyDescent="0.25">
      <c r="A71" s="50">
        <v>5015869</v>
      </c>
      <c r="B71" t="s">
        <v>3350</v>
      </c>
    </row>
    <row r="72" spans="1:32" x14ac:dyDescent="0.25">
      <c r="A72" s="50">
        <v>5016969</v>
      </c>
      <c r="B72" t="s">
        <v>3350</v>
      </c>
    </row>
    <row r="73" spans="1:32" x14ac:dyDescent="0.25">
      <c r="A73" s="50">
        <v>6023231</v>
      </c>
      <c r="B73" t="s">
        <v>3350</v>
      </c>
    </row>
    <row r="74" spans="1:32" x14ac:dyDescent="0.25">
      <c r="A74" s="50">
        <v>6010712</v>
      </c>
      <c r="B74" t="s">
        <v>3350</v>
      </c>
    </row>
    <row r="75" spans="1:32" x14ac:dyDescent="0.25">
      <c r="A75" s="50">
        <v>6011198</v>
      </c>
      <c r="B75" t="s">
        <v>3350</v>
      </c>
    </row>
    <row r="76" spans="1:32" x14ac:dyDescent="0.25">
      <c r="A76" s="50">
        <v>6012681</v>
      </c>
      <c r="B76" t="s">
        <v>3350</v>
      </c>
    </row>
    <row r="77" spans="1:32" x14ac:dyDescent="0.25">
      <c r="A77" s="50">
        <v>6014511</v>
      </c>
      <c r="B77" t="s">
        <v>3350</v>
      </c>
    </row>
    <row r="78" spans="1:32" x14ac:dyDescent="0.25">
      <c r="A78" s="50">
        <v>6045127</v>
      </c>
      <c r="B78" t="s">
        <v>3350</v>
      </c>
    </row>
    <row r="79" spans="1:32" x14ac:dyDescent="0.25">
      <c r="A79" s="50">
        <v>7000458</v>
      </c>
      <c r="B79" t="s">
        <v>3350</v>
      </c>
    </row>
    <row r="80" spans="1:32" x14ac:dyDescent="0.25">
      <c r="A80" s="50">
        <v>7015502</v>
      </c>
      <c r="B80" t="s">
        <v>3350</v>
      </c>
    </row>
    <row r="81" spans="1:27" x14ac:dyDescent="0.25">
      <c r="A81" s="50">
        <v>7025847</v>
      </c>
      <c r="B81" t="s">
        <v>3350</v>
      </c>
    </row>
    <row r="82" spans="1:27" x14ac:dyDescent="0.25">
      <c r="A82" s="50">
        <v>7082707</v>
      </c>
      <c r="B82" t="s">
        <v>3350</v>
      </c>
    </row>
    <row r="83" spans="1:27" x14ac:dyDescent="0.25">
      <c r="A83" s="50">
        <v>7083159</v>
      </c>
      <c r="B83" t="s">
        <v>3350</v>
      </c>
    </row>
    <row r="84" spans="1:27" x14ac:dyDescent="0.25">
      <c r="A84" s="50">
        <v>7084659</v>
      </c>
      <c r="B84" t="s">
        <v>3350</v>
      </c>
    </row>
    <row r="85" spans="1:27" x14ac:dyDescent="0.25">
      <c r="A85" s="50">
        <v>7076814</v>
      </c>
      <c r="B85" t="s">
        <v>3350</v>
      </c>
    </row>
    <row r="86" spans="1:27" x14ac:dyDescent="0.25">
      <c r="A86" s="50">
        <v>7076815</v>
      </c>
      <c r="B86" t="s">
        <v>3350</v>
      </c>
    </row>
    <row r="87" spans="1:27" x14ac:dyDescent="0.25">
      <c r="A87" s="50">
        <v>7089231</v>
      </c>
      <c r="B87" t="s">
        <v>3350</v>
      </c>
    </row>
    <row r="88" spans="1:27" x14ac:dyDescent="0.25">
      <c r="A88" s="50">
        <v>7116004</v>
      </c>
      <c r="B88" t="s">
        <v>3350</v>
      </c>
    </row>
    <row r="89" spans="1:27" x14ac:dyDescent="0.25">
      <c r="A89" s="50">
        <v>8003819</v>
      </c>
      <c r="B89" t="s">
        <v>3350</v>
      </c>
    </row>
    <row r="90" spans="1:27" x14ac:dyDescent="0.25">
      <c r="A90" s="50">
        <v>8091779</v>
      </c>
      <c r="B90" t="s">
        <v>3350</v>
      </c>
    </row>
    <row r="91" spans="1:27" x14ac:dyDescent="0.25">
      <c r="A91" s="50">
        <v>8097989</v>
      </c>
      <c r="B91" t="s">
        <v>3350</v>
      </c>
    </row>
    <row r="92" spans="1:27" x14ac:dyDescent="0.25">
      <c r="A92" s="50">
        <v>8112522</v>
      </c>
      <c r="B92" t="s">
        <v>3350</v>
      </c>
    </row>
    <row r="93" spans="1:27" x14ac:dyDescent="0.25">
      <c r="A93" s="50">
        <v>8127397</v>
      </c>
      <c r="B93" t="s">
        <v>3350</v>
      </c>
    </row>
    <row r="94" spans="1:27" x14ac:dyDescent="0.25">
      <c r="A94" s="50">
        <v>8130998</v>
      </c>
      <c r="B94" t="s">
        <v>3350</v>
      </c>
    </row>
    <row r="95" spans="1:27" x14ac:dyDescent="0.25">
      <c r="A95" s="50">
        <v>9002836</v>
      </c>
      <c r="B95" t="s">
        <v>3350</v>
      </c>
    </row>
    <row r="96" spans="1:27" x14ac:dyDescent="0.25">
      <c r="A96" s="50">
        <v>9003331</v>
      </c>
      <c r="B96" t="s">
        <v>3350</v>
      </c>
      <c r="X96">
        <v>1.23</v>
      </c>
      <c r="AA96">
        <v>0.98</v>
      </c>
    </row>
    <row r="97" spans="1:25" x14ac:dyDescent="0.25">
      <c r="A97" s="50">
        <v>9003370</v>
      </c>
      <c r="B97" t="s">
        <v>3350</v>
      </c>
      <c r="K97">
        <v>1</v>
      </c>
    </row>
    <row r="98" spans="1:25" x14ac:dyDescent="0.25">
      <c r="A98" s="50">
        <v>9016278</v>
      </c>
      <c r="B98" t="s">
        <v>3350</v>
      </c>
    </row>
    <row r="99" spans="1:25" x14ac:dyDescent="0.25">
      <c r="A99" s="50">
        <v>9030684</v>
      </c>
      <c r="B99" t="s">
        <v>3350</v>
      </c>
      <c r="K99">
        <v>5.5</v>
      </c>
      <c r="L99">
        <v>1.1000000000000001</v>
      </c>
      <c r="O99">
        <v>1.2</v>
      </c>
    </row>
    <row r="100" spans="1:25" x14ac:dyDescent="0.25">
      <c r="A100" s="50">
        <v>9031387</v>
      </c>
      <c r="B100" t="s">
        <v>3350</v>
      </c>
      <c r="X100">
        <v>2.14</v>
      </c>
      <c r="Y100">
        <v>1.29</v>
      </c>
    </row>
    <row r="101" spans="1:25" x14ac:dyDescent="0.25">
      <c r="A101" s="50">
        <v>9038676</v>
      </c>
      <c r="B101" t="s">
        <v>3350</v>
      </c>
      <c r="K101">
        <v>2.5</v>
      </c>
      <c r="L101">
        <v>1.6</v>
      </c>
      <c r="M101">
        <v>1.2</v>
      </c>
    </row>
    <row r="102" spans="1:25" x14ac:dyDescent="0.25">
      <c r="A102" s="50">
        <v>9039416</v>
      </c>
      <c r="B102" t="s">
        <v>3350</v>
      </c>
      <c r="N102">
        <v>0.9</v>
      </c>
    </row>
    <row r="103" spans="1:25" x14ac:dyDescent="0.25">
      <c r="A103" s="50">
        <v>9042861</v>
      </c>
      <c r="B103" t="s">
        <v>3350</v>
      </c>
    </row>
    <row r="104" spans="1:25" x14ac:dyDescent="0.25">
      <c r="A104" s="50">
        <v>9044899</v>
      </c>
      <c r="B104" t="s">
        <v>3350</v>
      </c>
    </row>
    <row r="105" spans="1:25" x14ac:dyDescent="0.25">
      <c r="A105" s="50">
        <v>9052398</v>
      </c>
      <c r="B105" t="s">
        <v>3350</v>
      </c>
      <c r="K105">
        <v>1.26</v>
      </c>
    </row>
    <row r="106" spans="1:25" x14ac:dyDescent="0.25">
      <c r="A106" s="50">
        <v>9085204</v>
      </c>
      <c r="B106" t="s">
        <v>3350</v>
      </c>
    </row>
    <row r="107" spans="1:25" x14ac:dyDescent="0.25">
      <c r="A107" s="50">
        <v>9090323</v>
      </c>
      <c r="B107" t="s">
        <v>3350</v>
      </c>
    </row>
    <row r="108" spans="1:25" x14ac:dyDescent="0.25">
      <c r="A108" s="50">
        <v>9105492</v>
      </c>
      <c r="B108" t="s">
        <v>3350</v>
      </c>
    </row>
    <row r="109" spans="1:25" x14ac:dyDescent="0.25">
      <c r="A109" s="50">
        <v>9138470</v>
      </c>
      <c r="B109" t="s">
        <v>3350</v>
      </c>
    </row>
    <row r="110" spans="1:25" x14ac:dyDescent="0.25">
      <c r="A110" s="50">
        <v>9150676</v>
      </c>
      <c r="B110" t="s">
        <v>3350</v>
      </c>
    </row>
    <row r="111" spans="1:25" x14ac:dyDescent="0.25">
      <c r="A111" s="50">
        <v>10010926</v>
      </c>
      <c r="B111" t="s">
        <v>3350</v>
      </c>
      <c r="K111">
        <v>1.1000000000000001</v>
      </c>
      <c r="M111">
        <v>1.1100000000000001</v>
      </c>
    </row>
    <row r="112" spans="1:25" x14ac:dyDescent="0.25">
      <c r="A112" s="50">
        <v>10016588</v>
      </c>
      <c r="B112" t="s">
        <v>3350</v>
      </c>
    </row>
    <row r="113" spans="1:23" x14ac:dyDescent="0.25">
      <c r="A113" s="50">
        <v>10030897</v>
      </c>
      <c r="B113" t="s">
        <v>3350</v>
      </c>
      <c r="M113">
        <v>1.1499999999999999</v>
      </c>
      <c r="P113">
        <v>1.1000000000000001</v>
      </c>
      <c r="U113">
        <v>1.08</v>
      </c>
    </row>
    <row r="114" spans="1:23" x14ac:dyDescent="0.25">
      <c r="A114" s="50">
        <v>324</v>
      </c>
      <c r="B114" t="s">
        <v>3350</v>
      </c>
    </row>
    <row r="115" spans="1:23" x14ac:dyDescent="0.25">
      <c r="A115" s="50">
        <v>3909</v>
      </c>
      <c r="B115" t="s">
        <v>3350</v>
      </c>
    </row>
    <row r="116" spans="1:23" x14ac:dyDescent="0.25">
      <c r="A116" s="50">
        <v>4663</v>
      </c>
      <c r="B116" t="s">
        <v>3350</v>
      </c>
      <c r="D116">
        <v>0.98</v>
      </c>
      <c r="W116">
        <v>2.48</v>
      </c>
    </row>
    <row r="117" spans="1:23" x14ac:dyDescent="0.25">
      <c r="A117" s="50">
        <v>1005522</v>
      </c>
      <c r="B117" t="s">
        <v>3350</v>
      </c>
    </row>
    <row r="118" spans="1:23" x14ac:dyDescent="0.25">
      <c r="A118" s="50">
        <v>1007631</v>
      </c>
      <c r="B118" t="s">
        <v>3350</v>
      </c>
    </row>
    <row r="119" spans="1:23" x14ac:dyDescent="0.25">
      <c r="A119" s="50">
        <v>1009760</v>
      </c>
      <c r="B119" t="s">
        <v>3350</v>
      </c>
    </row>
    <row r="120" spans="1:23" x14ac:dyDescent="0.25">
      <c r="A120" s="50">
        <v>2000646</v>
      </c>
      <c r="B120" t="s">
        <v>3350</v>
      </c>
      <c r="K120">
        <v>1.1299999999999999</v>
      </c>
      <c r="L120">
        <v>1.1499999999999999</v>
      </c>
      <c r="S120">
        <v>1.06</v>
      </c>
      <c r="T120">
        <v>0.99</v>
      </c>
      <c r="U120">
        <v>1.04</v>
      </c>
    </row>
    <row r="121" spans="1:23" x14ac:dyDescent="0.25">
      <c r="A121" s="50">
        <v>2003761</v>
      </c>
      <c r="B121" t="s">
        <v>3350</v>
      </c>
    </row>
    <row r="122" spans="1:23" x14ac:dyDescent="0.25">
      <c r="A122" s="50">
        <v>2004061</v>
      </c>
      <c r="B122" t="s">
        <v>3350</v>
      </c>
    </row>
    <row r="123" spans="1:23" x14ac:dyDescent="0.25">
      <c r="A123" s="50">
        <v>2006469</v>
      </c>
      <c r="B123" t="s">
        <v>3350</v>
      </c>
    </row>
    <row r="124" spans="1:23" x14ac:dyDescent="0.25">
      <c r="A124" s="50">
        <v>3005132</v>
      </c>
      <c r="B124" t="s">
        <v>3350</v>
      </c>
      <c r="K124">
        <v>1.78</v>
      </c>
    </row>
    <row r="125" spans="1:23" x14ac:dyDescent="0.25">
      <c r="A125" s="50">
        <v>3009119</v>
      </c>
      <c r="B125" t="s">
        <v>3350</v>
      </c>
    </row>
    <row r="126" spans="1:23" x14ac:dyDescent="0.25">
      <c r="A126" s="50">
        <v>3009936</v>
      </c>
      <c r="B126" t="s">
        <v>3350</v>
      </c>
    </row>
    <row r="127" spans="1:23" x14ac:dyDescent="0.25">
      <c r="A127" s="50">
        <v>3011094</v>
      </c>
      <c r="B127" t="s">
        <v>3350</v>
      </c>
    </row>
    <row r="128" spans="1:23" x14ac:dyDescent="0.25">
      <c r="A128" s="50">
        <v>3014643</v>
      </c>
      <c r="B128" t="s">
        <v>3350</v>
      </c>
    </row>
    <row r="129" spans="1:31" x14ac:dyDescent="0.25">
      <c r="A129" s="50">
        <v>3016056</v>
      </c>
      <c r="B129" t="s">
        <v>3350</v>
      </c>
      <c r="AE129">
        <v>1</v>
      </c>
    </row>
    <row r="130" spans="1:31" x14ac:dyDescent="0.25">
      <c r="A130" s="50">
        <v>3900219</v>
      </c>
      <c r="B130" t="s">
        <v>3350</v>
      </c>
    </row>
    <row r="131" spans="1:31" x14ac:dyDescent="0.25">
      <c r="A131" s="50">
        <v>4000158</v>
      </c>
      <c r="B131" t="s">
        <v>3350</v>
      </c>
    </row>
    <row r="132" spans="1:31" x14ac:dyDescent="0.25">
      <c r="A132" s="50">
        <v>4000304</v>
      </c>
      <c r="B132" t="s">
        <v>3350</v>
      </c>
    </row>
    <row r="133" spans="1:31" x14ac:dyDescent="0.25">
      <c r="A133" s="50">
        <v>4001905</v>
      </c>
      <c r="B133" t="s">
        <v>3350</v>
      </c>
    </row>
    <row r="134" spans="1:31" x14ac:dyDescent="0.25">
      <c r="A134" s="50">
        <v>4002206</v>
      </c>
      <c r="B134" t="s">
        <v>3350</v>
      </c>
    </row>
    <row r="135" spans="1:31" x14ac:dyDescent="0.25">
      <c r="A135" s="50">
        <v>4002715</v>
      </c>
      <c r="B135" t="s">
        <v>3350</v>
      </c>
    </row>
    <row r="136" spans="1:31" x14ac:dyDescent="0.25">
      <c r="A136" s="50">
        <v>4003924</v>
      </c>
      <c r="B136" t="s">
        <v>3350</v>
      </c>
    </row>
    <row r="137" spans="1:31" x14ac:dyDescent="0.25">
      <c r="A137" s="50">
        <v>4006051</v>
      </c>
      <c r="B137" t="s">
        <v>3350</v>
      </c>
    </row>
    <row r="138" spans="1:31" x14ac:dyDescent="0.25">
      <c r="A138" s="50">
        <v>4008140</v>
      </c>
      <c r="B138" t="s">
        <v>3350</v>
      </c>
    </row>
    <row r="139" spans="1:31" x14ac:dyDescent="0.25">
      <c r="A139" s="50">
        <v>4009906</v>
      </c>
      <c r="B139" t="s">
        <v>3350</v>
      </c>
    </row>
    <row r="140" spans="1:31" x14ac:dyDescent="0.25">
      <c r="A140" s="50">
        <v>4011027</v>
      </c>
      <c r="B140" t="s">
        <v>3350</v>
      </c>
      <c r="L140">
        <v>2.5</v>
      </c>
      <c r="M140">
        <v>2</v>
      </c>
      <c r="R140">
        <v>1.1000000000000001</v>
      </c>
      <c r="S140">
        <v>1.1000000000000001</v>
      </c>
    </row>
    <row r="141" spans="1:31" x14ac:dyDescent="0.25">
      <c r="A141" s="50">
        <v>4011920</v>
      </c>
      <c r="B141" t="s">
        <v>3350</v>
      </c>
    </row>
    <row r="142" spans="1:31" x14ac:dyDescent="0.25">
      <c r="A142" s="50">
        <v>4012248</v>
      </c>
      <c r="B142" t="s">
        <v>3350</v>
      </c>
    </row>
    <row r="143" spans="1:31" x14ac:dyDescent="0.25">
      <c r="A143" s="50">
        <v>4013603</v>
      </c>
      <c r="B143" t="s">
        <v>3350</v>
      </c>
    </row>
    <row r="144" spans="1:31" x14ac:dyDescent="0.25">
      <c r="A144" s="50">
        <v>5004654</v>
      </c>
      <c r="B144" t="s">
        <v>3350</v>
      </c>
      <c r="N144">
        <v>1.1299999999999999</v>
      </c>
      <c r="O144">
        <v>1.1499999999999999</v>
      </c>
      <c r="P144">
        <v>1.1200000000000001</v>
      </c>
      <c r="S144">
        <v>1.05</v>
      </c>
    </row>
    <row r="145" spans="1:14" x14ac:dyDescent="0.25">
      <c r="A145" s="54"/>
      <c r="B145" s="65"/>
    </row>
    <row r="146" spans="1:14" x14ac:dyDescent="0.25">
      <c r="A146" s="52" t="s">
        <v>146</v>
      </c>
      <c r="B146" s="10"/>
    </row>
    <row r="147" spans="1:14" x14ac:dyDescent="0.25">
      <c r="A147" s="50">
        <v>4289</v>
      </c>
      <c r="B147" t="s">
        <v>3351</v>
      </c>
      <c r="K147">
        <v>1.02</v>
      </c>
      <c r="L147">
        <v>1.4</v>
      </c>
      <c r="M147">
        <v>2.37</v>
      </c>
      <c r="N147">
        <v>2.72</v>
      </c>
    </row>
    <row r="148" spans="1:14" x14ac:dyDescent="0.25">
      <c r="A148" s="50">
        <v>500245</v>
      </c>
      <c r="B148" t="s">
        <v>3351</v>
      </c>
    </row>
    <row r="149" spans="1:14" x14ac:dyDescent="0.25">
      <c r="A149" s="50">
        <v>2002573</v>
      </c>
      <c r="B149" t="s">
        <v>3351</v>
      </c>
    </row>
    <row r="150" spans="1:14" x14ac:dyDescent="0.25">
      <c r="A150" s="50">
        <v>2003539</v>
      </c>
      <c r="B150" t="s">
        <v>3351</v>
      </c>
    </row>
    <row r="151" spans="1:14" x14ac:dyDescent="0.25">
      <c r="A151" s="50">
        <v>2003649</v>
      </c>
      <c r="B151" t="s">
        <v>3351</v>
      </c>
    </row>
    <row r="152" spans="1:14" x14ac:dyDescent="0.25">
      <c r="A152" s="50">
        <v>2005572</v>
      </c>
      <c r="B152" t="s">
        <v>3351</v>
      </c>
      <c r="K152">
        <v>1.04</v>
      </c>
    </row>
    <row r="153" spans="1:14" x14ac:dyDescent="0.25">
      <c r="A153" s="50">
        <v>2013117</v>
      </c>
      <c r="B153" t="s">
        <v>3351</v>
      </c>
    </row>
    <row r="154" spans="1:14" x14ac:dyDescent="0.25">
      <c r="A154" s="50">
        <v>3009633</v>
      </c>
      <c r="B154" t="s">
        <v>3351</v>
      </c>
    </row>
    <row r="155" spans="1:14" x14ac:dyDescent="0.25">
      <c r="A155" s="50">
        <v>3010583</v>
      </c>
      <c r="B155" t="s">
        <v>3351</v>
      </c>
    </row>
    <row r="156" spans="1:14" x14ac:dyDescent="0.25">
      <c r="A156" s="23">
        <v>3011892</v>
      </c>
      <c r="B156" t="s">
        <v>3351</v>
      </c>
    </row>
    <row r="157" spans="1:14" x14ac:dyDescent="0.25">
      <c r="A157">
        <v>4001382</v>
      </c>
      <c r="B157" t="s">
        <v>3351</v>
      </c>
    </row>
    <row r="158" spans="1:14" x14ac:dyDescent="0.25">
      <c r="A158" s="50">
        <v>5018675</v>
      </c>
      <c r="B158" t="s">
        <v>3351</v>
      </c>
    </row>
    <row r="159" spans="1:14" x14ac:dyDescent="0.25">
      <c r="A159" s="50">
        <v>6050168</v>
      </c>
      <c r="B159" t="s">
        <v>3351</v>
      </c>
    </row>
    <row r="160" spans="1:14" x14ac:dyDescent="0.25">
      <c r="A160" s="50">
        <v>5006592</v>
      </c>
      <c r="B160" t="s">
        <v>3351</v>
      </c>
    </row>
    <row r="161" spans="1:32" x14ac:dyDescent="0.25">
      <c r="A161" s="50">
        <v>5007274</v>
      </c>
      <c r="B161" t="s">
        <v>3351</v>
      </c>
      <c r="K161">
        <v>2.5</v>
      </c>
      <c r="V161">
        <v>4</v>
      </c>
    </row>
    <row r="162" spans="1:32" x14ac:dyDescent="0.25">
      <c r="A162" s="50">
        <v>5015851</v>
      </c>
      <c r="B162" t="s">
        <v>3351</v>
      </c>
      <c r="Z162">
        <v>0.9</v>
      </c>
      <c r="AB162">
        <v>1</v>
      </c>
      <c r="AD162">
        <v>1</v>
      </c>
      <c r="AF162">
        <v>1</v>
      </c>
    </row>
    <row r="163" spans="1:32" x14ac:dyDescent="0.25">
      <c r="A163" s="50">
        <v>6015647</v>
      </c>
      <c r="B163" t="s">
        <v>3351</v>
      </c>
      <c r="K163">
        <v>1.21</v>
      </c>
    </row>
    <row r="164" spans="1:32" x14ac:dyDescent="0.25">
      <c r="A164" s="50">
        <v>6056633</v>
      </c>
      <c r="B164" t="s">
        <v>3351</v>
      </c>
    </row>
    <row r="165" spans="1:32" x14ac:dyDescent="0.25">
      <c r="A165" s="50">
        <v>7086224</v>
      </c>
      <c r="B165" t="s">
        <v>3351</v>
      </c>
      <c r="U165">
        <v>1.19</v>
      </c>
    </row>
    <row r="166" spans="1:32" x14ac:dyDescent="0.25">
      <c r="A166" s="50">
        <v>8040959</v>
      </c>
      <c r="B166" t="s">
        <v>3351</v>
      </c>
    </row>
    <row r="167" spans="1:32" x14ac:dyDescent="0.25">
      <c r="A167" s="50">
        <v>8107048</v>
      </c>
      <c r="B167" t="s">
        <v>3351</v>
      </c>
      <c r="K167">
        <v>0.92</v>
      </c>
    </row>
    <row r="168" spans="1:32" x14ac:dyDescent="0.25">
      <c r="A168" s="50">
        <v>8124044</v>
      </c>
      <c r="B168" t="s">
        <v>3351</v>
      </c>
    </row>
    <row r="169" spans="1:32" x14ac:dyDescent="0.25">
      <c r="A169" s="50">
        <v>8142949</v>
      </c>
      <c r="B169" t="s">
        <v>3351</v>
      </c>
    </row>
    <row r="170" spans="1:32" x14ac:dyDescent="0.25">
      <c r="A170" s="50">
        <v>9023306</v>
      </c>
      <c r="B170" t="s">
        <v>3351</v>
      </c>
    </row>
    <row r="171" spans="1:32" x14ac:dyDescent="0.25">
      <c r="A171" s="50">
        <v>9030615</v>
      </c>
      <c r="B171" t="s">
        <v>3351</v>
      </c>
      <c r="N171">
        <v>1.05</v>
      </c>
    </row>
    <row r="172" spans="1:32" x14ac:dyDescent="0.25">
      <c r="A172" s="50">
        <v>9034464</v>
      </c>
      <c r="B172" t="s">
        <v>3351</v>
      </c>
    </row>
    <row r="173" spans="1:32" x14ac:dyDescent="0.25">
      <c r="A173" s="50">
        <v>9040167</v>
      </c>
      <c r="B173" t="s">
        <v>3351</v>
      </c>
      <c r="H173">
        <v>0.93</v>
      </c>
    </row>
    <row r="174" spans="1:32" x14ac:dyDescent="0.25">
      <c r="A174" s="50">
        <v>9054567</v>
      </c>
      <c r="B174" t="s">
        <v>3351</v>
      </c>
    </row>
    <row r="175" spans="1:32" x14ac:dyDescent="0.25">
      <c r="A175" s="50">
        <v>9083682</v>
      </c>
      <c r="B175" t="s">
        <v>3351</v>
      </c>
      <c r="J175">
        <v>1.06</v>
      </c>
    </row>
    <row r="176" spans="1:32" x14ac:dyDescent="0.25">
      <c r="A176" s="50">
        <v>9102044</v>
      </c>
      <c r="B176" t="s">
        <v>3351</v>
      </c>
    </row>
    <row r="177" spans="1:2" x14ac:dyDescent="0.25">
      <c r="A177" s="50">
        <v>9119854</v>
      </c>
      <c r="B177" t="s">
        <v>3351</v>
      </c>
    </row>
    <row r="178" spans="1:2" x14ac:dyDescent="0.25">
      <c r="A178" s="50">
        <v>9125126</v>
      </c>
      <c r="B178" t="s">
        <v>3351</v>
      </c>
    </row>
    <row r="179" spans="1:2" x14ac:dyDescent="0.25">
      <c r="A179" s="50">
        <v>9174811</v>
      </c>
      <c r="B179" t="s">
        <v>3351</v>
      </c>
    </row>
    <row r="180" spans="1:2" x14ac:dyDescent="0.25">
      <c r="A180" s="50">
        <v>10002875</v>
      </c>
      <c r="B180" t="s">
        <v>3351</v>
      </c>
    </row>
    <row r="181" spans="1:2" x14ac:dyDescent="0.25">
      <c r="A181" s="50">
        <v>10023080</v>
      </c>
      <c r="B181" t="s">
        <v>3351</v>
      </c>
    </row>
    <row r="182" spans="1:2" x14ac:dyDescent="0.25">
      <c r="A182" s="50">
        <v>10025212</v>
      </c>
      <c r="B182" t="s">
        <v>3351</v>
      </c>
    </row>
    <row r="183" spans="1:2" x14ac:dyDescent="0.25">
      <c r="A183" s="50">
        <v>10069407</v>
      </c>
      <c r="B183" t="s">
        <v>3351</v>
      </c>
    </row>
    <row r="184" spans="1:2" x14ac:dyDescent="0.25">
      <c r="A184" s="50">
        <v>10071135</v>
      </c>
      <c r="B184" t="s">
        <v>3351</v>
      </c>
    </row>
    <row r="185" spans="1:2" x14ac:dyDescent="0.25">
      <c r="A185" s="50">
        <v>10083649</v>
      </c>
      <c r="B185" t="s">
        <v>3351</v>
      </c>
    </row>
    <row r="186" spans="1:2" x14ac:dyDescent="0.25">
      <c r="A186" s="50">
        <v>10102021</v>
      </c>
      <c r="B186" t="s">
        <v>3351</v>
      </c>
    </row>
    <row r="187" spans="1:2" x14ac:dyDescent="0.25">
      <c r="A187" s="50">
        <v>10123729</v>
      </c>
      <c r="B187" t="s">
        <v>3351</v>
      </c>
    </row>
    <row r="188" spans="1:2" x14ac:dyDescent="0.25">
      <c r="A188" s="50">
        <v>10144736</v>
      </c>
      <c r="B188" t="s">
        <v>3351</v>
      </c>
    </row>
    <row r="189" spans="1:2" x14ac:dyDescent="0.25">
      <c r="A189" s="50">
        <v>10157275</v>
      </c>
      <c r="B189" t="s">
        <v>3351</v>
      </c>
    </row>
    <row r="190" spans="1:2" x14ac:dyDescent="0.25">
      <c r="A190" s="54"/>
      <c r="B190" s="65"/>
    </row>
    <row r="191" spans="1:2" x14ac:dyDescent="0.25">
      <c r="A191" s="52" t="s">
        <v>120</v>
      </c>
      <c r="B191" s="10"/>
    </row>
    <row r="192" spans="1:2" x14ac:dyDescent="0.25">
      <c r="A192" s="50">
        <v>5281</v>
      </c>
      <c r="B192" t="s">
        <v>3352</v>
      </c>
    </row>
    <row r="193" spans="1:21" x14ac:dyDescent="0.25">
      <c r="A193" s="50">
        <v>200085</v>
      </c>
      <c r="B193" t="s">
        <v>3352</v>
      </c>
    </row>
    <row r="194" spans="1:21" x14ac:dyDescent="0.25">
      <c r="A194" s="50">
        <v>500129</v>
      </c>
      <c r="B194" t="s">
        <v>3352</v>
      </c>
      <c r="P194">
        <v>1.2</v>
      </c>
      <c r="R194">
        <v>1.73</v>
      </c>
    </row>
    <row r="195" spans="1:21" x14ac:dyDescent="0.25">
      <c r="A195" s="53">
        <v>1002033</v>
      </c>
      <c r="B195" t="s">
        <v>3352</v>
      </c>
    </row>
    <row r="196" spans="1:21" x14ac:dyDescent="0.25">
      <c r="A196" s="50">
        <v>1003457</v>
      </c>
      <c r="B196" t="s">
        <v>3352</v>
      </c>
    </row>
    <row r="197" spans="1:21" x14ac:dyDescent="0.25">
      <c r="A197" s="50">
        <v>2005223</v>
      </c>
      <c r="B197" t="s">
        <v>3352</v>
      </c>
    </row>
    <row r="198" spans="1:21" x14ac:dyDescent="0.25">
      <c r="A198" s="50">
        <v>2006107</v>
      </c>
      <c r="B198" t="s">
        <v>3352</v>
      </c>
    </row>
    <row r="199" spans="1:21" x14ac:dyDescent="0.25">
      <c r="A199" s="50">
        <v>2012014</v>
      </c>
      <c r="B199" t="s">
        <v>3352</v>
      </c>
    </row>
    <row r="200" spans="1:21" x14ac:dyDescent="0.25">
      <c r="A200" s="50">
        <v>3000152</v>
      </c>
      <c r="B200" t="s">
        <v>3352</v>
      </c>
    </row>
    <row r="201" spans="1:21" x14ac:dyDescent="0.25">
      <c r="A201" s="50">
        <v>3014566</v>
      </c>
      <c r="B201" t="s">
        <v>3352</v>
      </c>
    </row>
    <row r="202" spans="1:21" x14ac:dyDescent="0.25">
      <c r="A202" s="50">
        <v>3015058</v>
      </c>
      <c r="B202" t="s">
        <v>3352</v>
      </c>
      <c r="D202">
        <v>1</v>
      </c>
      <c r="E202" s="14">
        <v>1.1499999999999999</v>
      </c>
      <c r="K202">
        <v>3.4</v>
      </c>
      <c r="L202">
        <v>64</v>
      </c>
      <c r="M202">
        <v>91</v>
      </c>
      <c r="S202">
        <v>1</v>
      </c>
    </row>
    <row r="203" spans="1:21" x14ac:dyDescent="0.25">
      <c r="A203" s="53">
        <v>4000996</v>
      </c>
      <c r="B203" t="s">
        <v>3352</v>
      </c>
      <c r="L203">
        <v>1</v>
      </c>
      <c r="N203">
        <v>1.1000000000000001</v>
      </c>
    </row>
    <row r="204" spans="1:21" x14ac:dyDescent="0.25">
      <c r="A204" s="50">
        <v>4003768</v>
      </c>
      <c r="B204" t="s">
        <v>3352</v>
      </c>
    </row>
    <row r="205" spans="1:21" x14ac:dyDescent="0.25">
      <c r="A205" s="50">
        <v>4006540</v>
      </c>
      <c r="B205" t="s">
        <v>3352</v>
      </c>
      <c r="U205">
        <v>1</v>
      </c>
    </row>
    <row r="206" spans="1:21" x14ac:dyDescent="0.25">
      <c r="A206" s="50">
        <v>4007054</v>
      </c>
      <c r="B206" t="s">
        <v>3352</v>
      </c>
      <c r="O206">
        <v>1.1000000000000001</v>
      </c>
    </row>
    <row r="207" spans="1:21" x14ac:dyDescent="0.25">
      <c r="A207" s="50">
        <v>4011002</v>
      </c>
      <c r="B207" t="s">
        <v>3352</v>
      </c>
      <c r="L207">
        <v>1.3</v>
      </c>
      <c r="P207">
        <v>1.3</v>
      </c>
    </row>
    <row r="208" spans="1:21" x14ac:dyDescent="0.25">
      <c r="A208" s="50">
        <v>4900268</v>
      </c>
      <c r="B208" t="s">
        <v>3352</v>
      </c>
    </row>
    <row r="209" spans="1:17" x14ac:dyDescent="0.25">
      <c r="A209" s="50">
        <v>5001097</v>
      </c>
      <c r="B209" t="s">
        <v>3352</v>
      </c>
      <c r="F209">
        <v>0.99</v>
      </c>
      <c r="Q209">
        <v>0.9</v>
      </c>
    </row>
    <row r="210" spans="1:17" x14ac:dyDescent="0.25">
      <c r="A210" s="50">
        <v>5001098</v>
      </c>
      <c r="B210" t="s">
        <v>3352</v>
      </c>
      <c r="C210">
        <v>0.88</v>
      </c>
    </row>
    <row r="211" spans="1:17" x14ac:dyDescent="0.25">
      <c r="A211" s="50">
        <v>5006152</v>
      </c>
      <c r="B211" t="s">
        <v>3352</v>
      </c>
      <c r="L211">
        <v>1.98</v>
      </c>
    </row>
    <row r="212" spans="1:17" x14ac:dyDescent="0.25">
      <c r="A212" s="50">
        <v>6012361</v>
      </c>
      <c r="B212" t="s">
        <v>3352</v>
      </c>
    </row>
    <row r="213" spans="1:17" x14ac:dyDescent="0.25">
      <c r="A213" s="50">
        <v>6015793</v>
      </c>
      <c r="B213" t="s">
        <v>3352</v>
      </c>
    </row>
    <row r="214" spans="1:17" x14ac:dyDescent="0.25">
      <c r="A214" s="50">
        <v>6043619</v>
      </c>
      <c r="B214" t="s">
        <v>3352</v>
      </c>
    </row>
    <row r="215" spans="1:17" x14ac:dyDescent="0.25">
      <c r="A215" s="50">
        <v>7001097</v>
      </c>
      <c r="B215" t="s">
        <v>3352</v>
      </c>
    </row>
    <row r="216" spans="1:17" x14ac:dyDescent="0.25">
      <c r="A216" s="50">
        <v>7011435</v>
      </c>
      <c r="B216" t="s">
        <v>3352</v>
      </c>
    </row>
    <row r="217" spans="1:17" x14ac:dyDescent="0.25">
      <c r="A217" s="50">
        <v>7045811</v>
      </c>
      <c r="B217" t="s">
        <v>3352</v>
      </c>
    </row>
    <row r="218" spans="1:17" x14ac:dyDescent="0.25">
      <c r="A218" s="50">
        <v>7071198</v>
      </c>
      <c r="B218" t="s">
        <v>3352</v>
      </c>
    </row>
    <row r="219" spans="1:17" x14ac:dyDescent="0.25">
      <c r="A219" s="50">
        <v>7101143</v>
      </c>
      <c r="B219" t="s">
        <v>3352</v>
      </c>
    </row>
    <row r="220" spans="1:17" x14ac:dyDescent="0.25">
      <c r="A220" s="50">
        <v>8073350</v>
      </c>
      <c r="B220" t="s">
        <v>3352</v>
      </c>
    </row>
    <row r="221" spans="1:17" x14ac:dyDescent="0.25">
      <c r="A221" s="50">
        <v>8073645</v>
      </c>
      <c r="B221" t="s">
        <v>3352</v>
      </c>
    </row>
    <row r="222" spans="1:17" x14ac:dyDescent="0.25">
      <c r="A222" s="53">
        <v>8089666</v>
      </c>
      <c r="B222" t="s">
        <v>3352</v>
      </c>
      <c r="G222">
        <v>0.85</v>
      </c>
      <c r="H222" s="14">
        <v>1.2</v>
      </c>
      <c r="I222">
        <v>1.4</v>
      </c>
      <c r="K222" s="14">
        <v>5.88</v>
      </c>
      <c r="L222">
        <v>5.4</v>
      </c>
    </row>
    <row r="223" spans="1:17" x14ac:dyDescent="0.25">
      <c r="A223" s="50">
        <v>8103536</v>
      </c>
      <c r="B223" t="s">
        <v>3352</v>
      </c>
      <c r="J223">
        <v>0.98</v>
      </c>
    </row>
    <row r="224" spans="1:17" x14ac:dyDescent="0.25">
      <c r="A224" s="50">
        <v>8124816</v>
      </c>
      <c r="B224" t="s">
        <v>3352</v>
      </c>
    </row>
    <row r="225" spans="1:14" x14ac:dyDescent="0.25">
      <c r="A225" s="50">
        <v>9003267</v>
      </c>
      <c r="B225" t="s">
        <v>3352</v>
      </c>
    </row>
    <row r="226" spans="1:14" x14ac:dyDescent="0.25">
      <c r="A226" s="50">
        <v>9036964</v>
      </c>
      <c r="B226" t="s">
        <v>3352</v>
      </c>
    </row>
    <row r="227" spans="1:14" x14ac:dyDescent="0.25">
      <c r="A227" s="50">
        <v>9090287</v>
      </c>
      <c r="B227" t="s">
        <v>3352</v>
      </c>
      <c r="M227">
        <v>2.04</v>
      </c>
      <c r="N227">
        <v>1.69</v>
      </c>
    </row>
    <row r="228" spans="1:14" x14ac:dyDescent="0.25">
      <c r="A228" s="50">
        <v>9095148</v>
      </c>
      <c r="B228" t="s">
        <v>3352</v>
      </c>
      <c r="K228">
        <v>1.3</v>
      </c>
      <c r="L228">
        <v>1.1100000000000001</v>
      </c>
    </row>
    <row r="229" spans="1:14" x14ac:dyDescent="0.25">
      <c r="A229" s="50">
        <v>9104979</v>
      </c>
      <c r="B229" t="s">
        <v>3352</v>
      </c>
    </row>
    <row r="230" spans="1:14" x14ac:dyDescent="0.25">
      <c r="A230" s="50">
        <v>9139514</v>
      </c>
      <c r="B230" t="s">
        <v>3352</v>
      </c>
    </row>
    <row r="231" spans="1:14" x14ac:dyDescent="0.25">
      <c r="A231" s="50">
        <v>10020659</v>
      </c>
      <c r="B231" t="s">
        <v>3352</v>
      </c>
      <c r="K231">
        <v>4.2</v>
      </c>
    </row>
    <row r="232" spans="1:14" x14ac:dyDescent="0.25">
      <c r="A232" s="50">
        <v>10025902</v>
      </c>
      <c r="B232" t="s">
        <v>3352</v>
      </c>
    </row>
    <row r="233" spans="1:14" x14ac:dyDescent="0.25">
      <c r="A233" s="50">
        <v>10027654</v>
      </c>
      <c r="B233" t="s">
        <v>3352</v>
      </c>
    </row>
    <row r="234" spans="1:14" x14ac:dyDescent="0.25">
      <c r="A234" s="50">
        <v>10084485</v>
      </c>
      <c r="B234" t="s">
        <v>3352</v>
      </c>
    </row>
    <row r="235" spans="1:14" x14ac:dyDescent="0.25">
      <c r="A235" s="50">
        <v>10098420</v>
      </c>
      <c r="B235" t="s">
        <v>3352</v>
      </c>
      <c r="K235">
        <v>6.07</v>
      </c>
      <c r="L235">
        <v>4</v>
      </c>
      <c r="M235">
        <v>4.6399999999999997</v>
      </c>
    </row>
    <row r="236" spans="1:14" x14ac:dyDescent="0.25">
      <c r="A236" s="50">
        <v>10129565</v>
      </c>
      <c r="B236" t="s">
        <v>3352</v>
      </c>
    </row>
    <row r="237" spans="1:14" x14ac:dyDescent="0.25">
      <c r="A237" s="50">
        <v>10146828</v>
      </c>
      <c r="B237" t="s">
        <v>3352</v>
      </c>
    </row>
    <row r="238" spans="1:14" x14ac:dyDescent="0.25">
      <c r="A238">
        <v>10163776</v>
      </c>
      <c r="B238" t="s">
        <v>3352</v>
      </c>
      <c r="K238">
        <v>5.0199999999999996</v>
      </c>
    </row>
    <row r="239" spans="1:14" x14ac:dyDescent="0.25">
      <c r="A239">
        <v>10173664</v>
      </c>
      <c r="B239" t="s">
        <v>3352</v>
      </c>
      <c r="N239">
        <v>1.1200000000000001</v>
      </c>
    </row>
  </sheetData>
  <conditionalFormatting sqref="A19">
    <cfRule type="duplicateValues" dxfId="32" priority="1"/>
  </conditionalFormatting>
  <pageMargins left="0.7" right="0.7" top="0.78740157499999996" bottom="0.78740157499999996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4"/>
  <sheetViews>
    <sheetView workbookViewId="0">
      <selection activeCell="C1" sqref="C1:C1048576"/>
    </sheetView>
  </sheetViews>
  <sheetFormatPr defaultColWidth="11.42578125" defaultRowHeight="15" x14ac:dyDescent="0.25"/>
  <cols>
    <col min="1" max="1" width="17.28515625" bestFit="1" customWidth="1"/>
    <col min="2" max="2" width="6.42578125" bestFit="1" customWidth="1"/>
    <col min="3" max="3" width="12.5703125" bestFit="1" customWidth="1"/>
    <col min="4" max="4" width="81.140625" bestFit="1" customWidth="1"/>
    <col min="5" max="5" width="30.28515625" customWidth="1"/>
  </cols>
  <sheetData>
    <row r="1" spans="1:5" x14ac:dyDescent="0.25">
      <c r="A1" s="66" t="s">
        <v>59</v>
      </c>
      <c r="B1" s="66" t="s">
        <v>2600</v>
      </c>
      <c r="C1" t="s">
        <v>3346</v>
      </c>
      <c r="D1" s="66" t="s">
        <v>2564</v>
      </c>
      <c r="E1" s="66" t="s">
        <v>2523</v>
      </c>
    </row>
    <row r="2" spans="1:5" x14ac:dyDescent="0.25">
      <c r="A2" s="66">
        <v>7103068</v>
      </c>
      <c r="B2" s="66" t="s">
        <v>2600</v>
      </c>
      <c r="C2" t="s">
        <v>3349</v>
      </c>
      <c r="D2" s="66" t="s">
        <v>661</v>
      </c>
      <c r="E2" s="66">
        <v>1</v>
      </c>
    </row>
    <row r="3" spans="1:5" x14ac:dyDescent="0.25">
      <c r="A3" s="66">
        <v>9003331</v>
      </c>
      <c r="B3" s="66" t="s">
        <v>2600</v>
      </c>
      <c r="C3" t="s">
        <v>3350</v>
      </c>
      <c r="D3" s="66" t="s">
        <v>2601</v>
      </c>
      <c r="E3" s="66">
        <v>2</v>
      </c>
    </row>
    <row r="4" spans="1:5" x14ac:dyDescent="0.25">
      <c r="A4" s="66">
        <v>9003370</v>
      </c>
      <c r="B4" s="66" t="s">
        <v>2600</v>
      </c>
      <c r="C4" t="s">
        <v>3350</v>
      </c>
      <c r="D4" s="66" t="s">
        <v>845</v>
      </c>
      <c r="E4" s="66">
        <v>1</v>
      </c>
    </row>
    <row r="5" spans="1:5" x14ac:dyDescent="0.25">
      <c r="A5" s="66">
        <v>9030684</v>
      </c>
      <c r="B5" s="66" t="s">
        <v>2600</v>
      </c>
      <c r="C5" t="s">
        <v>3350</v>
      </c>
      <c r="D5" s="66" t="s">
        <v>2602</v>
      </c>
      <c r="E5" s="66">
        <v>3</v>
      </c>
    </row>
    <row r="6" spans="1:5" x14ac:dyDescent="0.25">
      <c r="A6" s="66">
        <v>9031387</v>
      </c>
      <c r="B6" s="66" t="s">
        <v>2600</v>
      </c>
      <c r="C6" t="s">
        <v>3350</v>
      </c>
      <c r="D6" s="66" t="s">
        <v>2603</v>
      </c>
      <c r="E6" s="66">
        <v>2</v>
      </c>
    </row>
    <row r="7" spans="1:5" x14ac:dyDescent="0.25">
      <c r="A7" s="66">
        <v>9038676</v>
      </c>
      <c r="B7" s="66" t="s">
        <v>2600</v>
      </c>
      <c r="C7" t="s">
        <v>3350</v>
      </c>
      <c r="D7" s="66" t="s">
        <v>2604</v>
      </c>
      <c r="E7" s="66">
        <v>3</v>
      </c>
    </row>
    <row r="8" spans="1:5" x14ac:dyDescent="0.25">
      <c r="A8" s="66">
        <v>9039416</v>
      </c>
      <c r="B8" s="66" t="s">
        <v>2600</v>
      </c>
      <c r="C8" t="s">
        <v>3350</v>
      </c>
      <c r="D8" s="66" t="s">
        <v>887</v>
      </c>
      <c r="E8" s="66">
        <v>1</v>
      </c>
    </row>
    <row r="9" spans="1:5" x14ac:dyDescent="0.25">
      <c r="A9" s="66">
        <v>9052398</v>
      </c>
      <c r="B9" s="66" t="s">
        <v>2600</v>
      </c>
      <c r="C9" t="s">
        <v>3350</v>
      </c>
      <c r="D9" s="66" t="s">
        <v>845</v>
      </c>
      <c r="E9" s="66">
        <v>1</v>
      </c>
    </row>
    <row r="10" spans="1:5" x14ac:dyDescent="0.25">
      <c r="A10" s="66">
        <v>10010926</v>
      </c>
      <c r="B10" s="66" t="s">
        <v>2600</v>
      </c>
      <c r="C10" t="s">
        <v>3350</v>
      </c>
      <c r="D10" s="66" t="s">
        <v>2605</v>
      </c>
      <c r="E10" s="66">
        <v>2</v>
      </c>
    </row>
    <row r="11" spans="1:5" x14ac:dyDescent="0.25">
      <c r="A11" s="66">
        <v>10030897</v>
      </c>
      <c r="B11" s="66" t="s">
        <v>2600</v>
      </c>
      <c r="C11" t="s">
        <v>3350</v>
      </c>
      <c r="D11" s="66" t="s">
        <v>2606</v>
      </c>
      <c r="E11" s="66">
        <v>3</v>
      </c>
    </row>
    <row r="12" spans="1:5" x14ac:dyDescent="0.25">
      <c r="A12" s="66">
        <v>4663</v>
      </c>
      <c r="B12" s="66" t="s">
        <v>2600</v>
      </c>
      <c r="C12" t="s">
        <v>3350</v>
      </c>
      <c r="D12" s="66" t="s">
        <v>2607</v>
      </c>
      <c r="E12" s="66">
        <v>2</v>
      </c>
    </row>
    <row r="13" spans="1:5" x14ac:dyDescent="0.25">
      <c r="A13" s="66">
        <v>2000646</v>
      </c>
      <c r="B13" s="66" t="s">
        <v>2600</v>
      </c>
      <c r="C13" t="s">
        <v>3350</v>
      </c>
      <c r="D13" s="66" t="s">
        <v>2608</v>
      </c>
      <c r="E13" s="66">
        <v>5</v>
      </c>
    </row>
    <row r="14" spans="1:5" x14ac:dyDescent="0.25">
      <c r="A14" s="66">
        <v>3005132</v>
      </c>
      <c r="B14" s="66" t="s">
        <v>2600</v>
      </c>
      <c r="C14" t="s">
        <v>3350</v>
      </c>
      <c r="D14" s="66" t="s">
        <v>845</v>
      </c>
      <c r="E14" s="66">
        <v>1</v>
      </c>
    </row>
    <row r="15" spans="1:5" x14ac:dyDescent="0.25">
      <c r="A15" s="66">
        <v>3016056</v>
      </c>
      <c r="B15" s="66" t="s">
        <v>2600</v>
      </c>
      <c r="C15" t="s">
        <v>3350</v>
      </c>
      <c r="D15" s="66" t="s">
        <v>1170</v>
      </c>
      <c r="E15" s="66">
        <v>1</v>
      </c>
    </row>
    <row r="16" spans="1:5" x14ac:dyDescent="0.25">
      <c r="A16" s="66">
        <v>4011027</v>
      </c>
      <c r="B16" s="66" t="s">
        <v>2600</v>
      </c>
      <c r="C16" t="s">
        <v>3350</v>
      </c>
      <c r="D16" s="66" t="s">
        <v>2609</v>
      </c>
      <c r="E16" s="66">
        <v>4</v>
      </c>
    </row>
    <row r="17" spans="1:5" x14ac:dyDescent="0.25">
      <c r="A17" s="66">
        <v>5004654</v>
      </c>
      <c r="B17" s="66" t="s">
        <v>2600</v>
      </c>
      <c r="C17" t="s">
        <v>3350</v>
      </c>
      <c r="D17" s="66" t="s">
        <v>2610</v>
      </c>
      <c r="E17" s="66">
        <v>4</v>
      </c>
    </row>
    <row r="18" spans="1:5" x14ac:dyDescent="0.25">
      <c r="A18" s="66">
        <v>4289</v>
      </c>
      <c r="B18" s="66" t="s">
        <v>2600</v>
      </c>
      <c r="C18" t="s">
        <v>3351</v>
      </c>
      <c r="D18" s="66" t="s">
        <v>2611</v>
      </c>
      <c r="E18" s="66">
        <v>4</v>
      </c>
    </row>
    <row r="19" spans="1:5" x14ac:dyDescent="0.25">
      <c r="A19" s="66">
        <v>2005572</v>
      </c>
      <c r="B19" s="66" t="s">
        <v>2600</v>
      </c>
      <c r="C19" t="s">
        <v>3351</v>
      </c>
      <c r="D19" s="66" t="s">
        <v>845</v>
      </c>
      <c r="E19" s="66">
        <v>1</v>
      </c>
    </row>
    <row r="20" spans="1:5" x14ac:dyDescent="0.25">
      <c r="A20" s="66">
        <v>5007274</v>
      </c>
      <c r="B20" s="66" t="s">
        <v>2600</v>
      </c>
      <c r="C20" t="s">
        <v>3351</v>
      </c>
      <c r="D20" s="66" t="s">
        <v>2612</v>
      </c>
      <c r="E20" s="66">
        <v>2</v>
      </c>
    </row>
    <row r="21" spans="1:5" x14ac:dyDescent="0.25">
      <c r="A21" s="66">
        <v>5015851</v>
      </c>
      <c r="B21" s="66" t="s">
        <v>2600</v>
      </c>
      <c r="C21" t="s">
        <v>3351</v>
      </c>
      <c r="D21" s="66" t="s">
        <v>2613</v>
      </c>
      <c r="E21" s="66">
        <v>4</v>
      </c>
    </row>
    <row r="22" spans="1:5" x14ac:dyDescent="0.25">
      <c r="A22" s="66">
        <v>6015647</v>
      </c>
      <c r="B22" s="66" t="s">
        <v>2600</v>
      </c>
      <c r="C22" t="s">
        <v>3351</v>
      </c>
      <c r="D22" s="66" t="s">
        <v>845</v>
      </c>
      <c r="E22" s="66">
        <v>1</v>
      </c>
    </row>
    <row r="23" spans="1:5" x14ac:dyDescent="0.25">
      <c r="A23" s="66">
        <v>7086224</v>
      </c>
      <c r="B23" s="66" t="s">
        <v>2600</v>
      </c>
      <c r="C23" t="s">
        <v>3351</v>
      </c>
      <c r="D23" s="66" t="s">
        <v>970</v>
      </c>
      <c r="E23" s="66">
        <v>1</v>
      </c>
    </row>
    <row r="24" spans="1:5" x14ac:dyDescent="0.25">
      <c r="A24" s="66">
        <v>8107048</v>
      </c>
      <c r="B24" s="66" t="s">
        <v>2600</v>
      </c>
      <c r="C24" t="s">
        <v>3351</v>
      </c>
      <c r="D24" s="66" t="s">
        <v>845</v>
      </c>
      <c r="E24" s="66">
        <v>1</v>
      </c>
    </row>
    <row r="25" spans="1:5" x14ac:dyDescent="0.25">
      <c r="A25" s="66">
        <v>9030615</v>
      </c>
      <c r="B25" s="66" t="s">
        <v>2600</v>
      </c>
      <c r="C25" t="s">
        <v>3351</v>
      </c>
      <c r="D25" s="66" t="s">
        <v>887</v>
      </c>
      <c r="E25" s="66">
        <v>1</v>
      </c>
    </row>
    <row r="26" spans="1:5" x14ac:dyDescent="0.25">
      <c r="A26" s="66">
        <v>9040167</v>
      </c>
      <c r="B26" s="66" t="s">
        <v>2600</v>
      </c>
      <c r="C26" t="s">
        <v>3351</v>
      </c>
      <c r="D26" s="66" t="s">
        <v>2173</v>
      </c>
      <c r="E26" s="66">
        <v>1</v>
      </c>
    </row>
    <row r="27" spans="1:5" x14ac:dyDescent="0.25">
      <c r="A27" s="66">
        <v>9083682</v>
      </c>
      <c r="B27" s="66" t="s">
        <v>2600</v>
      </c>
      <c r="C27" t="s">
        <v>3351</v>
      </c>
      <c r="D27" s="66" t="s">
        <v>661</v>
      </c>
      <c r="E27" s="66">
        <v>1</v>
      </c>
    </row>
    <row r="28" spans="1:5" x14ac:dyDescent="0.25">
      <c r="A28" s="66">
        <v>500129</v>
      </c>
      <c r="B28" s="66" t="s">
        <v>2600</v>
      </c>
      <c r="C28" t="s">
        <v>3352</v>
      </c>
      <c r="D28" s="66" t="s">
        <v>2614</v>
      </c>
      <c r="E28" s="66">
        <v>2</v>
      </c>
    </row>
    <row r="29" spans="1:5" x14ac:dyDescent="0.25">
      <c r="A29" s="66">
        <v>3015058</v>
      </c>
      <c r="B29" s="66" t="s">
        <v>2600</v>
      </c>
      <c r="C29" t="s">
        <v>3352</v>
      </c>
      <c r="D29" s="66" t="s">
        <v>2615</v>
      </c>
      <c r="E29" s="66">
        <v>6</v>
      </c>
    </row>
    <row r="30" spans="1:5" x14ac:dyDescent="0.25">
      <c r="A30" s="66">
        <v>4000996</v>
      </c>
      <c r="B30" s="66" t="s">
        <v>2600</v>
      </c>
      <c r="C30" t="s">
        <v>3352</v>
      </c>
      <c r="D30" s="66" t="s">
        <v>2616</v>
      </c>
      <c r="E30" s="66">
        <v>2</v>
      </c>
    </row>
    <row r="31" spans="1:5" x14ac:dyDescent="0.25">
      <c r="A31" s="66">
        <v>4006540</v>
      </c>
      <c r="B31" s="66" t="s">
        <v>2600</v>
      </c>
      <c r="C31" t="s">
        <v>3352</v>
      </c>
      <c r="D31" s="66" t="s">
        <v>970</v>
      </c>
      <c r="E31" s="66">
        <v>1</v>
      </c>
    </row>
    <row r="32" spans="1:5" x14ac:dyDescent="0.25">
      <c r="A32" s="66">
        <v>4007054</v>
      </c>
      <c r="B32" s="66" t="s">
        <v>2600</v>
      </c>
      <c r="C32" t="s">
        <v>3352</v>
      </c>
      <c r="D32" s="66" t="s">
        <v>869</v>
      </c>
      <c r="E32" s="66">
        <v>1</v>
      </c>
    </row>
    <row r="33" spans="1:5" x14ac:dyDescent="0.25">
      <c r="A33" s="66">
        <v>4011002</v>
      </c>
      <c r="B33" s="66" t="s">
        <v>2600</v>
      </c>
      <c r="C33" t="s">
        <v>3352</v>
      </c>
      <c r="D33" s="66" t="s">
        <v>2617</v>
      </c>
      <c r="E33" s="66">
        <v>2</v>
      </c>
    </row>
    <row r="34" spans="1:5" x14ac:dyDescent="0.25">
      <c r="A34" s="66">
        <v>5001097</v>
      </c>
      <c r="B34" s="66" t="s">
        <v>2600</v>
      </c>
      <c r="C34" t="s">
        <v>3352</v>
      </c>
      <c r="D34" s="66" t="s">
        <v>2618</v>
      </c>
      <c r="E34" s="66">
        <v>2</v>
      </c>
    </row>
    <row r="35" spans="1:5" x14ac:dyDescent="0.25">
      <c r="A35" s="66">
        <v>5001098</v>
      </c>
      <c r="B35" s="66" t="s">
        <v>2600</v>
      </c>
      <c r="C35" t="s">
        <v>3352</v>
      </c>
      <c r="D35" s="66" t="s">
        <v>1979</v>
      </c>
      <c r="E35" s="66">
        <v>1</v>
      </c>
    </row>
    <row r="36" spans="1:5" x14ac:dyDescent="0.25">
      <c r="A36" s="66">
        <v>5006152</v>
      </c>
      <c r="B36" s="66" t="s">
        <v>2600</v>
      </c>
      <c r="C36" t="s">
        <v>3352</v>
      </c>
      <c r="D36" s="66" t="s">
        <v>868</v>
      </c>
      <c r="E36" s="66">
        <v>1</v>
      </c>
    </row>
    <row r="37" spans="1:5" x14ac:dyDescent="0.25">
      <c r="A37" s="66">
        <v>8089666</v>
      </c>
      <c r="B37" s="66" t="s">
        <v>2600</v>
      </c>
      <c r="C37" t="s">
        <v>3352</v>
      </c>
      <c r="D37" s="66" t="s">
        <v>2619</v>
      </c>
      <c r="E37" s="66">
        <v>5</v>
      </c>
    </row>
    <row r="38" spans="1:5" x14ac:dyDescent="0.25">
      <c r="A38" s="66">
        <v>8103536</v>
      </c>
      <c r="B38" s="66" t="s">
        <v>2600</v>
      </c>
      <c r="C38" t="s">
        <v>3352</v>
      </c>
      <c r="D38" s="66" t="s">
        <v>661</v>
      </c>
      <c r="E38" s="66">
        <v>1</v>
      </c>
    </row>
    <row r="39" spans="1:5" x14ac:dyDescent="0.25">
      <c r="A39" s="66">
        <v>9090287</v>
      </c>
      <c r="B39" s="66" t="s">
        <v>2600</v>
      </c>
      <c r="C39" t="s">
        <v>3352</v>
      </c>
      <c r="D39" s="66" t="s">
        <v>2620</v>
      </c>
      <c r="E39" s="66">
        <v>2</v>
      </c>
    </row>
    <row r="40" spans="1:5" x14ac:dyDescent="0.25">
      <c r="A40" s="66">
        <v>9095148</v>
      </c>
      <c r="B40" s="66" t="s">
        <v>2600</v>
      </c>
      <c r="C40" t="s">
        <v>3352</v>
      </c>
      <c r="D40" s="66" t="s">
        <v>2621</v>
      </c>
      <c r="E40" s="66">
        <v>2</v>
      </c>
    </row>
    <row r="41" spans="1:5" x14ac:dyDescent="0.25">
      <c r="A41" s="66">
        <v>10020659</v>
      </c>
      <c r="B41" s="66" t="s">
        <v>2600</v>
      </c>
      <c r="C41" t="s">
        <v>3352</v>
      </c>
      <c r="D41" s="66" t="s">
        <v>845</v>
      </c>
      <c r="E41" s="66">
        <v>1</v>
      </c>
    </row>
    <row r="42" spans="1:5" x14ac:dyDescent="0.25">
      <c r="A42" s="66">
        <v>10098420</v>
      </c>
      <c r="B42" s="66" t="s">
        <v>2600</v>
      </c>
      <c r="C42" t="s">
        <v>3352</v>
      </c>
      <c r="D42" s="66" t="s">
        <v>2604</v>
      </c>
      <c r="E42" s="66">
        <v>3</v>
      </c>
    </row>
    <row r="43" spans="1:5" x14ac:dyDescent="0.25">
      <c r="A43" s="66">
        <v>10163776</v>
      </c>
      <c r="B43" s="66" t="s">
        <v>2600</v>
      </c>
      <c r="C43" t="s">
        <v>3352</v>
      </c>
      <c r="D43" s="66" t="s">
        <v>845</v>
      </c>
      <c r="E43" s="66">
        <v>1</v>
      </c>
    </row>
    <row r="44" spans="1:5" x14ac:dyDescent="0.25">
      <c r="A44" s="66">
        <v>10173664</v>
      </c>
      <c r="B44" s="66" t="s">
        <v>2600</v>
      </c>
      <c r="C44" t="s">
        <v>3352</v>
      </c>
      <c r="D44" s="66" t="s">
        <v>887</v>
      </c>
      <c r="E44" s="66">
        <v>1</v>
      </c>
    </row>
  </sheetData>
  <phoneticPr fontId="6" type="noConversion"/>
  <pageMargins left="0.7" right="0.7" top="0.78740157499999996" bottom="0.78740157499999996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239"/>
  <sheetViews>
    <sheetView zoomScale="85" zoomScaleNormal="85" workbookViewId="0">
      <selection activeCell="B1" sqref="B1:B1048576"/>
    </sheetView>
  </sheetViews>
  <sheetFormatPr defaultColWidth="11.42578125" defaultRowHeight="15" x14ac:dyDescent="0.25"/>
  <cols>
    <col min="1" max="1" width="17.140625" style="50" customWidth="1"/>
    <col min="2" max="2" width="12.42578125" customWidth="1"/>
    <col min="3" max="3" width="37.7109375" customWidth="1"/>
    <col min="4" max="5" width="32.85546875" customWidth="1"/>
    <col min="6" max="11" width="31.85546875" customWidth="1"/>
    <col min="12" max="12" width="28.140625" customWidth="1"/>
    <col min="13" max="13" width="14.42578125" customWidth="1"/>
    <col min="16" max="16" width="14.85546875" customWidth="1"/>
    <col min="20" max="20" width="11.7109375" customWidth="1"/>
    <col min="21" max="21" width="17.42578125" customWidth="1"/>
    <col min="22" max="25" width="11.7109375" customWidth="1"/>
    <col min="26" max="26" width="17.42578125" customWidth="1"/>
    <col min="27" max="29" width="11.7109375" customWidth="1"/>
    <col min="30" max="35" width="14.42578125" customWidth="1"/>
  </cols>
  <sheetData>
    <row r="1" spans="1:35" x14ac:dyDescent="0.25">
      <c r="A1" s="61" t="s">
        <v>59</v>
      </c>
      <c r="B1" s="61" t="s">
        <v>3346</v>
      </c>
      <c r="C1" s="62" t="s">
        <v>1348</v>
      </c>
      <c r="D1" s="62" t="s">
        <v>1970</v>
      </c>
      <c r="E1" s="62" t="s">
        <v>1075</v>
      </c>
      <c r="F1" s="62" t="s">
        <v>1904</v>
      </c>
      <c r="G1" s="62" t="s">
        <v>1787</v>
      </c>
      <c r="H1" s="62" t="s">
        <v>1786</v>
      </c>
      <c r="I1" s="62" t="s">
        <v>1783</v>
      </c>
      <c r="J1" s="62" t="s">
        <v>1784</v>
      </c>
      <c r="K1" s="62" t="s">
        <v>2002</v>
      </c>
      <c r="L1" s="62" t="s">
        <v>1349</v>
      </c>
      <c r="M1" s="63" t="s">
        <v>98</v>
      </c>
      <c r="N1" s="62" t="s">
        <v>565</v>
      </c>
      <c r="O1" s="62" t="s">
        <v>7</v>
      </c>
      <c r="P1" s="62" t="s">
        <v>1350</v>
      </c>
      <c r="Q1" s="62" t="s">
        <v>1785</v>
      </c>
      <c r="R1" s="62" t="s">
        <v>8</v>
      </c>
      <c r="S1" s="62" t="s">
        <v>855</v>
      </c>
      <c r="T1" s="62" t="s">
        <v>1235</v>
      </c>
      <c r="U1" s="62" t="s">
        <v>1351</v>
      </c>
      <c r="V1" s="62" t="s">
        <v>1145</v>
      </c>
      <c r="W1" s="62" t="s">
        <v>1146</v>
      </c>
      <c r="X1" s="62" t="s">
        <v>1781</v>
      </c>
      <c r="Y1" s="62" t="s">
        <v>1297</v>
      </c>
      <c r="Z1" s="62" t="s">
        <v>1352</v>
      </c>
      <c r="AA1" s="62" t="s">
        <v>1782</v>
      </c>
      <c r="AB1" s="62" t="s">
        <v>873</v>
      </c>
      <c r="AC1" s="62" t="s">
        <v>883</v>
      </c>
      <c r="AD1" s="62" t="s">
        <v>1806</v>
      </c>
      <c r="AE1" s="62" t="s">
        <v>2114</v>
      </c>
      <c r="AF1" s="62" t="s">
        <v>2115</v>
      </c>
      <c r="AG1" s="62" t="s">
        <v>2328</v>
      </c>
      <c r="AH1" s="62" t="s">
        <v>2116</v>
      </c>
      <c r="AI1" s="62" t="s">
        <v>2117</v>
      </c>
    </row>
    <row r="2" spans="1:35" x14ac:dyDescent="0.25">
      <c r="A2" s="40" t="s">
        <v>561</v>
      </c>
      <c r="B2" s="40"/>
    </row>
    <row r="3" spans="1:35" x14ac:dyDescent="0.25">
      <c r="A3" s="10" t="s">
        <v>2519</v>
      </c>
      <c r="B3" s="10"/>
      <c r="C3" s="7"/>
      <c r="D3" s="7"/>
      <c r="E3" s="7"/>
      <c r="F3" s="7"/>
      <c r="G3" s="7"/>
      <c r="H3" s="7"/>
      <c r="I3" s="7"/>
      <c r="J3" s="7"/>
      <c r="K3" s="7"/>
      <c r="L3" s="7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</row>
    <row r="4" spans="1:35" x14ac:dyDescent="0.25">
      <c r="A4" s="50">
        <v>7072184</v>
      </c>
      <c r="B4" s="10" t="s">
        <v>3398</v>
      </c>
      <c r="L4">
        <v>108.5</v>
      </c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</row>
    <row r="5" spans="1:35" x14ac:dyDescent="0.25">
      <c r="A5" s="50">
        <v>9108231</v>
      </c>
      <c r="B5" s="10" t="s">
        <v>3398</v>
      </c>
      <c r="C5" s="7"/>
      <c r="D5" s="7"/>
      <c r="E5" s="7"/>
      <c r="F5" s="7"/>
      <c r="G5" s="7"/>
      <c r="H5" s="7"/>
      <c r="I5" s="7"/>
      <c r="J5" s="7"/>
      <c r="K5" s="7"/>
      <c r="L5" s="7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</row>
    <row r="6" spans="1:35" x14ac:dyDescent="0.25">
      <c r="A6" s="50">
        <v>12061933</v>
      </c>
      <c r="B6" s="10" t="s">
        <v>3398</v>
      </c>
      <c r="C6" s="7"/>
      <c r="D6" s="7"/>
      <c r="E6" s="7"/>
      <c r="F6" s="7"/>
      <c r="G6" s="7"/>
      <c r="H6" s="7"/>
      <c r="I6" s="7"/>
      <c r="J6" s="7"/>
      <c r="K6" s="7"/>
      <c r="L6" s="7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</row>
    <row r="7" spans="1:35" x14ac:dyDescent="0.25">
      <c r="A7" s="50">
        <v>95005911</v>
      </c>
      <c r="B7" s="10" t="s">
        <v>3398</v>
      </c>
    </row>
    <row r="8" spans="1:35" x14ac:dyDescent="0.25">
      <c r="A8" s="50">
        <v>99001908</v>
      </c>
      <c r="B8" s="10" t="s">
        <v>3398</v>
      </c>
    </row>
    <row r="9" spans="1:35" x14ac:dyDescent="0.25">
      <c r="A9" s="50">
        <v>99004067</v>
      </c>
      <c r="B9" s="10" t="s">
        <v>3398</v>
      </c>
    </row>
    <row r="10" spans="1:35" x14ac:dyDescent="0.25">
      <c r="A10" s="50">
        <v>97002136</v>
      </c>
      <c r="B10" s="10" t="s">
        <v>3398</v>
      </c>
    </row>
    <row r="11" spans="1:35" x14ac:dyDescent="0.25">
      <c r="A11" s="50">
        <v>1502</v>
      </c>
      <c r="B11" s="10" t="s">
        <v>3398</v>
      </c>
      <c r="C11" s="7"/>
      <c r="D11" s="7"/>
      <c r="E11" s="7"/>
      <c r="F11" s="7"/>
      <c r="G11" s="7"/>
      <c r="H11" s="7"/>
      <c r="I11" s="7"/>
      <c r="J11" s="7"/>
      <c r="K11" s="7"/>
      <c r="L11" s="7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</row>
    <row r="12" spans="1:35" x14ac:dyDescent="0.25">
      <c r="A12" s="50">
        <v>4003543</v>
      </c>
      <c r="B12" s="10" t="s">
        <v>3398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</row>
    <row r="13" spans="1:35" x14ac:dyDescent="0.25">
      <c r="A13" s="50">
        <v>4900261</v>
      </c>
      <c r="B13" s="10" t="s">
        <v>3398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</row>
    <row r="15" spans="1:35" x14ac:dyDescent="0.25">
      <c r="A15" s="52" t="s">
        <v>2520</v>
      </c>
      <c r="B15" s="10"/>
      <c r="C15" s="7"/>
      <c r="D15" s="7"/>
      <c r="E15" s="7"/>
      <c r="F15" s="7"/>
      <c r="G15" s="7"/>
      <c r="H15" s="7"/>
      <c r="I15" s="7"/>
      <c r="J15" s="7"/>
      <c r="K15" s="7"/>
      <c r="L15" s="7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</row>
    <row r="16" spans="1:35" x14ac:dyDescent="0.25">
      <c r="A16" s="50">
        <v>14242856</v>
      </c>
      <c r="B16" s="10" t="s">
        <v>3399</v>
      </c>
      <c r="C16" s="7"/>
      <c r="D16" s="7"/>
      <c r="E16" s="7"/>
      <c r="F16" s="7"/>
      <c r="G16" s="7"/>
      <c r="H16" s="7"/>
      <c r="I16" s="7"/>
      <c r="J16" s="7"/>
      <c r="K16" s="7"/>
      <c r="L16" s="7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</row>
    <row r="17" spans="1:35" x14ac:dyDescent="0.25">
      <c r="A17" s="50">
        <v>99001183</v>
      </c>
      <c r="B17" s="10" t="s">
        <v>3399</v>
      </c>
      <c r="C17" s="7"/>
      <c r="D17" s="7"/>
      <c r="E17" s="7"/>
      <c r="F17" s="7"/>
      <c r="G17" s="7"/>
      <c r="H17" s="7"/>
      <c r="I17" s="7"/>
      <c r="J17" s="7"/>
      <c r="K17" s="7"/>
      <c r="L17" s="7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</row>
    <row r="18" spans="1:35" x14ac:dyDescent="0.25">
      <c r="A18" s="50">
        <v>3000983</v>
      </c>
      <c r="B18" s="10" t="s">
        <v>3399</v>
      </c>
      <c r="C18" s="7"/>
      <c r="D18" s="7"/>
      <c r="E18" s="7"/>
      <c r="F18" s="7"/>
      <c r="G18" s="7"/>
      <c r="H18" s="7"/>
      <c r="I18" s="7"/>
      <c r="J18" s="7"/>
      <c r="K18" s="7"/>
      <c r="L18" s="7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</row>
    <row r="19" spans="1:35" x14ac:dyDescent="0.25">
      <c r="A19" s="50">
        <v>10064335</v>
      </c>
      <c r="B19" s="10" t="s">
        <v>3399</v>
      </c>
      <c r="C19" s="7"/>
      <c r="D19" s="7"/>
      <c r="E19" s="7"/>
      <c r="F19" s="7"/>
      <c r="G19" s="7"/>
      <c r="H19" s="7"/>
      <c r="I19" s="7"/>
      <c r="J19" s="7"/>
      <c r="K19" s="7"/>
      <c r="L19" s="7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</row>
    <row r="20" spans="1:35" x14ac:dyDescent="0.25">
      <c r="A20" s="51"/>
      <c r="B20" s="6"/>
      <c r="C20" s="7"/>
      <c r="D20" s="7"/>
      <c r="E20" s="7"/>
      <c r="F20" s="7"/>
      <c r="G20" s="7"/>
      <c r="H20" s="7"/>
      <c r="I20" s="7"/>
      <c r="J20" s="7"/>
      <c r="K20" s="7"/>
      <c r="L20" s="7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</row>
    <row r="21" spans="1:35" x14ac:dyDescent="0.25">
      <c r="A21" s="52" t="s">
        <v>2521</v>
      </c>
      <c r="B21" s="10"/>
      <c r="C21" s="7"/>
      <c r="D21" s="7"/>
      <c r="E21" s="7"/>
      <c r="F21" s="7"/>
      <c r="G21" s="7"/>
      <c r="H21" s="7"/>
      <c r="I21" s="7"/>
      <c r="J21" s="7"/>
      <c r="K21" s="7"/>
      <c r="L21" s="7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</row>
    <row r="22" spans="1:35" x14ac:dyDescent="0.25">
      <c r="A22" s="50">
        <v>1480</v>
      </c>
      <c r="B22" s="10" t="s">
        <v>3400</v>
      </c>
    </row>
    <row r="23" spans="1:35" x14ac:dyDescent="0.25">
      <c r="A23" s="50">
        <v>7063959</v>
      </c>
      <c r="B23" s="10" t="s">
        <v>3400</v>
      </c>
      <c r="C23" s="7"/>
      <c r="D23" s="7"/>
      <c r="E23" s="7"/>
      <c r="F23" s="7"/>
      <c r="G23" s="7"/>
      <c r="H23" s="7"/>
      <c r="I23" s="7"/>
      <c r="J23" s="7"/>
      <c r="K23" s="7"/>
      <c r="L23" s="7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</row>
    <row r="24" spans="1:35" x14ac:dyDescent="0.25">
      <c r="A24" s="50">
        <v>1003215</v>
      </c>
      <c r="B24" s="10" t="s">
        <v>3400</v>
      </c>
      <c r="C24" s="7"/>
      <c r="D24" s="7"/>
      <c r="E24" s="7"/>
      <c r="F24" s="7"/>
      <c r="G24" s="7"/>
      <c r="H24" s="7"/>
      <c r="I24" s="7"/>
      <c r="J24" s="7"/>
      <c r="K24" s="7"/>
      <c r="L24" s="7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</row>
    <row r="25" spans="1:35" x14ac:dyDescent="0.25">
      <c r="A25" s="50">
        <v>99000802</v>
      </c>
      <c r="B25" s="10" t="s">
        <v>3400</v>
      </c>
      <c r="C25" s="7"/>
      <c r="D25" s="7"/>
      <c r="E25" s="7"/>
      <c r="F25" s="7"/>
      <c r="G25" s="7"/>
      <c r="H25" s="7"/>
      <c r="I25" s="7"/>
      <c r="J25" s="7"/>
      <c r="K25" s="7"/>
      <c r="L25" s="7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</row>
    <row r="26" spans="1:35" x14ac:dyDescent="0.25">
      <c r="A26" s="50">
        <v>99000892</v>
      </c>
      <c r="B26" s="10" t="s">
        <v>3400</v>
      </c>
      <c r="C26" s="7"/>
      <c r="D26" s="7"/>
      <c r="E26" s="7"/>
      <c r="F26" s="7"/>
      <c r="G26" s="7"/>
      <c r="H26" s="7"/>
      <c r="I26" s="7"/>
      <c r="J26" s="7"/>
      <c r="K26" s="7"/>
      <c r="L26" s="7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</row>
    <row r="27" spans="1:35" x14ac:dyDescent="0.25">
      <c r="A27" s="50">
        <v>1000192</v>
      </c>
      <c r="B27" s="10" t="s">
        <v>3400</v>
      </c>
      <c r="C27" s="7"/>
      <c r="D27" s="7"/>
      <c r="E27" s="7"/>
      <c r="F27" s="7"/>
      <c r="G27" s="7"/>
      <c r="H27" s="7"/>
      <c r="I27" s="7"/>
      <c r="J27" s="7"/>
      <c r="K27" s="7"/>
      <c r="L27" s="7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</row>
    <row r="28" spans="1:35" x14ac:dyDescent="0.25">
      <c r="A28" s="50">
        <v>1506</v>
      </c>
      <c r="B28" s="10" t="s">
        <v>3400</v>
      </c>
      <c r="C28" s="7"/>
      <c r="D28" s="7"/>
      <c r="E28" s="7"/>
      <c r="F28" s="7"/>
      <c r="G28" s="7"/>
      <c r="H28" s="7"/>
      <c r="I28" s="7"/>
      <c r="J28" s="7"/>
      <c r="K28" s="7"/>
      <c r="L28" s="7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</row>
    <row r="29" spans="1:35" x14ac:dyDescent="0.25">
      <c r="A29" s="50">
        <v>99000894</v>
      </c>
      <c r="B29" s="10" t="s">
        <v>3400</v>
      </c>
      <c r="C29" s="7"/>
      <c r="D29" s="7"/>
      <c r="E29" s="7"/>
      <c r="F29" s="7"/>
      <c r="G29" s="7"/>
      <c r="H29" s="7"/>
      <c r="I29" s="7"/>
      <c r="J29" s="7"/>
      <c r="K29" s="7"/>
      <c r="L29" s="7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</row>
    <row r="30" spans="1:35" x14ac:dyDescent="0.25">
      <c r="A30" s="50">
        <v>99000897</v>
      </c>
      <c r="B30" s="10" t="s">
        <v>3400</v>
      </c>
    </row>
    <row r="31" spans="1:35" x14ac:dyDescent="0.25">
      <c r="A31" s="50">
        <v>99001245</v>
      </c>
      <c r="B31" s="10" t="s">
        <v>3400</v>
      </c>
    </row>
    <row r="32" spans="1:35" x14ac:dyDescent="0.25">
      <c r="A32" s="50">
        <v>99001902</v>
      </c>
      <c r="B32" s="10" t="s">
        <v>3400</v>
      </c>
    </row>
    <row r="33" spans="1:35" x14ac:dyDescent="0.25">
      <c r="A33" s="50">
        <v>99001912</v>
      </c>
      <c r="B33" s="10" t="s">
        <v>3400</v>
      </c>
    </row>
    <row r="34" spans="1:35" x14ac:dyDescent="0.25">
      <c r="A34" s="50">
        <v>99001913</v>
      </c>
      <c r="B34" s="10" t="s">
        <v>3400</v>
      </c>
    </row>
    <row r="35" spans="1:35" x14ac:dyDescent="0.25">
      <c r="A35" s="50">
        <v>99001937</v>
      </c>
      <c r="B35" s="10" t="s">
        <v>3400</v>
      </c>
    </row>
    <row r="36" spans="1:35" x14ac:dyDescent="0.25">
      <c r="A36" s="50">
        <v>99001943</v>
      </c>
      <c r="B36" s="10" t="s">
        <v>3400</v>
      </c>
    </row>
    <row r="37" spans="1:35" x14ac:dyDescent="0.25">
      <c r="A37" s="50">
        <v>99001927</v>
      </c>
      <c r="B37" s="10" t="s">
        <v>3400</v>
      </c>
    </row>
    <row r="38" spans="1:35" x14ac:dyDescent="0.25">
      <c r="A38" s="50">
        <v>1505</v>
      </c>
      <c r="B38" s="10" t="s">
        <v>3400</v>
      </c>
      <c r="C38" s="7"/>
      <c r="D38" s="7"/>
      <c r="E38" s="7"/>
      <c r="F38" s="7"/>
      <c r="G38" s="7"/>
      <c r="H38" s="7"/>
      <c r="I38" s="7"/>
      <c r="J38" s="7"/>
      <c r="K38" s="7"/>
      <c r="L38" s="7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</row>
    <row r="39" spans="1:35" x14ac:dyDescent="0.25">
      <c r="A39" s="50">
        <v>1000197</v>
      </c>
      <c r="B39" s="10" t="s">
        <v>3400</v>
      </c>
      <c r="C39" s="7"/>
      <c r="D39" s="7"/>
      <c r="E39" s="7"/>
      <c r="F39" s="7"/>
      <c r="G39" s="7"/>
      <c r="H39" s="7"/>
      <c r="I39" s="7"/>
      <c r="J39" s="7"/>
      <c r="K39" s="7"/>
      <c r="L39" s="7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</row>
    <row r="40" spans="1:35" x14ac:dyDescent="0.25">
      <c r="A40" s="50">
        <v>96018835</v>
      </c>
      <c r="B40" s="10" t="s">
        <v>3400</v>
      </c>
      <c r="C40" s="7"/>
      <c r="D40" s="7"/>
      <c r="E40" s="7"/>
      <c r="F40" s="7"/>
      <c r="G40" s="7"/>
      <c r="H40" s="7"/>
      <c r="I40" s="7"/>
      <c r="J40" s="7"/>
      <c r="K40" s="7"/>
      <c r="L40" s="7"/>
      <c r="M40" s="6"/>
      <c r="N40" s="6"/>
      <c r="O40">
        <v>35</v>
      </c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</row>
    <row r="41" spans="1:35" x14ac:dyDescent="0.25">
      <c r="A41" s="50">
        <v>98008326</v>
      </c>
      <c r="B41" s="10" t="s">
        <v>3400</v>
      </c>
      <c r="C41" s="7"/>
      <c r="D41" s="7"/>
      <c r="E41" s="7"/>
      <c r="F41" s="7"/>
      <c r="G41" s="7"/>
      <c r="H41" s="7"/>
      <c r="I41" s="7"/>
      <c r="J41" s="7"/>
      <c r="K41" s="7"/>
      <c r="L41" s="7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</row>
    <row r="42" spans="1:35" x14ac:dyDescent="0.25">
      <c r="A42" s="50">
        <v>99000717</v>
      </c>
      <c r="B42" s="10" t="s">
        <v>3400</v>
      </c>
      <c r="C42" s="7"/>
      <c r="D42" s="7"/>
      <c r="E42" s="7"/>
      <c r="F42" s="7"/>
      <c r="G42" s="7"/>
      <c r="H42" s="7"/>
      <c r="I42" s="7"/>
      <c r="J42" s="7"/>
      <c r="K42" s="7"/>
      <c r="L42" s="7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</row>
    <row r="43" spans="1:35" x14ac:dyDescent="0.25">
      <c r="C43" s="7"/>
      <c r="D43" s="7"/>
      <c r="E43" s="7"/>
      <c r="F43" s="7"/>
      <c r="G43" s="7"/>
      <c r="H43" s="7"/>
      <c r="I43" s="7"/>
      <c r="J43" s="7"/>
      <c r="K43" s="7"/>
      <c r="L43" s="7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</row>
    <row r="44" spans="1:35" x14ac:dyDescent="0.25">
      <c r="A44" s="25" t="s">
        <v>169</v>
      </c>
      <c r="B44" s="25"/>
    </row>
    <row r="45" spans="1:35" x14ac:dyDescent="0.25">
      <c r="A45" s="52" t="s">
        <v>143</v>
      </c>
      <c r="B45" s="10"/>
    </row>
    <row r="46" spans="1:35" x14ac:dyDescent="0.25">
      <c r="A46" s="50">
        <v>6016435</v>
      </c>
      <c r="B46" t="s">
        <v>3347</v>
      </c>
      <c r="N46">
        <v>52</v>
      </c>
    </row>
    <row r="47" spans="1:35" x14ac:dyDescent="0.25">
      <c r="A47" s="50">
        <v>8045149</v>
      </c>
      <c r="B47" t="s">
        <v>3347</v>
      </c>
    </row>
    <row r="48" spans="1:35" x14ac:dyDescent="0.25">
      <c r="A48" s="50">
        <v>10023001</v>
      </c>
      <c r="B48" t="s">
        <v>3347</v>
      </c>
    </row>
    <row r="49" spans="1:18" x14ac:dyDescent="0.25">
      <c r="A49" s="50">
        <v>10027526</v>
      </c>
      <c r="B49" t="s">
        <v>3347</v>
      </c>
    </row>
    <row r="50" spans="1:18" x14ac:dyDescent="0.25">
      <c r="A50" s="50">
        <v>14222171</v>
      </c>
      <c r="B50" t="s">
        <v>3347</v>
      </c>
    </row>
    <row r="51" spans="1:18" x14ac:dyDescent="0.25">
      <c r="A51" s="50">
        <v>1006143</v>
      </c>
      <c r="B51" t="s">
        <v>3347</v>
      </c>
    </row>
    <row r="52" spans="1:18" x14ac:dyDescent="0.25">
      <c r="A52" s="50">
        <v>6006917</v>
      </c>
      <c r="B52" t="s">
        <v>3347</v>
      </c>
    </row>
    <row r="54" spans="1:18" x14ac:dyDescent="0.25">
      <c r="A54" s="52" t="s">
        <v>146</v>
      </c>
      <c r="B54" s="10"/>
    </row>
    <row r="55" spans="1:18" x14ac:dyDescent="0.25">
      <c r="A55" s="50">
        <v>8057159</v>
      </c>
      <c r="B55" s="10" t="s">
        <v>3348</v>
      </c>
    </row>
    <row r="56" spans="1:18" x14ac:dyDescent="0.25">
      <c r="A56" s="50">
        <v>9140312</v>
      </c>
      <c r="B56" s="10" t="s">
        <v>3348</v>
      </c>
    </row>
    <row r="57" spans="1:18" x14ac:dyDescent="0.25">
      <c r="A57" s="50">
        <v>12008230</v>
      </c>
      <c r="B57" s="10" t="s">
        <v>3348</v>
      </c>
    </row>
    <row r="58" spans="1:18" x14ac:dyDescent="0.25">
      <c r="A58" s="50">
        <v>12088444</v>
      </c>
      <c r="B58" s="10" t="s">
        <v>3348</v>
      </c>
    </row>
    <row r="59" spans="1:18" x14ac:dyDescent="0.25">
      <c r="A59" s="50">
        <v>13118872</v>
      </c>
      <c r="B59" s="10" t="s">
        <v>3348</v>
      </c>
    </row>
    <row r="60" spans="1:18" x14ac:dyDescent="0.25">
      <c r="A60" s="50">
        <v>12012030</v>
      </c>
      <c r="B60" s="10" t="s">
        <v>3348</v>
      </c>
    </row>
    <row r="62" spans="1:18" x14ac:dyDescent="0.25">
      <c r="A62" s="52" t="s">
        <v>120</v>
      </c>
      <c r="B62" s="10"/>
    </row>
    <row r="63" spans="1:18" x14ac:dyDescent="0.25">
      <c r="A63" s="50">
        <v>9074418</v>
      </c>
      <c r="B63" s="10" t="s">
        <v>3349</v>
      </c>
    </row>
    <row r="64" spans="1:18" x14ac:dyDescent="0.25">
      <c r="A64" s="50">
        <v>1263</v>
      </c>
      <c r="B64" s="10" t="s">
        <v>3349</v>
      </c>
      <c r="M64">
        <v>180</v>
      </c>
      <c r="O64">
        <v>61</v>
      </c>
      <c r="R64">
        <v>33.6</v>
      </c>
    </row>
    <row r="65" spans="1:35" x14ac:dyDescent="0.25">
      <c r="A65" s="50">
        <v>98004910</v>
      </c>
      <c r="B65" s="10" t="s">
        <v>3349</v>
      </c>
    </row>
    <row r="66" spans="1:35" x14ac:dyDescent="0.25">
      <c r="A66" s="50">
        <v>7103068</v>
      </c>
      <c r="B66" s="10" t="s">
        <v>3349</v>
      </c>
    </row>
    <row r="67" spans="1:35" x14ac:dyDescent="0.25">
      <c r="A67" s="50">
        <v>11240728</v>
      </c>
      <c r="B67" s="10" t="s">
        <v>3349</v>
      </c>
    </row>
    <row r="68" spans="1:35" x14ac:dyDescent="0.25">
      <c r="A68"/>
      <c r="C68" s="7"/>
      <c r="D68" s="7"/>
      <c r="E68" s="7"/>
      <c r="F68" s="7"/>
      <c r="G68" s="7"/>
      <c r="H68" s="7"/>
      <c r="I68" s="7"/>
      <c r="J68" s="7"/>
      <c r="K68" s="7"/>
      <c r="L68" s="7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</row>
    <row r="69" spans="1:35" x14ac:dyDescent="0.25">
      <c r="A69" s="26" t="s">
        <v>170</v>
      </c>
      <c r="B69" s="26"/>
    </row>
    <row r="70" spans="1:35" x14ac:dyDescent="0.25">
      <c r="A70" s="10" t="s">
        <v>143</v>
      </c>
      <c r="B70" s="10"/>
    </row>
    <row r="71" spans="1:35" x14ac:dyDescent="0.25">
      <c r="A71" s="50">
        <v>5015869</v>
      </c>
      <c r="B71" t="s">
        <v>3350</v>
      </c>
    </row>
    <row r="72" spans="1:35" x14ac:dyDescent="0.25">
      <c r="A72" s="50">
        <v>5016969</v>
      </c>
      <c r="B72" t="s">
        <v>3350</v>
      </c>
    </row>
    <row r="73" spans="1:35" x14ac:dyDescent="0.25">
      <c r="A73" s="50">
        <v>6023231</v>
      </c>
      <c r="B73" t="s">
        <v>3350</v>
      </c>
    </row>
    <row r="74" spans="1:35" x14ac:dyDescent="0.25">
      <c r="A74" s="50">
        <v>6010712</v>
      </c>
      <c r="B74" t="s">
        <v>3350</v>
      </c>
    </row>
    <row r="75" spans="1:35" x14ac:dyDescent="0.25">
      <c r="A75" s="50">
        <v>6011198</v>
      </c>
      <c r="B75" t="s">
        <v>3350</v>
      </c>
    </row>
    <row r="76" spans="1:35" x14ac:dyDescent="0.25">
      <c r="A76" s="50">
        <v>6012681</v>
      </c>
      <c r="B76" t="s">
        <v>3350</v>
      </c>
    </row>
    <row r="77" spans="1:35" x14ac:dyDescent="0.25">
      <c r="A77" s="50">
        <v>6014511</v>
      </c>
      <c r="B77" t="s">
        <v>3350</v>
      </c>
    </row>
    <row r="78" spans="1:35" x14ac:dyDescent="0.25">
      <c r="A78" s="50">
        <v>6045127</v>
      </c>
      <c r="B78" t="s">
        <v>3350</v>
      </c>
    </row>
    <row r="79" spans="1:35" x14ac:dyDescent="0.25">
      <c r="A79" s="50">
        <v>7000458</v>
      </c>
      <c r="B79" t="s">
        <v>3350</v>
      </c>
    </row>
    <row r="80" spans="1:35" x14ac:dyDescent="0.25">
      <c r="A80" s="50">
        <v>7015502</v>
      </c>
      <c r="B80" t="s">
        <v>3350</v>
      </c>
    </row>
    <row r="81" spans="1:2" x14ac:dyDescent="0.25">
      <c r="A81" s="50">
        <v>7025847</v>
      </c>
      <c r="B81" t="s">
        <v>3350</v>
      </c>
    </row>
    <row r="82" spans="1:2" x14ac:dyDescent="0.25">
      <c r="A82" s="50">
        <v>7082707</v>
      </c>
      <c r="B82" t="s">
        <v>3350</v>
      </c>
    </row>
    <row r="83" spans="1:2" x14ac:dyDescent="0.25">
      <c r="A83" s="50">
        <v>7083159</v>
      </c>
      <c r="B83" t="s">
        <v>3350</v>
      </c>
    </row>
    <row r="84" spans="1:2" x14ac:dyDescent="0.25">
      <c r="A84" s="50">
        <v>7084659</v>
      </c>
      <c r="B84" t="s">
        <v>3350</v>
      </c>
    </row>
    <row r="85" spans="1:2" x14ac:dyDescent="0.25">
      <c r="A85" s="50">
        <v>7076814</v>
      </c>
      <c r="B85" t="s">
        <v>3350</v>
      </c>
    </row>
    <row r="86" spans="1:2" x14ac:dyDescent="0.25">
      <c r="A86" s="50">
        <v>7076815</v>
      </c>
      <c r="B86" t="s">
        <v>3350</v>
      </c>
    </row>
    <row r="87" spans="1:2" x14ac:dyDescent="0.25">
      <c r="A87" s="50">
        <v>7089231</v>
      </c>
      <c r="B87" t="s">
        <v>3350</v>
      </c>
    </row>
    <row r="88" spans="1:2" x14ac:dyDescent="0.25">
      <c r="A88" s="50">
        <v>7116004</v>
      </c>
      <c r="B88" t="s">
        <v>3350</v>
      </c>
    </row>
    <row r="89" spans="1:2" x14ac:dyDescent="0.25">
      <c r="A89" s="50">
        <v>8003819</v>
      </c>
      <c r="B89" t="s">
        <v>3350</v>
      </c>
    </row>
    <row r="90" spans="1:2" x14ac:dyDescent="0.25">
      <c r="A90" s="50">
        <v>8091779</v>
      </c>
      <c r="B90" t="s">
        <v>3350</v>
      </c>
    </row>
    <row r="91" spans="1:2" x14ac:dyDescent="0.25">
      <c r="A91" s="50">
        <v>8097989</v>
      </c>
      <c r="B91" t="s">
        <v>3350</v>
      </c>
    </row>
    <row r="92" spans="1:2" x14ac:dyDescent="0.25">
      <c r="A92" s="50">
        <v>8112522</v>
      </c>
      <c r="B92" t="s">
        <v>3350</v>
      </c>
    </row>
    <row r="93" spans="1:2" x14ac:dyDescent="0.25">
      <c r="A93" s="50">
        <v>8127397</v>
      </c>
      <c r="B93" t="s">
        <v>3350</v>
      </c>
    </row>
    <row r="94" spans="1:2" x14ac:dyDescent="0.25">
      <c r="A94" s="50">
        <v>8130998</v>
      </c>
      <c r="B94" t="s">
        <v>3350</v>
      </c>
    </row>
    <row r="95" spans="1:2" x14ac:dyDescent="0.25">
      <c r="A95" s="50">
        <v>9002836</v>
      </c>
      <c r="B95" t="s">
        <v>3350</v>
      </c>
    </row>
    <row r="96" spans="1:2" x14ac:dyDescent="0.25">
      <c r="A96" s="50">
        <v>9003331</v>
      </c>
      <c r="B96" t="s">
        <v>3350</v>
      </c>
    </row>
    <row r="97" spans="1:29" x14ac:dyDescent="0.25">
      <c r="A97" s="50">
        <v>9003370</v>
      </c>
      <c r="B97" t="s">
        <v>3350</v>
      </c>
      <c r="M97">
        <v>26.4</v>
      </c>
    </row>
    <row r="98" spans="1:29" x14ac:dyDescent="0.25">
      <c r="A98" s="50">
        <v>9016278</v>
      </c>
      <c r="B98" t="s">
        <v>3350</v>
      </c>
      <c r="S98">
        <v>46</v>
      </c>
    </row>
    <row r="99" spans="1:29" x14ac:dyDescent="0.25">
      <c r="A99" s="50">
        <v>9030684</v>
      </c>
      <c r="B99" t="s">
        <v>3350</v>
      </c>
      <c r="M99">
        <v>94</v>
      </c>
      <c r="N99">
        <v>32</v>
      </c>
      <c r="O99">
        <v>29</v>
      </c>
    </row>
    <row r="100" spans="1:29" x14ac:dyDescent="0.25">
      <c r="A100" s="50">
        <v>9031387</v>
      </c>
      <c r="B100" t="s">
        <v>3350</v>
      </c>
      <c r="AB100">
        <v>45.2</v>
      </c>
      <c r="AC100">
        <v>37.299999999999997</v>
      </c>
    </row>
    <row r="101" spans="1:29" x14ac:dyDescent="0.25">
      <c r="A101" s="50">
        <v>9038676</v>
      </c>
      <c r="B101" t="s">
        <v>3350</v>
      </c>
      <c r="M101">
        <v>37</v>
      </c>
      <c r="N101">
        <v>35</v>
      </c>
      <c r="O101">
        <v>23</v>
      </c>
    </row>
    <row r="102" spans="1:29" x14ac:dyDescent="0.25">
      <c r="A102" s="50">
        <v>9039416</v>
      </c>
      <c r="B102" t="s">
        <v>3350</v>
      </c>
      <c r="P102">
        <v>31</v>
      </c>
    </row>
    <row r="103" spans="1:29" x14ac:dyDescent="0.25">
      <c r="A103" s="50">
        <v>9042861</v>
      </c>
      <c r="B103" t="s">
        <v>3350</v>
      </c>
    </row>
    <row r="104" spans="1:29" x14ac:dyDescent="0.25">
      <c r="A104" s="50">
        <v>9044899</v>
      </c>
      <c r="B104" t="s">
        <v>3350</v>
      </c>
      <c r="C104">
        <v>30</v>
      </c>
    </row>
    <row r="105" spans="1:29" x14ac:dyDescent="0.25">
      <c r="A105" s="50">
        <v>9052398</v>
      </c>
      <c r="B105" t="s">
        <v>3350</v>
      </c>
    </row>
    <row r="106" spans="1:29" x14ac:dyDescent="0.25">
      <c r="A106" s="50">
        <v>9085204</v>
      </c>
      <c r="B106" t="s">
        <v>3350</v>
      </c>
    </row>
    <row r="107" spans="1:29" x14ac:dyDescent="0.25">
      <c r="A107" s="50">
        <v>9090323</v>
      </c>
      <c r="B107" t="s">
        <v>3350</v>
      </c>
    </row>
    <row r="108" spans="1:29" x14ac:dyDescent="0.25">
      <c r="A108" s="50">
        <v>9105492</v>
      </c>
      <c r="B108" t="s">
        <v>3350</v>
      </c>
    </row>
    <row r="109" spans="1:29" x14ac:dyDescent="0.25">
      <c r="A109" s="50">
        <v>9138470</v>
      </c>
      <c r="B109" t="s">
        <v>3350</v>
      </c>
    </row>
    <row r="110" spans="1:29" x14ac:dyDescent="0.25">
      <c r="A110" s="50">
        <v>9150676</v>
      </c>
      <c r="B110" t="s">
        <v>3350</v>
      </c>
    </row>
    <row r="111" spans="1:29" x14ac:dyDescent="0.25">
      <c r="A111" s="50">
        <v>10010926</v>
      </c>
      <c r="B111" t="s">
        <v>3350</v>
      </c>
      <c r="M111">
        <v>28.2</v>
      </c>
      <c r="O111">
        <v>27.2</v>
      </c>
    </row>
    <row r="112" spans="1:29" x14ac:dyDescent="0.25">
      <c r="A112" s="50">
        <v>10016588</v>
      </c>
      <c r="B112" t="s">
        <v>3350</v>
      </c>
    </row>
    <row r="113" spans="1:26" x14ac:dyDescent="0.25">
      <c r="A113" s="50">
        <v>10030897</v>
      </c>
      <c r="B113" t="s">
        <v>3350</v>
      </c>
    </row>
    <row r="114" spans="1:26" x14ac:dyDescent="0.25">
      <c r="A114" s="50">
        <v>324</v>
      </c>
      <c r="B114" t="s">
        <v>3350</v>
      </c>
    </row>
    <row r="115" spans="1:26" x14ac:dyDescent="0.25">
      <c r="A115" s="50">
        <v>3909</v>
      </c>
      <c r="B115" t="s">
        <v>3350</v>
      </c>
    </row>
    <row r="116" spans="1:26" x14ac:dyDescent="0.25">
      <c r="A116" s="50">
        <v>4663</v>
      </c>
      <c r="B116" t="s">
        <v>3350</v>
      </c>
      <c r="E116">
        <v>31</v>
      </c>
      <c r="Z116">
        <v>40</v>
      </c>
    </row>
    <row r="117" spans="1:26" x14ac:dyDescent="0.25">
      <c r="A117" s="50">
        <v>1005522</v>
      </c>
      <c r="B117" t="s">
        <v>3350</v>
      </c>
    </row>
    <row r="118" spans="1:26" x14ac:dyDescent="0.25">
      <c r="A118" s="50">
        <v>1007631</v>
      </c>
      <c r="B118" t="s">
        <v>3350</v>
      </c>
      <c r="N118">
        <v>34</v>
      </c>
    </row>
    <row r="119" spans="1:26" x14ac:dyDescent="0.25">
      <c r="A119" s="50">
        <v>1009760</v>
      </c>
      <c r="B119" t="s">
        <v>3350</v>
      </c>
    </row>
    <row r="120" spans="1:26" x14ac:dyDescent="0.25">
      <c r="A120" s="50">
        <v>2000646</v>
      </c>
      <c r="B120" t="s">
        <v>3350</v>
      </c>
      <c r="M120">
        <v>31</v>
      </c>
      <c r="N120">
        <v>33</v>
      </c>
      <c r="U120">
        <v>27</v>
      </c>
      <c r="V120">
        <v>26</v>
      </c>
      <c r="W120">
        <v>24</v>
      </c>
    </row>
    <row r="121" spans="1:26" x14ac:dyDescent="0.25">
      <c r="A121" s="50">
        <v>2003761</v>
      </c>
      <c r="B121" t="s">
        <v>3350</v>
      </c>
      <c r="M121">
        <v>124</v>
      </c>
    </row>
    <row r="122" spans="1:26" x14ac:dyDescent="0.25">
      <c r="A122" s="50">
        <v>2004061</v>
      </c>
      <c r="B122" t="s">
        <v>3350</v>
      </c>
      <c r="M122" s="14">
        <v>125</v>
      </c>
      <c r="N122">
        <v>29</v>
      </c>
      <c r="O122">
        <v>28</v>
      </c>
      <c r="P122">
        <v>26</v>
      </c>
    </row>
    <row r="123" spans="1:26" x14ac:dyDescent="0.25">
      <c r="A123" s="50">
        <v>2006469</v>
      </c>
      <c r="B123" t="s">
        <v>3350</v>
      </c>
    </row>
    <row r="124" spans="1:26" x14ac:dyDescent="0.25">
      <c r="A124" s="50">
        <v>3005132</v>
      </c>
      <c r="B124" t="s">
        <v>3350</v>
      </c>
      <c r="M124">
        <v>91</v>
      </c>
    </row>
    <row r="125" spans="1:26" x14ac:dyDescent="0.25">
      <c r="A125" s="50">
        <v>3009119</v>
      </c>
      <c r="B125" t="s">
        <v>3350</v>
      </c>
    </row>
    <row r="126" spans="1:26" x14ac:dyDescent="0.25">
      <c r="A126" s="50">
        <v>3009936</v>
      </c>
      <c r="B126" t="s">
        <v>3350</v>
      </c>
    </row>
    <row r="127" spans="1:26" x14ac:dyDescent="0.25">
      <c r="A127" s="50">
        <v>3011094</v>
      </c>
      <c r="B127" t="s">
        <v>3350</v>
      </c>
    </row>
    <row r="128" spans="1:26" x14ac:dyDescent="0.25">
      <c r="A128" s="50">
        <v>3014643</v>
      </c>
      <c r="B128" t="s">
        <v>3350</v>
      </c>
    </row>
    <row r="129" spans="1:21" x14ac:dyDescent="0.25">
      <c r="A129" s="50">
        <v>3016056</v>
      </c>
      <c r="B129" t="s">
        <v>3350</v>
      </c>
    </row>
    <row r="130" spans="1:21" x14ac:dyDescent="0.25">
      <c r="A130" s="50">
        <v>3900219</v>
      </c>
      <c r="B130" t="s">
        <v>3350</v>
      </c>
    </row>
    <row r="131" spans="1:21" x14ac:dyDescent="0.25">
      <c r="A131" s="50">
        <v>4000158</v>
      </c>
      <c r="B131" t="s">
        <v>3350</v>
      </c>
      <c r="N131">
        <v>27.6</v>
      </c>
    </row>
    <row r="132" spans="1:21" x14ac:dyDescent="0.25">
      <c r="A132" s="50">
        <v>4000304</v>
      </c>
      <c r="B132" t="s">
        <v>3350</v>
      </c>
    </row>
    <row r="133" spans="1:21" x14ac:dyDescent="0.25">
      <c r="A133" s="50">
        <v>4001905</v>
      </c>
      <c r="B133" t="s">
        <v>3350</v>
      </c>
    </row>
    <row r="134" spans="1:21" x14ac:dyDescent="0.25">
      <c r="A134" s="50">
        <v>4002206</v>
      </c>
      <c r="B134" t="s">
        <v>3350</v>
      </c>
      <c r="M134">
        <v>26.4</v>
      </c>
    </row>
    <row r="135" spans="1:21" x14ac:dyDescent="0.25">
      <c r="A135" s="50">
        <v>4002715</v>
      </c>
      <c r="B135" t="s">
        <v>3350</v>
      </c>
    </row>
    <row r="136" spans="1:21" x14ac:dyDescent="0.25">
      <c r="A136" s="50">
        <v>4003924</v>
      </c>
      <c r="B136" t="s">
        <v>3350</v>
      </c>
    </row>
    <row r="137" spans="1:21" x14ac:dyDescent="0.25">
      <c r="A137" s="50">
        <v>4006051</v>
      </c>
      <c r="B137" t="s">
        <v>3350</v>
      </c>
    </row>
    <row r="138" spans="1:21" x14ac:dyDescent="0.25">
      <c r="A138" s="50">
        <v>4008140</v>
      </c>
      <c r="B138" t="s">
        <v>3350</v>
      </c>
    </row>
    <row r="139" spans="1:21" x14ac:dyDescent="0.25">
      <c r="A139" s="50">
        <v>4009906</v>
      </c>
      <c r="B139" t="s">
        <v>3350</v>
      </c>
    </row>
    <row r="140" spans="1:21" x14ac:dyDescent="0.25">
      <c r="A140" s="50">
        <v>4011027</v>
      </c>
      <c r="B140" t="s">
        <v>3350</v>
      </c>
      <c r="N140">
        <v>35.6</v>
      </c>
      <c r="O140">
        <v>33.799999999999997</v>
      </c>
      <c r="T140">
        <v>33.5</v>
      </c>
      <c r="U140">
        <v>34.200000000000003</v>
      </c>
    </row>
    <row r="141" spans="1:21" x14ac:dyDescent="0.25">
      <c r="A141" s="50">
        <v>4011920</v>
      </c>
      <c r="B141" t="s">
        <v>3350</v>
      </c>
    </row>
    <row r="142" spans="1:21" x14ac:dyDescent="0.25">
      <c r="A142" s="50">
        <v>4012248</v>
      </c>
      <c r="B142" t="s">
        <v>3350</v>
      </c>
    </row>
    <row r="143" spans="1:21" x14ac:dyDescent="0.25">
      <c r="A143" s="50">
        <v>4013603</v>
      </c>
      <c r="B143" t="s">
        <v>3350</v>
      </c>
    </row>
    <row r="144" spans="1:21" x14ac:dyDescent="0.25">
      <c r="A144" s="50">
        <v>5004654</v>
      </c>
      <c r="B144" t="s">
        <v>3350</v>
      </c>
    </row>
    <row r="145" spans="1:25" x14ac:dyDescent="0.25">
      <c r="A145" s="54"/>
      <c r="B145" s="65"/>
    </row>
    <row r="146" spans="1:25" x14ac:dyDescent="0.25">
      <c r="A146" s="52" t="s">
        <v>146</v>
      </c>
      <c r="B146" s="10"/>
    </row>
    <row r="147" spans="1:25" x14ac:dyDescent="0.25">
      <c r="A147" s="50">
        <v>4289</v>
      </c>
      <c r="B147" t="s">
        <v>3351</v>
      </c>
    </row>
    <row r="148" spans="1:25" x14ac:dyDescent="0.25">
      <c r="A148" s="50">
        <v>500245</v>
      </c>
      <c r="B148" t="s">
        <v>3351</v>
      </c>
      <c r="P148">
        <v>28</v>
      </c>
    </row>
    <row r="149" spans="1:25" x14ac:dyDescent="0.25">
      <c r="A149" s="50">
        <v>2002573</v>
      </c>
      <c r="B149" t="s">
        <v>3351</v>
      </c>
    </row>
    <row r="150" spans="1:25" x14ac:dyDescent="0.25">
      <c r="A150" s="50">
        <v>2003539</v>
      </c>
      <c r="B150" t="s">
        <v>3351</v>
      </c>
    </row>
    <row r="151" spans="1:25" x14ac:dyDescent="0.25">
      <c r="A151" s="50">
        <v>2003649</v>
      </c>
      <c r="B151" t="s">
        <v>3351</v>
      </c>
      <c r="M151">
        <v>33.5</v>
      </c>
    </row>
    <row r="152" spans="1:25" x14ac:dyDescent="0.25">
      <c r="A152" s="50">
        <v>2005572</v>
      </c>
      <c r="B152" t="s">
        <v>3351</v>
      </c>
      <c r="M152">
        <v>33.200000000000003</v>
      </c>
    </row>
    <row r="153" spans="1:25" x14ac:dyDescent="0.25">
      <c r="A153" s="50">
        <v>2013117</v>
      </c>
      <c r="B153" t="s">
        <v>3351</v>
      </c>
    </row>
    <row r="154" spans="1:25" x14ac:dyDescent="0.25">
      <c r="A154" s="50">
        <v>3009633</v>
      </c>
      <c r="B154" t="s">
        <v>3351</v>
      </c>
      <c r="Y154">
        <v>29.6</v>
      </c>
    </row>
    <row r="155" spans="1:25" x14ac:dyDescent="0.25">
      <c r="A155" s="50">
        <v>3010583</v>
      </c>
      <c r="B155" t="s">
        <v>3351</v>
      </c>
    </row>
    <row r="156" spans="1:25" x14ac:dyDescent="0.25">
      <c r="A156" s="23">
        <v>3011892</v>
      </c>
      <c r="B156" t="s">
        <v>3351</v>
      </c>
    </row>
    <row r="157" spans="1:25" x14ac:dyDescent="0.25">
      <c r="A157">
        <v>4001382</v>
      </c>
      <c r="B157" t="s">
        <v>3351</v>
      </c>
    </row>
    <row r="158" spans="1:25" x14ac:dyDescent="0.25">
      <c r="A158" s="50">
        <v>5018675</v>
      </c>
      <c r="B158" t="s">
        <v>3351</v>
      </c>
    </row>
    <row r="159" spans="1:25" x14ac:dyDescent="0.25">
      <c r="A159" s="50">
        <v>6050168</v>
      </c>
      <c r="B159" t="s">
        <v>3351</v>
      </c>
    </row>
    <row r="160" spans="1:25" x14ac:dyDescent="0.25">
      <c r="A160" s="50">
        <v>5006592</v>
      </c>
      <c r="B160" t="s">
        <v>3351</v>
      </c>
    </row>
    <row r="161" spans="1:35" x14ac:dyDescent="0.25">
      <c r="A161" s="50">
        <v>5007274</v>
      </c>
      <c r="B161" t="s">
        <v>3351</v>
      </c>
    </row>
    <row r="162" spans="1:35" x14ac:dyDescent="0.25">
      <c r="A162" s="50">
        <v>5015851</v>
      </c>
      <c r="B162" t="s">
        <v>3351</v>
      </c>
      <c r="M162" s="14">
        <v>30.05</v>
      </c>
      <c r="AE162">
        <v>30</v>
      </c>
      <c r="AF162">
        <v>29</v>
      </c>
      <c r="AH162">
        <v>35</v>
      </c>
      <c r="AI162">
        <v>32</v>
      </c>
    </row>
    <row r="163" spans="1:35" x14ac:dyDescent="0.25">
      <c r="A163" s="50">
        <v>6015647</v>
      </c>
      <c r="B163" t="s">
        <v>3351</v>
      </c>
    </row>
    <row r="164" spans="1:35" x14ac:dyDescent="0.25">
      <c r="A164" s="50">
        <v>6056633</v>
      </c>
      <c r="B164" t="s">
        <v>3351</v>
      </c>
    </row>
    <row r="165" spans="1:35" x14ac:dyDescent="0.25">
      <c r="A165" s="50">
        <v>7086224</v>
      </c>
      <c r="B165" t="s">
        <v>3351</v>
      </c>
      <c r="W165">
        <v>30.1</v>
      </c>
    </row>
    <row r="166" spans="1:35" x14ac:dyDescent="0.25">
      <c r="A166" s="50">
        <v>8040959</v>
      </c>
      <c r="B166" t="s">
        <v>3351</v>
      </c>
    </row>
    <row r="167" spans="1:35" x14ac:dyDescent="0.25">
      <c r="A167" s="50">
        <v>8107048</v>
      </c>
      <c r="B167" t="s">
        <v>3351</v>
      </c>
    </row>
    <row r="168" spans="1:35" x14ac:dyDescent="0.25">
      <c r="A168" s="50">
        <v>8124044</v>
      </c>
      <c r="B168" t="s">
        <v>3351</v>
      </c>
    </row>
    <row r="169" spans="1:35" x14ac:dyDescent="0.25">
      <c r="A169" s="50">
        <v>8142949</v>
      </c>
      <c r="B169" t="s">
        <v>3351</v>
      </c>
    </row>
    <row r="170" spans="1:35" x14ac:dyDescent="0.25">
      <c r="A170" s="50">
        <v>9023306</v>
      </c>
      <c r="B170" t="s">
        <v>3351</v>
      </c>
    </row>
    <row r="171" spans="1:35" x14ac:dyDescent="0.25">
      <c r="A171" s="50">
        <v>9030615</v>
      </c>
      <c r="B171" t="s">
        <v>3351</v>
      </c>
      <c r="P171">
        <v>35.1</v>
      </c>
    </row>
    <row r="172" spans="1:35" x14ac:dyDescent="0.25">
      <c r="A172" s="50">
        <v>9034464</v>
      </c>
      <c r="B172" t="s">
        <v>3351</v>
      </c>
      <c r="H172">
        <v>37</v>
      </c>
      <c r="M172">
        <v>49</v>
      </c>
      <c r="N172">
        <v>44</v>
      </c>
    </row>
    <row r="173" spans="1:35" x14ac:dyDescent="0.25">
      <c r="A173" s="50">
        <v>9040167</v>
      </c>
      <c r="B173" t="s">
        <v>3351</v>
      </c>
      <c r="K173">
        <v>27.5</v>
      </c>
    </row>
    <row r="174" spans="1:35" x14ac:dyDescent="0.25">
      <c r="A174" s="50">
        <v>9054567</v>
      </c>
      <c r="B174" t="s">
        <v>3351</v>
      </c>
    </row>
    <row r="175" spans="1:35" x14ac:dyDescent="0.25">
      <c r="A175" s="50">
        <v>9083682</v>
      </c>
      <c r="B175" t="s">
        <v>3351</v>
      </c>
      <c r="L175">
        <v>36.6</v>
      </c>
    </row>
    <row r="176" spans="1:35" x14ac:dyDescent="0.25">
      <c r="A176" s="50">
        <v>9102044</v>
      </c>
      <c r="B176" t="s">
        <v>3351</v>
      </c>
    </row>
    <row r="177" spans="1:12" x14ac:dyDescent="0.25">
      <c r="A177" s="50">
        <v>9119854</v>
      </c>
      <c r="B177" t="s">
        <v>3351</v>
      </c>
    </row>
    <row r="178" spans="1:12" x14ac:dyDescent="0.25">
      <c r="A178" s="50">
        <v>9125126</v>
      </c>
      <c r="B178" t="s">
        <v>3351</v>
      </c>
    </row>
    <row r="179" spans="1:12" x14ac:dyDescent="0.25">
      <c r="A179" s="50">
        <v>9174811</v>
      </c>
      <c r="B179" t="s">
        <v>3351</v>
      </c>
    </row>
    <row r="180" spans="1:12" x14ac:dyDescent="0.25">
      <c r="A180" s="50">
        <v>10002875</v>
      </c>
      <c r="B180" t="s">
        <v>3351</v>
      </c>
    </row>
    <row r="181" spans="1:12" x14ac:dyDescent="0.25">
      <c r="A181" s="50">
        <v>10023080</v>
      </c>
      <c r="B181" t="s">
        <v>3351</v>
      </c>
    </row>
    <row r="182" spans="1:12" x14ac:dyDescent="0.25">
      <c r="A182" s="50">
        <v>10025212</v>
      </c>
      <c r="B182" t="s">
        <v>3351</v>
      </c>
    </row>
    <row r="183" spans="1:12" x14ac:dyDescent="0.25">
      <c r="A183" s="50">
        <v>10069407</v>
      </c>
      <c r="B183" t="s">
        <v>3351</v>
      </c>
    </row>
    <row r="184" spans="1:12" x14ac:dyDescent="0.25">
      <c r="A184" s="50">
        <v>10071135</v>
      </c>
      <c r="B184" t="s">
        <v>3351</v>
      </c>
    </row>
    <row r="185" spans="1:12" x14ac:dyDescent="0.25">
      <c r="A185" s="50">
        <v>10083649</v>
      </c>
      <c r="B185" t="s">
        <v>3351</v>
      </c>
    </row>
    <row r="186" spans="1:12" x14ac:dyDescent="0.25">
      <c r="A186" s="50">
        <v>10102021</v>
      </c>
      <c r="B186" t="s">
        <v>3351</v>
      </c>
    </row>
    <row r="187" spans="1:12" x14ac:dyDescent="0.25">
      <c r="A187" s="50">
        <v>10123729</v>
      </c>
      <c r="B187" t="s">
        <v>3351</v>
      </c>
    </row>
    <row r="188" spans="1:12" x14ac:dyDescent="0.25">
      <c r="A188" s="50">
        <v>10144736</v>
      </c>
      <c r="B188" t="s">
        <v>3351</v>
      </c>
    </row>
    <row r="189" spans="1:12" x14ac:dyDescent="0.25">
      <c r="A189" s="50">
        <v>10157275</v>
      </c>
      <c r="B189" t="s">
        <v>3351</v>
      </c>
      <c r="L189">
        <v>7</v>
      </c>
    </row>
    <row r="190" spans="1:12" x14ac:dyDescent="0.25">
      <c r="A190" s="54"/>
      <c r="B190" s="65"/>
    </row>
    <row r="191" spans="1:12" x14ac:dyDescent="0.25">
      <c r="A191" s="52" t="s">
        <v>120</v>
      </c>
      <c r="B191" s="10"/>
    </row>
    <row r="192" spans="1:12" x14ac:dyDescent="0.25">
      <c r="A192" s="50">
        <v>5281</v>
      </c>
      <c r="B192" t="s">
        <v>3352</v>
      </c>
    </row>
    <row r="193" spans="1:30" x14ac:dyDescent="0.25">
      <c r="A193" s="50">
        <v>200085</v>
      </c>
      <c r="B193" t="s">
        <v>3352</v>
      </c>
      <c r="G193">
        <v>43</v>
      </c>
      <c r="H193">
        <v>37</v>
      </c>
      <c r="I193">
        <v>25</v>
      </c>
      <c r="J193">
        <v>26</v>
      </c>
      <c r="Q193">
        <v>29</v>
      </c>
      <c r="S193">
        <v>26</v>
      </c>
      <c r="V193">
        <v>23</v>
      </c>
      <c r="X193">
        <v>23</v>
      </c>
      <c r="Z193">
        <v>23</v>
      </c>
      <c r="AA193">
        <v>25</v>
      </c>
    </row>
    <row r="194" spans="1:30" x14ac:dyDescent="0.25">
      <c r="A194" s="50">
        <v>500129</v>
      </c>
      <c r="B194" t="s">
        <v>3352</v>
      </c>
      <c r="R194">
        <v>31</v>
      </c>
      <c r="T194">
        <v>36</v>
      </c>
      <c r="X194">
        <v>30.9</v>
      </c>
      <c r="AD194">
        <v>28</v>
      </c>
    </row>
    <row r="195" spans="1:30" x14ac:dyDescent="0.25">
      <c r="A195" s="53">
        <v>1002033</v>
      </c>
      <c r="B195" t="s">
        <v>3352</v>
      </c>
    </row>
    <row r="196" spans="1:30" x14ac:dyDescent="0.25">
      <c r="A196" s="50">
        <v>1003457</v>
      </c>
      <c r="B196" t="s">
        <v>3352</v>
      </c>
    </row>
    <row r="197" spans="1:30" x14ac:dyDescent="0.25">
      <c r="A197" s="50">
        <v>2005223</v>
      </c>
      <c r="B197" t="s">
        <v>3352</v>
      </c>
    </row>
    <row r="198" spans="1:30" x14ac:dyDescent="0.25">
      <c r="A198" s="50">
        <v>2006107</v>
      </c>
      <c r="B198" t="s">
        <v>3352</v>
      </c>
    </row>
    <row r="199" spans="1:30" x14ac:dyDescent="0.25">
      <c r="A199" s="50">
        <v>2012014</v>
      </c>
      <c r="B199" t="s">
        <v>3352</v>
      </c>
      <c r="E199">
        <v>31</v>
      </c>
      <c r="P199">
        <v>31</v>
      </c>
    </row>
    <row r="200" spans="1:30" x14ac:dyDescent="0.25">
      <c r="A200" s="50">
        <v>3000152</v>
      </c>
      <c r="B200" t="s">
        <v>3352</v>
      </c>
      <c r="L200">
        <v>36.9</v>
      </c>
    </row>
    <row r="201" spans="1:30" x14ac:dyDescent="0.25">
      <c r="A201" s="50">
        <v>3014566</v>
      </c>
      <c r="B201" t="s">
        <v>3352</v>
      </c>
    </row>
    <row r="202" spans="1:30" x14ac:dyDescent="0.25">
      <c r="A202" s="50">
        <v>3015058</v>
      </c>
      <c r="B202" t="s">
        <v>3352</v>
      </c>
      <c r="E202">
        <v>28</v>
      </c>
      <c r="F202">
        <v>26.5</v>
      </c>
      <c r="M202">
        <v>36</v>
      </c>
      <c r="N202">
        <v>27</v>
      </c>
      <c r="O202">
        <v>24</v>
      </c>
      <c r="U202">
        <v>26</v>
      </c>
    </row>
    <row r="203" spans="1:30" x14ac:dyDescent="0.25">
      <c r="A203" s="53">
        <v>4000996</v>
      </c>
      <c r="B203" t="s">
        <v>3352</v>
      </c>
      <c r="N203">
        <v>31.5</v>
      </c>
      <c r="P203">
        <v>32</v>
      </c>
    </row>
    <row r="204" spans="1:30" x14ac:dyDescent="0.25">
      <c r="A204" s="50">
        <v>4003768</v>
      </c>
      <c r="B204" t="s">
        <v>3352</v>
      </c>
    </row>
    <row r="205" spans="1:30" x14ac:dyDescent="0.25">
      <c r="A205" s="50">
        <v>4006540</v>
      </c>
      <c r="B205" t="s">
        <v>3352</v>
      </c>
      <c r="W205">
        <v>32.799999999999997</v>
      </c>
    </row>
    <row r="206" spans="1:30" x14ac:dyDescent="0.25">
      <c r="A206" s="50">
        <v>4007054</v>
      </c>
      <c r="B206" t="s">
        <v>3352</v>
      </c>
    </row>
    <row r="207" spans="1:30" x14ac:dyDescent="0.25">
      <c r="A207" s="50">
        <v>4011002</v>
      </c>
      <c r="B207" t="s">
        <v>3352</v>
      </c>
      <c r="N207" t="s">
        <v>1926</v>
      </c>
      <c r="R207">
        <v>42.3</v>
      </c>
    </row>
    <row r="208" spans="1:30" x14ac:dyDescent="0.25">
      <c r="A208" s="50">
        <v>4900268</v>
      </c>
      <c r="B208" t="s">
        <v>3352</v>
      </c>
    </row>
    <row r="209" spans="1:19" x14ac:dyDescent="0.25">
      <c r="A209" s="50">
        <v>5001097</v>
      </c>
      <c r="B209" t="s">
        <v>3352</v>
      </c>
      <c r="G209">
        <v>115</v>
      </c>
      <c r="S209">
        <v>21</v>
      </c>
    </row>
    <row r="210" spans="1:19" x14ac:dyDescent="0.25">
      <c r="A210" s="50">
        <v>5001098</v>
      </c>
      <c r="B210" t="s">
        <v>3352</v>
      </c>
      <c r="D210">
        <v>22</v>
      </c>
    </row>
    <row r="211" spans="1:19" x14ac:dyDescent="0.25">
      <c r="A211" s="50">
        <v>5006152</v>
      </c>
      <c r="B211" t="s">
        <v>3352</v>
      </c>
      <c r="K211">
        <v>25.4</v>
      </c>
      <c r="N211">
        <v>50.7</v>
      </c>
    </row>
    <row r="212" spans="1:19" x14ac:dyDescent="0.25">
      <c r="A212" s="50">
        <v>6012361</v>
      </c>
      <c r="B212" t="s">
        <v>3352</v>
      </c>
    </row>
    <row r="213" spans="1:19" x14ac:dyDescent="0.25">
      <c r="A213" s="50">
        <v>6015793</v>
      </c>
      <c r="B213" t="s">
        <v>3352</v>
      </c>
    </row>
    <row r="214" spans="1:19" x14ac:dyDescent="0.25">
      <c r="A214" s="50">
        <v>6043619</v>
      </c>
      <c r="B214" t="s">
        <v>3352</v>
      </c>
    </row>
    <row r="215" spans="1:19" x14ac:dyDescent="0.25">
      <c r="A215" s="50">
        <v>7001097</v>
      </c>
      <c r="B215" t="s">
        <v>3352</v>
      </c>
    </row>
    <row r="216" spans="1:19" x14ac:dyDescent="0.25">
      <c r="A216" s="50">
        <v>7011435</v>
      </c>
      <c r="B216" t="s">
        <v>3352</v>
      </c>
    </row>
    <row r="217" spans="1:19" x14ac:dyDescent="0.25">
      <c r="A217" s="50">
        <v>7045811</v>
      </c>
      <c r="B217" t="s">
        <v>3352</v>
      </c>
    </row>
    <row r="218" spans="1:19" x14ac:dyDescent="0.25">
      <c r="A218" s="50">
        <v>7071198</v>
      </c>
      <c r="B218" t="s">
        <v>3352</v>
      </c>
    </row>
    <row r="219" spans="1:19" x14ac:dyDescent="0.25">
      <c r="A219" s="50">
        <v>7101143</v>
      </c>
      <c r="B219" t="s">
        <v>3352</v>
      </c>
    </row>
    <row r="220" spans="1:19" x14ac:dyDescent="0.25">
      <c r="A220" s="50">
        <v>8073350</v>
      </c>
      <c r="B220" t="s">
        <v>3352</v>
      </c>
    </row>
    <row r="221" spans="1:19" x14ac:dyDescent="0.25">
      <c r="A221" s="50">
        <v>8073645</v>
      </c>
      <c r="B221" t="s">
        <v>3352</v>
      </c>
    </row>
    <row r="222" spans="1:19" x14ac:dyDescent="0.25">
      <c r="A222" s="53">
        <v>8089666</v>
      </c>
      <c r="B222" t="s">
        <v>3352</v>
      </c>
    </row>
    <row r="223" spans="1:19" x14ac:dyDescent="0.25">
      <c r="A223" s="50">
        <v>8103536</v>
      </c>
      <c r="B223" t="s">
        <v>3352</v>
      </c>
      <c r="L223">
        <v>31.4</v>
      </c>
    </row>
    <row r="224" spans="1:19" x14ac:dyDescent="0.25">
      <c r="A224" s="50">
        <v>8124816</v>
      </c>
      <c r="B224" t="s">
        <v>3352</v>
      </c>
    </row>
    <row r="225" spans="1:16" x14ac:dyDescent="0.25">
      <c r="A225" s="50">
        <v>9003267</v>
      </c>
      <c r="B225" t="s">
        <v>3352</v>
      </c>
    </row>
    <row r="226" spans="1:16" x14ac:dyDescent="0.25">
      <c r="A226" s="50">
        <v>9036964</v>
      </c>
      <c r="B226" t="s">
        <v>3352</v>
      </c>
    </row>
    <row r="227" spans="1:16" x14ac:dyDescent="0.25">
      <c r="A227" s="50">
        <v>9090287</v>
      </c>
      <c r="B227" t="s">
        <v>3352</v>
      </c>
      <c r="O227">
        <v>40.200000000000003</v>
      </c>
    </row>
    <row r="228" spans="1:16" x14ac:dyDescent="0.25">
      <c r="A228" s="50">
        <v>9095148</v>
      </c>
      <c r="B228" t="s">
        <v>3352</v>
      </c>
      <c r="M228">
        <v>43.3</v>
      </c>
      <c r="N228">
        <v>32.200000000000003</v>
      </c>
    </row>
    <row r="229" spans="1:16" x14ac:dyDescent="0.25">
      <c r="A229" s="50">
        <v>9104979</v>
      </c>
      <c r="B229" t="s">
        <v>3352</v>
      </c>
    </row>
    <row r="230" spans="1:16" x14ac:dyDescent="0.25">
      <c r="A230" s="50">
        <v>9139514</v>
      </c>
      <c r="B230" t="s">
        <v>3352</v>
      </c>
    </row>
    <row r="231" spans="1:16" x14ac:dyDescent="0.25">
      <c r="A231" s="50">
        <v>10020659</v>
      </c>
      <c r="B231" t="s">
        <v>3352</v>
      </c>
    </row>
    <row r="232" spans="1:16" x14ac:dyDescent="0.25">
      <c r="A232" s="50">
        <v>10025902</v>
      </c>
      <c r="B232" t="s">
        <v>3352</v>
      </c>
    </row>
    <row r="233" spans="1:16" x14ac:dyDescent="0.25">
      <c r="A233" s="50">
        <v>10027654</v>
      </c>
      <c r="B233" t="s">
        <v>3352</v>
      </c>
    </row>
    <row r="234" spans="1:16" x14ac:dyDescent="0.25">
      <c r="A234" s="50">
        <v>10084485</v>
      </c>
      <c r="B234" t="s">
        <v>3352</v>
      </c>
    </row>
    <row r="235" spans="1:16" x14ac:dyDescent="0.25">
      <c r="A235" s="50">
        <v>10098420</v>
      </c>
      <c r="B235" t="s">
        <v>3352</v>
      </c>
      <c r="M235">
        <v>47</v>
      </c>
      <c r="N235">
        <v>53</v>
      </c>
      <c r="P235">
        <v>57</v>
      </c>
    </row>
    <row r="236" spans="1:16" x14ac:dyDescent="0.25">
      <c r="A236" s="50">
        <v>10129565</v>
      </c>
      <c r="B236" t="s">
        <v>3352</v>
      </c>
    </row>
    <row r="237" spans="1:16" x14ac:dyDescent="0.25">
      <c r="A237" s="50">
        <v>10146828</v>
      </c>
      <c r="B237" t="s">
        <v>3352</v>
      </c>
    </row>
    <row r="238" spans="1:16" x14ac:dyDescent="0.25">
      <c r="A238">
        <v>10163776</v>
      </c>
      <c r="B238" t="s">
        <v>3352</v>
      </c>
    </row>
    <row r="239" spans="1:16" x14ac:dyDescent="0.25">
      <c r="A239">
        <v>10173664</v>
      </c>
      <c r="B239" t="s">
        <v>3352</v>
      </c>
      <c r="P239">
        <v>33.4</v>
      </c>
    </row>
  </sheetData>
  <conditionalFormatting sqref="A19">
    <cfRule type="duplicateValues" dxfId="31" priority="1"/>
  </conditionalFormatting>
  <pageMargins left="0.7" right="0.7" top="0.78740157499999996" bottom="0.78740157499999996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9"/>
  <sheetViews>
    <sheetView topLeftCell="C1" zoomScale="70" zoomScaleNormal="70" workbookViewId="0">
      <selection sqref="A1:E49"/>
    </sheetView>
  </sheetViews>
  <sheetFormatPr defaultColWidth="11.42578125" defaultRowHeight="15" x14ac:dyDescent="0.25"/>
  <cols>
    <col min="1" max="1" width="17.28515625" bestFit="1" customWidth="1"/>
    <col min="2" max="2" width="185.42578125" bestFit="1" customWidth="1"/>
    <col min="3" max="3" width="30.28515625" bestFit="1" customWidth="1"/>
    <col min="4" max="4" width="12.5703125" bestFit="1" customWidth="1"/>
    <col min="5" max="5" width="6.42578125" bestFit="1" customWidth="1"/>
  </cols>
  <sheetData>
    <row r="1" spans="1:5" x14ac:dyDescent="0.25">
      <c r="A1" s="66" t="s">
        <v>59</v>
      </c>
      <c r="B1" s="66" t="s">
        <v>2564</v>
      </c>
      <c r="C1" s="66" t="s">
        <v>2523</v>
      </c>
      <c r="D1" s="66" t="s">
        <v>3346</v>
      </c>
      <c r="E1" s="66" t="s">
        <v>3439</v>
      </c>
    </row>
    <row r="2" spans="1:5" x14ac:dyDescent="0.25">
      <c r="A2" s="66">
        <v>7072184</v>
      </c>
      <c r="B2" s="66" t="s">
        <v>1349</v>
      </c>
      <c r="C2" s="66">
        <v>1</v>
      </c>
      <c r="D2" s="66" t="s">
        <v>3398</v>
      </c>
      <c r="E2" s="66" t="s">
        <v>3439</v>
      </c>
    </row>
    <row r="3" spans="1:5" x14ac:dyDescent="0.25">
      <c r="A3" s="66">
        <v>96018835</v>
      </c>
      <c r="B3" s="66" t="s">
        <v>7</v>
      </c>
      <c r="C3" s="66">
        <v>1</v>
      </c>
      <c r="D3" s="66" t="s">
        <v>3400</v>
      </c>
      <c r="E3" s="66" t="s">
        <v>3439</v>
      </c>
    </row>
    <row r="4" spans="1:5" x14ac:dyDescent="0.25">
      <c r="A4" s="66">
        <v>6016435</v>
      </c>
      <c r="B4" s="66" t="s">
        <v>565</v>
      </c>
      <c r="C4" s="66">
        <v>1</v>
      </c>
      <c r="D4" s="66" t="s">
        <v>3347</v>
      </c>
      <c r="E4" s="66" t="s">
        <v>3439</v>
      </c>
    </row>
    <row r="5" spans="1:5" x14ac:dyDescent="0.25">
      <c r="A5" s="66">
        <v>1263</v>
      </c>
      <c r="B5" s="66" t="s">
        <v>2622</v>
      </c>
      <c r="C5" s="66">
        <v>3</v>
      </c>
      <c r="D5" s="66" t="s">
        <v>3349</v>
      </c>
      <c r="E5" s="66" t="s">
        <v>3439</v>
      </c>
    </row>
    <row r="6" spans="1:5" x14ac:dyDescent="0.25">
      <c r="A6" s="66">
        <v>9003370</v>
      </c>
      <c r="B6" s="66" t="s">
        <v>98</v>
      </c>
      <c r="C6" s="66">
        <v>1</v>
      </c>
      <c r="D6" s="66" t="s">
        <v>3350</v>
      </c>
      <c r="E6" s="66" t="s">
        <v>3439</v>
      </c>
    </row>
    <row r="7" spans="1:5" x14ac:dyDescent="0.25">
      <c r="A7" s="66">
        <v>9016278</v>
      </c>
      <c r="B7" s="66" t="s">
        <v>855</v>
      </c>
      <c r="C7" s="66">
        <v>1</v>
      </c>
      <c r="D7" s="66" t="s">
        <v>3350</v>
      </c>
      <c r="E7" s="66" t="s">
        <v>3439</v>
      </c>
    </row>
    <row r="8" spans="1:5" x14ac:dyDescent="0.25">
      <c r="A8" s="66">
        <v>9030684</v>
      </c>
      <c r="B8" s="66" t="s">
        <v>2623</v>
      </c>
      <c r="C8" s="66">
        <v>3</v>
      </c>
      <c r="D8" s="66" t="s">
        <v>3350</v>
      </c>
      <c r="E8" s="66" t="s">
        <v>3439</v>
      </c>
    </row>
    <row r="9" spans="1:5" x14ac:dyDescent="0.25">
      <c r="A9" s="66">
        <v>9031387</v>
      </c>
      <c r="B9" s="66" t="s">
        <v>2624</v>
      </c>
      <c r="C9" s="66">
        <v>2</v>
      </c>
      <c r="D9" s="66" t="s">
        <v>3350</v>
      </c>
      <c r="E9" s="66" t="s">
        <v>3439</v>
      </c>
    </row>
    <row r="10" spans="1:5" x14ac:dyDescent="0.25">
      <c r="A10" s="66">
        <v>9038676</v>
      </c>
      <c r="B10" s="66" t="s">
        <v>2623</v>
      </c>
      <c r="C10" s="66">
        <v>3</v>
      </c>
      <c r="D10" s="66" t="s">
        <v>3350</v>
      </c>
      <c r="E10" s="66" t="s">
        <v>3439</v>
      </c>
    </row>
    <row r="11" spans="1:5" x14ac:dyDescent="0.25">
      <c r="A11" s="66">
        <v>9039416</v>
      </c>
      <c r="B11" s="66" t="s">
        <v>1350</v>
      </c>
      <c r="C11" s="66">
        <v>1</v>
      </c>
      <c r="D11" s="66" t="s">
        <v>3350</v>
      </c>
      <c r="E11" s="66" t="s">
        <v>3439</v>
      </c>
    </row>
    <row r="12" spans="1:5" x14ac:dyDescent="0.25">
      <c r="A12" s="66">
        <v>9044899</v>
      </c>
      <c r="B12" s="66" t="s">
        <v>1348</v>
      </c>
      <c r="C12" s="66">
        <v>1</v>
      </c>
      <c r="D12" s="66" t="s">
        <v>3350</v>
      </c>
      <c r="E12" s="66" t="s">
        <v>3439</v>
      </c>
    </row>
    <row r="13" spans="1:5" x14ac:dyDescent="0.25">
      <c r="A13" s="66">
        <v>10010926</v>
      </c>
      <c r="B13" s="66" t="s">
        <v>2625</v>
      </c>
      <c r="C13" s="66">
        <v>2</v>
      </c>
      <c r="D13" s="66" t="s">
        <v>3350</v>
      </c>
      <c r="E13" s="66" t="s">
        <v>3439</v>
      </c>
    </row>
    <row r="14" spans="1:5" x14ac:dyDescent="0.25">
      <c r="A14" s="66">
        <v>4663</v>
      </c>
      <c r="B14" s="66" t="s">
        <v>2626</v>
      </c>
      <c r="C14" s="66">
        <v>2</v>
      </c>
      <c r="D14" s="66" t="s">
        <v>3350</v>
      </c>
      <c r="E14" s="66" t="s">
        <v>3439</v>
      </c>
    </row>
    <row r="15" spans="1:5" x14ac:dyDescent="0.25">
      <c r="A15" s="66">
        <v>1007631</v>
      </c>
      <c r="B15" s="66" t="s">
        <v>565</v>
      </c>
      <c r="C15" s="66">
        <v>1</v>
      </c>
      <c r="D15" s="66" t="s">
        <v>3350</v>
      </c>
      <c r="E15" s="66" t="s">
        <v>3439</v>
      </c>
    </row>
    <row r="16" spans="1:5" x14ac:dyDescent="0.25">
      <c r="A16" s="66">
        <v>2000646</v>
      </c>
      <c r="B16" s="66" t="s">
        <v>2627</v>
      </c>
      <c r="C16" s="66">
        <v>5</v>
      </c>
      <c r="D16" s="66" t="s">
        <v>3350</v>
      </c>
      <c r="E16" s="66" t="s">
        <v>3439</v>
      </c>
    </row>
    <row r="17" spans="1:5" x14ac:dyDescent="0.25">
      <c r="A17" s="66">
        <v>2003761</v>
      </c>
      <c r="B17" s="66" t="s">
        <v>98</v>
      </c>
      <c r="C17" s="66">
        <v>1</v>
      </c>
      <c r="D17" s="66" t="s">
        <v>3350</v>
      </c>
      <c r="E17" s="66" t="s">
        <v>3439</v>
      </c>
    </row>
    <row r="18" spans="1:5" x14ac:dyDescent="0.25">
      <c r="A18" s="66">
        <v>2004061</v>
      </c>
      <c r="B18" s="66" t="s">
        <v>2628</v>
      </c>
      <c r="C18" s="66">
        <v>4</v>
      </c>
      <c r="D18" s="66" t="s">
        <v>3350</v>
      </c>
      <c r="E18" s="66" t="s">
        <v>3439</v>
      </c>
    </row>
    <row r="19" spans="1:5" x14ac:dyDescent="0.25">
      <c r="A19" s="66">
        <v>3005132</v>
      </c>
      <c r="B19" s="66" t="s">
        <v>98</v>
      </c>
      <c r="C19" s="66">
        <v>1</v>
      </c>
      <c r="D19" s="66" t="s">
        <v>3350</v>
      </c>
      <c r="E19" s="66" t="s">
        <v>3439</v>
      </c>
    </row>
    <row r="20" spans="1:5" x14ac:dyDescent="0.25">
      <c r="A20" s="66">
        <v>4000158</v>
      </c>
      <c r="B20" s="66" t="s">
        <v>565</v>
      </c>
      <c r="C20" s="66">
        <v>1</v>
      </c>
      <c r="D20" s="66" t="s">
        <v>3350</v>
      </c>
      <c r="E20" s="66" t="s">
        <v>3439</v>
      </c>
    </row>
    <row r="21" spans="1:5" x14ac:dyDescent="0.25">
      <c r="A21" s="66">
        <v>4002206</v>
      </c>
      <c r="B21" s="66" t="s">
        <v>98</v>
      </c>
      <c r="C21" s="66">
        <v>1</v>
      </c>
      <c r="D21" s="66" t="s">
        <v>3350</v>
      </c>
      <c r="E21" s="66" t="s">
        <v>3439</v>
      </c>
    </row>
    <row r="22" spans="1:5" x14ac:dyDescent="0.25">
      <c r="A22" s="66">
        <v>4011027</v>
      </c>
      <c r="B22" s="66" t="s">
        <v>2629</v>
      </c>
      <c r="C22" s="66">
        <v>4</v>
      </c>
      <c r="D22" s="66" t="s">
        <v>3350</v>
      </c>
      <c r="E22" s="66" t="s">
        <v>3439</v>
      </c>
    </row>
    <row r="23" spans="1:5" x14ac:dyDescent="0.25">
      <c r="A23" s="66">
        <v>500245</v>
      </c>
      <c r="B23" s="66" t="s">
        <v>1350</v>
      </c>
      <c r="C23" s="66">
        <v>1</v>
      </c>
      <c r="D23" s="66" t="s">
        <v>3351</v>
      </c>
      <c r="E23" s="66" t="s">
        <v>3439</v>
      </c>
    </row>
    <row r="24" spans="1:5" x14ac:dyDescent="0.25">
      <c r="A24" s="66">
        <v>2003649</v>
      </c>
      <c r="B24" s="66" t="s">
        <v>98</v>
      </c>
      <c r="C24" s="66">
        <v>1</v>
      </c>
      <c r="D24" s="66" t="s">
        <v>3351</v>
      </c>
      <c r="E24" s="66" t="s">
        <v>3439</v>
      </c>
    </row>
    <row r="25" spans="1:5" x14ac:dyDescent="0.25">
      <c r="A25" s="66">
        <v>2005572</v>
      </c>
      <c r="B25" s="66" t="s">
        <v>98</v>
      </c>
      <c r="C25" s="66">
        <v>1</v>
      </c>
      <c r="D25" s="66" t="s">
        <v>3351</v>
      </c>
      <c r="E25" s="66" t="s">
        <v>3439</v>
      </c>
    </row>
    <row r="26" spans="1:5" x14ac:dyDescent="0.25">
      <c r="A26" s="66">
        <v>3009633</v>
      </c>
      <c r="B26" s="66" t="s">
        <v>1297</v>
      </c>
      <c r="C26" s="66">
        <v>1</v>
      </c>
      <c r="D26" s="66" t="s">
        <v>3351</v>
      </c>
      <c r="E26" s="66" t="s">
        <v>3439</v>
      </c>
    </row>
    <row r="27" spans="1:5" x14ac:dyDescent="0.25">
      <c r="A27" s="66">
        <v>5015851</v>
      </c>
      <c r="B27" s="66" t="s">
        <v>2630</v>
      </c>
      <c r="C27" s="66">
        <v>5</v>
      </c>
      <c r="D27" s="66" t="s">
        <v>3351</v>
      </c>
      <c r="E27" s="66" t="s">
        <v>3439</v>
      </c>
    </row>
    <row r="28" spans="1:5" x14ac:dyDescent="0.25">
      <c r="A28" s="66">
        <v>7086224</v>
      </c>
      <c r="B28" s="66" t="s">
        <v>1146</v>
      </c>
      <c r="C28" s="66">
        <v>1</v>
      </c>
      <c r="D28" s="66" t="s">
        <v>3351</v>
      </c>
      <c r="E28" s="66" t="s">
        <v>3439</v>
      </c>
    </row>
    <row r="29" spans="1:5" x14ac:dyDescent="0.25">
      <c r="A29" s="66">
        <v>9030615</v>
      </c>
      <c r="B29" s="66" t="s">
        <v>1350</v>
      </c>
      <c r="C29" s="66">
        <v>1</v>
      </c>
      <c r="D29" s="66" t="s">
        <v>3351</v>
      </c>
      <c r="E29" s="66" t="s">
        <v>3439</v>
      </c>
    </row>
    <row r="30" spans="1:5" x14ac:dyDescent="0.25">
      <c r="A30" s="66">
        <v>9034464</v>
      </c>
      <c r="B30" s="66" t="s">
        <v>2631</v>
      </c>
      <c r="C30" s="66">
        <v>3</v>
      </c>
      <c r="D30" s="66" t="s">
        <v>3351</v>
      </c>
      <c r="E30" s="66" t="s">
        <v>3439</v>
      </c>
    </row>
    <row r="31" spans="1:5" x14ac:dyDescent="0.25">
      <c r="A31" s="66">
        <v>9040167</v>
      </c>
      <c r="B31" s="66" t="s">
        <v>2002</v>
      </c>
      <c r="C31" s="66">
        <v>1</v>
      </c>
      <c r="D31" s="66" t="s">
        <v>3351</v>
      </c>
      <c r="E31" s="66" t="s">
        <v>3439</v>
      </c>
    </row>
    <row r="32" spans="1:5" x14ac:dyDescent="0.25">
      <c r="A32" s="66">
        <v>9083682</v>
      </c>
      <c r="B32" s="66" t="s">
        <v>1349</v>
      </c>
      <c r="C32" s="66">
        <v>1</v>
      </c>
      <c r="D32" s="66" t="s">
        <v>3351</v>
      </c>
      <c r="E32" s="66" t="s">
        <v>3439</v>
      </c>
    </row>
    <row r="33" spans="1:5" x14ac:dyDescent="0.25">
      <c r="A33" s="66">
        <v>10157275</v>
      </c>
      <c r="B33" s="66" t="s">
        <v>1349</v>
      </c>
      <c r="C33" s="66">
        <v>1</v>
      </c>
      <c r="D33" s="66" t="s">
        <v>3351</v>
      </c>
      <c r="E33" s="66" t="s">
        <v>3439</v>
      </c>
    </row>
    <row r="34" spans="1:5" x14ac:dyDescent="0.25">
      <c r="A34" s="66">
        <v>200085</v>
      </c>
      <c r="B34" s="66" t="s">
        <v>2632</v>
      </c>
      <c r="C34" s="66">
        <v>10</v>
      </c>
      <c r="D34" s="66" t="s">
        <v>3352</v>
      </c>
      <c r="E34" s="66" t="s">
        <v>3439</v>
      </c>
    </row>
    <row r="35" spans="1:5" x14ac:dyDescent="0.25">
      <c r="A35" s="66">
        <v>500129</v>
      </c>
      <c r="B35" s="66" t="s">
        <v>2633</v>
      </c>
      <c r="C35" s="66">
        <v>4</v>
      </c>
      <c r="D35" s="66" t="s">
        <v>3352</v>
      </c>
      <c r="E35" s="66" t="s">
        <v>3439</v>
      </c>
    </row>
    <row r="36" spans="1:5" x14ac:dyDescent="0.25">
      <c r="A36" s="66">
        <v>2012014</v>
      </c>
      <c r="B36" s="66" t="s">
        <v>2634</v>
      </c>
      <c r="C36" s="66">
        <v>2</v>
      </c>
      <c r="D36" s="66" t="s">
        <v>3352</v>
      </c>
      <c r="E36" s="66" t="s">
        <v>3439</v>
      </c>
    </row>
    <row r="37" spans="1:5" x14ac:dyDescent="0.25">
      <c r="A37" s="66">
        <v>3000152</v>
      </c>
      <c r="B37" s="66" t="s">
        <v>1349</v>
      </c>
      <c r="C37" s="66">
        <v>1</v>
      </c>
      <c r="D37" s="66" t="s">
        <v>3352</v>
      </c>
      <c r="E37" s="66" t="s">
        <v>3439</v>
      </c>
    </row>
    <row r="38" spans="1:5" x14ac:dyDescent="0.25">
      <c r="A38" s="66">
        <v>3015058</v>
      </c>
      <c r="B38" s="66" t="s">
        <v>2635</v>
      </c>
      <c r="C38" s="66">
        <v>6</v>
      </c>
      <c r="D38" s="66" t="s">
        <v>3352</v>
      </c>
      <c r="E38" s="66" t="s">
        <v>3439</v>
      </c>
    </row>
    <row r="39" spans="1:5" x14ac:dyDescent="0.25">
      <c r="A39" s="66">
        <v>4000996</v>
      </c>
      <c r="B39" s="66" t="s">
        <v>2636</v>
      </c>
      <c r="C39" s="66">
        <v>2</v>
      </c>
      <c r="D39" s="66" t="s">
        <v>3352</v>
      </c>
      <c r="E39" s="66" t="s">
        <v>3439</v>
      </c>
    </row>
    <row r="40" spans="1:5" x14ac:dyDescent="0.25">
      <c r="A40" s="66">
        <v>4006540</v>
      </c>
      <c r="B40" s="66" t="s">
        <v>1146</v>
      </c>
      <c r="C40" s="66">
        <v>1</v>
      </c>
      <c r="D40" s="66" t="s">
        <v>3352</v>
      </c>
      <c r="E40" s="66" t="s">
        <v>3439</v>
      </c>
    </row>
    <row r="41" spans="1:5" x14ac:dyDescent="0.25">
      <c r="A41" s="66">
        <v>4011002</v>
      </c>
      <c r="B41" s="66" t="s">
        <v>2637</v>
      </c>
      <c r="C41" s="66">
        <v>2</v>
      </c>
      <c r="D41" s="66" t="s">
        <v>3352</v>
      </c>
      <c r="E41" s="66" t="s">
        <v>3439</v>
      </c>
    </row>
    <row r="42" spans="1:5" x14ac:dyDescent="0.25">
      <c r="A42" s="66">
        <v>5001097</v>
      </c>
      <c r="B42" s="66" t="s">
        <v>2638</v>
      </c>
      <c r="C42" s="66">
        <v>2</v>
      </c>
      <c r="D42" s="66" t="s">
        <v>3352</v>
      </c>
      <c r="E42" s="66" t="s">
        <v>3439</v>
      </c>
    </row>
    <row r="43" spans="1:5" x14ac:dyDescent="0.25">
      <c r="A43" s="66">
        <v>5001098</v>
      </c>
      <c r="B43" s="66" t="s">
        <v>1970</v>
      </c>
      <c r="C43" s="66">
        <v>1</v>
      </c>
      <c r="D43" s="66" t="s">
        <v>3352</v>
      </c>
      <c r="E43" s="66" t="s">
        <v>3439</v>
      </c>
    </row>
    <row r="44" spans="1:5" x14ac:dyDescent="0.25">
      <c r="A44" s="66">
        <v>5006152</v>
      </c>
      <c r="B44" s="66" t="s">
        <v>2639</v>
      </c>
      <c r="C44" s="66">
        <v>2</v>
      </c>
      <c r="D44" s="66" t="s">
        <v>3352</v>
      </c>
      <c r="E44" s="66" t="s">
        <v>3439</v>
      </c>
    </row>
    <row r="45" spans="1:5" x14ac:dyDescent="0.25">
      <c r="A45" s="66">
        <v>8103536</v>
      </c>
      <c r="B45" s="66" t="s">
        <v>1349</v>
      </c>
      <c r="C45" s="66">
        <v>1</v>
      </c>
      <c r="D45" s="66" t="s">
        <v>3352</v>
      </c>
      <c r="E45" s="66" t="s">
        <v>3439</v>
      </c>
    </row>
    <row r="46" spans="1:5" x14ac:dyDescent="0.25">
      <c r="A46" s="66">
        <v>9090287</v>
      </c>
      <c r="B46" s="66" t="s">
        <v>7</v>
      </c>
      <c r="C46" s="66">
        <v>1</v>
      </c>
      <c r="D46" s="66" t="s">
        <v>3352</v>
      </c>
      <c r="E46" s="66" t="s">
        <v>3439</v>
      </c>
    </row>
    <row r="47" spans="1:5" x14ac:dyDescent="0.25">
      <c r="A47" s="66">
        <v>9095148</v>
      </c>
      <c r="B47" s="66" t="s">
        <v>2640</v>
      </c>
      <c r="C47" s="66">
        <v>2</v>
      </c>
      <c r="D47" s="66" t="s">
        <v>3352</v>
      </c>
      <c r="E47" s="66" t="s">
        <v>3439</v>
      </c>
    </row>
    <row r="48" spans="1:5" x14ac:dyDescent="0.25">
      <c r="A48" s="66">
        <v>10098420</v>
      </c>
      <c r="B48" s="66" t="s">
        <v>2641</v>
      </c>
      <c r="C48" s="66">
        <v>3</v>
      </c>
      <c r="D48" s="66" t="s">
        <v>3352</v>
      </c>
      <c r="E48" s="66" t="s">
        <v>3439</v>
      </c>
    </row>
    <row r="49" spans="1:5" x14ac:dyDescent="0.25">
      <c r="A49" s="66">
        <v>10173664</v>
      </c>
      <c r="B49" s="66" t="s">
        <v>1350</v>
      </c>
      <c r="C49" s="66">
        <v>1</v>
      </c>
      <c r="D49" s="66" t="s">
        <v>3352</v>
      </c>
      <c r="E49" s="66" t="s">
        <v>3439</v>
      </c>
    </row>
  </sheetData>
  <phoneticPr fontId="6" type="noConversion"/>
  <pageMargins left="0.7" right="0.7" top="0.78740157499999996" bottom="0.78740157499999996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W239"/>
  <sheetViews>
    <sheetView workbookViewId="0">
      <selection activeCell="B1" sqref="B1:B1048576"/>
    </sheetView>
  </sheetViews>
  <sheetFormatPr defaultColWidth="11.42578125" defaultRowHeight="15" x14ac:dyDescent="0.25"/>
  <cols>
    <col min="1" max="1" width="17.140625" style="50" customWidth="1"/>
    <col min="2" max="2" width="12.42578125" customWidth="1"/>
    <col min="3" max="3" width="39.5703125" customWidth="1"/>
    <col min="4" max="5" width="39.85546875" customWidth="1"/>
    <col min="6" max="6" width="48.28515625" customWidth="1"/>
    <col min="7" max="10" width="39.85546875" customWidth="1"/>
    <col min="11" max="11" width="47.28515625" customWidth="1"/>
    <col min="12" max="15" width="38.85546875" customWidth="1"/>
    <col min="16" max="16" width="47.28515625" customWidth="1"/>
    <col min="17" max="18" width="38.85546875" customWidth="1"/>
    <col min="19" max="19" width="37.7109375" customWidth="1"/>
    <col min="20" max="20" width="38.28515625" customWidth="1"/>
    <col min="21" max="21" width="30.7109375" customWidth="1"/>
    <col min="22" max="22" width="16.140625" customWidth="1"/>
    <col min="23" max="23" width="25" customWidth="1"/>
    <col min="24" max="26" width="16.140625" customWidth="1"/>
    <col min="27" max="27" width="25" customWidth="1"/>
    <col min="28" max="31" width="18.7109375" customWidth="1"/>
    <col min="32" max="32" width="27.5703125" customWidth="1"/>
    <col min="33" max="33" width="18.7109375" customWidth="1"/>
    <col min="34" max="34" width="16.5703125" customWidth="1"/>
    <col min="35" max="36" width="18.7109375" customWidth="1"/>
    <col min="37" max="37" width="27.5703125" customWidth="1"/>
    <col min="38" max="42" width="18.7109375" customWidth="1"/>
    <col min="43" max="43" width="27.5703125" customWidth="1"/>
    <col min="44" max="44" width="30.28515625" customWidth="1"/>
    <col min="45" max="49" width="21.42578125" customWidth="1"/>
  </cols>
  <sheetData>
    <row r="1" spans="1:49" x14ac:dyDescent="0.25">
      <c r="A1" s="61" t="s">
        <v>59</v>
      </c>
      <c r="B1" s="61" t="s">
        <v>3346</v>
      </c>
      <c r="C1" s="62" t="s">
        <v>2357</v>
      </c>
      <c r="D1" s="62" t="s">
        <v>2423</v>
      </c>
      <c r="E1" s="62" t="s">
        <v>315</v>
      </c>
      <c r="F1" s="62" t="s">
        <v>1355</v>
      </c>
      <c r="G1" s="62" t="s">
        <v>2424</v>
      </c>
      <c r="H1" s="62" t="s">
        <v>1081</v>
      </c>
      <c r="I1" s="62" t="s">
        <v>110</v>
      </c>
      <c r="J1" s="62" t="s">
        <v>1835</v>
      </c>
      <c r="K1" s="62" t="s">
        <v>1354</v>
      </c>
      <c r="L1" s="62" t="s">
        <v>901</v>
      </c>
      <c r="M1" s="62" t="s">
        <v>864</v>
      </c>
      <c r="N1" s="62" t="s">
        <v>2172</v>
      </c>
      <c r="O1" s="62" t="s">
        <v>1905</v>
      </c>
      <c r="P1" s="62" t="s">
        <v>1353</v>
      </c>
      <c r="Q1" s="62" t="s">
        <v>2387</v>
      </c>
      <c r="R1" s="62" t="s">
        <v>865</v>
      </c>
      <c r="S1" s="62" t="s">
        <v>902</v>
      </c>
      <c r="T1" s="62" t="s">
        <v>1356</v>
      </c>
      <c r="U1" s="63" t="s">
        <v>1247</v>
      </c>
      <c r="V1" s="62" t="s">
        <v>9</v>
      </c>
      <c r="W1" s="62" t="s">
        <v>1357</v>
      </c>
      <c r="X1" s="62" t="s">
        <v>10</v>
      </c>
      <c r="Y1" s="62" t="s">
        <v>11</v>
      </c>
      <c r="Z1" s="62" t="s">
        <v>12</v>
      </c>
      <c r="AA1" s="62" t="s">
        <v>1358</v>
      </c>
      <c r="AB1" s="62" t="s">
        <v>117</v>
      </c>
      <c r="AC1" s="62" t="s">
        <v>88</v>
      </c>
      <c r="AD1" s="62" t="s">
        <v>83</v>
      </c>
      <c r="AE1" s="62" t="s">
        <v>118</v>
      </c>
      <c r="AF1" s="62" t="s">
        <v>1359</v>
      </c>
      <c r="AG1" s="62" t="s">
        <v>113</v>
      </c>
      <c r="AH1" s="62" t="s">
        <v>89</v>
      </c>
      <c r="AI1" s="62" t="s">
        <v>655</v>
      </c>
      <c r="AJ1" s="62" t="s">
        <v>1110</v>
      </c>
      <c r="AK1" s="62" t="s">
        <v>1360</v>
      </c>
      <c r="AL1" s="62" t="s">
        <v>13</v>
      </c>
      <c r="AM1" s="62" t="s">
        <v>116</v>
      </c>
      <c r="AN1" s="62" t="s">
        <v>656</v>
      </c>
      <c r="AO1" s="62" t="s">
        <v>1303</v>
      </c>
      <c r="AP1" s="62" t="s">
        <v>2133</v>
      </c>
      <c r="AQ1" s="62" t="s">
        <v>1361</v>
      </c>
      <c r="AR1" s="62" t="s">
        <v>1362</v>
      </c>
      <c r="AS1" s="62" t="s">
        <v>1310</v>
      </c>
      <c r="AT1" s="62" t="s">
        <v>2332</v>
      </c>
      <c r="AU1" s="62" t="s">
        <v>1219</v>
      </c>
      <c r="AV1" s="62" t="s">
        <v>1394</v>
      </c>
      <c r="AW1" s="62" t="s">
        <v>1395</v>
      </c>
    </row>
    <row r="2" spans="1:49" x14ac:dyDescent="0.25">
      <c r="A2" s="40" t="s">
        <v>561</v>
      </c>
      <c r="B2" s="40"/>
    </row>
    <row r="3" spans="1:49" x14ac:dyDescent="0.25">
      <c r="A3" s="10" t="s">
        <v>2519</v>
      </c>
      <c r="B3" s="10"/>
      <c r="C3" s="7"/>
      <c r="D3" s="7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</row>
    <row r="4" spans="1:49" x14ac:dyDescent="0.25">
      <c r="A4" s="50">
        <v>7072184</v>
      </c>
      <c r="B4" s="10" t="s">
        <v>3398</v>
      </c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>
        <v>39600</v>
      </c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</row>
    <row r="5" spans="1:49" x14ac:dyDescent="0.25">
      <c r="A5" s="50">
        <v>9108231</v>
      </c>
      <c r="B5" s="10" t="s">
        <v>3398</v>
      </c>
      <c r="C5" s="7"/>
      <c r="D5" s="7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>
        <v>13120</v>
      </c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</row>
    <row r="6" spans="1:49" x14ac:dyDescent="0.25">
      <c r="A6" s="50">
        <v>12061933</v>
      </c>
      <c r="B6" s="10" t="s">
        <v>3398</v>
      </c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</row>
    <row r="7" spans="1:49" x14ac:dyDescent="0.25">
      <c r="A7" s="50">
        <v>95005911</v>
      </c>
      <c r="B7" s="10" t="s">
        <v>3398</v>
      </c>
    </row>
    <row r="8" spans="1:49" x14ac:dyDescent="0.25">
      <c r="A8" s="50">
        <v>99001908</v>
      </c>
      <c r="B8" s="10" t="s">
        <v>3398</v>
      </c>
    </row>
    <row r="9" spans="1:49" x14ac:dyDescent="0.25">
      <c r="A9" s="50">
        <v>99004067</v>
      </c>
      <c r="B9" s="10" t="s">
        <v>3398</v>
      </c>
      <c r="E9" s="39"/>
      <c r="F9" s="39"/>
      <c r="G9" s="39"/>
      <c r="H9" s="39"/>
      <c r="T9" s="39"/>
    </row>
    <row r="10" spans="1:49" x14ac:dyDescent="0.25">
      <c r="A10" s="50">
        <v>97002136</v>
      </c>
      <c r="B10" s="10" t="s">
        <v>3398</v>
      </c>
    </row>
    <row r="11" spans="1:49" x14ac:dyDescent="0.25">
      <c r="A11" s="50">
        <v>1502</v>
      </c>
      <c r="B11" s="10" t="s">
        <v>3398</v>
      </c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6"/>
      <c r="V11" s="6"/>
      <c r="W11">
        <v>8700</v>
      </c>
      <c r="X11" s="6"/>
      <c r="Y11">
        <v>7700</v>
      </c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</row>
    <row r="12" spans="1:49" x14ac:dyDescent="0.25">
      <c r="A12" s="50">
        <v>4003543</v>
      </c>
      <c r="B12" s="10" t="s">
        <v>3398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6"/>
      <c r="V12" s="6"/>
      <c r="X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</row>
    <row r="13" spans="1:49" x14ac:dyDescent="0.25">
      <c r="A13" s="50">
        <v>4900261</v>
      </c>
      <c r="B13" s="10" t="s">
        <v>3398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6"/>
      <c r="V13" s="6"/>
      <c r="X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</row>
    <row r="15" spans="1:49" x14ac:dyDescent="0.25">
      <c r="A15" s="52" t="s">
        <v>2520</v>
      </c>
      <c r="B15" s="10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</row>
    <row r="16" spans="1:49" x14ac:dyDescent="0.25">
      <c r="A16" s="50">
        <v>14242856</v>
      </c>
      <c r="B16" s="10" t="s">
        <v>3399</v>
      </c>
      <c r="C16" s="7"/>
      <c r="D16" s="7"/>
      <c r="E16" s="6"/>
      <c r="F16" s="6"/>
      <c r="G16" s="6"/>
      <c r="H16" s="6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6">
        <v>6770</v>
      </c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</row>
    <row r="17" spans="1:49" x14ac:dyDescent="0.25">
      <c r="A17" s="50">
        <v>99001183</v>
      </c>
      <c r="B17" s="10" t="s">
        <v>3399</v>
      </c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6"/>
      <c r="V17" s="6"/>
      <c r="W17" s="6"/>
      <c r="X17" s="6"/>
      <c r="Y17" s="6"/>
      <c r="Z17" s="6"/>
      <c r="AA17" s="6"/>
      <c r="AB17" s="6">
        <v>116000</v>
      </c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</row>
    <row r="18" spans="1:49" x14ac:dyDescent="0.25">
      <c r="A18" s="50">
        <v>3000983</v>
      </c>
      <c r="B18" s="10" t="s">
        <v>3399</v>
      </c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6"/>
      <c r="V18" s="6"/>
      <c r="W18" s="6"/>
      <c r="X18" s="6"/>
      <c r="Y18" s="6">
        <v>7900</v>
      </c>
      <c r="Z18">
        <v>10000</v>
      </c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>
        <v>8000</v>
      </c>
    </row>
    <row r="19" spans="1:49" x14ac:dyDescent="0.25">
      <c r="A19" s="50">
        <v>10064335</v>
      </c>
      <c r="B19" s="10" t="s">
        <v>3399</v>
      </c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</row>
    <row r="20" spans="1:49" x14ac:dyDescent="0.25">
      <c r="A20" s="51"/>
      <c r="B20" s="6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</row>
    <row r="21" spans="1:49" x14ac:dyDescent="0.25">
      <c r="A21" s="52" t="s">
        <v>2521</v>
      </c>
      <c r="B21" s="10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</row>
    <row r="22" spans="1:49" x14ac:dyDescent="0.25">
      <c r="A22" s="50">
        <v>1480</v>
      </c>
      <c r="B22" s="10" t="s">
        <v>3400</v>
      </c>
      <c r="Z22">
        <v>11920</v>
      </c>
    </row>
    <row r="23" spans="1:49" x14ac:dyDescent="0.25">
      <c r="A23" s="50">
        <v>7063959</v>
      </c>
      <c r="B23" s="10" t="s">
        <v>3400</v>
      </c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</row>
    <row r="24" spans="1:49" x14ac:dyDescent="0.25">
      <c r="A24" s="50">
        <v>1003215</v>
      </c>
      <c r="B24" s="10" t="s">
        <v>3400</v>
      </c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8">
        <v>8000</v>
      </c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</row>
    <row r="25" spans="1:49" x14ac:dyDescent="0.25">
      <c r="A25" s="50">
        <v>99000802</v>
      </c>
      <c r="B25" s="10" t="s">
        <v>3400</v>
      </c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6"/>
      <c r="V25" s="14">
        <v>7500</v>
      </c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</row>
    <row r="26" spans="1:49" x14ac:dyDescent="0.25">
      <c r="A26" s="50">
        <v>99000892</v>
      </c>
      <c r="B26" s="10" t="s">
        <v>3400</v>
      </c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</row>
    <row r="27" spans="1:49" x14ac:dyDescent="0.25">
      <c r="A27" s="50">
        <v>1000192</v>
      </c>
      <c r="B27" s="10" t="s">
        <v>3400</v>
      </c>
      <c r="C27" s="7"/>
      <c r="D27" s="7"/>
      <c r="E27" s="8">
        <v>75000</v>
      </c>
      <c r="F27" s="8"/>
      <c r="G27" s="8"/>
      <c r="H27" s="8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6"/>
      <c r="V27" s="6"/>
      <c r="W27" s="6"/>
      <c r="X27">
        <v>4000</v>
      </c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</row>
    <row r="28" spans="1:49" x14ac:dyDescent="0.25">
      <c r="A28" s="50">
        <v>1506</v>
      </c>
      <c r="B28" s="10" t="s">
        <v>3400</v>
      </c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6"/>
      <c r="V28" s="6"/>
      <c r="W28">
        <v>11460</v>
      </c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</row>
    <row r="29" spans="1:49" x14ac:dyDescent="0.25">
      <c r="A29" s="50">
        <v>99000894</v>
      </c>
      <c r="B29" s="10" t="s">
        <v>3400</v>
      </c>
      <c r="C29" s="7"/>
      <c r="D29" s="7"/>
      <c r="E29" s="7"/>
      <c r="F29" s="7"/>
      <c r="G29" s="7"/>
      <c r="H29" s="7"/>
      <c r="T29" s="7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>
        <v>14100</v>
      </c>
      <c r="AR29" s="6"/>
      <c r="AS29" s="6"/>
      <c r="AT29" s="6"/>
      <c r="AU29" s="6"/>
      <c r="AV29" s="6"/>
      <c r="AW29" s="6"/>
    </row>
    <row r="30" spans="1:49" x14ac:dyDescent="0.25">
      <c r="A30" s="50">
        <v>99000897</v>
      </c>
      <c r="B30" s="10" t="s">
        <v>3400</v>
      </c>
      <c r="AK30" s="3">
        <v>14800</v>
      </c>
    </row>
    <row r="31" spans="1:49" x14ac:dyDescent="0.25">
      <c r="A31" s="50">
        <v>99001245</v>
      </c>
      <c r="B31" s="10" t="s">
        <v>3400</v>
      </c>
    </row>
    <row r="32" spans="1:49" x14ac:dyDescent="0.25">
      <c r="A32" s="50">
        <v>99001902</v>
      </c>
      <c r="B32" s="10" t="s">
        <v>3400</v>
      </c>
      <c r="W32">
        <v>16500</v>
      </c>
    </row>
    <row r="33" spans="1:49" x14ac:dyDescent="0.25">
      <c r="A33" s="50">
        <v>99001912</v>
      </c>
      <c r="B33" s="10" t="s">
        <v>3400</v>
      </c>
      <c r="W33">
        <v>10900</v>
      </c>
    </row>
    <row r="34" spans="1:49" x14ac:dyDescent="0.25">
      <c r="A34" s="50">
        <v>99001913</v>
      </c>
      <c r="B34" s="10" t="s">
        <v>3400</v>
      </c>
    </row>
    <row r="35" spans="1:49" x14ac:dyDescent="0.25">
      <c r="A35" s="50">
        <v>99001937</v>
      </c>
      <c r="B35" s="10" t="s">
        <v>3400</v>
      </c>
    </row>
    <row r="36" spans="1:49" x14ac:dyDescent="0.25">
      <c r="A36" s="50">
        <v>99001943</v>
      </c>
      <c r="B36" s="10" t="s">
        <v>3400</v>
      </c>
      <c r="P36">
        <v>12700</v>
      </c>
      <c r="W36">
        <v>12700</v>
      </c>
    </row>
    <row r="37" spans="1:49" x14ac:dyDescent="0.25">
      <c r="A37" s="50">
        <v>99001927</v>
      </c>
      <c r="B37" s="10" t="s">
        <v>3400</v>
      </c>
      <c r="T37">
        <v>10100</v>
      </c>
    </row>
    <row r="38" spans="1:49" x14ac:dyDescent="0.25">
      <c r="A38" s="50">
        <v>1505</v>
      </c>
      <c r="B38" s="10" t="s">
        <v>3400</v>
      </c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6"/>
      <c r="V38" s="6"/>
      <c r="W38" s="6"/>
      <c r="X38" s="6"/>
      <c r="Y38" s="6"/>
      <c r="Z38">
        <v>12000</v>
      </c>
      <c r="AA38" s="6"/>
      <c r="AB38" s="6"/>
      <c r="AC38" s="6"/>
      <c r="AE38">
        <v>20000</v>
      </c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</row>
    <row r="39" spans="1:49" x14ac:dyDescent="0.25">
      <c r="A39" s="50">
        <v>1000197</v>
      </c>
      <c r="B39" s="10" t="s">
        <v>3400</v>
      </c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6"/>
      <c r="V39" s="6"/>
      <c r="X39" s="6"/>
      <c r="Y39" s="6"/>
      <c r="Z39">
        <v>8900</v>
      </c>
      <c r="AA39">
        <v>10600</v>
      </c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R39" s="6"/>
      <c r="AS39" s="6"/>
      <c r="AT39" s="6"/>
      <c r="AU39" s="6"/>
      <c r="AV39" s="6"/>
      <c r="AW39" s="6"/>
    </row>
    <row r="40" spans="1:49" x14ac:dyDescent="0.25">
      <c r="A40" s="50">
        <v>96018835</v>
      </c>
      <c r="B40" s="10" t="s">
        <v>3400</v>
      </c>
      <c r="C40" s="7"/>
      <c r="D40" s="7"/>
      <c r="E40" s="23"/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>
        <v>2000</v>
      </c>
      <c r="V40">
        <v>2900</v>
      </c>
      <c r="W40">
        <v>3800</v>
      </c>
      <c r="X40">
        <v>2100</v>
      </c>
      <c r="Y40" s="6"/>
      <c r="Z40">
        <v>3000</v>
      </c>
      <c r="AB40" s="6"/>
      <c r="AC40">
        <v>6500</v>
      </c>
      <c r="AD40" s="6"/>
      <c r="AE40" s="6"/>
      <c r="AF40">
        <v>7900</v>
      </c>
      <c r="AH40">
        <v>10100</v>
      </c>
      <c r="AK40">
        <v>7500</v>
      </c>
      <c r="AL40" s="6"/>
      <c r="AR40" s="6"/>
      <c r="AS40" s="6"/>
      <c r="AT40" s="6"/>
      <c r="AU40" s="6"/>
      <c r="AV40" s="6"/>
      <c r="AW40" s="6"/>
    </row>
    <row r="41" spans="1:49" x14ac:dyDescent="0.25">
      <c r="A41" s="50">
        <v>98008326</v>
      </c>
      <c r="B41" s="10" t="s">
        <v>3400</v>
      </c>
      <c r="C41" s="7"/>
      <c r="D41" s="7"/>
      <c r="E41" s="7"/>
      <c r="F41" s="7"/>
      <c r="G41" s="7"/>
      <c r="H41" s="7"/>
      <c r="I41">
        <v>6000</v>
      </c>
      <c r="T41" s="7"/>
      <c r="U41">
        <v>11400</v>
      </c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</row>
    <row r="42" spans="1:49" x14ac:dyDescent="0.25">
      <c r="A42" s="50">
        <v>99000717</v>
      </c>
      <c r="B42" s="10" t="s">
        <v>3400</v>
      </c>
      <c r="C42" s="7"/>
      <c r="D42" s="7"/>
      <c r="E42" s="7"/>
      <c r="F42" s="7"/>
      <c r="G42" s="7"/>
      <c r="H42" s="7"/>
      <c r="T42" s="7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>
        <v>7700</v>
      </c>
      <c r="AH42" s="6"/>
      <c r="AI42" s="6"/>
      <c r="AJ42" s="6"/>
      <c r="AK42" s="6"/>
      <c r="AL42">
        <v>4300</v>
      </c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</row>
    <row r="43" spans="1:49" x14ac:dyDescent="0.25">
      <c r="C43" s="7"/>
      <c r="D43" s="7"/>
      <c r="E43" s="7"/>
      <c r="F43" s="7"/>
      <c r="G43" s="7"/>
      <c r="H43" s="7"/>
      <c r="T43" s="7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</row>
    <row r="44" spans="1:49" x14ac:dyDescent="0.25">
      <c r="A44" s="25" t="s">
        <v>169</v>
      </c>
      <c r="B44" s="25"/>
    </row>
    <row r="45" spans="1:49" x14ac:dyDescent="0.25">
      <c r="A45" s="52" t="s">
        <v>143</v>
      </c>
      <c r="B45" s="10"/>
    </row>
    <row r="46" spans="1:49" x14ac:dyDescent="0.25">
      <c r="A46" s="50">
        <v>6016435</v>
      </c>
      <c r="B46" t="s">
        <v>3347</v>
      </c>
      <c r="V46">
        <v>12800</v>
      </c>
    </row>
    <row r="47" spans="1:49" x14ac:dyDescent="0.25">
      <c r="A47" s="50">
        <v>8045149</v>
      </c>
      <c r="B47" t="s">
        <v>3347</v>
      </c>
      <c r="T47">
        <v>30000</v>
      </c>
    </row>
    <row r="48" spans="1:49" x14ac:dyDescent="0.25">
      <c r="A48" s="50">
        <v>10023001</v>
      </c>
      <c r="B48" t="s">
        <v>3347</v>
      </c>
      <c r="T48">
        <v>8000</v>
      </c>
    </row>
    <row r="49" spans="1:49" x14ac:dyDescent="0.25">
      <c r="A49" s="50">
        <v>10027526</v>
      </c>
      <c r="B49" t="s">
        <v>3347</v>
      </c>
      <c r="U49">
        <v>15320</v>
      </c>
    </row>
    <row r="50" spans="1:49" x14ac:dyDescent="0.25">
      <c r="A50" s="50">
        <v>14222171</v>
      </c>
      <c r="B50" t="s">
        <v>3347</v>
      </c>
    </row>
    <row r="51" spans="1:49" x14ac:dyDescent="0.25">
      <c r="A51" s="50">
        <v>1006143</v>
      </c>
      <c r="B51" t="s">
        <v>3347</v>
      </c>
      <c r="T51">
        <v>4500</v>
      </c>
    </row>
    <row r="52" spans="1:49" x14ac:dyDescent="0.25">
      <c r="A52" s="50">
        <v>6006917</v>
      </c>
      <c r="B52" t="s">
        <v>3347</v>
      </c>
      <c r="T52">
        <v>12200</v>
      </c>
    </row>
    <row r="54" spans="1:49" x14ac:dyDescent="0.25">
      <c r="A54" s="52" t="s">
        <v>146</v>
      </c>
      <c r="B54" s="10"/>
    </row>
    <row r="55" spans="1:49" x14ac:dyDescent="0.25">
      <c r="A55" s="50">
        <v>8057159</v>
      </c>
      <c r="B55" s="10" t="s">
        <v>3348</v>
      </c>
      <c r="AA55">
        <v>10520</v>
      </c>
      <c r="AC55">
        <v>8470</v>
      </c>
      <c r="AE55">
        <v>6550</v>
      </c>
    </row>
    <row r="56" spans="1:49" x14ac:dyDescent="0.25">
      <c r="A56" s="50">
        <v>9140312</v>
      </c>
      <c r="B56" s="10" t="s">
        <v>3348</v>
      </c>
      <c r="W56">
        <v>13220</v>
      </c>
    </row>
    <row r="57" spans="1:49" x14ac:dyDescent="0.25">
      <c r="A57" s="50">
        <v>12008230</v>
      </c>
      <c r="B57" s="10" t="s">
        <v>3348</v>
      </c>
    </row>
    <row r="58" spans="1:49" x14ac:dyDescent="0.25">
      <c r="A58" s="50">
        <v>12088444</v>
      </c>
      <c r="B58" s="10" t="s">
        <v>3348</v>
      </c>
      <c r="X58">
        <v>2330</v>
      </c>
      <c r="AD58">
        <v>8430</v>
      </c>
      <c r="AV58">
        <v>3950</v>
      </c>
      <c r="AW58">
        <v>4840</v>
      </c>
    </row>
    <row r="59" spans="1:49" x14ac:dyDescent="0.25">
      <c r="A59" s="50">
        <v>13118872</v>
      </c>
      <c r="B59" s="10" t="s">
        <v>3348</v>
      </c>
      <c r="Y59">
        <v>10500</v>
      </c>
    </row>
    <row r="60" spans="1:49" x14ac:dyDescent="0.25">
      <c r="A60" s="50">
        <v>12012030</v>
      </c>
      <c r="B60" s="10" t="s">
        <v>3348</v>
      </c>
    </row>
    <row r="62" spans="1:49" x14ac:dyDescent="0.25">
      <c r="A62" s="52" t="s">
        <v>120</v>
      </c>
      <c r="B62" s="10"/>
      <c r="Y62" t="s">
        <v>610</v>
      </c>
    </row>
    <row r="63" spans="1:49" x14ac:dyDescent="0.25">
      <c r="A63" s="50">
        <v>9074418</v>
      </c>
      <c r="B63" s="10" t="s">
        <v>3349</v>
      </c>
      <c r="W63">
        <v>25000</v>
      </c>
    </row>
    <row r="64" spans="1:49" x14ac:dyDescent="0.25">
      <c r="A64" s="50">
        <v>1263</v>
      </c>
      <c r="B64" s="10" t="s">
        <v>3349</v>
      </c>
    </row>
    <row r="65" spans="1:49" x14ac:dyDescent="0.25">
      <c r="A65" s="50">
        <v>98004910</v>
      </c>
      <c r="B65" s="10" t="s">
        <v>3349</v>
      </c>
    </row>
    <row r="66" spans="1:49" x14ac:dyDescent="0.25">
      <c r="A66" s="50">
        <v>7103068</v>
      </c>
      <c r="B66" s="10" t="s">
        <v>3349</v>
      </c>
      <c r="T66">
        <v>23600</v>
      </c>
      <c r="AH66">
        <v>7700</v>
      </c>
      <c r="AN66">
        <v>4300</v>
      </c>
    </row>
    <row r="67" spans="1:49" x14ac:dyDescent="0.25">
      <c r="A67" s="50">
        <v>11240728</v>
      </c>
      <c r="B67" s="10" t="s">
        <v>3349</v>
      </c>
    </row>
    <row r="68" spans="1:49" x14ac:dyDescent="0.25">
      <c r="A68"/>
      <c r="C68" s="7"/>
      <c r="D68" s="7"/>
      <c r="E68" s="7"/>
      <c r="F68" s="7"/>
      <c r="G68" s="7"/>
      <c r="H68" s="7"/>
      <c r="T68" s="7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</row>
    <row r="69" spans="1:49" x14ac:dyDescent="0.25">
      <c r="A69" s="26" t="s">
        <v>170</v>
      </c>
      <c r="B69" s="26"/>
    </row>
    <row r="70" spans="1:49" x14ac:dyDescent="0.25">
      <c r="A70" s="10" t="s">
        <v>143</v>
      </c>
      <c r="B70" s="10"/>
    </row>
    <row r="71" spans="1:49" x14ac:dyDescent="0.25">
      <c r="A71" s="50">
        <v>5015869</v>
      </c>
      <c r="B71" t="s">
        <v>3350</v>
      </c>
      <c r="X71">
        <v>2700</v>
      </c>
    </row>
    <row r="72" spans="1:49" x14ac:dyDescent="0.25">
      <c r="A72" s="50">
        <v>5016969</v>
      </c>
      <c r="B72" t="s">
        <v>3350</v>
      </c>
    </row>
    <row r="73" spans="1:49" x14ac:dyDescent="0.25">
      <c r="A73" s="50">
        <v>6023231</v>
      </c>
      <c r="B73" t="s">
        <v>3350</v>
      </c>
      <c r="T73">
        <v>1200</v>
      </c>
    </row>
    <row r="74" spans="1:49" x14ac:dyDescent="0.25">
      <c r="A74" s="50">
        <v>6010712</v>
      </c>
      <c r="B74" t="s">
        <v>3350</v>
      </c>
    </row>
    <row r="75" spans="1:49" x14ac:dyDescent="0.25">
      <c r="A75" s="50">
        <v>6011198</v>
      </c>
      <c r="B75" t="s">
        <v>3350</v>
      </c>
      <c r="T75">
        <v>12200</v>
      </c>
    </row>
    <row r="76" spans="1:49" x14ac:dyDescent="0.25">
      <c r="A76" s="50">
        <v>6012681</v>
      </c>
      <c r="B76" t="s">
        <v>3350</v>
      </c>
      <c r="V76">
        <v>9500</v>
      </c>
    </row>
    <row r="77" spans="1:49" x14ac:dyDescent="0.25">
      <c r="A77" s="50">
        <v>6014511</v>
      </c>
      <c r="B77" t="s">
        <v>3350</v>
      </c>
      <c r="X77">
        <v>1200</v>
      </c>
    </row>
    <row r="78" spans="1:49" x14ac:dyDescent="0.25">
      <c r="A78" s="50">
        <v>6045127</v>
      </c>
      <c r="B78" t="s">
        <v>3350</v>
      </c>
    </row>
    <row r="79" spans="1:49" x14ac:dyDescent="0.25">
      <c r="A79" s="50">
        <v>7000458</v>
      </c>
      <c r="B79" t="s">
        <v>3350</v>
      </c>
    </row>
    <row r="80" spans="1:49" x14ac:dyDescent="0.25">
      <c r="A80" s="50">
        <v>7015502</v>
      </c>
      <c r="B80" t="s">
        <v>3350</v>
      </c>
    </row>
    <row r="81" spans="1:22" x14ac:dyDescent="0.25">
      <c r="A81" s="50">
        <v>7025847</v>
      </c>
      <c r="B81" t="s">
        <v>3350</v>
      </c>
    </row>
    <row r="82" spans="1:22" x14ac:dyDescent="0.25">
      <c r="A82" s="50">
        <v>7082707</v>
      </c>
      <c r="B82" t="s">
        <v>3350</v>
      </c>
    </row>
    <row r="83" spans="1:22" x14ac:dyDescent="0.25">
      <c r="A83" s="50">
        <v>7083159</v>
      </c>
      <c r="B83" t="s">
        <v>3350</v>
      </c>
    </row>
    <row r="84" spans="1:22" x14ac:dyDescent="0.25">
      <c r="A84" s="50">
        <v>7084659</v>
      </c>
      <c r="B84" t="s">
        <v>3350</v>
      </c>
    </row>
    <row r="85" spans="1:22" x14ac:dyDescent="0.25">
      <c r="A85" s="50">
        <v>7076814</v>
      </c>
      <c r="B85" t="s">
        <v>3350</v>
      </c>
      <c r="V85">
        <v>6600</v>
      </c>
    </row>
    <row r="86" spans="1:22" x14ac:dyDescent="0.25">
      <c r="A86" s="50">
        <v>7076815</v>
      </c>
      <c r="B86" t="s">
        <v>3350</v>
      </c>
      <c r="U86">
        <v>14000</v>
      </c>
    </row>
    <row r="87" spans="1:22" x14ac:dyDescent="0.25">
      <c r="A87" s="50">
        <v>7089231</v>
      </c>
      <c r="B87" t="s">
        <v>3350</v>
      </c>
      <c r="T87">
        <v>3340</v>
      </c>
    </row>
    <row r="88" spans="1:22" x14ac:dyDescent="0.25">
      <c r="A88" s="50">
        <v>7116004</v>
      </c>
      <c r="B88" t="s">
        <v>3350</v>
      </c>
    </row>
    <row r="89" spans="1:22" x14ac:dyDescent="0.25">
      <c r="A89" s="50">
        <v>8003819</v>
      </c>
      <c r="B89" t="s">
        <v>3350</v>
      </c>
    </row>
    <row r="90" spans="1:22" x14ac:dyDescent="0.25">
      <c r="A90" s="50">
        <v>8091779</v>
      </c>
      <c r="B90" t="s">
        <v>3350</v>
      </c>
    </row>
    <row r="91" spans="1:22" x14ac:dyDescent="0.25">
      <c r="A91" s="50">
        <v>8097989</v>
      </c>
      <c r="B91" t="s">
        <v>3350</v>
      </c>
    </row>
    <row r="92" spans="1:22" x14ac:dyDescent="0.25">
      <c r="A92" s="50">
        <v>8112522</v>
      </c>
      <c r="B92" t="s">
        <v>3350</v>
      </c>
    </row>
    <row r="93" spans="1:22" x14ac:dyDescent="0.25">
      <c r="A93" s="50">
        <v>8127397</v>
      </c>
      <c r="B93" t="s">
        <v>3350</v>
      </c>
    </row>
    <row r="94" spans="1:22" x14ac:dyDescent="0.25">
      <c r="A94" s="50">
        <v>8130998</v>
      </c>
      <c r="B94" t="s">
        <v>3350</v>
      </c>
    </row>
    <row r="95" spans="1:22" x14ac:dyDescent="0.25">
      <c r="A95" s="50">
        <v>9002836</v>
      </c>
      <c r="B95" t="s">
        <v>3350</v>
      </c>
    </row>
    <row r="96" spans="1:22" x14ac:dyDescent="0.25">
      <c r="A96" s="50">
        <v>9003331</v>
      </c>
      <c r="B96" t="s">
        <v>3350</v>
      </c>
    </row>
    <row r="97" spans="1:43" x14ac:dyDescent="0.25">
      <c r="A97" s="50">
        <v>9003370</v>
      </c>
      <c r="B97" t="s">
        <v>3350</v>
      </c>
      <c r="U97">
        <v>13300</v>
      </c>
    </row>
    <row r="98" spans="1:43" x14ac:dyDescent="0.25">
      <c r="A98" s="50">
        <v>9016278</v>
      </c>
      <c r="B98" t="s">
        <v>3350</v>
      </c>
      <c r="M98">
        <v>15100</v>
      </c>
      <c r="R98">
        <v>12900</v>
      </c>
    </row>
    <row r="99" spans="1:43" x14ac:dyDescent="0.25">
      <c r="A99" s="50">
        <v>9030684</v>
      </c>
      <c r="B99" t="s">
        <v>3350</v>
      </c>
    </row>
    <row r="100" spans="1:43" x14ac:dyDescent="0.25">
      <c r="A100" s="50">
        <v>9031387</v>
      </c>
      <c r="B100" t="s">
        <v>3350</v>
      </c>
    </row>
    <row r="101" spans="1:43" x14ac:dyDescent="0.25">
      <c r="A101" s="50">
        <v>9038676</v>
      </c>
      <c r="B101" t="s">
        <v>3350</v>
      </c>
    </row>
    <row r="102" spans="1:43" x14ac:dyDescent="0.25">
      <c r="A102" s="50">
        <v>9039416</v>
      </c>
      <c r="B102" t="s">
        <v>3350</v>
      </c>
      <c r="X102">
        <v>3300</v>
      </c>
      <c r="Y102">
        <v>3000</v>
      </c>
      <c r="AF102">
        <v>4300</v>
      </c>
      <c r="AQ102">
        <v>9090</v>
      </c>
    </row>
    <row r="103" spans="1:43" x14ac:dyDescent="0.25">
      <c r="A103" s="50">
        <v>9042861</v>
      </c>
      <c r="B103" t="s">
        <v>3350</v>
      </c>
    </row>
    <row r="104" spans="1:43" x14ac:dyDescent="0.25">
      <c r="A104" s="50">
        <v>9044899</v>
      </c>
      <c r="B104" t="s">
        <v>3350</v>
      </c>
      <c r="L104">
        <v>9400</v>
      </c>
      <c r="S104">
        <v>7100</v>
      </c>
      <c r="U104">
        <v>8400</v>
      </c>
      <c r="W104">
        <v>8000</v>
      </c>
      <c r="AC104">
        <v>8200</v>
      </c>
    </row>
    <row r="105" spans="1:43" x14ac:dyDescent="0.25">
      <c r="A105" s="50">
        <v>9052398</v>
      </c>
      <c r="B105" t="s">
        <v>3350</v>
      </c>
      <c r="U105">
        <v>9100</v>
      </c>
    </row>
    <row r="106" spans="1:43" x14ac:dyDescent="0.25">
      <c r="A106" s="50">
        <v>9085204</v>
      </c>
      <c r="B106" t="s">
        <v>3350</v>
      </c>
    </row>
    <row r="107" spans="1:43" x14ac:dyDescent="0.25">
      <c r="A107" s="50">
        <v>9090323</v>
      </c>
      <c r="B107" t="s">
        <v>3350</v>
      </c>
    </row>
    <row r="108" spans="1:43" x14ac:dyDescent="0.25">
      <c r="A108" s="50">
        <v>9105492</v>
      </c>
      <c r="B108" t="s">
        <v>3350</v>
      </c>
    </row>
    <row r="109" spans="1:43" x14ac:dyDescent="0.25">
      <c r="A109" s="50">
        <v>9138470</v>
      </c>
      <c r="B109" t="s">
        <v>3350</v>
      </c>
    </row>
    <row r="110" spans="1:43" x14ac:dyDescent="0.25">
      <c r="A110" s="50">
        <v>9150676</v>
      </c>
      <c r="B110" t="s">
        <v>3350</v>
      </c>
    </row>
    <row r="111" spans="1:43" x14ac:dyDescent="0.25">
      <c r="A111" s="50">
        <v>10010926</v>
      </c>
      <c r="B111" t="s">
        <v>3350</v>
      </c>
      <c r="U111">
        <v>6880</v>
      </c>
      <c r="W111">
        <v>6410</v>
      </c>
      <c r="AG111">
        <v>5480</v>
      </c>
    </row>
    <row r="112" spans="1:43" x14ac:dyDescent="0.25">
      <c r="A112" s="50">
        <v>10016588</v>
      </c>
      <c r="B112" t="s">
        <v>3350</v>
      </c>
    </row>
    <row r="113" spans="1:36" x14ac:dyDescent="0.25">
      <c r="A113" s="50">
        <v>10030897</v>
      </c>
      <c r="B113" t="s">
        <v>3350</v>
      </c>
    </row>
    <row r="114" spans="1:36" x14ac:dyDescent="0.25">
      <c r="A114" s="50">
        <v>324</v>
      </c>
      <c r="B114" t="s">
        <v>3350</v>
      </c>
      <c r="U114">
        <v>4200</v>
      </c>
    </row>
    <row r="115" spans="1:36" x14ac:dyDescent="0.25">
      <c r="A115" s="50">
        <v>3909</v>
      </c>
      <c r="B115" t="s">
        <v>3350</v>
      </c>
      <c r="Y115">
        <v>12000</v>
      </c>
    </row>
    <row r="116" spans="1:36" x14ac:dyDescent="0.25">
      <c r="A116" s="50">
        <v>4663</v>
      </c>
      <c r="B116" t="s">
        <v>3350</v>
      </c>
    </row>
    <row r="117" spans="1:36" x14ac:dyDescent="0.25">
      <c r="A117" s="50">
        <v>1005522</v>
      </c>
      <c r="B117" t="s">
        <v>3350</v>
      </c>
      <c r="F117">
        <v>7700</v>
      </c>
      <c r="H117">
        <v>8000</v>
      </c>
      <c r="U117">
        <v>5600</v>
      </c>
      <c r="AC117">
        <v>5200</v>
      </c>
      <c r="AI117">
        <v>7100</v>
      </c>
    </row>
    <row r="118" spans="1:36" x14ac:dyDescent="0.25">
      <c r="A118" s="50">
        <v>1007631</v>
      </c>
      <c r="B118" t="s">
        <v>3350</v>
      </c>
      <c r="V118">
        <v>8000</v>
      </c>
    </row>
    <row r="119" spans="1:36" x14ac:dyDescent="0.25">
      <c r="A119" s="50">
        <v>1009760</v>
      </c>
      <c r="B119" t="s">
        <v>3350</v>
      </c>
      <c r="X119">
        <v>6270</v>
      </c>
      <c r="AD119">
        <v>8180</v>
      </c>
      <c r="AF119">
        <v>19000</v>
      </c>
      <c r="AJ119">
        <v>6270</v>
      </c>
    </row>
    <row r="120" spans="1:36" x14ac:dyDescent="0.25">
      <c r="A120" s="50">
        <v>2000646</v>
      </c>
      <c r="B120" t="s">
        <v>3350</v>
      </c>
      <c r="U120">
        <v>16000</v>
      </c>
      <c r="V120">
        <v>13000</v>
      </c>
      <c r="AC120">
        <v>8200</v>
      </c>
      <c r="AD120">
        <v>6700</v>
      </c>
      <c r="AE120">
        <v>6200</v>
      </c>
    </row>
    <row r="121" spans="1:36" x14ac:dyDescent="0.25">
      <c r="A121" s="50">
        <v>2003761</v>
      </c>
      <c r="B121" t="s">
        <v>3350</v>
      </c>
    </row>
    <row r="122" spans="1:36" x14ac:dyDescent="0.25">
      <c r="A122" s="50">
        <v>2004061</v>
      </c>
      <c r="B122" t="s">
        <v>3350</v>
      </c>
      <c r="U122" s="14">
        <v>20000</v>
      </c>
      <c r="V122">
        <v>12700</v>
      </c>
      <c r="W122">
        <v>10900</v>
      </c>
      <c r="X122">
        <v>8400</v>
      </c>
    </row>
    <row r="123" spans="1:36" x14ac:dyDescent="0.25">
      <c r="A123" s="50">
        <v>2006469</v>
      </c>
      <c r="B123" t="s">
        <v>3350</v>
      </c>
    </row>
    <row r="124" spans="1:36" x14ac:dyDescent="0.25">
      <c r="A124" s="50">
        <v>3005132</v>
      </c>
      <c r="B124" t="s">
        <v>3350</v>
      </c>
      <c r="U124" s="50"/>
    </row>
    <row r="125" spans="1:36" x14ac:dyDescent="0.25">
      <c r="A125" s="50">
        <v>3009119</v>
      </c>
      <c r="B125" t="s">
        <v>3350</v>
      </c>
    </row>
    <row r="126" spans="1:36" x14ac:dyDescent="0.25">
      <c r="A126" s="50">
        <v>3009936</v>
      </c>
      <c r="B126" t="s">
        <v>3350</v>
      </c>
    </row>
    <row r="127" spans="1:36" x14ac:dyDescent="0.25">
      <c r="A127" s="50">
        <v>3011094</v>
      </c>
      <c r="B127" t="s">
        <v>3350</v>
      </c>
      <c r="U127">
        <v>13600</v>
      </c>
      <c r="W127">
        <v>12000</v>
      </c>
    </row>
    <row r="128" spans="1:36" x14ac:dyDescent="0.25">
      <c r="A128" s="50">
        <v>3014643</v>
      </c>
      <c r="B128" t="s">
        <v>3350</v>
      </c>
    </row>
    <row r="129" spans="1:47" x14ac:dyDescent="0.25">
      <c r="A129" s="50">
        <v>3016056</v>
      </c>
      <c r="B129" t="s">
        <v>3350</v>
      </c>
      <c r="U129">
        <v>6000</v>
      </c>
    </row>
    <row r="130" spans="1:47" x14ac:dyDescent="0.25">
      <c r="A130" s="50">
        <v>3900219</v>
      </c>
      <c r="B130" t="s">
        <v>3350</v>
      </c>
      <c r="K130">
        <v>11300</v>
      </c>
    </row>
    <row r="131" spans="1:47" x14ac:dyDescent="0.25">
      <c r="A131" s="50">
        <v>4000158</v>
      </c>
      <c r="B131" t="s">
        <v>3350</v>
      </c>
    </row>
    <row r="132" spans="1:47" x14ac:dyDescent="0.25">
      <c r="A132" s="50">
        <v>4000304</v>
      </c>
      <c r="B132" t="s">
        <v>3350</v>
      </c>
      <c r="U132">
        <v>11900</v>
      </c>
    </row>
    <row r="133" spans="1:47" x14ac:dyDescent="0.25">
      <c r="A133" s="50">
        <v>4001905</v>
      </c>
      <c r="B133" t="s">
        <v>3350</v>
      </c>
    </row>
    <row r="134" spans="1:47" x14ac:dyDescent="0.25">
      <c r="A134" s="50">
        <v>4002206</v>
      </c>
      <c r="B134" t="s">
        <v>3350</v>
      </c>
      <c r="U134">
        <v>7200</v>
      </c>
      <c r="AB134">
        <v>6700</v>
      </c>
    </row>
    <row r="135" spans="1:47" x14ac:dyDescent="0.25">
      <c r="A135" s="50">
        <v>4002715</v>
      </c>
      <c r="B135" t="s">
        <v>3350</v>
      </c>
    </row>
    <row r="136" spans="1:47" x14ac:dyDescent="0.25">
      <c r="A136" s="50">
        <v>4003924</v>
      </c>
      <c r="B136" t="s">
        <v>3350</v>
      </c>
      <c r="U136">
        <v>3200</v>
      </c>
    </row>
    <row r="137" spans="1:47" x14ac:dyDescent="0.25">
      <c r="A137" s="50">
        <v>4006051</v>
      </c>
      <c r="B137" t="s">
        <v>3350</v>
      </c>
    </row>
    <row r="138" spans="1:47" x14ac:dyDescent="0.25">
      <c r="A138" s="50">
        <v>4008140</v>
      </c>
      <c r="B138" t="s">
        <v>3350</v>
      </c>
      <c r="T138">
        <v>5900</v>
      </c>
    </row>
    <row r="139" spans="1:47" x14ac:dyDescent="0.25">
      <c r="A139" s="50">
        <v>4009906</v>
      </c>
      <c r="B139" t="s">
        <v>3350</v>
      </c>
      <c r="V139">
        <v>6300</v>
      </c>
      <c r="AR139">
        <v>7100</v>
      </c>
      <c r="AU139">
        <v>5300</v>
      </c>
    </row>
    <row r="140" spans="1:47" x14ac:dyDescent="0.25">
      <c r="A140" s="50">
        <v>4011027</v>
      </c>
      <c r="B140" t="s">
        <v>3350</v>
      </c>
      <c r="V140">
        <v>8900</v>
      </c>
    </row>
    <row r="141" spans="1:47" x14ac:dyDescent="0.25">
      <c r="A141" s="50">
        <v>4011920</v>
      </c>
      <c r="B141" t="s">
        <v>3350</v>
      </c>
    </row>
    <row r="142" spans="1:47" x14ac:dyDescent="0.25">
      <c r="A142" s="50">
        <v>4012248</v>
      </c>
      <c r="B142" t="s">
        <v>3350</v>
      </c>
    </row>
    <row r="143" spans="1:47" x14ac:dyDescent="0.25">
      <c r="A143" s="50">
        <v>4013603</v>
      </c>
      <c r="B143" t="s">
        <v>3350</v>
      </c>
    </row>
    <row r="144" spans="1:47" x14ac:dyDescent="0.25">
      <c r="A144" s="50">
        <v>5004654</v>
      </c>
      <c r="B144" t="s">
        <v>3350</v>
      </c>
      <c r="V144">
        <v>2420</v>
      </c>
      <c r="X144">
        <v>2310</v>
      </c>
      <c r="Y144">
        <v>3110</v>
      </c>
      <c r="Z144">
        <v>3780</v>
      </c>
      <c r="AA144">
        <v>4290</v>
      </c>
      <c r="AC144">
        <v>5040</v>
      </c>
      <c r="AE144">
        <v>4070</v>
      </c>
      <c r="AI144">
        <v>4030</v>
      </c>
    </row>
    <row r="145" spans="1:45" x14ac:dyDescent="0.25">
      <c r="A145" s="54"/>
      <c r="B145" s="65"/>
    </row>
    <row r="146" spans="1:45" x14ac:dyDescent="0.25">
      <c r="A146" s="52" t="s">
        <v>146</v>
      </c>
      <c r="B146" s="10"/>
    </row>
    <row r="147" spans="1:45" x14ac:dyDescent="0.25">
      <c r="A147" s="50">
        <v>4289</v>
      </c>
      <c r="B147" t="s">
        <v>3351</v>
      </c>
      <c r="U147">
        <v>27500</v>
      </c>
      <c r="V147" s="14">
        <v>15000</v>
      </c>
      <c r="W147">
        <v>23800</v>
      </c>
    </row>
    <row r="148" spans="1:45" x14ac:dyDescent="0.25">
      <c r="A148" s="50">
        <v>500245</v>
      </c>
      <c r="B148" t="s">
        <v>3351</v>
      </c>
      <c r="U148">
        <v>13300</v>
      </c>
      <c r="V148">
        <v>359000</v>
      </c>
      <c r="X148">
        <v>10600</v>
      </c>
      <c r="AD148">
        <v>8660</v>
      </c>
    </row>
    <row r="149" spans="1:45" x14ac:dyDescent="0.25">
      <c r="A149" s="50">
        <v>2002573</v>
      </c>
      <c r="B149" t="s">
        <v>3351</v>
      </c>
      <c r="AB149">
        <v>8090</v>
      </c>
    </row>
    <row r="150" spans="1:45" x14ac:dyDescent="0.25">
      <c r="A150" s="50">
        <v>2003539</v>
      </c>
      <c r="B150" t="s">
        <v>3351</v>
      </c>
      <c r="Y150">
        <v>15000</v>
      </c>
      <c r="AB150">
        <v>15700</v>
      </c>
    </row>
    <row r="151" spans="1:45" x14ac:dyDescent="0.25">
      <c r="A151" s="50">
        <v>2003649</v>
      </c>
      <c r="B151" t="s">
        <v>3351</v>
      </c>
    </row>
    <row r="152" spans="1:45" x14ac:dyDescent="0.25">
      <c r="A152" s="50">
        <v>2005572</v>
      </c>
      <c r="B152" t="s">
        <v>3351</v>
      </c>
      <c r="U152">
        <v>13000</v>
      </c>
      <c r="W152">
        <v>6840</v>
      </c>
      <c r="Z152">
        <v>6650</v>
      </c>
    </row>
    <row r="153" spans="1:45" x14ac:dyDescent="0.25">
      <c r="A153" s="50">
        <v>2013117</v>
      </c>
      <c r="B153" t="s">
        <v>3351</v>
      </c>
    </row>
    <row r="154" spans="1:45" x14ac:dyDescent="0.25">
      <c r="A154" s="50">
        <v>3009633</v>
      </c>
      <c r="B154" t="s">
        <v>3351</v>
      </c>
      <c r="AI154">
        <v>3300</v>
      </c>
      <c r="AM154">
        <v>3700</v>
      </c>
      <c r="AO154">
        <v>4200</v>
      </c>
    </row>
    <row r="155" spans="1:45" x14ac:dyDescent="0.25">
      <c r="A155" s="50">
        <v>3010583</v>
      </c>
      <c r="B155" t="s">
        <v>3351</v>
      </c>
      <c r="AS155">
        <v>5900</v>
      </c>
    </row>
    <row r="156" spans="1:45" x14ac:dyDescent="0.25">
      <c r="A156" s="23">
        <v>3011892</v>
      </c>
      <c r="B156" t="s">
        <v>3351</v>
      </c>
      <c r="AD156">
        <v>7700</v>
      </c>
    </row>
    <row r="157" spans="1:45" x14ac:dyDescent="0.25">
      <c r="A157">
        <v>4001382</v>
      </c>
      <c r="B157" t="s">
        <v>3351</v>
      </c>
    </row>
    <row r="158" spans="1:45" x14ac:dyDescent="0.25">
      <c r="A158" s="50">
        <v>5018675</v>
      </c>
      <c r="B158" t="s">
        <v>3351</v>
      </c>
      <c r="AA158">
        <v>10700</v>
      </c>
    </row>
    <row r="159" spans="1:45" x14ac:dyDescent="0.25">
      <c r="A159" s="50">
        <v>6050168</v>
      </c>
      <c r="B159" t="s">
        <v>3351</v>
      </c>
    </row>
    <row r="160" spans="1:45" x14ac:dyDescent="0.25">
      <c r="A160" s="50">
        <v>5006592</v>
      </c>
      <c r="B160" t="s">
        <v>3351</v>
      </c>
    </row>
    <row r="161" spans="1:42" x14ac:dyDescent="0.25">
      <c r="A161" s="50">
        <v>5007274</v>
      </c>
      <c r="B161" t="s">
        <v>3351</v>
      </c>
    </row>
    <row r="162" spans="1:42" x14ac:dyDescent="0.25">
      <c r="A162" s="50">
        <v>5015851</v>
      </c>
      <c r="B162" t="s">
        <v>3351</v>
      </c>
    </row>
    <row r="163" spans="1:42" x14ac:dyDescent="0.25">
      <c r="A163" s="50">
        <v>6015647</v>
      </c>
      <c r="B163" t="s">
        <v>3351</v>
      </c>
      <c r="U163">
        <v>8010</v>
      </c>
      <c r="V163">
        <v>8020</v>
      </c>
      <c r="X163">
        <v>7630</v>
      </c>
      <c r="AA163">
        <v>11410</v>
      </c>
      <c r="AD163">
        <v>10520</v>
      </c>
      <c r="AI163">
        <v>7250</v>
      </c>
      <c r="AP163">
        <v>9310</v>
      </c>
    </row>
    <row r="164" spans="1:42" x14ac:dyDescent="0.25">
      <c r="A164" s="50">
        <v>6056633</v>
      </c>
      <c r="B164" t="s">
        <v>3351</v>
      </c>
      <c r="T164">
        <v>11500</v>
      </c>
    </row>
    <row r="165" spans="1:42" x14ac:dyDescent="0.25">
      <c r="A165" s="50">
        <v>7086224</v>
      </c>
      <c r="B165" t="s">
        <v>3351</v>
      </c>
      <c r="AE165">
        <v>7300</v>
      </c>
    </row>
    <row r="166" spans="1:42" x14ac:dyDescent="0.25">
      <c r="A166" s="50">
        <v>8040959</v>
      </c>
      <c r="B166" t="s">
        <v>3351</v>
      </c>
    </row>
    <row r="167" spans="1:42" x14ac:dyDescent="0.25">
      <c r="A167" s="50">
        <v>8107048</v>
      </c>
      <c r="B167" t="s">
        <v>3351</v>
      </c>
    </row>
    <row r="168" spans="1:42" x14ac:dyDescent="0.25">
      <c r="A168" s="50">
        <v>8124044</v>
      </c>
      <c r="B168" t="s">
        <v>3351</v>
      </c>
    </row>
    <row r="169" spans="1:42" x14ac:dyDescent="0.25">
      <c r="A169" s="50">
        <v>8142949</v>
      </c>
      <c r="B169" t="s">
        <v>3351</v>
      </c>
    </row>
    <row r="170" spans="1:42" x14ac:dyDescent="0.25">
      <c r="A170" s="50">
        <v>9023306</v>
      </c>
      <c r="B170" t="s">
        <v>3351</v>
      </c>
    </row>
    <row r="171" spans="1:42" x14ac:dyDescent="0.25">
      <c r="A171" s="50">
        <v>9030615</v>
      </c>
      <c r="B171" t="s">
        <v>3351</v>
      </c>
      <c r="X171">
        <v>5800</v>
      </c>
      <c r="AK171">
        <v>5200</v>
      </c>
    </row>
    <row r="172" spans="1:42" x14ac:dyDescent="0.25">
      <c r="A172" s="50">
        <v>9034464</v>
      </c>
      <c r="B172" t="s">
        <v>3351</v>
      </c>
      <c r="N172" s="14">
        <v>10590</v>
      </c>
    </row>
    <row r="173" spans="1:42" x14ac:dyDescent="0.25">
      <c r="A173" s="50">
        <v>9040167</v>
      </c>
      <c r="B173" t="s">
        <v>3351</v>
      </c>
      <c r="R173">
        <v>7780</v>
      </c>
    </row>
    <row r="174" spans="1:42" x14ac:dyDescent="0.25">
      <c r="A174" s="50">
        <v>9054567</v>
      </c>
      <c r="B174" t="s">
        <v>3351</v>
      </c>
    </row>
    <row r="175" spans="1:42" x14ac:dyDescent="0.25">
      <c r="A175" s="50">
        <v>9083682</v>
      </c>
      <c r="B175" t="s">
        <v>3351</v>
      </c>
      <c r="T175">
        <v>4900</v>
      </c>
    </row>
    <row r="176" spans="1:42" x14ac:dyDescent="0.25">
      <c r="A176" s="50">
        <v>9102044</v>
      </c>
      <c r="B176" t="s">
        <v>3351</v>
      </c>
    </row>
    <row r="177" spans="1:33" x14ac:dyDescent="0.25">
      <c r="A177" s="50">
        <v>9119854</v>
      </c>
      <c r="B177" t="s">
        <v>3351</v>
      </c>
    </row>
    <row r="178" spans="1:33" x14ac:dyDescent="0.25">
      <c r="A178" s="50">
        <v>9125126</v>
      </c>
      <c r="B178" t="s">
        <v>3351</v>
      </c>
    </row>
    <row r="179" spans="1:33" x14ac:dyDescent="0.25">
      <c r="A179" s="50">
        <v>9174811</v>
      </c>
      <c r="B179" t="s">
        <v>3351</v>
      </c>
    </row>
    <row r="180" spans="1:33" x14ac:dyDescent="0.25">
      <c r="A180" s="50">
        <v>10002875</v>
      </c>
      <c r="B180" t="s">
        <v>3351</v>
      </c>
    </row>
    <row r="181" spans="1:33" x14ac:dyDescent="0.25">
      <c r="A181" s="50">
        <v>10023080</v>
      </c>
      <c r="B181" t="s">
        <v>3351</v>
      </c>
    </row>
    <row r="182" spans="1:33" x14ac:dyDescent="0.25">
      <c r="A182" s="50">
        <v>10025212</v>
      </c>
      <c r="B182" t="s">
        <v>3351</v>
      </c>
    </row>
    <row r="183" spans="1:33" x14ac:dyDescent="0.25">
      <c r="A183" s="50">
        <v>10069407</v>
      </c>
      <c r="B183" t="s">
        <v>3351</v>
      </c>
    </row>
    <row r="184" spans="1:33" x14ac:dyDescent="0.25">
      <c r="A184" s="50">
        <v>10071135</v>
      </c>
      <c r="B184" t="s">
        <v>3351</v>
      </c>
      <c r="AG184">
        <v>6200</v>
      </c>
    </row>
    <row r="185" spans="1:33" x14ac:dyDescent="0.25">
      <c r="A185" s="50">
        <v>10083649</v>
      </c>
      <c r="B185" t="s">
        <v>3351</v>
      </c>
    </row>
    <row r="186" spans="1:33" x14ac:dyDescent="0.25">
      <c r="A186" s="50">
        <v>10102021</v>
      </c>
      <c r="B186" t="s">
        <v>3351</v>
      </c>
    </row>
    <row r="187" spans="1:33" x14ac:dyDescent="0.25">
      <c r="A187" s="50">
        <v>10123729</v>
      </c>
      <c r="B187" t="s">
        <v>3351</v>
      </c>
    </row>
    <row r="188" spans="1:33" x14ac:dyDescent="0.25">
      <c r="A188" s="50">
        <v>10144736</v>
      </c>
      <c r="B188" t="s">
        <v>3351</v>
      </c>
    </row>
    <row r="189" spans="1:33" x14ac:dyDescent="0.25">
      <c r="A189" s="50">
        <v>10157275</v>
      </c>
      <c r="B189" t="s">
        <v>3351</v>
      </c>
    </row>
    <row r="190" spans="1:33" x14ac:dyDescent="0.25">
      <c r="A190" s="54"/>
      <c r="B190" s="65"/>
    </row>
    <row r="191" spans="1:33" x14ac:dyDescent="0.25">
      <c r="A191" s="52" t="s">
        <v>120</v>
      </c>
      <c r="B191" s="10"/>
    </row>
    <row r="192" spans="1:33" x14ac:dyDescent="0.25">
      <c r="A192" s="50">
        <v>5281</v>
      </c>
      <c r="B192" t="s">
        <v>3352</v>
      </c>
    </row>
    <row r="193" spans="1:32" x14ac:dyDescent="0.25">
      <c r="A193" s="50">
        <v>200085</v>
      </c>
      <c r="B193" t="s">
        <v>3352</v>
      </c>
    </row>
    <row r="194" spans="1:32" x14ac:dyDescent="0.25">
      <c r="A194" s="50">
        <v>500129</v>
      </c>
      <c r="B194" t="s">
        <v>3352</v>
      </c>
    </row>
    <row r="195" spans="1:32" x14ac:dyDescent="0.25">
      <c r="A195" s="53">
        <v>1002033</v>
      </c>
      <c r="B195" t="s">
        <v>3352</v>
      </c>
    </row>
    <row r="196" spans="1:32" x14ac:dyDescent="0.25">
      <c r="A196" s="50">
        <v>1003457</v>
      </c>
      <c r="B196" t="s">
        <v>3352</v>
      </c>
    </row>
    <row r="197" spans="1:32" x14ac:dyDescent="0.25">
      <c r="A197" s="50">
        <v>2005223</v>
      </c>
      <c r="B197" t="s">
        <v>3352</v>
      </c>
      <c r="U197">
        <v>12700</v>
      </c>
    </row>
    <row r="198" spans="1:32" x14ac:dyDescent="0.25">
      <c r="A198" s="50">
        <v>2006107</v>
      </c>
      <c r="B198" t="s">
        <v>3352</v>
      </c>
    </row>
    <row r="199" spans="1:32" x14ac:dyDescent="0.25">
      <c r="A199" s="50">
        <v>2012014</v>
      </c>
      <c r="B199" t="s">
        <v>3352</v>
      </c>
      <c r="J199">
        <v>8800</v>
      </c>
      <c r="W199">
        <v>62400</v>
      </c>
      <c r="X199">
        <v>40500</v>
      </c>
    </row>
    <row r="200" spans="1:32" x14ac:dyDescent="0.25">
      <c r="A200" s="50">
        <v>3000152</v>
      </c>
      <c r="B200" t="s">
        <v>3352</v>
      </c>
    </row>
    <row r="201" spans="1:32" x14ac:dyDescent="0.25">
      <c r="A201" s="50">
        <v>3014566</v>
      </c>
      <c r="B201" t="s">
        <v>3352</v>
      </c>
    </row>
    <row r="202" spans="1:32" x14ac:dyDescent="0.25">
      <c r="A202" s="50">
        <v>3015058</v>
      </c>
      <c r="B202" t="s">
        <v>3352</v>
      </c>
      <c r="J202">
        <v>7100</v>
      </c>
      <c r="L202" s="14">
        <v>13300</v>
      </c>
      <c r="M202">
        <v>11300</v>
      </c>
      <c r="O202">
        <v>10200</v>
      </c>
      <c r="V202">
        <v>11500</v>
      </c>
      <c r="W202">
        <v>13300</v>
      </c>
      <c r="AA202">
        <v>8200</v>
      </c>
      <c r="AC202">
        <v>11000</v>
      </c>
    </row>
    <row r="203" spans="1:32" x14ac:dyDescent="0.25">
      <c r="A203" s="53">
        <v>4000996</v>
      </c>
      <c r="B203" t="s">
        <v>3352</v>
      </c>
      <c r="V203">
        <v>3500</v>
      </c>
      <c r="W203">
        <v>3500</v>
      </c>
      <c r="AE203">
        <v>5100</v>
      </c>
    </row>
    <row r="204" spans="1:32" x14ac:dyDescent="0.25">
      <c r="A204" s="50">
        <v>4003768</v>
      </c>
      <c r="B204" t="s">
        <v>3352</v>
      </c>
    </row>
    <row r="205" spans="1:32" x14ac:dyDescent="0.25">
      <c r="A205" s="50">
        <v>4006540</v>
      </c>
      <c r="B205" t="s">
        <v>3352</v>
      </c>
      <c r="AE205">
        <v>9400</v>
      </c>
      <c r="AF205">
        <v>10000</v>
      </c>
    </row>
    <row r="206" spans="1:32" x14ac:dyDescent="0.25">
      <c r="A206" s="50">
        <v>4007054</v>
      </c>
      <c r="B206" t="s">
        <v>3352</v>
      </c>
      <c r="Y206">
        <v>8300</v>
      </c>
    </row>
    <row r="207" spans="1:32" x14ac:dyDescent="0.25">
      <c r="A207" s="50">
        <v>4011002</v>
      </c>
      <c r="B207" t="s">
        <v>3352</v>
      </c>
      <c r="U207">
        <v>4200</v>
      </c>
      <c r="V207">
        <v>4000</v>
      </c>
      <c r="Z207">
        <v>3800</v>
      </c>
      <c r="AC207">
        <v>4100</v>
      </c>
    </row>
    <row r="208" spans="1:32" x14ac:dyDescent="0.25">
      <c r="A208" s="50">
        <v>4900268</v>
      </c>
      <c r="B208" t="s">
        <v>3352</v>
      </c>
      <c r="W208">
        <v>4612</v>
      </c>
    </row>
    <row r="209" spans="1:29" x14ac:dyDescent="0.25">
      <c r="A209" s="50">
        <v>5001097</v>
      </c>
      <c r="B209" t="s">
        <v>3352</v>
      </c>
      <c r="M209">
        <v>12600</v>
      </c>
      <c r="O209">
        <v>11500</v>
      </c>
      <c r="U209">
        <v>12400</v>
      </c>
      <c r="AC209">
        <v>12600</v>
      </c>
    </row>
    <row r="210" spans="1:29" x14ac:dyDescent="0.25">
      <c r="A210" s="50">
        <v>5001098</v>
      </c>
      <c r="B210" t="s">
        <v>3352</v>
      </c>
      <c r="I210">
        <v>18400</v>
      </c>
      <c r="L210">
        <v>13600</v>
      </c>
      <c r="M210">
        <v>15900</v>
      </c>
    </row>
    <row r="211" spans="1:29" x14ac:dyDescent="0.25">
      <c r="A211" s="50">
        <v>5006152</v>
      </c>
      <c r="B211" t="s">
        <v>3352</v>
      </c>
      <c r="R211">
        <v>16950</v>
      </c>
      <c r="V211">
        <v>16450</v>
      </c>
    </row>
    <row r="212" spans="1:29" x14ac:dyDescent="0.25">
      <c r="A212" s="50">
        <v>6012361</v>
      </c>
      <c r="B212" t="s">
        <v>3352</v>
      </c>
      <c r="T212">
        <v>28000</v>
      </c>
    </row>
    <row r="213" spans="1:29" x14ac:dyDescent="0.25">
      <c r="A213" s="50">
        <v>6015793</v>
      </c>
      <c r="B213" t="s">
        <v>3352</v>
      </c>
      <c r="S213">
        <v>8000</v>
      </c>
      <c r="U213">
        <v>7200</v>
      </c>
      <c r="V213">
        <v>6500</v>
      </c>
      <c r="W213">
        <v>3610</v>
      </c>
      <c r="X213">
        <v>3550</v>
      </c>
      <c r="Y213">
        <v>6400</v>
      </c>
    </row>
    <row r="214" spans="1:29" x14ac:dyDescent="0.25">
      <c r="A214" s="50">
        <v>6043619</v>
      </c>
      <c r="B214" t="s">
        <v>3352</v>
      </c>
    </row>
    <row r="215" spans="1:29" x14ac:dyDescent="0.25">
      <c r="A215" s="50">
        <v>7001097</v>
      </c>
      <c r="B215" t="s">
        <v>3352</v>
      </c>
    </row>
    <row r="216" spans="1:29" x14ac:dyDescent="0.25">
      <c r="A216" s="50">
        <v>7011435</v>
      </c>
      <c r="B216" t="s">
        <v>3352</v>
      </c>
      <c r="U216">
        <v>3880</v>
      </c>
      <c r="W216">
        <v>4350</v>
      </c>
      <c r="AA216">
        <v>5910</v>
      </c>
    </row>
    <row r="217" spans="1:29" x14ac:dyDescent="0.25">
      <c r="A217" s="50">
        <v>7045811</v>
      </c>
      <c r="B217" t="s">
        <v>3352</v>
      </c>
    </row>
    <row r="218" spans="1:29" x14ac:dyDescent="0.25">
      <c r="A218" s="50">
        <v>7071198</v>
      </c>
      <c r="B218" t="s">
        <v>3352</v>
      </c>
      <c r="C218">
        <v>6800</v>
      </c>
      <c r="Y218">
        <v>8000</v>
      </c>
    </row>
    <row r="219" spans="1:29" x14ac:dyDescent="0.25">
      <c r="A219" s="50">
        <v>7101143</v>
      </c>
      <c r="B219" t="s">
        <v>3352</v>
      </c>
    </row>
    <row r="220" spans="1:29" x14ac:dyDescent="0.25">
      <c r="A220" s="50">
        <v>8073350</v>
      </c>
      <c r="B220" t="s">
        <v>3352</v>
      </c>
    </row>
    <row r="221" spans="1:29" x14ac:dyDescent="0.25">
      <c r="A221" s="50">
        <v>8073645</v>
      </c>
      <c r="B221" t="s">
        <v>3352</v>
      </c>
      <c r="U221" s="50"/>
    </row>
    <row r="222" spans="1:29" x14ac:dyDescent="0.25">
      <c r="A222" s="53">
        <v>8089666</v>
      </c>
      <c r="B222" t="s">
        <v>3352</v>
      </c>
      <c r="Q222">
        <v>7330</v>
      </c>
      <c r="R222" s="14">
        <v>6700</v>
      </c>
      <c r="S222">
        <v>12100</v>
      </c>
      <c r="U222" s="14">
        <v>167500</v>
      </c>
      <c r="V222">
        <v>22500</v>
      </c>
    </row>
    <row r="223" spans="1:29" x14ac:dyDescent="0.25">
      <c r="A223" s="50">
        <v>8103536</v>
      </c>
      <c r="B223" t="s">
        <v>3352</v>
      </c>
      <c r="T223">
        <v>5300</v>
      </c>
      <c r="U223" s="50"/>
    </row>
    <row r="224" spans="1:29" x14ac:dyDescent="0.25">
      <c r="A224" s="50">
        <v>8124816</v>
      </c>
      <c r="B224" t="s">
        <v>3352</v>
      </c>
    </row>
    <row r="225" spans="1:32" x14ac:dyDescent="0.25">
      <c r="A225" s="50">
        <v>9003267</v>
      </c>
      <c r="B225" t="s">
        <v>3352</v>
      </c>
      <c r="V225">
        <v>6500</v>
      </c>
      <c r="Z225">
        <v>13100</v>
      </c>
      <c r="AB225">
        <v>16000</v>
      </c>
      <c r="AD225">
        <v>15700</v>
      </c>
      <c r="AF225">
        <v>11800</v>
      </c>
    </row>
    <row r="226" spans="1:32" x14ac:dyDescent="0.25">
      <c r="A226" s="50">
        <v>9036964</v>
      </c>
      <c r="B226" t="s">
        <v>3352</v>
      </c>
    </row>
    <row r="227" spans="1:32" x14ac:dyDescent="0.25">
      <c r="A227" s="50">
        <v>9090287</v>
      </c>
      <c r="B227" t="s">
        <v>3352</v>
      </c>
      <c r="W227">
        <v>7090</v>
      </c>
    </row>
    <row r="228" spans="1:32" x14ac:dyDescent="0.25">
      <c r="A228" s="50">
        <v>9095148</v>
      </c>
      <c r="B228" t="s">
        <v>3352</v>
      </c>
      <c r="D228">
        <v>26600</v>
      </c>
      <c r="G228">
        <v>14100</v>
      </c>
      <c r="K228">
        <v>2490</v>
      </c>
      <c r="V228">
        <v>3610</v>
      </c>
      <c r="W228">
        <v>3160</v>
      </c>
      <c r="X228">
        <v>3550</v>
      </c>
      <c r="Y228">
        <v>7330</v>
      </c>
    </row>
    <row r="229" spans="1:32" x14ac:dyDescent="0.25">
      <c r="A229" s="50">
        <v>9104979</v>
      </c>
      <c r="B229" t="s">
        <v>3352</v>
      </c>
    </row>
    <row r="230" spans="1:32" x14ac:dyDescent="0.25">
      <c r="A230" s="50">
        <v>9139514</v>
      </c>
      <c r="B230" t="s">
        <v>3352</v>
      </c>
    </row>
    <row r="231" spans="1:32" x14ac:dyDescent="0.25">
      <c r="A231" s="50">
        <v>10020659</v>
      </c>
      <c r="B231" t="s">
        <v>3352</v>
      </c>
      <c r="U231">
        <v>3800</v>
      </c>
    </row>
    <row r="232" spans="1:32" x14ac:dyDescent="0.25">
      <c r="A232" s="50">
        <v>10025902</v>
      </c>
      <c r="B232" t="s">
        <v>3352</v>
      </c>
      <c r="U232">
        <v>11700</v>
      </c>
    </row>
    <row r="233" spans="1:32" x14ac:dyDescent="0.25">
      <c r="A233" s="50">
        <v>10027654</v>
      </c>
      <c r="B233" t="s">
        <v>3352</v>
      </c>
    </row>
    <row r="234" spans="1:32" x14ac:dyDescent="0.25">
      <c r="A234" s="50">
        <v>10084485</v>
      </c>
      <c r="B234" t="s">
        <v>3352</v>
      </c>
    </row>
    <row r="235" spans="1:32" x14ac:dyDescent="0.25">
      <c r="A235" s="50">
        <v>10098420</v>
      </c>
      <c r="B235" t="s">
        <v>3352</v>
      </c>
    </row>
    <row r="236" spans="1:32" x14ac:dyDescent="0.25">
      <c r="A236" s="50">
        <v>10129565</v>
      </c>
      <c r="B236" t="s">
        <v>3352</v>
      </c>
    </row>
    <row r="237" spans="1:32" x14ac:dyDescent="0.25">
      <c r="A237" s="50">
        <v>10146828</v>
      </c>
      <c r="B237" t="s">
        <v>3352</v>
      </c>
    </row>
    <row r="238" spans="1:32" x14ac:dyDescent="0.25">
      <c r="A238">
        <v>10163776</v>
      </c>
      <c r="B238" t="s">
        <v>3352</v>
      </c>
    </row>
    <row r="239" spans="1:32" x14ac:dyDescent="0.25">
      <c r="A239">
        <v>10173664</v>
      </c>
      <c r="B239" t="s">
        <v>3352</v>
      </c>
      <c r="X239">
        <v>6490</v>
      </c>
      <c r="AE239">
        <v>6000</v>
      </c>
    </row>
  </sheetData>
  <conditionalFormatting sqref="A19">
    <cfRule type="duplicateValues" dxfId="30" priority="1"/>
  </conditionalFormatting>
  <pageMargins left="0.7" right="0.7" top="0.78740157499999996" bottom="0.78740157499999996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7"/>
  <sheetViews>
    <sheetView zoomScale="85" zoomScaleNormal="85" workbookViewId="0">
      <selection activeCell="G9" sqref="G9"/>
    </sheetView>
  </sheetViews>
  <sheetFormatPr defaultColWidth="11.42578125" defaultRowHeight="15" x14ac:dyDescent="0.25"/>
  <cols>
    <col min="1" max="1" width="17.28515625" bestFit="1" customWidth="1"/>
    <col min="2" max="2" width="13.42578125" bestFit="1" customWidth="1"/>
    <col min="3" max="3" width="82.140625" customWidth="1"/>
    <col min="4" max="4" width="30.28515625" bestFit="1" customWidth="1"/>
    <col min="5" max="5" width="12.5703125" bestFit="1" customWidth="1"/>
  </cols>
  <sheetData>
    <row r="1" spans="1:5" x14ac:dyDescent="0.25">
      <c r="A1" s="66" t="s">
        <v>59</v>
      </c>
      <c r="B1" s="66" t="s">
        <v>2642</v>
      </c>
      <c r="C1" s="66" t="s">
        <v>2564</v>
      </c>
      <c r="D1" s="66" t="s">
        <v>2523</v>
      </c>
      <c r="E1" s="66" t="s">
        <v>3346</v>
      </c>
    </row>
    <row r="2" spans="1:5" x14ac:dyDescent="0.25">
      <c r="A2" s="66">
        <v>7072184</v>
      </c>
      <c r="B2" s="66" t="s">
        <v>2642</v>
      </c>
      <c r="C2" s="66" t="s">
        <v>1356</v>
      </c>
      <c r="D2" s="66">
        <v>1</v>
      </c>
      <c r="E2" s="66" t="s">
        <v>3398</v>
      </c>
    </row>
    <row r="3" spans="1:5" x14ac:dyDescent="0.25">
      <c r="A3" s="66">
        <v>9108231</v>
      </c>
      <c r="B3" s="66" t="s">
        <v>2642</v>
      </c>
      <c r="C3" s="66" t="s">
        <v>1356</v>
      </c>
      <c r="D3" s="66">
        <v>1</v>
      </c>
      <c r="E3" s="66" t="s">
        <v>3398</v>
      </c>
    </row>
    <row r="4" spans="1:5" x14ac:dyDescent="0.25">
      <c r="A4" s="66">
        <v>1502</v>
      </c>
      <c r="B4" s="66" t="s">
        <v>2642</v>
      </c>
      <c r="C4" s="66" t="s">
        <v>2643</v>
      </c>
      <c r="D4" s="66">
        <v>2</v>
      </c>
      <c r="E4" s="66" t="s">
        <v>3398</v>
      </c>
    </row>
    <row r="5" spans="1:5" x14ac:dyDescent="0.25">
      <c r="A5" s="66">
        <v>14242856</v>
      </c>
      <c r="B5" s="66" t="s">
        <v>2642</v>
      </c>
      <c r="C5" s="66" t="s">
        <v>1356</v>
      </c>
      <c r="D5" s="66">
        <v>1</v>
      </c>
      <c r="E5" s="66" t="s">
        <v>3399</v>
      </c>
    </row>
    <row r="6" spans="1:5" x14ac:dyDescent="0.25">
      <c r="A6" s="66">
        <v>99001183</v>
      </c>
      <c r="B6" s="66" t="s">
        <v>2642</v>
      </c>
      <c r="C6" s="66" t="s">
        <v>117</v>
      </c>
      <c r="D6" s="66">
        <v>1</v>
      </c>
      <c r="E6" s="66" t="s">
        <v>3399</v>
      </c>
    </row>
    <row r="7" spans="1:5" x14ac:dyDescent="0.25">
      <c r="A7" s="66">
        <v>3000983</v>
      </c>
      <c r="B7" s="66" t="s">
        <v>2642</v>
      </c>
      <c r="C7" s="66" t="s">
        <v>2644</v>
      </c>
      <c r="D7" s="66">
        <v>3</v>
      </c>
      <c r="E7" s="66" t="s">
        <v>3399</v>
      </c>
    </row>
    <row r="8" spans="1:5" x14ac:dyDescent="0.25">
      <c r="A8" s="66">
        <v>1480</v>
      </c>
      <c r="B8" s="66" t="s">
        <v>2642</v>
      </c>
      <c r="C8" s="66" t="s">
        <v>12</v>
      </c>
      <c r="D8" s="66">
        <v>1</v>
      </c>
      <c r="E8" s="66" t="s">
        <v>3400</v>
      </c>
    </row>
    <row r="9" spans="1:5" x14ac:dyDescent="0.25">
      <c r="A9" s="66">
        <v>1003215</v>
      </c>
      <c r="B9" s="66" t="s">
        <v>2642</v>
      </c>
      <c r="C9" s="66" t="s">
        <v>1356</v>
      </c>
      <c r="D9" s="66">
        <v>1</v>
      </c>
      <c r="E9" s="66" t="s">
        <v>3400</v>
      </c>
    </row>
    <row r="10" spans="1:5" x14ac:dyDescent="0.25">
      <c r="A10" s="66">
        <v>99000802</v>
      </c>
      <c r="B10" s="66" t="s">
        <v>2642</v>
      </c>
      <c r="C10" s="66" t="s">
        <v>9</v>
      </c>
      <c r="D10" s="66">
        <v>1</v>
      </c>
      <c r="E10" s="66" t="s">
        <v>3400</v>
      </c>
    </row>
    <row r="11" spans="1:5" x14ac:dyDescent="0.25">
      <c r="A11" s="66">
        <v>1000192</v>
      </c>
      <c r="B11" s="66" t="s">
        <v>2642</v>
      </c>
      <c r="C11" s="66" t="s">
        <v>2645</v>
      </c>
      <c r="D11" s="66">
        <v>2</v>
      </c>
      <c r="E11" s="66" t="s">
        <v>3400</v>
      </c>
    </row>
    <row r="12" spans="1:5" x14ac:dyDescent="0.25">
      <c r="A12" s="66">
        <v>1506</v>
      </c>
      <c r="B12" s="66" t="s">
        <v>2642</v>
      </c>
      <c r="C12" s="66" t="s">
        <v>1357</v>
      </c>
      <c r="D12" s="66">
        <v>1</v>
      </c>
      <c r="E12" s="66" t="s">
        <v>3400</v>
      </c>
    </row>
    <row r="13" spans="1:5" x14ac:dyDescent="0.25">
      <c r="A13" s="66">
        <v>99000894</v>
      </c>
      <c r="B13" s="66" t="s">
        <v>2642</v>
      </c>
      <c r="C13" s="66" t="s">
        <v>116</v>
      </c>
      <c r="D13" s="66">
        <v>1</v>
      </c>
      <c r="E13" s="66" t="s">
        <v>3400</v>
      </c>
    </row>
    <row r="14" spans="1:5" x14ac:dyDescent="0.25">
      <c r="A14" s="66">
        <v>99000897</v>
      </c>
      <c r="B14" s="66" t="s">
        <v>2642</v>
      </c>
      <c r="C14" s="66" t="s">
        <v>1360</v>
      </c>
      <c r="D14" s="66">
        <v>1</v>
      </c>
      <c r="E14" s="66" t="s">
        <v>3400</v>
      </c>
    </row>
    <row r="15" spans="1:5" x14ac:dyDescent="0.25">
      <c r="A15" s="66">
        <v>99001902</v>
      </c>
      <c r="B15" s="66" t="s">
        <v>2642</v>
      </c>
      <c r="C15" s="66" t="s">
        <v>1357</v>
      </c>
      <c r="D15" s="66">
        <v>1</v>
      </c>
      <c r="E15" s="66" t="s">
        <v>3400</v>
      </c>
    </row>
    <row r="16" spans="1:5" x14ac:dyDescent="0.25">
      <c r="A16" s="66">
        <v>99001912</v>
      </c>
      <c r="B16" s="66" t="s">
        <v>2642</v>
      </c>
      <c r="C16" s="66" t="s">
        <v>1357</v>
      </c>
      <c r="D16" s="66">
        <v>1</v>
      </c>
      <c r="E16" s="66" t="s">
        <v>3400</v>
      </c>
    </row>
    <row r="17" spans="1:5" x14ac:dyDescent="0.25">
      <c r="A17" s="66">
        <v>99001943</v>
      </c>
      <c r="B17" s="66" t="s">
        <v>2642</v>
      </c>
      <c r="C17" s="66" t="s">
        <v>2646</v>
      </c>
      <c r="D17" s="66">
        <v>2</v>
      </c>
      <c r="E17" s="66" t="s">
        <v>3400</v>
      </c>
    </row>
    <row r="18" spans="1:5" x14ac:dyDescent="0.25">
      <c r="A18" s="66">
        <v>99001927</v>
      </c>
      <c r="B18" s="66" t="s">
        <v>2642</v>
      </c>
      <c r="C18" s="66" t="s">
        <v>1356</v>
      </c>
      <c r="D18" s="66">
        <v>1</v>
      </c>
      <c r="E18" s="66" t="s">
        <v>3400</v>
      </c>
    </row>
    <row r="19" spans="1:5" x14ac:dyDescent="0.25">
      <c r="A19" s="66">
        <v>1505</v>
      </c>
      <c r="B19" s="66" t="s">
        <v>2642</v>
      </c>
      <c r="C19" s="66" t="s">
        <v>2647</v>
      </c>
      <c r="D19" s="66">
        <v>2</v>
      </c>
      <c r="E19" s="66" t="s">
        <v>3400</v>
      </c>
    </row>
    <row r="20" spans="1:5" x14ac:dyDescent="0.25">
      <c r="A20" s="66">
        <v>1000197</v>
      </c>
      <c r="B20" s="66" t="s">
        <v>2642</v>
      </c>
      <c r="C20" s="66" t="s">
        <v>2648</v>
      </c>
      <c r="D20" s="66">
        <v>2</v>
      </c>
      <c r="E20" s="66" t="s">
        <v>3400</v>
      </c>
    </row>
    <row r="21" spans="1:5" x14ac:dyDescent="0.25">
      <c r="A21" s="66">
        <v>96018835</v>
      </c>
      <c r="B21" s="66" t="s">
        <v>2642</v>
      </c>
      <c r="C21" s="66" t="s">
        <v>2649</v>
      </c>
      <c r="D21" s="66">
        <v>9</v>
      </c>
      <c r="E21" s="66" t="s">
        <v>3400</v>
      </c>
    </row>
    <row r="22" spans="1:5" x14ac:dyDescent="0.25">
      <c r="A22" s="66">
        <v>98008326</v>
      </c>
      <c r="B22" s="66" t="s">
        <v>2642</v>
      </c>
      <c r="C22" s="66" t="s">
        <v>2650</v>
      </c>
      <c r="D22" s="66">
        <v>2</v>
      </c>
      <c r="E22" s="66" t="s">
        <v>3400</v>
      </c>
    </row>
    <row r="23" spans="1:5" x14ac:dyDescent="0.25">
      <c r="A23" s="66">
        <v>99000717</v>
      </c>
      <c r="B23" s="66" t="s">
        <v>2642</v>
      </c>
      <c r="C23" s="66" t="s">
        <v>2651</v>
      </c>
      <c r="D23" s="66">
        <v>2</v>
      </c>
      <c r="E23" s="66" t="s">
        <v>3400</v>
      </c>
    </row>
    <row r="24" spans="1:5" x14ac:dyDescent="0.25">
      <c r="A24" s="66">
        <v>6016435</v>
      </c>
      <c r="B24" s="66" t="s">
        <v>2642</v>
      </c>
      <c r="C24" s="66" t="s">
        <v>9</v>
      </c>
      <c r="D24" s="66">
        <v>1</v>
      </c>
      <c r="E24" s="66" t="s">
        <v>3347</v>
      </c>
    </row>
    <row r="25" spans="1:5" x14ac:dyDescent="0.25">
      <c r="A25" s="66">
        <v>8045149</v>
      </c>
      <c r="B25" s="66" t="s">
        <v>2642</v>
      </c>
      <c r="C25" s="66" t="s">
        <v>1356</v>
      </c>
      <c r="D25" s="66">
        <v>1</v>
      </c>
      <c r="E25" s="66" t="s">
        <v>3347</v>
      </c>
    </row>
    <row r="26" spans="1:5" x14ac:dyDescent="0.25">
      <c r="A26" s="66">
        <v>10023001</v>
      </c>
      <c r="B26" s="66" t="s">
        <v>2642</v>
      </c>
      <c r="C26" s="66" t="s">
        <v>1356</v>
      </c>
      <c r="D26" s="66">
        <v>1</v>
      </c>
      <c r="E26" s="66" t="s">
        <v>3347</v>
      </c>
    </row>
    <row r="27" spans="1:5" x14ac:dyDescent="0.25">
      <c r="A27" s="66">
        <v>10027526</v>
      </c>
      <c r="B27" s="66" t="s">
        <v>2642</v>
      </c>
      <c r="C27" s="66" t="s">
        <v>1247</v>
      </c>
      <c r="D27" s="66">
        <v>1</v>
      </c>
      <c r="E27" s="66" t="s">
        <v>3347</v>
      </c>
    </row>
    <row r="28" spans="1:5" x14ac:dyDescent="0.25">
      <c r="A28" s="66">
        <v>1006143</v>
      </c>
      <c r="B28" s="66" t="s">
        <v>2642</v>
      </c>
      <c r="C28" s="66" t="s">
        <v>1356</v>
      </c>
      <c r="D28" s="66">
        <v>1</v>
      </c>
      <c r="E28" s="66" t="s">
        <v>3347</v>
      </c>
    </row>
    <row r="29" spans="1:5" x14ac:dyDescent="0.25">
      <c r="A29" s="66">
        <v>6006917</v>
      </c>
      <c r="B29" s="66" t="s">
        <v>2642</v>
      </c>
      <c r="C29" s="66" t="s">
        <v>1356</v>
      </c>
      <c r="D29" s="66">
        <v>1</v>
      </c>
      <c r="E29" s="66" t="s">
        <v>3347</v>
      </c>
    </row>
    <row r="30" spans="1:5" x14ac:dyDescent="0.25">
      <c r="A30" s="66">
        <v>8057159</v>
      </c>
      <c r="B30" s="66" t="s">
        <v>2642</v>
      </c>
      <c r="C30" s="66" t="s">
        <v>2652</v>
      </c>
      <c r="D30" s="66">
        <v>3</v>
      </c>
      <c r="E30" s="66" t="s">
        <v>3348</v>
      </c>
    </row>
    <row r="31" spans="1:5" x14ac:dyDescent="0.25">
      <c r="A31" s="66">
        <v>9140312</v>
      </c>
      <c r="B31" s="66" t="s">
        <v>2642</v>
      </c>
      <c r="C31" s="66" t="s">
        <v>1357</v>
      </c>
      <c r="D31" s="66">
        <v>1</v>
      </c>
      <c r="E31" s="66" t="s">
        <v>3348</v>
      </c>
    </row>
    <row r="32" spans="1:5" x14ac:dyDescent="0.25">
      <c r="A32" s="66">
        <v>12088444</v>
      </c>
      <c r="B32" s="66" t="s">
        <v>2642</v>
      </c>
      <c r="C32" s="66" t="s">
        <v>2653</v>
      </c>
      <c r="D32" s="66">
        <v>4</v>
      </c>
      <c r="E32" s="66" t="s">
        <v>3348</v>
      </c>
    </row>
    <row r="33" spans="1:5" x14ac:dyDescent="0.25">
      <c r="A33" s="66">
        <v>13118872</v>
      </c>
      <c r="B33" s="66" t="s">
        <v>2642</v>
      </c>
      <c r="C33" s="66" t="s">
        <v>11</v>
      </c>
      <c r="D33" s="66">
        <v>1</v>
      </c>
      <c r="E33" s="66" t="s">
        <v>3348</v>
      </c>
    </row>
    <row r="34" spans="1:5" x14ac:dyDescent="0.25">
      <c r="A34" s="66" t="s">
        <v>120</v>
      </c>
      <c r="B34" s="66" t="s">
        <v>2642</v>
      </c>
      <c r="C34" s="66" t="s">
        <v>11</v>
      </c>
      <c r="D34" s="66">
        <v>1</v>
      </c>
      <c r="E34" s="66"/>
    </row>
    <row r="35" spans="1:5" x14ac:dyDescent="0.25">
      <c r="A35" s="66">
        <v>9074418</v>
      </c>
      <c r="B35" s="66" t="s">
        <v>2642</v>
      </c>
      <c r="C35" s="66" t="s">
        <v>1357</v>
      </c>
      <c r="D35" s="66">
        <v>1</v>
      </c>
      <c r="E35" s="66" t="s">
        <v>3349</v>
      </c>
    </row>
    <row r="36" spans="1:5" x14ac:dyDescent="0.25">
      <c r="A36" s="66">
        <v>7103068</v>
      </c>
      <c r="B36" s="66" t="s">
        <v>2642</v>
      </c>
      <c r="C36" s="66" t="s">
        <v>2654</v>
      </c>
      <c r="D36" s="66">
        <v>3</v>
      </c>
      <c r="E36" s="66" t="s">
        <v>3349</v>
      </c>
    </row>
    <row r="37" spans="1:5" x14ac:dyDescent="0.25">
      <c r="A37" s="66">
        <v>5015869</v>
      </c>
      <c r="B37" s="66" t="s">
        <v>2642</v>
      </c>
      <c r="C37" s="66" t="s">
        <v>10</v>
      </c>
      <c r="D37" s="66">
        <v>1</v>
      </c>
      <c r="E37" s="66" t="s">
        <v>3350</v>
      </c>
    </row>
    <row r="38" spans="1:5" x14ac:dyDescent="0.25">
      <c r="A38" s="66">
        <v>6023231</v>
      </c>
      <c r="B38" s="66" t="s">
        <v>2642</v>
      </c>
      <c r="C38" s="66" t="s">
        <v>1356</v>
      </c>
      <c r="D38" s="66">
        <v>1</v>
      </c>
      <c r="E38" s="66" t="s">
        <v>3350</v>
      </c>
    </row>
    <row r="39" spans="1:5" x14ac:dyDescent="0.25">
      <c r="A39" s="66">
        <v>6011198</v>
      </c>
      <c r="B39" s="66" t="s">
        <v>2642</v>
      </c>
      <c r="C39" s="66" t="s">
        <v>1356</v>
      </c>
      <c r="D39" s="66">
        <v>1</v>
      </c>
      <c r="E39" s="66" t="s">
        <v>3350</v>
      </c>
    </row>
    <row r="40" spans="1:5" x14ac:dyDescent="0.25">
      <c r="A40" s="66">
        <v>6012681</v>
      </c>
      <c r="B40" s="66" t="s">
        <v>2642</v>
      </c>
      <c r="C40" s="66" t="s">
        <v>9</v>
      </c>
      <c r="D40" s="66">
        <v>1</v>
      </c>
      <c r="E40" s="66" t="s">
        <v>3350</v>
      </c>
    </row>
    <row r="41" spans="1:5" x14ac:dyDescent="0.25">
      <c r="A41" s="66">
        <v>6014511</v>
      </c>
      <c r="B41" s="66" t="s">
        <v>2642</v>
      </c>
      <c r="C41" s="66" t="s">
        <v>10</v>
      </c>
      <c r="D41" s="66">
        <v>1</v>
      </c>
      <c r="E41" s="66" t="s">
        <v>3350</v>
      </c>
    </row>
    <row r="42" spans="1:5" x14ac:dyDescent="0.25">
      <c r="A42" s="66">
        <v>7076814</v>
      </c>
      <c r="B42" s="66" t="s">
        <v>2642</v>
      </c>
      <c r="C42" s="66" t="s">
        <v>9</v>
      </c>
      <c r="D42" s="66">
        <v>1</v>
      </c>
      <c r="E42" s="66" t="s">
        <v>3350</v>
      </c>
    </row>
    <row r="43" spans="1:5" x14ac:dyDescent="0.25">
      <c r="A43" s="66">
        <v>7076815</v>
      </c>
      <c r="B43" s="66" t="s">
        <v>2642</v>
      </c>
      <c r="C43" s="66" t="s">
        <v>1247</v>
      </c>
      <c r="D43" s="66">
        <v>1</v>
      </c>
      <c r="E43" s="66" t="s">
        <v>3350</v>
      </c>
    </row>
    <row r="44" spans="1:5" x14ac:dyDescent="0.25">
      <c r="A44" s="66">
        <v>7089231</v>
      </c>
      <c r="B44" s="66" t="s">
        <v>2642</v>
      </c>
      <c r="C44" s="66" t="s">
        <v>1356</v>
      </c>
      <c r="D44" s="66">
        <v>1</v>
      </c>
      <c r="E44" s="66" t="s">
        <v>3350</v>
      </c>
    </row>
    <row r="45" spans="1:5" x14ac:dyDescent="0.25">
      <c r="A45" s="66">
        <v>9003370</v>
      </c>
      <c r="B45" s="66" t="s">
        <v>2642</v>
      </c>
      <c r="C45" s="66" t="s">
        <v>1247</v>
      </c>
      <c r="D45" s="66">
        <v>1</v>
      </c>
      <c r="E45" s="66" t="s">
        <v>3350</v>
      </c>
    </row>
    <row r="46" spans="1:5" x14ac:dyDescent="0.25">
      <c r="A46" s="66">
        <v>9016278</v>
      </c>
      <c r="B46" s="66" t="s">
        <v>2642</v>
      </c>
      <c r="C46" s="66" t="s">
        <v>2655</v>
      </c>
      <c r="D46" s="66">
        <v>2</v>
      </c>
      <c r="E46" s="66" t="s">
        <v>3350</v>
      </c>
    </row>
    <row r="47" spans="1:5" x14ac:dyDescent="0.25">
      <c r="A47" s="66">
        <v>9039416</v>
      </c>
      <c r="B47" s="66" t="s">
        <v>2642</v>
      </c>
      <c r="C47" s="66" t="s">
        <v>2656</v>
      </c>
      <c r="D47" s="66">
        <v>4</v>
      </c>
      <c r="E47" s="66" t="s">
        <v>3350</v>
      </c>
    </row>
    <row r="48" spans="1:5" x14ac:dyDescent="0.25">
      <c r="A48" s="66">
        <v>9044899</v>
      </c>
      <c r="B48" s="66" t="s">
        <v>2642</v>
      </c>
      <c r="C48" s="66" t="s">
        <v>2657</v>
      </c>
      <c r="D48" s="66">
        <v>5</v>
      </c>
      <c r="E48" s="66" t="s">
        <v>3350</v>
      </c>
    </row>
    <row r="49" spans="1:5" x14ac:dyDescent="0.25">
      <c r="A49" s="66">
        <v>9052398</v>
      </c>
      <c r="B49" s="66" t="s">
        <v>2642</v>
      </c>
      <c r="C49" s="66" t="s">
        <v>1247</v>
      </c>
      <c r="D49" s="66">
        <v>1</v>
      </c>
      <c r="E49" s="66" t="s">
        <v>3350</v>
      </c>
    </row>
    <row r="50" spans="1:5" x14ac:dyDescent="0.25">
      <c r="A50" s="66">
        <v>10010926</v>
      </c>
      <c r="B50" s="66" t="s">
        <v>2642</v>
      </c>
      <c r="C50" s="66" t="s">
        <v>2658</v>
      </c>
      <c r="D50" s="66">
        <v>3</v>
      </c>
      <c r="E50" s="66" t="s">
        <v>3350</v>
      </c>
    </row>
    <row r="51" spans="1:5" x14ac:dyDescent="0.25">
      <c r="A51" s="66">
        <v>324</v>
      </c>
      <c r="B51" s="66" t="s">
        <v>2642</v>
      </c>
      <c r="C51" s="66" t="s">
        <v>1247</v>
      </c>
      <c r="D51" s="66">
        <v>1</v>
      </c>
      <c r="E51" s="66" t="s">
        <v>3350</v>
      </c>
    </row>
    <row r="52" spans="1:5" x14ac:dyDescent="0.25">
      <c r="A52" s="66">
        <v>3909</v>
      </c>
      <c r="B52" s="66" t="s">
        <v>2642</v>
      </c>
      <c r="C52" s="66" t="s">
        <v>11</v>
      </c>
      <c r="D52" s="66">
        <v>1</v>
      </c>
      <c r="E52" s="66" t="s">
        <v>3350</v>
      </c>
    </row>
    <row r="53" spans="1:5" x14ac:dyDescent="0.25">
      <c r="A53" s="66">
        <v>1005522</v>
      </c>
      <c r="B53" s="66" t="s">
        <v>2642</v>
      </c>
      <c r="C53" s="66" t="s">
        <v>2659</v>
      </c>
      <c r="D53" s="66">
        <v>5</v>
      </c>
      <c r="E53" s="66" t="s">
        <v>3350</v>
      </c>
    </row>
    <row r="54" spans="1:5" x14ac:dyDescent="0.25">
      <c r="A54" s="66">
        <v>1007631</v>
      </c>
      <c r="B54" s="66" t="s">
        <v>2642</v>
      </c>
      <c r="C54" s="66" t="s">
        <v>9</v>
      </c>
      <c r="D54" s="66">
        <v>1</v>
      </c>
      <c r="E54" s="66" t="s">
        <v>3350</v>
      </c>
    </row>
    <row r="55" spans="1:5" x14ac:dyDescent="0.25">
      <c r="A55" s="66">
        <v>1009760</v>
      </c>
      <c r="B55" s="66" t="s">
        <v>2642</v>
      </c>
      <c r="C55" s="66" t="s">
        <v>2660</v>
      </c>
      <c r="D55" s="66">
        <v>4</v>
      </c>
      <c r="E55" s="66" t="s">
        <v>3350</v>
      </c>
    </row>
    <row r="56" spans="1:5" x14ac:dyDescent="0.25">
      <c r="A56" s="66">
        <v>2000646</v>
      </c>
      <c r="B56" s="66" t="s">
        <v>2642</v>
      </c>
      <c r="C56" s="66" t="s">
        <v>2661</v>
      </c>
      <c r="D56" s="66">
        <v>5</v>
      </c>
      <c r="E56" s="66" t="s">
        <v>3350</v>
      </c>
    </row>
    <row r="57" spans="1:5" x14ac:dyDescent="0.25">
      <c r="A57" s="66">
        <v>2004061</v>
      </c>
      <c r="B57" s="66" t="s">
        <v>2642</v>
      </c>
      <c r="C57" s="66" t="s">
        <v>2662</v>
      </c>
      <c r="D57" s="66">
        <v>4</v>
      </c>
      <c r="E57" s="66" t="s">
        <v>3350</v>
      </c>
    </row>
    <row r="58" spans="1:5" x14ac:dyDescent="0.25">
      <c r="A58" s="66">
        <v>3011094</v>
      </c>
      <c r="B58" s="66" t="s">
        <v>2642</v>
      </c>
      <c r="C58" s="66" t="s">
        <v>2663</v>
      </c>
      <c r="D58" s="66">
        <v>2</v>
      </c>
      <c r="E58" s="66" t="s">
        <v>3350</v>
      </c>
    </row>
    <row r="59" spans="1:5" x14ac:dyDescent="0.25">
      <c r="A59" s="66">
        <v>3016056</v>
      </c>
      <c r="B59" s="66" t="s">
        <v>2642</v>
      </c>
      <c r="C59" s="66" t="s">
        <v>1247</v>
      </c>
      <c r="D59" s="66">
        <v>1</v>
      </c>
      <c r="E59" s="66" t="s">
        <v>3350</v>
      </c>
    </row>
    <row r="60" spans="1:5" x14ac:dyDescent="0.25">
      <c r="A60" s="66">
        <v>3900219</v>
      </c>
      <c r="B60" s="66" t="s">
        <v>2642</v>
      </c>
      <c r="C60" s="66" t="s">
        <v>1354</v>
      </c>
      <c r="D60" s="66">
        <v>1</v>
      </c>
      <c r="E60" s="66" t="s">
        <v>3350</v>
      </c>
    </row>
    <row r="61" spans="1:5" x14ac:dyDescent="0.25">
      <c r="A61" s="66">
        <v>4000304</v>
      </c>
      <c r="B61" s="66" t="s">
        <v>2642</v>
      </c>
      <c r="C61" s="66" t="s">
        <v>1247</v>
      </c>
      <c r="D61" s="66">
        <v>1</v>
      </c>
      <c r="E61" s="66" t="s">
        <v>3350</v>
      </c>
    </row>
    <row r="62" spans="1:5" x14ac:dyDescent="0.25">
      <c r="A62" s="66">
        <v>4002206</v>
      </c>
      <c r="B62" s="66" t="s">
        <v>2642</v>
      </c>
      <c r="C62" s="66" t="s">
        <v>2664</v>
      </c>
      <c r="D62" s="66">
        <v>2</v>
      </c>
      <c r="E62" s="66" t="s">
        <v>3350</v>
      </c>
    </row>
    <row r="63" spans="1:5" x14ac:dyDescent="0.25">
      <c r="A63" s="66">
        <v>4003924</v>
      </c>
      <c r="B63" s="66" t="s">
        <v>2642</v>
      </c>
      <c r="C63" s="66" t="s">
        <v>1247</v>
      </c>
      <c r="D63" s="66">
        <v>1</v>
      </c>
      <c r="E63" s="66" t="s">
        <v>3350</v>
      </c>
    </row>
    <row r="64" spans="1:5" x14ac:dyDescent="0.25">
      <c r="A64" s="66">
        <v>4008140</v>
      </c>
      <c r="B64" s="66" t="s">
        <v>2642</v>
      </c>
      <c r="C64" s="66" t="s">
        <v>1356</v>
      </c>
      <c r="D64" s="66">
        <v>1</v>
      </c>
      <c r="E64" s="66" t="s">
        <v>3350</v>
      </c>
    </row>
    <row r="65" spans="1:5" x14ac:dyDescent="0.25">
      <c r="A65" s="66">
        <v>4009906</v>
      </c>
      <c r="B65" s="66" t="s">
        <v>2642</v>
      </c>
      <c r="C65" s="66" t="s">
        <v>2665</v>
      </c>
      <c r="D65" s="66">
        <v>3</v>
      </c>
      <c r="E65" s="66" t="s">
        <v>3350</v>
      </c>
    </row>
    <row r="66" spans="1:5" x14ac:dyDescent="0.25">
      <c r="A66" s="66">
        <v>4011027</v>
      </c>
      <c r="B66" s="66" t="s">
        <v>2642</v>
      </c>
      <c r="C66" s="66" t="s">
        <v>9</v>
      </c>
      <c r="D66" s="66">
        <v>1</v>
      </c>
      <c r="E66" s="66" t="s">
        <v>3350</v>
      </c>
    </row>
    <row r="67" spans="1:5" x14ac:dyDescent="0.25">
      <c r="A67" s="66">
        <v>5004654</v>
      </c>
      <c r="B67" s="66" t="s">
        <v>2642</v>
      </c>
      <c r="C67" s="66" t="s">
        <v>2666</v>
      </c>
      <c r="D67" s="66">
        <v>8</v>
      </c>
      <c r="E67" s="66" t="s">
        <v>3350</v>
      </c>
    </row>
    <row r="68" spans="1:5" x14ac:dyDescent="0.25">
      <c r="A68" s="66">
        <v>4289</v>
      </c>
      <c r="B68" s="66" t="s">
        <v>2642</v>
      </c>
      <c r="C68" s="66" t="s">
        <v>2667</v>
      </c>
      <c r="D68" s="66">
        <v>3</v>
      </c>
      <c r="E68" s="66" t="s">
        <v>3351</v>
      </c>
    </row>
    <row r="69" spans="1:5" x14ac:dyDescent="0.25">
      <c r="A69" s="66">
        <v>500245</v>
      </c>
      <c r="B69" s="66" t="s">
        <v>2642</v>
      </c>
      <c r="C69" s="66" t="s">
        <v>2668</v>
      </c>
      <c r="D69" s="66">
        <v>4</v>
      </c>
      <c r="E69" s="66" t="s">
        <v>3351</v>
      </c>
    </row>
    <row r="70" spans="1:5" x14ac:dyDescent="0.25">
      <c r="A70" s="66">
        <v>2002573</v>
      </c>
      <c r="B70" s="66" t="s">
        <v>2642</v>
      </c>
      <c r="C70" s="66" t="s">
        <v>117</v>
      </c>
      <c r="D70" s="66">
        <v>1</v>
      </c>
      <c r="E70" s="66" t="s">
        <v>3351</v>
      </c>
    </row>
    <row r="71" spans="1:5" x14ac:dyDescent="0.25">
      <c r="A71" s="66">
        <v>2003539</v>
      </c>
      <c r="B71" s="66" t="s">
        <v>2642</v>
      </c>
      <c r="C71" s="66" t="s">
        <v>2669</v>
      </c>
      <c r="D71" s="66">
        <v>2</v>
      </c>
      <c r="E71" s="66" t="s">
        <v>3351</v>
      </c>
    </row>
    <row r="72" spans="1:5" x14ac:dyDescent="0.25">
      <c r="A72" s="66">
        <v>2005572</v>
      </c>
      <c r="B72" s="66" t="s">
        <v>2642</v>
      </c>
      <c r="C72" s="66" t="s">
        <v>2670</v>
      </c>
      <c r="D72" s="66">
        <v>3</v>
      </c>
      <c r="E72" s="66" t="s">
        <v>3351</v>
      </c>
    </row>
    <row r="73" spans="1:5" x14ac:dyDescent="0.25">
      <c r="A73" s="66">
        <v>3009633</v>
      </c>
      <c r="B73" s="66" t="s">
        <v>2642</v>
      </c>
      <c r="C73" s="66" t="s">
        <v>2671</v>
      </c>
      <c r="D73" s="66">
        <v>3</v>
      </c>
      <c r="E73" s="66" t="s">
        <v>3351</v>
      </c>
    </row>
    <row r="74" spans="1:5" x14ac:dyDescent="0.25">
      <c r="A74" s="66">
        <v>3010583</v>
      </c>
      <c r="B74" s="66" t="s">
        <v>2642</v>
      </c>
      <c r="C74" s="66" t="s">
        <v>1310</v>
      </c>
      <c r="D74" s="66">
        <v>1</v>
      </c>
      <c r="E74" s="66" t="s">
        <v>3351</v>
      </c>
    </row>
    <row r="75" spans="1:5" x14ac:dyDescent="0.25">
      <c r="A75" s="66">
        <v>3011892</v>
      </c>
      <c r="B75" s="66" t="s">
        <v>2642</v>
      </c>
      <c r="C75" s="66" t="s">
        <v>83</v>
      </c>
      <c r="D75" s="66">
        <v>1</v>
      </c>
      <c r="E75" s="66" t="s">
        <v>3351</v>
      </c>
    </row>
    <row r="76" spans="1:5" x14ac:dyDescent="0.25">
      <c r="A76" s="66">
        <v>5018675</v>
      </c>
      <c r="B76" s="66" t="s">
        <v>2642</v>
      </c>
      <c r="C76" s="66" t="s">
        <v>1358</v>
      </c>
      <c r="D76" s="66">
        <v>1</v>
      </c>
      <c r="E76" s="66" t="s">
        <v>3351</v>
      </c>
    </row>
    <row r="77" spans="1:5" x14ac:dyDescent="0.25">
      <c r="A77" s="66">
        <v>6015647</v>
      </c>
      <c r="B77" s="66" t="s">
        <v>2642</v>
      </c>
      <c r="C77" s="66" t="s">
        <v>2672</v>
      </c>
      <c r="D77" s="66">
        <v>7</v>
      </c>
      <c r="E77" s="66" t="s">
        <v>3351</v>
      </c>
    </row>
    <row r="78" spans="1:5" x14ac:dyDescent="0.25">
      <c r="A78" s="66">
        <v>6056633</v>
      </c>
      <c r="B78" s="66" t="s">
        <v>2642</v>
      </c>
      <c r="C78" s="66" t="s">
        <v>1356</v>
      </c>
      <c r="D78" s="66">
        <v>1</v>
      </c>
      <c r="E78" s="66" t="s">
        <v>3351</v>
      </c>
    </row>
    <row r="79" spans="1:5" x14ac:dyDescent="0.25">
      <c r="A79" s="66">
        <v>7086224</v>
      </c>
      <c r="B79" s="66" t="s">
        <v>2642</v>
      </c>
      <c r="C79" s="66" t="s">
        <v>118</v>
      </c>
      <c r="D79" s="66">
        <v>1</v>
      </c>
      <c r="E79" s="66" t="s">
        <v>3351</v>
      </c>
    </row>
    <row r="80" spans="1:5" x14ac:dyDescent="0.25">
      <c r="A80" s="66">
        <v>9030615</v>
      </c>
      <c r="B80" s="66" t="s">
        <v>2642</v>
      </c>
      <c r="C80" s="66" t="s">
        <v>2673</v>
      </c>
      <c r="D80" s="66">
        <v>2</v>
      </c>
      <c r="E80" s="66" t="s">
        <v>3351</v>
      </c>
    </row>
    <row r="81" spans="1:5" x14ac:dyDescent="0.25">
      <c r="A81" s="66">
        <v>9034464</v>
      </c>
      <c r="B81" s="66" t="s">
        <v>2642</v>
      </c>
      <c r="C81" s="66" t="s">
        <v>2172</v>
      </c>
      <c r="D81" s="66">
        <v>1</v>
      </c>
      <c r="E81" s="66" t="s">
        <v>3351</v>
      </c>
    </row>
    <row r="82" spans="1:5" x14ac:dyDescent="0.25">
      <c r="A82" s="66">
        <v>9040167</v>
      </c>
      <c r="B82" s="66" t="s">
        <v>2642</v>
      </c>
      <c r="C82" s="66" t="s">
        <v>865</v>
      </c>
      <c r="D82" s="66">
        <v>1</v>
      </c>
      <c r="E82" s="66" t="s">
        <v>3351</v>
      </c>
    </row>
    <row r="83" spans="1:5" x14ac:dyDescent="0.25">
      <c r="A83" s="66">
        <v>9083682</v>
      </c>
      <c r="B83" s="66" t="s">
        <v>2642</v>
      </c>
      <c r="C83" s="66" t="s">
        <v>1356</v>
      </c>
      <c r="D83" s="66">
        <v>1</v>
      </c>
      <c r="E83" s="66" t="s">
        <v>3351</v>
      </c>
    </row>
    <row r="84" spans="1:5" x14ac:dyDescent="0.25">
      <c r="A84" s="66">
        <v>10071135</v>
      </c>
      <c r="B84" s="66" t="s">
        <v>2642</v>
      </c>
      <c r="C84" s="66" t="s">
        <v>113</v>
      </c>
      <c r="D84" s="66">
        <v>1</v>
      </c>
      <c r="E84" s="66" t="s">
        <v>3351</v>
      </c>
    </row>
    <row r="85" spans="1:5" x14ac:dyDescent="0.25">
      <c r="A85" s="66">
        <v>2005223</v>
      </c>
      <c r="B85" s="66" t="s">
        <v>2642</v>
      </c>
      <c r="C85" s="66" t="s">
        <v>1247</v>
      </c>
      <c r="D85" s="66">
        <v>1</v>
      </c>
      <c r="E85" s="66" t="s">
        <v>3352</v>
      </c>
    </row>
    <row r="86" spans="1:5" x14ac:dyDescent="0.25">
      <c r="A86" s="66">
        <v>2012014</v>
      </c>
      <c r="B86" s="66" t="s">
        <v>2642</v>
      </c>
      <c r="C86" s="66" t="s">
        <v>2674</v>
      </c>
      <c r="D86" s="66">
        <v>3</v>
      </c>
      <c r="E86" s="66" t="s">
        <v>3352</v>
      </c>
    </row>
    <row r="87" spans="1:5" x14ac:dyDescent="0.25">
      <c r="A87" s="66">
        <v>3015058</v>
      </c>
      <c r="B87" s="66" t="s">
        <v>2642</v>
      </c>
      <c r="C87" s="66" t="s">
        <v>2675</v>
      </c>
      <c r="D87" s="66">
        <v>8</v>
      </c>
      <c r="E87" s="66" t="s">
        <v>3352</v>
      </c>
    </row>
    <row r="88" spans="1:5" x14ac:dyDescent="0.25">
      <c r="A88" s="66">
        <v>4000996</v>
      </c>
      <c r="B88" s="66" t="s">
        <v>2642</v>
      </c>
      <c r="C88" s="66" t="s">
        <v>2676</v>
      </c>
      <c r="D88" s="66">
        <v>3</v>
      </c>
      <c r="E88" s="66" t="s">
        <v>3352</v>
      </c>
    </row>
    <row r="89" spans="1:5" x14ac:dyDescent="0.25">
      <c r="A89" s="66">
        <v>4006540</v>
      </c>
      <c r="B89" s="66" t="s">
        <v>2642</v>
      </c>
      <c r="C89" s="66" t="s">
        <v>2677</v>
      </c>
      <c r="D89" s="66">
        <v>2</v>
      </c>
      <c r="E89" s="66" t="s">
        <v>3352</v>
      </c>
    </row>
    <row r="90" spans="1:5" x14ac:dyDescent="0.25">
      <c r="A90" s="66">
        <v>4007054</v>
      </c>
      <c r="B90" s="66" t="s">
        <v>2642</v>
      </c>
      <c r="C90" s="66" t="s">
        <v>11</v>
      </c>
      <c r="D90" s="66">
        <v>1</v>
      </c>
      <c r="E90" s="66" t="s">
        <v>3352</v>
      </c>
    </row>
    <row r="91" spans="1:5" x14ac:dyDescent="0.25">
      <c r="A91" s="66">
        <v>4011002</v>
      </c>
      <c r="B91" s="66" t="s">
        <v>2642</v>
      </c>
      <c r="C91" s="66" t="s">
        <v>2678</v>
      </c>
      <c r="D91" s="66">
        <v>4</v>
      </c>
      <c r="E91" s="66" t="s">
        <v>3352</v>
      </c>
    </row>
    <row r="92" spans="1:5" x14ac:dyDescent="0.25">
      <c r="A92" s="66">
        <v>4900268</v>
      </c>
      <c r="B92" s="66" t="s">
        <v>2642</v>
      </c>
      <c r="C92" s="66" t="s">
        <v>1357</v>
      </c>
      <c r="D92" s="66">
        <v>1</v>
      </c>
      <c r="E92" s="66" t="s">
        <v>3352</v>
      </c>
    </row>
    <row r="93" spans="1:5" x14ac:dyDescent="0.25">
      <c r="A93" s="66">
        <v>5001097</v>
      </c>
      <c r="B93" s="66" t="s">
        <v>2642</v>
      </c>
      <c r="C93" s="66" t="s">
        <v>2679</v>
      </c>
      <c r="D93" s="66">
        <v>4</v>
      </c>
      <c r="E93" s="66" t="s">
        <v>3352</v>
      </c>
    </row>
    <row r="94" spans="1:5" x14ac:dyDescent="0.25">
      <c r="A94" s="66">
        <v>5001098</v>
      </c>
      <c r="B94" s="66" t="s">
        <v>2642</v>
      </c>
      <c r="C94" s="66" t="s">
        <v>2680</v>
      </c>
      <c r="D94" s="66">
        <v>3</v>
      </c>
      <c r="E94" s="66" t="s">
        <v>3352</v>
      </c>
    </row>
    <row r="95" spans="1:5" x14ac:dyDescent="0.25">
      <c r="A95" s="66">
        <v>5006152</v>
      </c>
      <c r="B95" s="66" t="s">
        <v>2642</v>
      </c>
      <c r="C95" s="66" t="s">
        <v>2681</v>
      </c>
      <c r="D95" s="66">
        <v>2</v>
      </c>
      <c r="E95" s="66" t="s">
        <v>3352</v>
      </c>
    </row>
    <row r="96" spans="1:5" x14ac:dyDescent="0.25">
      <c r="A96" s="66">
        <v>6012361</v>
      </c>
      <c r="B96" s="66" t="s">
        <v>2642</v>
      </c>
      <c r="C96" s="66" t="s">
        <v>1356</v>
      </c>
      <c r="D96" s="66">
        <v>1</v>
      </c>
      <c r="E96" s="66" t="s">
        <v>3352</v>
      </c>
    </row>
    <row r="97" spans="1:5" x14ac:dyDescent="0.25">
      <c r="A97" s="66">
        <v>6015793</v>
      </c>
      <c r="B97" s="66" t="s">
        <v>2642</v>
      </c>
      <c r="C97" s="66" t="s">
        <v>2682</v>
      </c>
      <c r="D97" s="66">
        <v>6</v>
      </c>
      <c r="E97" s="66" t="s">
        <v>3352</v>
      </c>
    </row>
    <row r="98" spans="1:5" x14ac:dyDescent="0.25">
      <c r="A98" s="66">
        <v>7011435</v>
      </c>
      <c r="B98" s="66" t="s">
        <v>2642</v>
      </c>
      <c r="C98" s="66" t="s">
        <v>2683</v>
      </c>
      <c r="D98" s="66">
        <v>3</v>
      </c>
      <c r="E98" s="66" t="s">
        <v>3352</v>
      </c>
    </row>
    <row r="99" spans="1:5" x14ac:dyDescent="0.25">
      <c r="A99" s="66">
        <v>7071198</v>
      </c>
      <c r="B99" s="66" t="s">
        <v>2642</v>
      </c>
      <c r="C99" s="66" t="s">
        <v>2684</v>
      </c>
      <c r="D99" s="66">
        <v>2</v>
      </c>
      <c r="E99" s="66" t="s">
        <v>3352</v>
      </c>
    </row>
    <row r="100" spans="1:5" x14ac:dyDescent="0.25">
      <c r="A100" s="66">
        <v>8089666</v>
      </c>
      <c r="B100" s="66" t="s">
        <v>2642</v>
      </c>
      <c r="C100" s="66" t="s">
        <v>2685</v>
      </c>
      <c r="D100" s="66">
        <v>5</v>
      </c>
      <c r="E100" s="66" t="s">
        <v>3352</v>
      </c>
    </row>
    <row r="101" spans="1:5" x14ac:dyDescent="0.25">
      <c r="A101" s="66">
        <v>8103536</v>
      </c>
      <c r="B101" s="66" t="s">
        <v>2642</v>
      </c>
      <c r="C101" s="66" t="s">
        <v>1356</v>
      </c>
      <c r="D101" s="66">
        <v>1</v>
      </c>
      <c r="E101" s="66" t="s">
        <v>3352</v>
      </c>
    </row>
    <row r="102" spans="1:5" x14ac:dyDescent="0.25">
      <c r="A102" s="66">
        <v>9003267</v>
      </c>
      <c r="B102" s="66" t="s">
        <v>2642</v>
      </c>
      <c r="C102" s="66" t="s">
        <v>2686</v>
      </c>
      <c r="D102" s="66">
        <v>5</v>
      </c>
      <c r="E102" s="66" t="s">
        <v>3352</v>
      </c>
    </row>
    <row r="103" spans="1:5" x14ac:dyDescent="0.25">
      <c r="A103" s="66">
        <v>9090287</v>
      </c>
      <c r="B103" s="66" t="s">
        <v>2642</v>
      </c>
      <c r="C103" s="66" t="s">
        <v>1357</v>
      </c>
      <c r="D103" s="66">
        <v>1</v>
      </c>
      <c r="E103" s="66" t="s">
        <v>3352</v>
      </c>
    </row>
    <row r="104" spans="1:5" x14ac:dyDescent="0.25">
      <c r="A104" s="66">
        <v>9095148</v>
      </c>
      <c r="B104" s="66" t="s">
        <v>2642</v>
      </c>
      <c r="C104" s="66" t="s">
        <v>2687</v>
      </c>
      <c r="D104" s="66">
        <v>7</v>
      </c>
      <c r="E104" s="66" t="s">
        <v>3352</v>
      </c>
    </row>
    <row r="105" spans="1:5" x14ac:dyDescent="0.25">
      <c r="A105" s="66">
        <v>10020659</v>
      </c>
      <c r="B105" s="66" t="s">
        <v>2642</v>
      </c>
      <c r="C105" s="66" t="s">
        <v>1247</v>
      </c>
      <c r="D105" s="66">
        <v>1</v>
      </c>
      <c r="E105" s="66" t="s">
        <v>3352</v>
      </c>
    </row>
    <row r="106" spans="1:5" x14ac:dyDescent="0.25">
      <c r="A106" s="66">
        <v>10025902</v>
      </c>
      <c r="B106" s="66" t="s">
        <v>2642</v>
      </c>
      <c r="C106" s="66" t="s">
        <v>1247</v>
      </c>
      <c r="D106" s="66">
        <v>1</v>
      </c>
      <c r="E106" s="66" t="s">
        <v>3352</v>
      </c>
    </row>
    <row r="107" spans="1:5" x14ac:dyDescent="0.25">
      <c r="A107" s="66">
        <v>10173664</v>
      </c>
      <c r="B107" s="66" t="s">
        <v>2642</v>
      </c>
      <c r="C107" s="66" t="s">
        <v>2688</v>
      </c>
      <c r="D107" s="66">
        <v>2</v>
      </c>
      <c r="E107" s="66" t="s">
        <v>3352</v>
      </c>
    </row>
  </sheetData>
  <phoneticPr fontId="6" type="noConversion"/>
  <pageMargins left="0.7" right="0.7" top="0.78740157499999996" bottom="0.78740157499999996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N239"/>
  <sheetViews>
    <sheetView workbookViewId="0">
      <selection activeCell="B1" sqref="B1:B1048576"/>
    </sheetView>
  </sheetViews>
  <sheetFormatPr defaultColWidth="11.42578125" defaultRowHeight="15" x14ac:dyDescent="0.25"/>
  <cols>
    <col min="1" max="1" width="17.140625" style="50" customWidth="1"/>
    <col min="2" max="2" width="12.42578125" customWidth="1"/>
    <col min="3" max="6" width="39" customWidth="1"/>
    <col min="7" max="11" width="33.5703125" customWidth="1"/>
    <col min="12" max="12" width="38" customWidth="1"/>
    <col min="13" max="15" width="33.5703125" customWidth="1"/>
    <col min="16" max="17" width="32.5703125" customWidth="1"/>
    <col min="18" max="18" width="37" customWidth="1"/>
    <col min="19" max="23" width="32.5703125" customWidth="1"/>
    <col min="24" max="24" width="31.42578125" customWidth="1"/>
    <col min="25" max="25" width="28" style="50" customWidth="1"/>
    <col min="26" max="26" width="49.42578125" style="50" customWidth="1"/>
    <col min="27" max="28" width="11.42578125" style="50"/>
    <col min="29" max="29" width="14.7109375" customWidth="1"/>
    <col min="32" max="32" width="14.7109375" customWidth="1"/>
    <col min="33" max="34" width="12.42578125" customWidth="1"/>
    <col min="35" max="35" width="17.28515625" customWidth="1"/>
    <col min="36" max="37" width="12.42578125" customWidth="1"/>
    <col min="38" max="38" width="17.28515625" customWidth="1"/>
    <col min="39" max="40" width="12.42578125" customWidth="1"/>
    <col min="41" max="41" width="17.28515625" customWidth="1"/>
    <col min="42" max="44" width="12.42578125" customWidth="1"/>
    <col min="45" max="45" width="17.28515625" customWidth="1"/>
    <col min="46" max="48" width="12.42578125" customWidth="1"/>
    <col min="49" max="49" width="17.28515625" customWidth="1"/>
    <col min="50" max="53" width="12.42578125" customWidth="1"/>
    <col min="54" max="54" width="15.140625" customWidth="1"/>
    <col min="55" max="55" width="20" customWidth="1"/>
    <col min="56" max="77" width="15.140625" customWidth="1"/>
    <col min="78" max="78" width="20" customWidth="1"/>
    <col min="79" max="83" width="15.140625" customWidth="1"/>
    <col min="84" max="84" width="20" customWidth="1"/>
    <col min="85" max="87" width="15.140625" customWidth="1"/>
    <col min="88" max="92" width="20" customWidth="1"/>
  </cols>
  <sheetData>
    <row r="1" spans="1:92" x14ac:dyDescent="0.25">
      <c r="A1" s="61" t="s">
        <v>59</v>
      </c>
      <c r="B1" s="61" t="s">
        <v>3346</v>
      </c>
      <c r="C1" s="62" t="s">
        <v>2435</v>
      </c>
      <c r="D1" s="62" t="s">
        <v>2416</v>
      </c>
      <c r="E1" s="62" t="s">
        <v>2417</v>
      </c>
      <c r="F1" s="62" t="s">
        <v>1363</v>
      </c>
      <c r="G1" s="62" t="s">
        <v>2199</v>
      </c>
      <c r="H1" s="62" t="s">
        <v>1099</v>
      </c>
      <c r="I1" s="62" t="s">
        <v>2214</v>
      </c>
      <c r="J1" s="62" t="s">
        <v>1033</v>
      </c>
      <c r="K1" s="62" t="s">
        <v>1100</v>
      </c>
      <c r="L1" s="62" t="s">
        <v>1364</v>
      </c>
      <c r="M1" s="62" t="s">
        <v>1789</v>
      </c>
      <c r="N1" s="62" t="s">
        <v>1790</v>
      </c>
      <c r="O1" s="62" t="s">
        <v>1858</v>
      </c>
      <c r="P1" s="62" t="s">
        <v>1191</v>
      </c>
      <c r="Q1" s="62" t="s">
        <v>1985</v>
      </c>
      <c r="R1" s="62" t="s">
        <v>1365</v>
      </c>
      <c r="S1" s="62" t="s">
        <v>1825</v>
      </c>
      <c r="T1" s="62" t="s">
        <v>1919</v>
      </c>
      <c r="U1" s="62" t="s">
        <v>1791</v>
      </c>
      <c r="V1" s="62" t="s">
        <v>507</v>
      </c>
      <c r="W1" s="62" t="s">
        <v>508</v>
      </c>
      <c r="X1" s="62" t="s">
        <v>2145</v>
      </c>
      <c r="Y1" s="62" t="s">
        <v>1366</v>
      </c>
      <c r="Z1" s="63" t="s">
        <v>663</v>
      </c>
      <c r="AA1" s="62" t="s">
        <v>1367</v>
      </c>
      <c r="AB1" s="62" t="s">
        <v>15</v>
      </c>
      <c r="AC1" s="62" t="s">
        <v>1368</v>
      </c>
      <c r="AD1" s="62" t="s">
        <v>16</v>
      </c>
      <c r="AE1" s="62" t="s">
        <v>17</v>
      </c>
      <c r="AF1" s="62" t="s">
        <v>1369</v>
      </c>
      <c r="AG1" s="62" t="s">
        <v>161</v>
      </c>
      <c r="AH1" s="62" t="s">
        <v>86</v>
      </c>
      <c r="AI1" s="62" t="s">
        <v>1370</v>
      </c>
      <c r="AJ1" s="62" t="s">
        <v>69</v>
      </c>
      <c r="AK1" s="62" t="s">
        <v>77</v>
      </c>
      <c r="AL1" s="62" t="s">
        <v>1371</v>
      </c>
      <c r="AM1" s="62" t="s">
        <v>1034</v>
      </c>
      <c r="AN1" s="62" t="s">
        <v>14</v>
      </c>
      <c r="AO1" s="62" t="s">
        <v>1372</v>
      </c>
      <c r="AP1" s="62" t="s">
        <v>55</v>
      </c>
      <c r="AQ1" s="62" t="s">
        <v>657</v>
      </c>
      <c r="AR1" s="62" t="s">
        <v>793</v>
      </c>
      <c r="AS1" s="62" t="s">
        <v>1373</v>
      </c>
      <c r="AT1" s="62" t="s">
        <v>1241</v>
      </c>
      <c r="AU1" s="62" t="s">
        <v>812</v>
      </c>
      <c r="AV1" s="62" t="s">
        <v>1290</v>
      </c>
      <c r="AW1" s="62" t="s">
        <v>1374</v>
      </c>
      <c r="AX1" s="62" t="s">
        <v>1788</v>
      </c>
      <c r="AY1" s="62" t="s">
        <v>1107</v>
      </c>
      <c r="AZ1" s="62" t="s">
        <v>2148</v>
      </c>
      <c r="BA1" s="62" t="s">
        <v>1053</v>
      </c>
      <c r="BB1" s="62" t="s">
        <v>1214</v>
      </c>
      <c r="BC1" s="62" t="s">
        <v>1375</v>
      </c>
      <c r="BD1" s="62" t="s">
        <v>1308</v>
      </c>
      <c r="BE1" s="62" t="s">
        <v>1396</v>
      </c>
      <c r="BF1" s="62" t="s">
        <v>1799</v>
      </c>
      <c r="BG1" s="62" t="s">
        <v>1397</v>
      </c>
      <c r="BH1" s="62" t="s">
        <v>2409</v>
      </c>
      <c r="BI1" s="62" t="s">
        <v>2216</v>
      </c>
      <c r="BJ1" s="62" t="s">
        <v>2184</v>
      </c>
      <c r="BK1" s="62" t="s">
        <v>2180</v>
      </c>
      <c r="BL1" s="62" t="s">
        <v>1163</v>
      </c>
      <c r="BM1" s="62" t="s">
        <v>2175</v>
      </c>
      <c r="BN1" s="62" t="s">
        <v>2158</v>
      </c>
      <c r="BO1" s="62" t="s">
        <v>2195</v>
      </c>
      <c r="BP1" s="62" t="s">
        <v>2087</v>
      </c>
      <c r="BQ1" s="62" t="s">
        <v>2159</v>
      </c>
      <c r="BR1" s="62" t="s">
        <v>2070</v>
      </c>
      <c r="BS1" s="62" t="s">
        <v>2160</v>
      </c>
      <c r="BT1" s="62" t="s">
        <v>2314</v>
      </c>
      <c r="BU1" s="62" t="s">
        <v>2315</v>
      </c>
      <c r="BV1" s="62" t="s">
        <v>2161</v>
      </c>
      <c r="BW1" s="62" t="s">
        <v>2316</v>
      </c>
      <c r="BX1" s="62" t="s">
        <v>2185</v>
      </c>
      <c r="BY1" s="62" t="s">
        <v>1066</v>
      </c>
      <c r="BZ1" s="62" t="s">
        <v>1376</v>
      </c>
      <c r="CA1" s="62" t="s">
        <v>2342</v>
      </c>
      <c r="CB1" s="62" t="s">
        <v>2130</v>
      </c>
      <c r="CC1" s="62" t="s">
        <v>1398</v>
      </c>
      <c r="CD1" s="62" t="s">
        <v>1800</v>
      </c>
      <c r="CE1" s="62" t="s">
        <v>2088</v>
      </c>
      <c r="CF1" s="62" t="s">
        <v>1377</v>
      </c>
      <c r="CG1" s="62" t="s">
        <v>1171</v>
      </c>
      <c r="CH1" s="62" t="s">
        <v>1172</v>
      </c>
      <c r="CI1" s="62" t="s">
        <v>2211</v>
      </c>
      <c r="CJ1" s="62" t="s">
        <v>1378</v>
      </c>
      <c r="CK1" s="62" t="s">
        <v>2089</v>
      </c>
      <c r="CL1" s="62" t="s">
        <v>2071</v>
      </c>
      <c r="CM1" s="62" t="s">
        <v>2217</v>
      </c>
      <c r="CN1" s="62" t="s">
        <v>2072</v>
      </c>
    </row>
    <row r="2" spans="1:92" x14ac:dyDescent="0.25">
      <c r="A2" s="40" t="s">
        <v>561</v>
      </c>
      <c r="B2" s="40"/>
      <c r="Y2"/>
      <c r="Z2"/>
      <c r="AA2"/>
      <c r="AB2"/>
    </row>
    <row r="3" spans="1:92" x14ac:dyDescent="0.25">
      <c r="A3" s="10" t="s">
        <v>2519</v>
      </c>
      <c r="B3" s="10"/>
      <c r="C3" s="6"/>
      <c r="D3" s="6"/>
      <c r="E3" s="6"/>
      <c r="F3" s="6"/>
      <c r="G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  <c r="BB3" s="6"/>
      <c r="BC3" s="6"/>
      <c r="BD3" s="6"/>
      <c r="BE3" s="6"/>
      <c r="BF3" s="6"/>
      <c r="BG3" s="6"/>
      <c r="BH3" s="6"/>
      <c r="BI3" s="6"/>
      <c r="BJ3" s="6"/>
      <c r="BK3" s="6"/>
      <c r="BL3" s="6"/>
      <c r="BM3" s="6"/>
      <c r="BN3" s="6"/>
      <c r="BO3" s="6"/>
      <c r="BP3" s="6"/>
      <c r="BQ3" s="6"/>
      <c r="BR3" s="6"/>
      <c r="BS3" s="6"/>
      <c r="BT3" s="6"/>
      <c r="BU3" s="6"/>
      <c r="BV3" s="6"/>
      <c r="BW3" s="6"/>
      <c r="BX3" s="6"/>
      <c r="BY3" s="6"/>
      <c r="BZ3" s="6"/>
      <c r="CA3" s="6"/>
      <c r="CB3" s="6"/>
      <c r="CC3" s="6"/>
      <c r="CD3" s="6"/>
      <c r="CE3" s="6"/>
      <c r="CF3" s="6"/>
      <c r="CG3" s="6"/>
      <c r="CH3" s="6"/>
      <c r="CI3" s="6"/>
      <c r="CJ3" s="6"/>
      <c r="CK3" s="6"/>
      <c r="CL3" s="6"/>
      <c r="CM3" s="6"/>
      <c r="CN3" s="6"/>
    </row>
    <row r="4" spans="1:92" x14ac:dyDescent="0.25">
      <c r="A4" s="50">
        <v>7072184</v>
      </c>
      <c r="B4" s="10" t="s">
        <v>3398</v>
      </c>
      <c r="C4" s="6"/>
      <c r="D4" s="6"/>
      <c r="E4" s="6"/>
      <c r="F4" s="6"/>
      <c r="G4" s="6"/>
      <c r="Y4">
        <v>916</v>
      </c>
      <c r="Z4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  <c r="BM4" s="6"/>
      <c r="BN4" s="6"/>
      <c r="BO4" s="6"/>
      <c r="BP4" s="6"/>
      <c r="BQ4" s="6"/>
      <c r="BR4" s="6"/>
      <c r="BS4" s="6"/>
      <c r="BT4" s="6"/>
      <c r="BU4" s="6"/>
      <c r="BV4" s="6"/>
      <c r="BW4" s="6"/>
      <c r="BX4" s="6"/>
      <c r="BY4" s="6"/>
      <c r="BZ4" s="6"/>
      <c r="CA4" s="6"/>
      <c r="CB4" s="6"/>
      <c r="CC4" s="6"/>
      <c r="CD4" s="6"/>
      <c r="CE4" s="6"/>
      <c r="CF4" s="6"/>
      <c r="CG4" s="6"/>
      <c r="CH4" s="6"/>
      <c r="CI4" s="6"/>
      <c r="CJ4" s="6"/>
      <c r="CK4" s="6"/>
      <c r="CL4" s="6"/>
      <c r="CM4" s="6"/>
      <c r="CN4" s="6"/>
    </row>
    <row r="5" spans="1:92" x14ac:dyDescent="0.25">
      <c r="A5" s="50">
        <v>9108231</v>
      </c>
      <c r="B5" s="10" t="s">
        <v>3398</v>
      </c>
      <c r="C5" s="6"/>
      <c r="D5" s="6"/>
      <c r="E5" s="6"/>
      <c r="F5" s="6"/>
      <c r="G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6"/>
      <c r="BL5" s="6"/>
      <c r="BM5" s="6"/>
      <c r="BN5" s="6"/>
      <c r="BO5" s="6"/>
      <c r="BP5" s="6"/>
      <c r="BQ5" s="6"/>
      <c r="BR5" s="6"/>
      <c r="BS5" s="6"/>
      <c r="BT5" s="6"/>
      <c r="BU5" s="6"/>
      <c r="BV5" s="6"/>
      <c r="BW5" s="6"/>
      <c r="BX5" s="6"/>
      <c r="BY5" s="6"/>
      <c r="BZ5" s="6"/>
      <c r="CA5" s="6"/>
      <c r="CB5" s="6"/>
      <c r="CC5" s="6"/>
      <c r="CD5" s="6"/>
      <c r="CE5" s="6"/>
      <c r="CF5" s="6"/>
      <c r="CG5" s="6"/>
      <c r="CH5" s="6"/>
      <c r="CI5" s="6"/>
      <c r="CJ5" s="6"/>
      <c r="CK5" s="6"/>
      <c r="CL5" s="6"/>
      <c r="CM5" s="6"/>
      <c r="CN5" s="6"/>
    </row>
    <row r="6" spans="1:92" x14ac:dyDescent="0.25">
      <c r="A6" s="50">
        <v>12061933</v>
      </c>
      <c r="B6" s="10" t="s">
        <v>3398</v>
      </c>
      <c r="C6" s="6"/>
      <c r="D6" s="6"/>
      <c r="E6" s="6"/>
      <c r="F6" s="6"/>
      <c r="G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6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6"/>
      <c r="CK6" s="6"/>
      <c r="CL6" s="6"/>
      <c r="CM6" s="6"/>
      <c r="CN6" s="6"/>
    </row>
    <row r="7" spans="1:92" x14ac:dyDescent="0.25">
      <c r="A7" s="50">
        <v>95005911</v>
      </c>
      <c r="B7" s="10" t="s">
        <v>3398</v>
      </c>
      <c r="Y7"/>
      <c r="Z7"/>
      <c r="AA7"/>
      <c r="AB7"/>
    </row>
    <row r="8" spans="1:92" x14ac:dyDescent="0.25">
      <c r="A8" s="50">
        <v>99001908</v>
      </c>
      <c r="B8" s="10" t="s">
        <v>3398</v>
      </c>
      <c r="Y8"/>
      <c r="Z8"/>
      <c r="AA8"/>
      <c r="AB8"/>
    </row>
    <row r="9" spans="1:92" x14ac:dyDescent="0.25">
      <c r="A9" s="50">
        <v>99004067</v>
      </c>
      <c r="B9" s="10" t="s">
        <v>3398</v>
      </c>
      <c r="Y9">
        <v>20</v>
      </c>
      <c r="Z9"/>
      <c r="AA9"/>
      <c r="AB9"/>
    </row>
    <row r="10" spans="1:92" x14ac:dyDescent="0.25">
      <c r="A10" s="50">
        <v>97002136</v>
      </c>
      <c r="B10" s="10" t="s">
        <v>3398</v>
      </c>
      <c r="Y10">
        <v>189</v>
      </c>
      <c r="Z10"/>
      <c r="AA10"/>
      <c r="AB10"/>
    </row>
    <row r="11" spans="1:92" x14ac:dyDescent="0.25">
      <c r="A11" s="50">
        <v>1502</v>
      </c>
      <c r="B11" s="10" t="s">
        <v>3398</v>
      </c>
      <c r="C11" s="6"/>
      <c r="D11" s="6"/>
      <c r="E11" s="6"/>
      <c r="F11" s="6"/>
      <c r="G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>
        <v>52</v>
      </c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</row>
    <row r="12" spans="1:92" x14ac:dyDescent="0.25">
      <c r="A12" s="50">
        <v>4003543</v>
      </c>
      <c r="B12" s="10" t="s">
        <v>3398</v>
      </c>
      <c r="C12" s="6"/>
      <c r="D12" s="6"/>
      <c r="E12" s="6"/>
      <c r="F12" s="6"/>
      <c r="G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/>
      <c r="AC12" s="6"/>
      <c r="AD12" s="6"/>
      <c r="AE12" s="6"/>
      <c r="AF12" s="6"/>
      <c r="AG12">
        <v>39</v>
      </c>
      <c r="AJ12" s="6"/>
      <c r="AK12">
        <v>25</v>
      </c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</row>
    <row r="13" spans="1:92" x14ac:dyDescent="0.25">
      <c r="A13" s="50">
        <v>4900261</v>
      </c>
      <c r="B13" s="10" t="s">
        <v>3398</v>
      </c>
      <c r="C13" s="6"/>
      <c r="D13" s="6"/>
      <c r="E13" s="6"/>
      <c r="F13" s="6"/>
      <c r="G13" s="6"/>
      <c r="J13" s="6"/>
      <c r="K13" s="6"/>
      <c r="L13" s="6"/>
      <c r="M13" s="6"/>
      <c r="N13" s="6"/>
      <c r="O13" s="6"/>
      <c r="P13" s="6"/>
      <c r="Q13" s="6"/>
      <c r="S13" s="6"/>
      <c r="T13" s="6"/>
      <c r="U13">
        <v>668</v>
      </c>
      <c r="V13">
        <v>454</v>
      </c>
      <c r="Y13" s="6"/>
      <c r="Z13" s="6"/>
      <c r="AA13" s="6"/>
      <c r="AB13"/>
      <c r="AE13" s="6"/>
      <c r="AF13">
        <v>184</v>
      </c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</row>
    <row r="14" spans="1:92" x14ac:dyDescent="0.25">
      <c r="Y14"/>
      <c r="Z14"/>
      <c r="AA14"/>
      <c r="AB14"/>
    </row>
    <row r="15" spans="1:92" x14ac:dyDescent="0.25">
      <c r="A15" s="52" t="s">
        <v>2520</v>
      </c>
      <c r="B15" s="10"/>
      <c r="C15" s="6"/>
      <c r="D15" s="6"/>
      <c r="E15" s="6"/>
      <c r="F15" s="6"/>
      <c r="G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</row>
    <row r="16" spans="1:92" x14ac:dyDescent="0.25">
      <c r="A16" s="50">
        <v>14242856</v>
      </c>
      <c r="B16" s="10" t="s">
        <v>3399</v>
      </c>
      <c r="C16" s="6"/>
      <c r="D16" s="6"/>
      <c r="E16" s="6"/>
      <c r="F16" s="6"/>
      <c r="G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>
        <v>80</v>
      </c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</row>
    <row r="17" spans="1:92" x14ac:dyDescent="0.25">
      <c r="A17" s="50">
        <v>99001183</v>
      </c>
      <c r="B17" s="10" t="s">
        <v>3399</v>
      </c>
      <c r="C17" s="6"/>
      <c r="D17" s="6"/>
      <c r="E17" s="6"/>
      <c r="F17" s="6"/>
      <c r="G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</row>
    <row r="18" spans="1:92" x14ac:dyDescent="0.25">
      <c r="A18" s="50">
        <v>3000983</v>
      </c>
      <c r="B18" s="10" t="s">
        <v>3399</v>
      </c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>
        <v>28</v>
      </c>
      <c r="AE18">
        <v>131</v>
      </c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>
        <v>135</v>
      </c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</row>
    <row r="19" spans="1:92" x14ac:dyDescent="0.25">
      <c r="A19" s="50">
        <v>10064335</v>
      </c>
      <c r="B19" s="10" t="s">
        <v>3399</v>
      </c>
      <c r="C19" s="6"/>
      <c r="D19" s="6"/>
      <c r="E19" s="6"/>
      <c r="F19" s="6"/>
      <c r="G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>
        <v>75</v>
      </c>
      <c r="AN19">
        <v>69</v>
      </c>
      <c r="AO19" s="6"/>
      <c r="AP19">
        <v>47</v>
      </c>
      <c r="BB19">
        <v>191</v>
      </c>
      <c r="BD19">
        <v>19</v>
      </c>
    </row>
    <row r="20" spans="1:92" x14ac:dyDescent="0.25">
      <c r="A20" s="51"/>
      <c r="B20" s="6"/>
      <c r="C20" s="6"/>
      <c r="D20" s="6"/>
      <c r="E20" s="6"/>
      <c r="F20" s="6"/>
      <c r="G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</row>
    <row r="21" spans="1:92" x14ac:dyDescent="0.25">
      <c r="A21" s="52" t="s">
        <v>2521</v>
      </c>
      <c r="B21" s="10"/>
      <c r="C21" s="6"/>
      <c r="D21" s="6"/>
      <c r="E21" s="6"/>
      <c r="F21" s="6"/>
      <c r="G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</row>
    <row r="22" spans="1:92" x14ac:dyDescent="0.25">
      <c r="A22" s="50">
        <v>1480</v>
      </c>
      <c r="B22" s="10" t="s">
        <v>3400</v>
      </c>
      <c r="Y22"/>
      <c r="Z22"/>
      <c r="AA22"/>
      <c r="AB22"/>
      <c r="AE22">
        <v>13</v>
      </c>
    </row>
    <row r="23" spans="1:92" x14ac:dyDescent="0.25">
      <c r="A23" s="50">
        <v>7063959</v>
      </c>
      <c r="B23" s="10" t="s">
        <v>3400</v>
      </c>
      <c r="C23" s="6"/>
      <c r="D23" s="6"/>
      <c r="E23" s="6"/>
      <c r="F23" s="6"/>
      <c r="G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</row>
    <row r="24" spans="1:92" x14ac:dyDescent="0.25">
      <c r="A24" s="50">
        <v>1003215</v>
      </c>
      <c r="B24" s="10" t="s">
        <v>3400</v>
      </c>
      <c r="C24" s="6"/>
      <c r="D24" s="6"/>
      <c r="E24" s="6"/>
      <c r="F24" s="6"/>
      <c r="G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>
        <v>20</v>
      </c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</row>
    <row r="25" spans="1:92" x14ac:dyDescent="0.25">
      <c r="A25" s="50">
        <v>99000802</v>
      </c>
      <c r="B25" s="10" t="s">
        <v>3400</v>
      </c>
      <c r="C25" s="6"/>
      <c r="D25" s="6"/>
      <c r="E25" s="6"/>
      <c r="F25" s="6"/>
      <c r="G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>
        <v>16</v>
      </c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</row>
    <row r="26" spans="1:92" x14ac:dyDescent="0.25">
      <c r="A26" s="50">
        <v>99000892</v>
      </c>
      <c r="B26" s="10" t="s">
        <v>3400</v>
      </c>
      <c r="C26" s="6"/>
      <c r="D26" s="6"/>
      <c r="E26" s="6"/>
      <c r="F26" s="6"/>
      <c r="G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>
        <v>65</v>
      </c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</row>
    <row r="27" spans="1:92" x14ac:dyDescent="0.25">
      <c r="A27" s="50">
        <v>1000192</v>
      </c>
      <c r="B27" s="10" t="s">
        <v>3400</v>
      </c>
      <c r="C27" s="6"/>
      <c r="D27" s="6"/>
      <c r="E27" s="6"/>
      <c r="F27" s="6"/>
      <c r="G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</row>
    <row r="28" spans="1:92" x14ac:dyDescent="0.25">
      <c r="A28" s="50">
        <v>1506</v>
      </c>
      <c r="B28" s="10" t="s">
        <v>3400</v>
      </c>
      <c r="C28" s="6"/>
      <c r="D28" s="6"/>
      <c r="E28" s="6"/>
      <c r="F28" s="6"/>
      <c r="G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>
        <v>15</v>
      </c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</row>
    <row r="29" spans="1:92" x14ac:dyDescent="0.25">
      <c r="A29" s="50">
        <v>99000894</v>
      </c>
      <c r="B29" s="10" t="s">
        <v>3400</v>
      </c>
      <c r="C29" s="6"/>
      <c r="D29" s="6"/>
      <c r="E29" s="6"/>
      <c r="F29" s="6"/>
      <c r="G29" s="6"/>
      <c r="J29" s="6"/>
      <c r="K29" s="6"/>
      <c r="L29" s="6"/>
      <c r="M29" s="6"/>
      <c r="N29" s="6"/>
      <c r="O29" s="6"/>
      <c r="P29" s="6"/>
      <c r="Q29" s="6"/>
      <c r="S29" s="6"/>
      <c r="T29" s="6"/>
      <c r="Y29" s="6"/>
      <c r="Z29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</row>
    <row r="30" spans="1:92" x14ac:dyDescent="0.25">
      <c r="A30" s="50">
        <v>99000897</v>
      </c>
      <c r="B30" s="10" t="s">
        <v>3400</v>
      </c>
      <c r="Y30"/>
      <c r="Z30"/>
      <c r="AA30"/>
      <c r="AB30"/>
    </row>
    <row r="31" spans="1:92" x14ac:dyDescent="0.25">
      <c r="A31" s="50">
        <v>99001245</v>
      </c>
      <c r="B31" s="10" t="s">
        <v>3400</v>
      </c>
      <c r="Y31"/>
      <c r="Z31"/>
      <c r="AA31"/>
      <c r="AB31">
        <v>31</v>
      </c>
    </row>
    <row r="32" spans="1:92" x14ac:dyDescent="0.25">
      <c r="A32" s="50">
        <v>99001902</v>
      </c>
      <c r="B32" s="10" t="s">
        <v>3400</v>
      </c>
      <c r="Y32"/>
      <c r="Z32"/>
      <c r="AA32"/>
      <c r="AB32">
        <v>50</v>
      </c>
    </row>
    <row r="33" spans="1:92" x14ac:dyDescent="0.25">
      <c r="A33" s="50">
        <v>99001912</v>
      </c>
      <c r="B33" s="10" t="s">
        <v>3400</v>
      </c>
      <c r="Y33"/>
      <c r="Z33"/>
      <c r="AA33"/>
      <c r="AB33"/>
      <c r="AE33">
        <v>51</v>
      </c>
    </row>
    <row r="34" spans="1:92" x14ac:dyDescent="0.25">
      <c r="A34" s="50">
        <v>99001913</v>
      </c>
      <c r="B34" s="10" t="s">
        <v>3400</v>
      </c>
      <c r="Y34"/>
      <c r="Z34"/>
      <c r="AA34"/>
      <c r="AB34">
        <v>28</v>
      </c>
    </row>
    <row r="35" spans="1:92" x14ac:dyDescent="0.25">
      <c r="A35" s="50">
        <v>99001937</v>
      </c>
      <c r="B35" s="10" t="s">
        <v>3400</v>
      </c>
      <c r="Y35"/>
      <c r="Z35"/>
      <c r="AA35"/>
      <c r="AB35"/>
      <c r="AF35">
        <v>21</v>
      </c>
    </row>
    <row r="36" spans="1:92" x14ac:dyDescent="0.25">
      <c r="A36" s="50">
        <v>99001943</v>
      </c>
      <c r="B36" s="10" t="s">
        <v>3400</v>
      </c>
      <c r="Y36"/>
      <c r="Z36"/>
      <c r="AA36"/>
      <c r="AB36"/>
      <c r="AP36">
        <v>21</v>
      </c>
    </row>
    <row r="37" spans="1:92" x14ac:dyDescent="0.25">
      <c r="A37" s="50">
        <v>99001927</v>
      </c>
      <c r="B37" s="10" t="s">
        <v>3400</v>
      </c>
      <c r="Y37">
        <v>1425</v>
      </c>
      <c r="Z37"/>
      <c r="AA37"/>
      <c r="AB37"/>
    </row>
    <row r="38" spans="1:92" x14ac:dyDescent="0.25">
      <c r="A38" s="50">
        <v>1505</v>
      </c>
      <c r="B38" s="10" t="s">
        <v>3400</v>
      </c>
      <c r="C38" s="6"/>
      <c r="D38" s="6"/>
      <c r="E38" s="6"/>
      <c r="F38" s="6"/>
      <c r="G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>
        <v>28</v>
      </c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</row>
    <row r="39" spans="1:92" x14ac:dyDescent="0.25">
      <c r="A39" s="50">
        <v>1000197</v>
      </c>
      <c r="B39" s="10" t="s">
        <v>3400</v>
      </c>
      <c r="C39" s="6"/>
      <c r="D39" s="6"/>
      <c r="E39" s="6"/>
      <c r="F39" s="6"/>
      <c r="G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F39" s="6"/>
      <c r="AG39" s="6"/>
      <c r="AH39">
        <v>25</v>
      </c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</row>
    <row r="40" spans="1:92" x14ac:dyDescent="0.25">
      <c r="A40" s="50">
        <v>96018835</v>
      </c>
      <c r="B40" s="10" t="s">
        <v>3400</v>
      </c>
      <c r="C40" s="6"/>
      <c r="D40" s="6"/>
      <c r="E40" s="6"/>
      <c r="F40" s="6"/>
      <c r="G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>
        <v>1083</v>
      </c>
      <c r="AB40">
        <v>435</v>
      </c>
      <c r="AC40">
        <v>155</v>
      </c>
      <c r="AD40" s="6"/>
      <c r="AE40">
        <v>68</v>
      </c>
      <c r="AF40" s="6"/>
      <c r="AG40">
        <v>51</v>
      </c>
      <c r="AH40">
        <v>19</v>
      </c>
      <c r="AJ40" s="6"/>
      <c r="AK40">
        <v>24</v>
      </c>
      <c r="AN40" s="6"/>
      <c r="AO40" s="6"/>
      <c r="AP40">
        <v>175</v>
      </c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</row>
    <row r="41" spans="1:92" x14ac:dyDescent="0.25">
      <c r="A41" s="50">
        <v>98008326</v>
      </c>
      <c r="B41" s="10" t="s">
        <v>3400</v>
      </c>
      <c r="C41" s="6"/>
      <c r="D41" s="6"/>
      <c r="E41" s="6"/>
      <c r="F41" s="6"/>
      <c r="G41" s="6"/>
      <c r="J41" s="6"/>
      <c r="K41" s="6"/>
      <c r="L41" s="6"/>
      <c r="M41" s="6"/>
      <c r="N41" s="6"/>
      <c r="O41" s="6"/>
      <c r="P41" s="6"/>
      <c r="Q41" s="6"/>
      <c r="S41" s="6"/>
      <c r="T41" s="6"/>
      <c r="U41">
        <v>28</v>
      </c>
      <c r="Y41" s="6"/>
      <c r="Z41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</row>
    <row r="42" spans="1:92" x14ac:dyDescent="0.25">
      <c r="A42" s="50">
        <v>99000717</v>
      </c>
      <c r="B42" s="10" t="s">
        <v>3400</v>
      </c>
      <c r="C42" s="6"/>
      <c r="D42" s="6"/>
      <c r="E42" s="6"/>
      <c r="F42" s="6"/>
      <c r="G42" s="6"/>
      <c r="J42" s="6"/>
      <c r="K42" s="6"/>
      <c r="L42" s="6"/>
      <c r="M42" s="6"/>
      <c r="N42" s="6"/>
      <c r="O42" s="6"/>
      <c r="P42" s="6"/>
      <c r="Q42" s="6"/>
      <c r="S42" s="6"/>
      <c r="T42" s="6"/>
      <c r="Y42" s="6"/>
      <c r="Z42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>
        <v>31</v>
      </c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</row>
    <row r="43" spans="1:92" x14ac:dyDescent="0.25">
      <c r="C43" s="6"/>
      <c r="D43" s="6"/>
      <c r="E43" s="6"/>
      <c r="F43" s="6"/>
      <c r="G43" s="6"/>
      <c r="J43" s="6"/>
      <c r="K43" s="6"/>
      <c r="L43" s="6"/>
      <c r="M43" s="6"/>
      <c r="N43" s="6"/>
      <c r="O43" s="6"/>
      <c r="P43" s="6"/>
      <c r="Q43" s="6"/>
      <c r="S43" s="6"/>
      <c r="T43" s="6"/>
      <c r="Y43" s="6"/>
      <c r="Z43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</row>
    <row r="44" spans="1:92" x14ac:dyDescent="0.25">
      <c r="A44" s="25" t="s">
        <v>169</v>
      </c>
      <c r="B44" s="25"/>
      <c r="Y44"/>
      <c r="Z44"/>
      <c r="AA44"/>
      <c r="AB44"/>
    </row>
    <row r="45" spans="1:92" x14ac:dyDescent="0.25">
      <c r="A45" s="52" t="s">
        <v>143</v>
      </c>
      <c r="B45" s="10"/>
      <c r="Y45"/>
      <c r="Z45"/>
      <c r="AA45"/>
      <c r="AB45"/>
    </row>
    <row r="46" spans="1:92" x14ac:dyDescent="0.25">
      <c r="A46" s="50">
        <v>6016435</v>
      </c>
      <c r="B46" t="s">
        <v>3347</v>
      </c>
      <c r="Y46"/>
      <c r="Z46"/>
      <c r="AA46"/>
      <c r="AB46"/>
    </row>
    <row r="47" spans="1:92" x14ac:dyDescent="0.25">
      <c r="A47" s="50">
        <v>8045149</v>
      </c>
      <c r="B47" t="s">
        <v>3347</v>
      </c>
      <c r="Y47"/>
      <c r="Z47"/>
      <c r="AA47"/>
      <c r="AB47"/>
    </row>
    <row r="48" spans="1:92" x14ac:dyDescent="0.25">
      <c r="A48" s="50">
        <v>10023001</v>
      </c>
      <c r="B48" t="s">
        <v>3347</v>
      </c>
      <c r="Y48"/>
      <c r="Z48"/>
      <c r="AA48"/>
      <c r="AB48"/>
    </row>
    <row r="49" spans="1:81" x14ac:dyDescent="0.25">
      <c r="A49" s="50">
        <v>10027526</v>
      </c>
      <c r="B49" t="s">
        <v>3347</v>
      </c>
      <c r="Y49"/>
      <c r="Z49"/>
      <c r="AA49"/>
      <c r="AB49"/>
    </row>
    <row r="50" spans="1:81" x14ac:dyDescent="0.25">
      <c r="A50" s="50">
        <v>14222171</v>
      </c>
      <c r="B50" t="s">
        <v>3347</v>
      </c>
      <c r="Y50"/>
      <c r="Z50"/>
      <c r="AA50"/>
      <c r="AB50"/>
    </row>
    <row r="51" spans="1:81" x14ac:dyDescent="0.25">
      <c r="A51" s="50">
        <v>1006143</v>
      </c>
      <c r="B51" t="s">
        <v>3347</v>
      </c>
      <c r="Y51"/>
      <c r="Z51"/>
      <c r="AA51"/>
      <c r="AB51"/>
    </row>
    <row r="52" spans="1:81" x14ac:dyDescent="0.25">
      <c r="A52" s="50">
        <v>6006917</v>
      </c>
      <c r="B52" t="s">
        <v>3347</v>
      </c>
      <c r="Y52">
        <v>54</v>
      </c>
      <c r="Z52"/>
      <c r="AA52"/>
      <c r="AB52"/>
    </row>
    <row r="53" spans="1:81" x14ac:dyDescent="0.25">
      <c r="Y53"/>
      <c r="Z53"/>
      <c r="AA53"/>
      <c r="AB53"/>
    </row>
    <row r="54" spans="1:81" x14ac:dyDescent="0.25">
      <c r="A54" s="52" t="s">
        <v>146</v>
      </c>
      <c r="B54" s="10"/>
      <c r="Y54"/>
      <c r="Z54"/>
      <c r="AA54"/>
      <c r="AB54"/>
    </row>
    <row r="55" spans="1:81" x14ac:dyDescent="0.25">
      <c r="A55" s="50">
        <v>8057159</v>
      </c>
      <c r="B55" s="10" t="s">
        <v>3348</v>
      </c>
      <c r="Y55"/>
      <c r="Z55"/>
      <c r="AA55"/>
      <c r="AB55"/>
    </row>
    <row r="56" spans="1:81" x14ac:dyDescent="0.25">
      <c r="A56" s="50">
        <v>9140312</v>
      </c>
      <c r="B56" s="10" t="s">
        <v>3348</v>
      </c>
      <c r="Y56"/>
      <c r="Z56"/>
      <c r="AA56"/>
      <c r="AB56"/>
    </row>
    <row r="57" spans="1:81" x14ac:dyDescent="0.25">
      <c r="A57" s="50">
        <v>12008230</v>
      </c>
      <c r="B57" s="10" t="s">
        <v>3348</v>
      </c>
      <c r="Y57"/>
      <c r="Z57"/>
      <c r="AA57"/>
      <c r="AB57"/>
    </row>
    <row r="58" spans="1:81" x14ac:dyDescent="0.25">
      <c r="A58" s="50">
        <v>12088444</v>
      </c>
      <c r="B58" s="10" t="s">
        <v>3348</v>
      </c>
      <c r="Y58"/>
      <c r="Z58"/>
      <c r="AA58"/>
      <c r="AB58"/>
      <c r="AC58">
        <v>121</v>
      </c>
      <c r="AI58">
        <v>89</v>
      </c>
      <c r="CC58">
        <v>31</v>
      </c>
    </row>
    <row r="59" spans="1:81" x14ac:dyDescent="0.25">
      <c r="A59" s="50">
        <v>13118872</v>
      </c>
      <c r="B59" s="10" t="s">
        <v>3348</v>
      </c>
      <c r="Y59"/>
      <c r="Z59"/>
      <c r="AA59"/>
      <c r="AB59"/>
    </row>
    <row r="60" spans="1:81" x14ac:dyDescent="0.25">
      <c r="A60" s="50">
        <v>12012030</v>
      </c>
      <c r="B60" s="10" t="s">
        <v>3348</v>
      </c>
      <c r="Y60"/>
      <c r="Z60"/>
      <c r="AA60"/>
      <c r="AB60"/>
    </row>
    <row r="61" spans="1:81" x14ac:dyDescent="0.25">
      <c r="Y61"/>
      <c r="Z61"/>
      <c r="AA61"/>
      <c r="AB61"/>
    </row>
    <row r="62" spans="1:81" x14ac:dyDescent="0.25">
      <c r="A62" s="52" t="s">
        <v>120</v>
      </c>
      <c r="B62" s="10"/>
      <c r="Y62"/>
      <c r="Z62"/>
      <c r="AA62"/>
      <c r="AB62"/>
    </row>
    <row r="63" spans="1:81" x14ac:dyDescent="0.25">
      <c r="A63" s="50">
        <v>9074418</v>
      </c>
      <c r="B63" s="10" t="s">
        <v>3349</v>
      </c>
      <c r="Y63"/>
      <c r="Z63"/>
      <c r="AA63"/>
      <c r="AB63"/>
    </row>
    <row r="64" spans="1:81" x14ac:dyDescent="0.25">
      <c r="A64" s="50">
        <v>1263</v>
      </c>
      <c r="B64" s="10" t="s">
        <v>3349</v>
      </c>
      <c r="Y64"/>
      <c r="Z64"/>
      <c r="AA64"/>
      <c r="AB64"/>
    </row>
    <row r="65" spans="1:92" x14ac:dyDescent="0.25">
      <c r="A65" s="50">
        <v>98004910</v>
      </c>
      <c r="B65" s="10" t="s">
        <v>3349</v>
      </c>
      <c r="Y65">
        <v>47</v>
      </c>
      <c r="Z65"/>
      <c r="AA65"/>
      <c r="AB65"/>
    </row>
    <row r="66" spans="1:92" x14ac:dyDescent="0.25">
      <c r="A66" s="50">
        <v>7103068</v>
      </c>
      <c r="B66" s="10" t="s">
        <v>3349</v>
      </c>
      <c r="Y66"/>
      <c r="Z66"/>
      <c r="AA66"/>
      <c r="AB66"/>
      <c r="AN66">
        <v>30</v>
      </c>
      <c r="AQ66">
        <v>31</v>
      </c>
    </row>
    <row r="67" spans="1:92" x14ac:dyDescent="0.25">
      <c r="A67" s="50">
        <v>11240728</v>
      </c>
      <c r="B67" s="10" t="s">
        <v>3349</v>
      </c>
      <c r="Y67"/>
      <c r="Z67">
        <v>115.2</v>
      </c>
      <c r="AA67">
        <v>114</v>
      </c>
      <c r="AB67"/>
      <c r="AC67">
        <v>151.19999999999999</v>
      </c>
      <c r="AF67">
        <v>40.200000000000003</v>
      </c>
    </row>
    <row r="68" spans="1:92" x14ac:dyDescent="0.25">
      <c r="A68"/>
      <c r="C68" s="6"/>
      <c r="D68" s="6"/>
      <c r="E68" s="6"/>
      <c r="F68" s="6"/>
      <c r="G68" s="6"/>
      <c r="J68" s="6"/>
      <c r="K68" s="6"/>
      <c r="L68" s="6"/>
      <c r="M68" s="6"/>
      <c r="N68" s="6"/>
      <c r="O68" s="6"/>
      <c r="P68" s="6"/>
      <c r="Q68" s="6"/>
      <c r="S68" s="6"/>
      <c r="T68" s="6"/>
      <c r="Y68" s="6"/>
      <c r="Z68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  <c r="BP68" s="6"/>
      <c r="BQ68" s="6"/>
      <c r="BR68" s="6"/>
      <c r="BS68" s="6"/>
      <c r="BT68" s="6"/>
      <c r="BU68" s="6"/>
      <c r="BV68" s="6"/>
      <c r="BW68" s="6"/>
      <c r="BX68" s="6"/>
      <c r="BY68" s="6"/>
      <c r="BZ68" s="6"/>
      <c r="CA68" s="6"/>
      <c r="CB68" s="6"/>
      <c r="CC68" s="6"/>
      <c r="CD68" s="6"/>
      <c r="CE68" s="6"/>
      <c r="CF68" s="6"/>
      <c r="CG68" s="6"/>
      <c r="CH68" s="6"/>
      <c r="CI68" s="6"/>
      <c r="CJ68" s="6"/>
      <c r="CK68" s="6"/>
      <c r="CL68" s="6"/>
      <c r="CM68" s="6"/>
      <c r="CN68" s="6"/>
    </row>
    <row r="69" spans="1:92" x14ac:dyDescent="0.25">
      <c r="A69" s="26" t="s">
        <v>170</v>
      </c>
      <c r="B69" s="26"/>
      <c r="Y69"/>
      <c r="Z69"/>
      <c r="AA69"/>
      <c r="AB69"/>
    </row>
    <row r="70" spans="1:92" x14ac:dyDescent="0.25">
      <c r="A70" s="10" t="s">
        <v>143</v>
      </c>
      <c r="B70" s="10"/>
      <c r="Y70"/>
      <c r="Z70"/>
      <c r="AA70"/>
      <c r="AB70"/>
    </row>
    <row r="71" spans="1:92" x14ac:dyDescent="0.25">
      <c r="A71" s="50">
        <v>5015869</v>
      </c>
      <c r="B71" t="s">
        <v>3350</v>
      </c>
      <c r="Y71"/>
      <c r="Z71">
        <v>595</v>
      </c>
      <c r="AA71"/>
      <c r="AB71"/>
      <c r="AC71">
        <v>563</v>
      </c>
    </row>
    <row r="72" spans="1:92" x14ac:dyDescent="0.25">
      <c r="A72" s="50">
        <v>5016969</v>
      </c>
      <c r="B72" t="s">
        <v>3350</v>
      </c>
      <c r="Y72"/>
      <c r="Z72"/>
      <c r="AA72"/>
      <c r="AB72"/>
    </row>
    <row r="73" spans="1:92" x14ac:dyDescent="0.25">
      <c r="A73" s="50">
        <v>6023231</v>
      </c>
      <c r="B73" t="s">
        <v>3350</v>
      </c>
      <c r="Y73"/>
      <c r="Z73"/>
      <c r="AA73"/>
      <c r="AB73"/>
    </row>
    <row r="74" spans="1:92" x14ac:dyDescent="0.25">
      <c r="A74" s="50">
        <v>6010712</v>
      </c>
      <c r="B74" t="s">
        <v>3350</v>
      </c>
      <c r="Y74"/>
      <c r="Z74"/>
      <c r="AA74"/>
      <c r="AB74"/>
    </row>
    <row r="75" spans="1:92" x14ac:dyDescent="0.25">
      <c r="A75" s="50">
        <v>6011198</v>
      </c>
      <c r="B75" t="s">
        <v>3350</v>
      </c>
      <c r="Y75"/>
      <c r="Z75"/>
      <c r="AA75"/>
      <c r="AB75"/>
    </row>
    <row r="76" spans="1:92" x14ac:dyDescent="0.25">
      <c r="A76" s="50">
        <v>6012681</v>
      </c>
      <c r="B76" t="s">
        <v>3350</v>
      </c>
      <c r="Y76"/>
      <c r="Z76"/>
      <c r="AA76"/>
      <c r="AB76"/>
    </row>
    <row r="77" spans="1:92" x14ac:dyDescent="0.25">
      <c r="A77" s="50">
        <v>6014511</v>
      </c>
      <c r="B77" t="s">
        <v>3350</v>
      </c>
      <c r="Y77"/>
      <c r="Z77"/>
      <c r="AA77"/>
      <c r="AB77"/>
    </row>
    <row r="78" spans="1:92" x14ac:dyDescent="0.25">
      <c r="A78" s="50">
        <v>6045127</v>
      </c>
      <c r="B78" t="s">
        <v>3350</v>
      </c>
      <c r="Y78"/>
      <c r="Z78"/>
      <c r="AA78"/>
      <c r="AB78"/>
    </row>
    <row r="79" spans="1:92" x14ac:dyDescent="0.25">
      <c r="A79" s="50">
        <v>7000458</v>
      </c>
      <c r="B79" t="s">
        <v>3350</v>
      </c>
      <c r="Y79"/>
      <c r="Z79"/>
      <c r="AA79"/>
      <c r="AB79"/>
    </row>
    <row r="80" spans="1:92" x14ac:dyDescent="0.25">
      <c r="A80" s="50">
        <v>7015502</v>
      </c>
      <c r="B80" t="s">
        <v>3350</v>
      </c>
      <c r="Y80"/>
      <c r="Z80"/>
      <c r="AA80"/>
      <c r="AB80"/>
      <c r="AE80">
        <v>55</v>
      </c>
    </row>
    <row r="81" spans="1:59" x14ac:dyDescent="0.25">
      <c r="A81" s="50">
        <v>7025847</v>
      </c>
      <c r="B81" t="s">
        <v>3350</v>
      </c>
      <c r="Y81"/>
      <c r="Z81"/>
      <c r="AA81"/>
      <c r="AB81"/>
    </row>
    <row r="82" spans="1:59" x14ac:dyDescent="0.25">
      <c r="A82" s="50">
        <v>7082707</v>
      </c>
      <c r="B82" t="s">
        <v>3350</v>
      </c>
      <c r="Y82"/>
      <c r="Z82"/>
      <c r="AA82"/>
      <c r="AB82"/>
      <c r="AL82">
        <v>115.2</v>
      </c>
      <c r="AR82">
        <v>101.4</v>
      </c>
    </row>
    <row r="83" spans="1:59" x14ac:dyDescent="0.25">
      <c r="A83" s="50">
        <v>7083159</v>
      </c>
      <c r="B83" t="s">
        <v>3350</v>
      </c>
      <c r="Y83"/>
      <c r="Z83"/>
      <c r="AA83"/>
      <c r="AB83"/>
      <c r="AQ83">
        <v>1316.4</v>
      </c>
    </row>
    <row r="84" spans="1:59" x14ac:dyDescent="0.25">
      <c r="A84" s="50">
        <v>7084659</v>
      </c>
      <c r="B84" t="s">
        <v>3350</v>
      </c>
      <c r="Y84"/>
      <c r="Z84">
        <v>3837.6</v>
      </c>
      <c r="AA84"/>
      <c r="AB84"/>
    </row>
    <row r="85" spans="1:59" x14ac:dyDescent="0.25">
      <c r="A85" s="50">
        <v>7076814</v>
      </c>
      <c r="B85" t="s">
        <v>3350</v>
      </c>
      <c r="Y85"/>
      <c r="Z85"/>
      <c r="AA85"/>
      <c r="AB85"/>
    </row>
    <row r="86" spans="1:59" x14ac:dyDescent="0.25">
      <c r="A86" s="50">
        <v>7076815</v>
      </c>
      <c r="B86" t="s">
        <v>3350</v>
      </c>
      <c r="Y86"/>
      <c r="Z86"/>
      <c r="AA86"/>
      <c r="AB86"/>
    </row>
    <row r="87" spans="1:59" x14ac:dyDescent="0.25">
      <c r="A87" s="50">
        <v>7089231</v>
      </c>
      <c r="B87" t="s">
        <v>3350</v>
      </c>
      <c r="Y87">
        <v>400</v>
      </c>
      <c r="Z87"/>
      <c r="AA87"/>
      <c r="AB87"/>
    </row>
    <row r="88" spans="1:59" x14ac:dyDescent="0.25">
      <c r="A88" s="50">
        <v>7116004</v>
      </c>
      <c r="B88" t="s">
        <v>3350</v>
      </c>
      <c r="Y88">
        <v>67.5</v>
      </c>
      <c r="Z88">
        <v>97</v>
      </c>
      <c r="AA88"/>
      <c r="AB88"/>
    </row>
    <row r="89" spans="1:59" x14ac:dyDescent="0.25">
      <c r="A89" s="50">
        <v>8003819</v>
      </c>
      <c r="B89" t="s">
        <v>3350</v>
      </c>
      <c r="Y89"/>
      <c r="Z89"/>
      <c r="AA89"/>
      <c r="AB89"/>
    </row>
    <row r="90" spans="1:59" x14ac:dyDescent="0.25">
      <c r="A90" s="50">
        <v>8091779</v>
      </c>
      <c r="B90" t="s">
        <v>3350</v>
      </c>
      <c r="Y90"/>
      <c r="Z90"/>
      <c r="AA90"/>
      <c r="AB90"/>
    </row>
    <row r="91" spans="1:59" x14ac:dyDescent="0.25">
      <c r="A91" s="50">
        <v>8097989</v>
      </c>
      <c r="B91" t="s">
        <v>3350</v>
      </c>
      <c r="Y91"/>
      <c r="Z91"/>
      <c r="AA91"/>
      <c r="AB91"/>
    </row>
    <row r="92" spans="1:59" x14ac:dyDescent="0.25">
      <c r="A92" s="50">
        <v>8112522</v>
      </c>
      <c r="B92" t="s">
        <v>3350</v>
      </c>
      <c r="Y92"/>
      <c r="Z92"/>
      <c r="AA92"/>
      <c r="AB92"/>
      <c r="AG92">
        <v>5397</v>
      </c>
      <c r="AI92" s="49">
        <v>13846</v>
      </c>
      <c r="AL92">
        <v>2562</v>
      </c>
    </row>
    <row r="93" spans="1:59" x14ac:dyDescent="0.25">
      <c r="A93" s="50">
        <v>8127397</v>
      </c>
      <c r="B93" t="s">
        <v>3350</v>
      </c>
      <c r="Y93"/>
      <c r="Z93"/>
      <c r="AA93"/>
      <c r="AB93"/>
    </row>
    <row r="94" spans="1:59" x14ac:dyDescent="0.25">
      <c r="A94" s="50">
        <v>8130998</v>
      </c>
      <c r="B94" t="s">
        <v>3350</v>
      </c>
      <c r="Y94"/>
      <c r="Z94">
        <v>342</v>
      </c>
      <c r="AA94">
        <v>211</v>
      </c>
      <c r="AB94"/>
      <c r="AC94">
        <v>80</v>
      </c>
    </row>
    <row r="95" spans="1:59" x14ac:dyDescent="0.25">
      <c r="A95" s="50">
        <v>9002836</v>
      </c>
      <c r="B95" t="s">
        <v>3350</v>
      </c>
      <c r="Y95"/>
      <c r="Z95"/>
      <c r="AA95"/>
      <c r="AB95"/>
    </row>
    <row r="96" spans="1:59" x14ac:dyDescent="0.25">
      <c r="A96" s="50">
        <v>9003331</v>
      </c>
      <c r="B96" t="s">
        <v>3350</v>
      </c>
      <c r="Y96"/>
      <c r="Z96"/>
      <c r="AA96"/>
      <c r="AB96"/>
      <c r="AU96">
        <v>904.2</v>
      </c>
      <c r="BG96">
        <v>315</v>
      </c>
    </row>
    <row r="97" spans="1:88" x14ac:dyDescent="0.25">
      <c r="A97" s="50">
        <v>9003370</v>
      </c>
      <c r="B97" t="s">
        <v>3350</v>
      </c>
      <c r="Y97"/>
      <c r="Z97">
        <v>77.400000000000006</v>
      </c>
      <c r="AA97"/>
      <c r="AB97"/>
    </row>
    <row r="98" spans="1:88" x14ac:dyDescent="0.25">
      <c r="A98" s="50">
        <v>9016278</v>
      </c>
      <c r="B98" t="s">
        <v>3350</v>
      </c>
      <c r="R98">
        <v>235.8</v>
      </c>
      <c r="W98">
        <v>192.6</v>
      </c>
      <c r="Y98"/>
      <c r="Z98"/>
      <c r="AA98"/>
      <c r="AB98">
        <v>178.8</v>
      </c>
      <c r="AF98">
        <v>244.8</v>
      </c>
    </row>
    <row r="99" spans="1:88" x14ac:dyDescent="0.25">
      <c r="A99" s="50">
        <v>9030684</v>
      </c>
      <c r="B99" t="s">
        <v>3350</v>
      </c>
      <c r="Y99"/>
      <c r="Z99"/>
      <c r="AA99"/>
      <c r="AB99"/>
      <c r="AO99">
        <v>28.8</v>
      </c>
    </row>
    <row r="100" spans="1:88" x14ac:dyDescent="0.25">
      <c r="A100" s="50">
        <v>9031387</v>
      </c>
      <c r="B100" t="s">
        <v>3350</v>
      </c>
      <c r="Y100"/>
      <c r="Z100"/>
      <c r="AA100"/>
      <c r="AB100"/>
      <c r="AU100">
        <v>34.799999999999997</v>
      </c>
    </row>
    <row r="101" spans="1:88" x14ac:dyDescent="0.25">
      <c r="A101" s="50">
        <v>9038676</v>
      </c>
      <c r="B101" t="s">
        <v>3350</v>
      </c>
      <c r="Y101"/>
      <c r="Z101">
        <v>12.6</v>
      </c>
      <c r="AA101"/>
      <c r="AB101"/>
    </row>
    <row r="102" spans="1:88" x14ac:dyDescent="0.25">
      <c r="A102" s="50">
        <v>9039416</v>
      </c>
      <c r="B102" t="s">
        <v>3350</v>
      </c>
      <c r="Y102"/>
      <c r="Z102"/>
      <c r="AA102"/>
      <c r="AB102"/>
      <c r="AC102">
        <v>43.8</v>
      </c>
    </row>
    <row r="103" spans="1:88" x14ac:dyDescent="0.25">
      <c r="A103" s="50">
        <v>9042861</v>
      </c>
      <c r="B103" t="s">
        <v>3350</v>
      </c>
      <c r="Y103"/>
      <c r="Z103"/>
      <c r="AA103"/>
      <c r="AB103"/>
      <c r="AP103">
        <v>37.200000000000003</v>
      </c>
      <c r="AS103">
        <v>13.8</v>
      </c>
    </row>
    <row r="104" spans="1:88" x14ac:dyDescent="0.25">
      <c r="A104" s="50">
        <v>9044899</v>
      </c>
      <c r="B104" t="s">
        <v>3350</v>
      </c>
      <c r="Y104"/>
      <c r="Z104"/>
      <c r="AA104"/>
      <c r="AB104">
        <v>36</v>
      </c>
      <c r="AE104">
        <v>21</v>
      </c>
      <c r="AH104">
        <v>21</v>
      </c>
    </row>
    <row r="105" spans="1:88" x14ac:dyDescent="0.25">
      <c r="A105" s="50">
        <v>9052398</v>
      </c>
      <c r="B105" t="s">
        <v>3350</v>
      </c>
      <c r="Y105"/>
      <c r="Z105">
        <v>97.2</v>
      </c>
      <c r="AA105"/>
      <c r="AB105">
        <v>70.2</v>
      </c>
    </row>
    <row r="106" spans="1:88" x14ac:dyDescent="0.25">
      <c r="A106" s="50">
        <v>9085204</v>
      </c>
      <c r="B106" t="s">
        <v>3350</v>
      </c>
      <c r="Y106"/>
      <c r="Z106"/>
      <c r="AA106"/>
      <c r="AB106">
        <v>394</v>
      </c>
    </row>
    <row r="107" spans="1:88" x14ac:dyDescent="0.25">
      <c r="A107" s="50">
        <v>9090323</v>
      </c>
      <c r="B107" t="s">
        <v>3350</v>
      </c>
      <c r="Y107"/>
      <c r="Z107"/>
      <c r="AA107"/>
      <c r="AB107"/>
    </row>
    <row r="108" spans="1:88" x14ac:dyDescent="0.25">
      <c r="A108" s="50">
        <v>9105492</v>
      </c>
      <c r="B108" t="s">
        <v>3350</v>
      </c>
      <c r="Y108"/>
      <c r="Z108">
        <v>45</v>
      </c>
      <c r="AA108">
        <v>533</v>
      </c>
      <c r="AB108">
        <v>548</v>
      </c>
      <c r="AC108">
        <v>210</v>
      </c>
      <c r="AG108">
        <v>56</v>
      </c>
      <c r="AK108">
        <v>35</v>
      </c>
    </row>
    <row r="109" spans="1:88" x14ac:dyDescent="0.25">
      <c r="A109" s="50">
        <v>9138470</v>
      </c>
      <c r="B109" t="s">
        <v>3350</v>
      </c>
      <c r="Y109"/>
      <c r="Z109">
        <v>19.8</v>
      </c>
      <c r="AA109"/>
      <c r="AB109"/>
    </row>
    <row r="110" spans="1:88" x14ac:dyDescent="0.25">
      <c r="A110" s="50">
        <v>9150676</v>
      </c>
      <c r="B110" t="s">
        <v>3350</v>
      </c>
      <c r="Y110"/>
      <c r="Z110"/>
      <c r="AA110"/>
      <c r="AB110"/>
      <c r="CJ110">
        <v>66</v>
      </c>
    </row>
    <row r="111" spans="1:88" x14ac:dyDescent="0.25">
      <c r="A111" s="50">
        <v>10010926</v>
      </c>
      <c r="B111" t="s">
        <v>3350</v>
      </c>
      <c r="Y111"/>
      <c r="Z111">
        <v>11.1</v>
      </c>
      <c r="AA111"/>
      <c r="AB111">
        <v>16.100000000000001</v>
      </c>
    </row>
    <row r="112" spans="1:88" x14ac:dyDescent="0.25">
      <c r="A112" s="50">
        <v>10016588</v>
      </c>
      <c r="B112" t="s">
        <v>3350</v>
      </c>
      <c r="Y112"/>
      <c r="Z112"/>
      <c r="AA112"/>
      <c r="AB112"/>
    </row>
    <row r="113" spans="1:77" x14ac:dyDescent="0.25">
      <c r="A113" s="50">
        <v>10030897</v>
      </c>
      <c r="B113" t="s">
        <v>3350</v>
      </c>
      <c r="J113">
        <v>29</v>
      </c>
      <c r="Y113"/>
      <c r="Z113">
        <v>366</v>
      </c>
      <c r="AA113"/>
      <c r="AB113"/>
      <c r="AE113">
        <v>57</v>
      </c>
      <c r="AM113">
        <v>44</v>
      </c>
    </row>
    <row r="114" spans="1:77" x14ac:dyDescent="0.25">
      <c r="A114" s="50">
        <v>324</v>
      </c>
      <c r="B114" t="s">
        <v>3350</v>
      </c>
      <c r="Y114"/>
      <c r="Z114">
        <v>29.2</v>
      </c>
      <c r="AA114"/>
      <c r="AB114"/>
      <c r="BA114">
        <v>11.6</v>
      </c>
    </row>
    <row r="115" spans="1:77" x14ac:dyDescent="0.25">
      <c r="A115" s="50">
        <v>3909</v>
      </c>
      <c r="B115" t="s">
        <v>3350</v>
      </c>
      <c r="Y115"/>
      <c r="Z115"/>
      <c r="AA115"/>
      <c r="AB115"/>
      <c r="AD115">
        <v>160</v>
      </c>
      <c r="BY115">
        <v>113</v>
      </c>
    </row>
    <row r="116" spans="1:77" x14ac:dyDescent="0.25">
      <c r="A116" s="50">
        <v>4663</v>
      </c>
      <c r="B116" t="s">
        <v>3350</v>
      </c>
      <c r="L116">
        <v>28.2</v>
      </c>
      <c r="Y116"/>
      <c r="Z116"/>
      <c r="AA116"/>
      <c r="AB116"/>
      <c r="AJ116" s="50"/>
      <c r="AK116" s="50"/>
      <c r="AL116" s="50"/>
      <c r="AM116" s="50"/>
      <c r="AN116" s="50"/>
      <c r="AO116" s="50"/>
    </row>
    <row r="117" spans="1:77" x14ac:dyDescent="0.25">
      <c r="A117" s="50">
        <v>1005522</v>
      </c>
      <c r="B117" t="s">
        <v>3350</v>
      </c>
      <c r="H117">
        <v>8</v>
      </c>
      <c r="K117">
        <v>8</v>
      </c>
      <c r="Y117"/>
      <c r="Z117">
        <v>28</v>
      </c>
      <c r="AA117"/>
      <c r="AB117"/>
      <c r="AH117">
        <v>8</v>
      </c>
      <c r="AN117">
        <v>9</v>
      </c>
    </row>
    <row r="118" spans="1:77" x14ac:dyDescent="0.25">
      <c r="A118" s="50">
        <v>1007631</v>
      </c>
      <c r="B118" t="s">
        <v>3350</v>
      </c>
      <c r="Y118"/>
      <c r="Z118"/>
      <c r="AA118">
        <v>22</v>
      </c>
      <c r="AB118"/>
      <c r="AK118">
        <v>36</v>
      </c>
      <c r="AY118">
        <v>15</v>
      </c>
    </row>
    <row r="119" spans="1:77" x14ac:dyDescent="0.25">
      <c r="A119" s="50">
        <v>1009760</v>
      </c>
      <c r="B119" t="s">
        <v>3350</v>
      </c>
      <c r="Y119"/>
      <c r="Z119"/>
      <c r="AA119"/>
      <c r="AB119"/>
      <c r="AC119">
        <v>441.8</v>
      </c>
      <c r="AE119">
        <v>484.1</v>
      </c>
      <c r="AI119">
        <v>584.5</v>
      </c>
      <c r="AK119">
        <v>445.5</v>
      </c>
      <c r="AO119">
        <v>350.9</v>
      </c>
    </row>
    <row r="120" spans="1:77" x14ac:dyDescent="0.25">
      <c r="A120" s="50">
        <v>2000646</v>
      </c>
      <c r="B120" t="s">
        <v>3350</v>
      </c>
      <c r="Y120"/>
      <c r="Z120">
        <v>216</v>
      </c>
      <c r="AA120">
        <v>293</v>
      </c>
      <c r="AB120"/>
      <c r="AG120">
        <v>52</v>
      </c>
      <c r="AH120">
        <v>52</v>
      </c>
      <c r="AI120">
        <v>49</v>
      </c>
      <c r="AJ120">
        <v>50</v>
      </c>
    </row>
    <row r="121" spans="1:77" x14ac:dyDescent="0.25">
      <c r="A121" s="50">
        <v>2003761</v>
      </c>
      <c r="B121" t="s">
        <v>3350</v>
      </c>
      <c r="Y121"/>
      <c r="Z121"/>
      <c r="AA121"/>
      <c r="AB121"/>
    </row>
    <row r="122" spans="1:77" x14ac:dyDescent="0.25">
      <c r="A122" s="50">
        <v>2004061</v>
      </c>
      <c r="B122" t="s">
        <v>3350</v>
      </c>
      <c r="Y122"/>
      <c r="Z122"/>
      <c r="AA122"/>
      <c r="AB122"/>
    </row>
    <row r="123" spans="1:77" x14ac:dyDescent="0.25">
      <c r="A123" s="50">
        <v>2006469</v>
      </c>
      <c r="B123" t="s">
        <v>3350</v>
      </c>
      <c r="Y123">
        <v>254</v>
      </c>
      <c r="Z123">
        <v>137</v>
      </c>
      <c r="AA123"/>
      <c r="AB123"/>
    </row>
    <row r="124" spans="1:77" x14ac:dyDescent="0.25">
      <c r="A124" s="50">
        <v>3005132</v>
      </c>
      <c r="B124" t="s">
        <v>3350</v>
      </c>
      <c r="Y124"/>
      <c r="Z124"/>
      <c r="AA124"/>
      <c r="AB124"/>
    </row>
    <row r="125" spans="1:77" x14ac:dyDescent="0.25">
      <c r="A125" s="50">
        <v>3009119</v>
      </c>
      <c r="B125" t="s">
        <v>3350</v>
      </c>
      <c r="Y125"/>
      <c r="Z125"/>
      <c r="AA125"/>
      <c r="AB125"/>
    </row>
    <row r="126" spans="1:77" x14ac:dyDescent="0.25">
      <c r="A126" s="50">
        <v>3009936</v>
      </c>
      <c r="B126" t="s">
        <v>3350</v>
      </c>
      <c r="Y126"/>
      <c r="Z126"/>
      <c r="AA126"/>
      <c r="AB126"/>
    </row>
    <row r="127" spans="1:77" x14ac:dyDescent="0.25">
      <c r="A127" s="50">
        <v>3011094</v>
      </c>
      <c r="B127" t="s">
        <v>3350</v>
      </c>
      <c r="Y127"/>
      <c r="Z127"/>
      <c r="AA127"/>
      <c r="AB127"/>
    </row>
    <row r="128" spans="1:77" x14ac:dyDescent="0.25">
      <c r="A128" s="50">
        <v>3014643</v>
      </c>
      <c r="B128" t="s">
        <v>3350</v>
      </c>
      <c r="Y128"/>
      <c r="Z128">
        <v>134</v>
      </c>
      <c r="AA128"/>
      <c r="AB128"/>
      <c r="AQ128">
        <v>34</v>
      </c>
      <c r="BL128">
        <v>17.5</v>
      </c>
    </row>
    <row r="129" spans="1:86" x14ac:dyDescent="0.25">
      <c r="A129" s="50">
        <v>3016056</v>
      </c>
      <c r="B129" t="s">
        <v>3350</v>
      </c>
      <c r="Y129"/>
      <c r="Z129">
        <v>85</v>
      </c>
      <c r="AA129"/>
      <c r="AB129"/>
      <c r="CG129">
        <v>100</v>
      </c>
      <c r="CH129">
        <v>82</v>
      </c>
    </row>
    <row r="130" spans="1:86" x14ac:dyDescent="0.25">
      <c r="A130" s="50">
        <v>3900219</v>
      </c>
      <c r="B130" t="s">
        <v>3350</v>
      </c>
      <c r="P130">
        <v>18</v>
      </c>
      <c r="R130">
        <v>16</v>
      </c>
      <c r="Y130"/>
      <c r="Z130">
        <v>20</v>
      </c>
      <c r="AA130"/>
      <c r="AB130"/>
      <c r="AO130">
        <v>17</v>
      </c>
    </row>
    <row r="131" spans="1:86" x14ac:dyDescent="0.25">
      <c r="A131" s="50">
        <v>4000158</v>
      </c>
      <c r="B131" t="s">
        <v>3350</v>
      </c>
      <c r="Y131"/>
      <c r="Z131"/>
      <c r="AA131">
        <v>48</v>
      </c>
      <c r="AB131">
        <v>39.6</v>
      </c>
      <c r="AJ131">
        <v>22.8</v>
      </c>
    </row>
    <row r="132" spans="1:86" x14ac:dyDescent="0.25">
      <c r="A132" s="50">
        <v>4000304</v>
      </c>
      <c r="B132" t="s">
        <v>3350</v>
      </c>
      <c r="Y132"/>
      <c r="Z132">
        <v>455</v>
      </c>
      <c r="AA132"/>
      <c r="AB132"/>
    </row>
    <row r="133" spans="1:86" x14ac:dyDescent="0.25">
      <c r="A133" s="50">
        <v>4001905</v>
      </c>
      <c r="B133" t="s">
        <v>3350</v>
      </c>
      <c r="Y133"/>
      <c r="Z133">
        <v>217</v>
      </c>
      <c r="AA133">
        <v>185</v>
      </c>
      <c r="AB133">
        <v>122</v>
      </c>
      <c r="AC133">
        <v>95</v>
      </c>
      <c r="AD133">
        <v>75</v>
      </c>
      <c r="AG133">
        <v>47</v>
      </c>
    </row>
    <row r="134" spans="1:86" x14ac:dyDescent="0.25">
      <c r="A134" s="50">
        <v>4002206</v>
      </c>
      <c r="B134" t="s">
        <v>3350</v>
      </c>
      <c r="Y134"/>
      <c r="Z134" s="3">
        <v>20.399999999999999</v>
      </c>
      <c r="AA134"/>
      <c r="AB134"/>
    </row>
    <row r="135" spans="1:86" x14ac:dyDescent="0.25">
      <c r="A135" s="50">
        <v>4002715</v>
      </c>
      <c r="B135" t="s">
        <v>3350</v>
      </c>
      <c r="Y135"/>
      <c r="Z135"/>
      <c r="AA135"/>
      <c r="AB135"/>
      <c r="AJ135">
        <v>96</v>
      </c>
      <c r="AS135">
        <v>40</v>
      </c>
      <c r="BC135">
        <v>27</v>
      </c>
    </row>
    <row r="136" spans="1:86" x14ac:dyDescent="0.25">
      <c r="A136" s="50">
        <v>4003924</v>
      </c>
      <c r="B136" t="s">
        <v>3350</v>
      </c>
      <c r="Y136"/>
      <c r="Z136"/>
      <c r="AA136">
        <v>692</v>
      </c>
      <c r="AB136"/>
    </row>
    <row r="137" spans="1:86" x14ac:dyDescent="0.25">
      <c r="A137" s="50">
        <v>4006051</v>
      </c>
      <c r="B137" t="s">
        <v>3350</v>
      </c>
      <c r="Y137"/>
      <c r="Z137"/>
      <c r="AA137"/>
      <c r="AB137"/>
    </row>
    <row r="138" spans="1:86" x14ac:dyDescent="0.25">
      <c r="A138" s="50">
        <v>4008140</v>
      </c>
      <c r="B138" t="s">
        <v>3350</v>
      </c>
      <c r="Y138">
        <v>243</v>
      </c>
      <c r="Z138"/>
      <c r="AA138"/>
      <c r="AB138"/>
    </row>
    <row r="139" spans="1:86" x14ac:dyDescent="0.25">
      <c r="A139" s="50">
        <v>4009906</v>
      </c>
      <c r="B139" t="s">
        <v>3350</v>
      </c>
      <c r="Y139"/>
      <c r="Z139"/>
      <c r="AA139">
        <v>37</v>
      </c>
      <c r="AB139"/>
      <c r="BB139">
        <v>31</v>
      </c>
      <c r="BZ139">
        <v>26</v>
      </c>
      <c r="CF139">
        <v>41</v>
      </c>
    </row>
    <row r="140" spans="1:86" x14ac:dyDescent="0.25">
      <c r="A140" s="50">
        <v>4011027</v>
      </c>
      <c r="B140" t="s">
        <v>3350</v>
      </c>
      <c r="Y140"/>
      <c r="Z140"/>
      <c r="AA140">
        <v>37.200000000000003</v>
      </c>
      <c r="AB140">
        <v>31.8</v>
      </c>
    </row>
    <row r="141" spans="1:86" x14ac:dyDescent="0.25">
      <c r="A141" s="50">
        <v>4011920</v>
      </c>
      <c r="B141" t="s">
        <v>3350</v>
      </c>
      <c r="Y141"/>
      <c r="Z141"/>
      <c r="AA141">
        <v>259</v>
      </c>
      <c r="AB141"/>
      <c r="AK141">
        <v>25</v>
      </c>
      <c r="AU141">
        <v>23</v>
      </c>
    </row>
    <row r="142" spans="1:86" x14ac:dyDescent="0.25">
      <c r="A142" s="50">
        <v>4012248</v>
      </c>
      <c r="B142" t="s">
        <v>3350</v>
      </c>
      <c r="Y142"/>
      <c r="Z142">
        <v>79</v>
      </c>
      <c r="AA142">
        <v>67</v>
      </c>
      <c r="AB142"/>
      <c r="AC142">
        <v>52</v>
      </c>
      <c r="AH142">
        <v>75</v>
      </c>
      <c r="AM142">
        <v>29</v>
      </c>
      <c r="AT142">
        <v>19</v>
      </c>
      <c r="BE142">
        <v>17</v>
      </c>
    </row>
    <row r="143" spans="1:86" x14ac:dyDescent="0.25">
      <c r="A143" s="50">
        <v>4013603</v>
      </c>
      <c r="B143" t="s">
        <v>3350</v>
      </c>
      <c r="Y143"/>
      <c r="Z143">
        <v>134</v>
      </c>
      <c r="AA143"/>
      <c r="AB143"/>
    </row>
    <row r="144" spans="1:86" x14ac:dyDescent="0.25">
      <c r="A144" s="50">
        <v>5004654</v>
      </c>
      <c r="B144" t="s">
        <v>3350</v>
      </c>
      <c r="Y144"/>
      <c r="Z144"/>
      <c r="AA144">
        <v>2465</v>
      </c>
      <c r="AB144">
        <v>2456</v>
      </c>
      <c r="AC144">
        <v>1673</v>
      </c>
      <c r="AD144">
        <v>1836</v>
      </c>
      <c r="AE144">
        <v>2072</v>
      </c>
      <c r="AF144">
        <v>1527</v>
      </c>
      <c r="AH144">
        <v>493</v>
      </c>
      <c r="AJ144">
        <v>177</v>
      </c>
      <c r="AN144">
        <v>65</v>
      </c>
      <c r="AP144">
        <v>52</v>
      </c>
    </row>
    <row r="145" spans="1:92" x14ac:dyDescent="0.25">
      <c r="A145" s="54"/>
      <c r="B145" s="65"/>
      <c r="Y145"/>
      <c r="Z145"/>
      <c r="AA145"/>
      <c r="AB145"/>
    </row>
    <row r="146" spans="1:92" x14ac:dyDescent="0.25">
      <c r="A146" s="52" t="s">
        <v>146</v>
      </c>
      <c r="B146" s="10"/>
      <c r="Y146"/>
      <c r="Z146"/>
      <c r="AA146"/>
      <c r="AB146"/>
    </row>
    <row r="147" spans="1:92" x14ac:dyDescent="0.25">
      <c r="A147" s="50">
        <v>4289</v>
      </c>
      <c r="B147" t="s">
        <v>3351</v>
      </c>
      <c r="Y147"/>
      <c r="Z147"/>
      <c r="AA147">
        <v>197</v>
      </c>
      <c r="AB147">
        <v>1015</v>
      </c>
    </row>
    <row r="148" spans="1:92" x14ac:dyDescent="0.25">
      <c r="A148" s="50">
        <v>500245</v>
      </c>
      <c r="B148" t="s">
        <v>3351</v>
      </c>
      <c r="Y148"/>
      <c r="Z148">
        <v>184</v>
      </c>
      <c r="AA148">
        <v>298</v>
      </c>
      <c r="AB148">
        <v>296.8</v>
      </c>
      <c r="AC148">
        <v>265</v>
      </c>
      <c r="AE148">
        <v>116.3</v>
      </c>
      <c r="AI148">
        <v>72.099999999999994</v>
      </c>
    </row>
    <row r="149" spans="1:92" x14ac:dyDescent="0.25">
      <c r="A149" s="50">
        <v>2002573</v>
      </c>
      <c r="B149" t="s">
        <v>3351</v>
      </c>
      <c r="Y149"/>
      <c r="Z149"/>
      <c r="AA149"/>
      <c r="AB149"/>
      <c r="AG149">
        <v>136</v>
      </c>
      <c r="AL149">
        <v>214</v>
      </c>
      <c r="AP149">
        <v>299</v>
      </c>
    </row>
    <row r="150" spans="1:92" x14ac:dyDescent="0.25">
      <c r="A150" s="50">
        <v>2003539</v>
      </c>
      <c r="B150" t="s">
        <v>3351</v>
      </c>
      <c r="Y150"/>
      <c r="Z150"/>
      <c r="AA150"/>
      <c r="AB150"/>
      <c r="AG150">
        <v>145</v>
      </c>
    </row>
    <row r="151" spans="1:92" x14ac:dyDescent="0.25">
      <c r="A151" s="50">
        <v>2003649</v>
      </c>
      <c r="B151" t="s">
        <v>3351</v>
      </c>
      <c r="F151">
        <v>65.400000000000006</v>
      </c>
      <c r="R151" s="3">
        <v>94.8</v>
      </c>
      <c r="U151" s="3"/>
      <c r="Y151"/>
      <c r="Z151">
        <v>102</v>
      </c>
      <c r="AA151"/>
      <c r="AB151"/>
      <c r="AG151">
        <v>70.8</v>
      </c>
      <c r="AL151" s="3">
        <v>78.599999999999994</v>
      </c>
      <c r="AQ151">
        <v>65.400000000000006</v>
      </c>
      <c r="BZ151" s="3">
        <v>94.8</v>
      </c>
      <c r="CA151" s="3"/>
      <c r="CB151" s="3"/>
    </row>
    <row r="152" spans="1:92" x14ac:dyDescent="0.25">
      <c r="A152" s="50">
        <v>2005572</v>
      </c>
      <c r="B152" t="s">
        <v>3351</v>
      </c>
      <c r="Y152"/>
      <c r="Z152">
        <v>1178</v>
      </c>
      <c r="AA152"/>
      <c r="AB152">
        <v>83.9</v>
      </c>
      <c r="AE152">
        <v>21.9</v>
      </c>
    </row>
    <row r="153" spans="1:92" x14ac:dyDescent="0.25">
      <c r="A153" s="50">
        <v>2013117</v>
      </c>
      <c r="B153" t="s">
        <v>3351</v>
      </c>
      <c r="Y153"/>
      <c r="Z153"/>
      <c r="AA153"/>
      <c r="AB153"/>
    </row>
    <row r="154" spans="1:92" x14ac:dyDescent="0.25">
      <c r="A154" s="50">
        <v>3009633</v>
      </c>
      <c r="B154" t="s">
        <v>3351</v>
      </c>
      <c r="Y154"/>
      <c r="Z154"/>
      <c r="AA154"/>
      <c r="AB154"/>
      <c r="AN154">
        <v>844.8</v>
      </c>
      <c r="AR154">
        <v>132</v>
      </c>
      <c r="AT154">
        <v>59.4</v>
      </c>
      <c r="AV154">
        <v>63</v>
      </c>
    </row>
    <row r="155" spans="1:92" x14ac:dyDescent="0.25">
      <c r="A155" s="50">
        <v>3010583</v>
      </c>
      <c r="B155" t="s">
        <v>3351</v>
      </c>
      <c r="Y155" s="14">
        <v>240</v>
      </c>
      <c r="Z155">
        <v>852</v>
      </c>
      <c r="AA155"/>
      <c r="AB155"/>
      <c r="BD155">
        <v>852</v>
      </c>
    </row>
    <row r="156" spans="1:92" x14ac:dyDescent="0.25">
      <c r="A156" s="23">
        <v>3011892</v>
      </c>
      <c r="B156" t="s">
        <v>3351</v>
      </c>
      <c r="Y156"/>
      <c r="Z156"/>
      <c r="AA156"/>
      <c r="AB156"/>
      <c r="AI156">
        <v>1880</v>
      </c>
      <c r="AR156">
        <v>131</v>
      </c>
      <c r="AW156">
        <v>61</v>
      </c>
    </row>
    <row r="157" spans="1:92" x14ac:dyDescent="0.25">
      <c r="A157">
        <v>4001382</v>
      </c>
      <c r="B157" t="s">
        <v>3351</v>
      </c>
      <c r="Y157"/>
      <c r="Z157">
        <v>1161</v>
      </c>
      <c r="AA157"/>
      <c r="AB157"/>
      <c r="AN157" s="14">
        <v>64</v>
      </c>
      <c r="AO157" s="14">
        <v>72.332999999999998</v>
      </c>
    </row>
    <row r="158" spans="1:92" x14ac:dyDescent="0.25">
      <c r="A158" s="50">
        <v>5018675</v>
      </c>
      <c r="B158" t="s">
        <v>3351</v>
      </c>
      <c r="Y158"/>
      <c r="Z158"/>
      <c r="AA158"/>
      <c r="AB158"/>
      <c r="AF158">
        <v>1542</v>
      </c>
    </row>
    <row r="159" spans="1:92" x14ac:dyDescent="0.25">
      <c r="A159" s="50">
        <v>6050168</v>
      </c>
      <c r="B159" t="s">
        <v>3351</v>
      </c>
      <c r="Z159"/>
      <c r="AA159"/>
      <c r="AB159"/>
    </row>
    <row r="160" spans="1:92" x14ac:dyDescent="0.25">
      <c r="A160" s="50">
        <v>5006592</v>
      </c>
      <c r="B160" t="s">
        <v>3351</v>
      </c>
      <c r="Y160"/>
      <c r="Z160">
        <v>164</v>
      </c>
      <c r="AA160"/>
      <c r="AB160"/>
      <c r="BR160">
        <v>68</v>
      </c>
      <c r="CL160">
        <v>126</v>
      </c>
      <c r="CN160">
        <v>60</v>
      </c>
    </row>
    <row r="161" spans="1:89" x14ac:dyDescent="0.25">
      <c r="A161" s="50">
        <v>5007274</v>
      </c>
      <c r="B161" t="s">
        <v>3351</v>
      </c>
      <c r="Y161"/>
      <c r="Z161">
        <v>2114</v>
      </c>
      <c r="AA161"/>
      <c r="AB161"/>
      <c r="AL161">
        <v>180</v>
      </c>
    </row>
    <row r="162" spans="1:89" x14ac:dyDescent="0.25">
      <c r="A162" s="50">
        <v>5015851</v>
      </c>
      <c r="B162" t="s">
        <v>3351</v>
      </c>
      <c r="Y162"/>
      <c r="Z162" s="14">
        <v>535.20000000000005</v>
      </c>
      <c r="AA162"/>
      <c r="AB162"/>
      <c r="BF162">
        <v>39</v>
      </c>
      <c r="BP162">
        <v>42</v>
      </c>
      <c r="CE162" s="3">
        <v>23.4</v>
      </c>
      <c r="CK162">
        <v>19.8</v>
      </c>
    </row>
    <row r="163" spans="1:89" x14ac:dyDescent="0.25">
      <c r="A163" s="50">
        <v>6015647</v>
      </c>
      <c r="B163" t="s">
        <v>3351</v>
      </c>
      <c r="Y163"/>
      <c r="Z163">
        <v>726</v>
      </c>
      <c r="AA163">
        <v>622</v>
      </c>
      <c r="AB163">
        <v>558</v>
      </c>
      <c r="AC163">
        <v>481</v>
      </c>
      <c r="AD163">
        <v>454</v>
      </c>
      <c r="AF163">
        <v>596</v>
      </c>
      <c r="AG163">
        <v>596</v>
      </c>
      <c r="AI163">
        <v>688</v>
      </c>
      <c r="AN163">
        <v>516</v>
      </c>
      <c r="AX163">
        <v>67</v>
      </c>
      <c r="CB163">
        <v>400</v>
      </c>
      <c r="CD163" s="23">
        <v>21</v>
      </c>
    </row>
    <row r="164" spans="1:89" x14ac:dyDescent="0.25">
      <c r="A164" s="50">
        <v>6056633</v>
      </c>
      <c r="B164" t="s">
        <v>3351</v>
      </c>
      <c r="Y164"/>
      <c r="Z164"/>
      <c r="AA164"/>
      <c r="AB164"/>
    </row>
    <row r="165" spans="1:89" x14ac:dyDescent="0.25">
      <c r="A165" s="50">
        <v>7086224</v>
      </c>
      <c r="B165" t="s">
        <v>3351</v>
      </c>
      <c r="Y165"/>
      <c r="Z165"/>
      <c r="AA165"/>
      <c r="AB165"/>
      <c r="AJ165">
        <v>1463.4</v>
      </c>
      <c r="AO165">
        <v>1153.8</v>
      </c>
      <c r="AW165">
        <v>210</v>
      </c>
      <c r="BB165">
        <v>112.2</v>
      </c>
    </row>
    <row r="166" spans="1:89" x14ac:dyDescent="0.25">
      <c r="A166" s="50">
        <v>8040959</v>
      </c>
      <c r="B166" t="s">
        <v>3351</v>
      </c>
      <c r="X166">
        <v>543.1</v>
      </c>
      <c r="Y166"/>
      <c r="Z166"/>
      <c r="AA166"/>
      <c r="AB166"/>
    </row>
    <row r="167" spans="1:89" x14ac:dyDescent="0.25">
      <c r="A167" s="50">
        <v>8107048</v>
      </c>
      <c r="B167" t="s">
        <v>3351</v>
      </c>
      <c r="Y167"/>
      <c r="Z167">
        <v>570</v>
      </c>
      <c r="AA167"/>
      <c r="AB167"/>
      <c r="AJ167">
        <v>276</v>
      </c>
    </row>
    <row r="168" spans="1:89" x14ac:dyDescent="0.25">
      <c r="A168" s="50">
        <v>8124044</v>
      </c>
      <c r="B168" t="s">
        <v>3351</v>
      </c>
      <c r="Y168"/>
      <c r="Z168">
        <v>199</v>
      </c>
      <c r="AA168"/>
      <c r="AB168"/>
      <c r="AK168">
        <v>1002</v>
      </c>
      <c r="AN168">
        <v>1378</v>
      </c>
      <c r="AR168">
        <v>510</v>
      </c>
      <c r="AU168">
        <v>160</v>
      </c>
      <c r="AZ168">
        <v>60</v>
      </c>
      <c r="BL168">
        <v>1002</v>
      </c>
      <c r="BN168">
        <v>1378</v>
      </c>
      <c r="BP168">
        <v>1194</v>
      </c>
      <c r="BQ168">
        <v>501</v>
      </c>
      <c r="BS168">
        <v>160</v>
      </c>
      <c r="BV168">
        <v>144</v>
      </c>
    </row>
    <row r="169" spans="1:89" x14ac:dyDescent="0.25">
      <c r="A169" s="50">
        <v>8142949</v>
      </c>
      <c r="B169" t="s">
        <v>3351</v>
      </c>
      <c r="Y169"/>
      <c r="Z169"/>
      <c r="AA169"/>
      <c r="AB169"/>
      <c r="AI169">
        <v>309</v>
      </c>
      <c r="AK169">
        <v>369</v>
      </c>
      <c r="AO169">
        <v>261</v>
      </c>
      <c r="AW169">
        <v>39</v>
      </c>
    </row>
    <row r="170" spans="1:89" x14ac:dyDescent="0.25">
      <c r="A170" s="50">
        <v>9023306</v>
      </c>
      <c r="B170" t="s">
        <v>3351</v>
      </c>
      <c r="Y170"/>
      <c r="Z170"/>
      <c r="AA170"/>
      <c r="AB170"/>
      <c r="AC170">
        <v>227.4</v>
      </c>
      <c r="AD170">
        <v>157.80000000000001</v>
      </c>
      <c r="AE170">
        <v>37.799999999999997</v>
      </c>
      <c r="AH170">
        <v>30</v>
      </c>
    </row>
    <row r="171" spans="1:89" x14ac:dyDescent="0.25">
      <c r="A171" s="50">
        <v>9030615</v>
      </c>
      <c r="B171" t="s">
        <v>3351</v>
      </c>
      <c r="Y171"/>
      <c r="Z171"/>
      <c r="AA171"/>
      <c r="AB171"/>
      <c r="AC171">
        <v>84</v>
      </c>
      <c r="AI171">
        <v>173.4</v>
      </c>
      <c r="AO171">
        <v>571.79999999999995</v>
      </c>
      <c r="AQ171" t="s">
        <v>2169</v>
      </c>
    </row>
    <row r="172" spans="1:89" x14ac:dyDescent="0.25">
      <c r="A172" s="50">
        <v>9034464</v>
      </c>
      <c r="B172" t="s">
        <v>3351</v>
      </c>
      <c r="Y172"/>
      <c r="Z172"/>
      <c r="AA172"/>
      <c r="AB172"/>
    </row>
    <row r="173" spans="1:89" x14ac:dyDescent="0.25">
      <c r="A173" s="50">
        <v>9040167</v>
      </c>
      <c r="B173" t="s">
        <v>3351</v>
      </c>
      <c r="Y173"/>
      <c r="Z173"/>
      <c r="AA173"/>
      <c r="AB173"/>
    </row>
    <row r="174" spans="1:89" x14ac:dyDescent="0.25">
      <c r="A174" s="50">
        <v>9054567</v>
      </c>
      <c r="B174" t="s">
        <v>3351</v>
      </c>
      <c r="Y174">
        <v>1331</v>
      </c>
      <c r="Z174"/>
      <c r="AA174"/>
      <c r="AB174"/>
    </row>
    <row r="175" spans="1:89" x14ac:dyDescent="0.25">
      <c r="A175" s="50">
        <v>9083682</v>
      </c>
      <c r="B175" t="s">
        <v>3351</v>
      </c>
      <c r="Y175"/>
      <c r="Z175">
        <v>997</v>
      </c>
      <c r="AA175"/>
      <c r="AB175"/>
      <c r="BM175">
        <v>35</v>
      </c>
    </row>
    <row r="176" spans="1:89" x14ac:dyDescent="0.25">
      <c r="A176" s="50">
        <v>9102044</v>
      </c>
      <c r="B176" t="s">
        <v>3351</v>
      </c>
      <c r="Y176"/>
      <c r="Z176">
        <v>1110</v>
      </c>
      <c r="AA176"/>
      <c r="AB176">
        <v>1212</v>
      </c>
      <c r="AC176">
        <v>1056</v>
      </c>
      <c r="AM176">
        <v>672</v>
      </c>
      <c r="BY176">
        <v>34</v>
      </c>
    </row>
    <row r="177" spans="1:91" x14ac:dyDescent="0.25">
      <c r="A177" s="50">
        <v>9119854</v>
      </c>
      <c r="B177" t="s">
        <v>3351</v>
      </c>
      <c r="S177">
        <v>23</v>
      </c>
      <c r="Y177"/>
      <c r="Z177"/>
      <c r="AA177"/>
      <c r="AB177"/>
      <c r="AD177">
        <v>346</v>
      </c>
      <c r="AF177">
        <v>99</v>
      </c>
      <c r="AG177">
        <v>92</v>
      </c>
      <c r="AK177">
        <v>200</v>
      </c>
      <c r="AM177">
        <v>235</v>
      </c>
      <c r="AS177">
        <v>140</v>
      </c>
      <c r="AU177">
        <v>126</v>
      </c>
    </row>
    <row r="178" spans="1:91" x14ac:dyDescent="0.25">
      <c r="A178" s="50">
        <v>9125126</v>
      </c>
      <c r="B178" t="s">
        <v>3351</v>
      </c>
      <c r="Y178"/>
      <c r="Z178"/>
      <c r="AA178"/>
      <c r="AB178"/>
      <c r="AC178">
        <v>232</v>
      </c>
      <c r="BK178">
        <v>23</v>
      </c>
    </row>
    <row r="179" spans="1:91" x14ac:dyDescent="0.25">
      <c r="A179" s="50">
        <v>9174811</v>
      </c>
      <c r="B179" t="s">
        <v>3351</v>
      </c>
      <c r="Y179"/>
      <c r="Z179">
        <v>99</v>
      </c>
      <c r="AA179">
        <v>83</v>
      </c>
      <c r="AB179"/>
      <c r="AI179">
        <v>60</v>
      </c>
      <c r="BJ179">
        <v>463</v>
      </c>
      <c r="BX179">
        <v>41</v>
      </c>
    </row>
    <row r="180" spans="1:91" x14ac:dyDescent="0.25">
      <c r="A180" s="50">
        <v>10002875</v>
      </c>
      <c r="B180" t="s">
        <v>3351</v>
      </c>
      <c r="Y180"/>
      <c r="Z180"/>
      <c r="AA180">
        <v>137.4</v>
      </c>
      <c r="AB180">
        <v>118.8</v>
      </c>
      <c r="AC180">
        <v>127.2</v>
      </c>
      <c r="AD180">
        <v>151.80000000000001</v>
      </c>
      <c r="AE180">
        <v>161.4</v>
      </c>
      <c r="AF180" s="14">
        <v>200</v>
      </c>
      <c r="AN180">
        <v>145</v>
      </c>
      <c r="AV180">
        <v>211</v>
      </c>
      <c r="BA180">
        <v>231</v>
      </c>
    </row>
    <row r="181" spans="1:91" x14ac:dyDescent="0.25">
      <c r="A181" s="50">
        <v>10023080</v>
      </c>
      <c r="B181" t="s">
        <v>3351</v>
      </c>
      <c r="Y181">
        <v>94</v>
      </c>
      <c r="Z181"/>
      <c r="AA181"/>
      <c r="AB181"/>
      <c r="BD181">
        <v>35</v>
      </c>
    </row>
    <row r="182" spans="1:91" x14ac:dyDescent="0.25">
      <c r="A182" s="50">
        <v>10025212</v>
      </c>
      <c r="B182" t="s">
        <v>3351</v>
      </c>
      <c r="Y182"/>
      <c r="Z182"/>
      <c r="AA182"/>
      <c r="AB182"/>
      <c r="AP182">
        <v>525</v>
      </c>
      <c r="AR182">
        <v>1087</v>
      </c>
      <c r="AS182">
        <v>940</v>
      </c>
      <c r="BD182">
        <v>364</v>
      </c>
      <c r="BO182">
        <v>28</v>
      </c>
    </row>
    <row r="183" spans="1:91" x14ac:dyDescent="0.25">
      <c r="A183" s="50">
        <v>10069407</v>
      </c>
      <c r="B183" t="s">
        <v>3351</v>
      </c>
      <c r="G183">
        <v>76</v>
      </c>
      <c r="Y183"/>
      <c r="Z183">
        <v>279</v>
      </c>
      <c r="AA183"/>
      <c r="AB183"/>
      <c r="AG183">
        <v>147</v>
      </c>
      <c r="AY183">
        <v>17</v>
      </c>
    </row>
    <row r="184" spans="1:91" x14ac:dyDescent="0.25">
      <c r="A184" s="50">
        <v>10071135</v>
      </c>
      <c r="B184" t="s">
        <v>3351</v>
      </c>
      <c r="Y184"/>
      <c r="Z184"/>
      <c r="AA184"/>
      <c r="AB184"/>
      <c r="AL184">
        <v>52.2</v>
      </c>
      <c r="AN184" s="3">
        <v>40.799999999999997</v>
      </c>
      <c r="AP184" s="3">
        <v>47.4</v>
      </c>
      <c r="AT184">
        <v>52.2</v>
      </c>
    </row>
    <row r="185" spans="1:91" x14ac:dyDescent="0.25">
      <c r="A185" s="50">
        <v>10083649</v>
      </c>
      <c r="B185" t="s">
        <v>3351</v>
      </c>
      <c r="Y185"/>
      <c r="Z185">
        <v>89</v>
      </c>
      <c r="AA185">
        <v>49</v>
      </c>
      <c r="AB185"/>
    </row>
    <row r="186" spans="1:91" x14ac:dyDescent="0.25">
      <c r="A186" s="50">
        <v>10102021</v>
      </c>
      <c r="B186" t="s">
        <v>3351</v>
      </c>
      <c r="Y186"/>
      <c r="Z186"/>
      <c r="AA186">
        <v>55.2</v>
      </c>
      <c r="AB186"/>
      <c r="AC186">
        <v>55.2</v>
      </c>
    </row>
    <row r="187" spans="1:91" x14ac:dyDescent="0.25">
      <c r="A187" s="50">
        <v>10123729</v>
      </c>
      <c r="B187" t="s">
        <v>3351</v>
      </c>
      <c r="Y187"/>
      <c r="Z187">
        <v>93.6</v>
      </c>
      <c r="AA187">
        <v>139</v>
      </c>
      <c r="AB187"/>
      <c r="AC187">
        <v>37</v>
      </c>
      <c r="AK187">
        <v>47.4</v>
      </c>
      <c r="CI187">
        <v>42</v>
      </c>
    </row>
    <row r="188" spans="1:91" x14ac:dyDescent="0.25">
      <c r="A188" s="50">
        <v>10144736</v>
      </c>
      <c r="B188" t="s">
        <v>3351</v>
      </c>
      <c r="I188">
        <v>12</v>
      </c>
      <c r="Y188"/>
      <c r="Z188">
        <v>204</v>
      </c>
      <c r="AA188">
        <v>131</v>
      </c>
      <c r="AB188"/>
      <c r="AC188">
        <v>19</v>
      </c>
    </row>
    <row r="189" spans="1:91" x14ac:dyDescent="0.25">
      <c r="A189" s="50">
        <v>10157275</v>
      </c>
      <c r="B189" t="s">
        <v>3351</v>
      </c>
      <c r="Y189"/>
      <c r="Z189"/>
      <c r="AA189">
        <v>462</v>
      </c>
      <c r="AB189"/>
      <c r="BE189">
        <v>38</v>
      </c>
      <c r="BI189">
        <v>462</v>
      </c>
      <c r="CD189">
        <v>125</v>
      </c>
      <c r="CM189">
        <v>102</v>
      </c>
    </row>
    <row r="190" spans="1:91" x14ac:dyDescent="0.25">
      <c r="A190" s="54"/>
      <c r="B190" s="65"/>
      <c r="Y190"/>
      <c r="Z190"/>
      <c r="AA190"/>
      <c r="AB190"/>
    </row>
    <row r="191" spans="1:91" x14ac:dyDescent="0.25">
      <c r="A191" s="52" t="s">
        <v>120</v>
      </c>
      <c r="B191" s="10"/>
      <c r="Y191"/>
      <c r="Z191"/>
      <c r="AA191"/>
      <c r="AB191"/>
    </row>
    <row r="192" spans="1:91" x14ac:dyDescent="0.25">
      <c r="A192" s="50">
        <v>5281</v>
      </c>
      <c r="B192" t="s">
        <v>3352</v>
      </c>
      <c r="Y192">
        <v>5300</v>
      </c>
      <c r="Z192"/>
      <c r="AA192"/>
      <c r="AB192"/>
      <c r="AG192">
        <v>136</v>
      </c>
    </row>
    <row r="193" spans="1:83" x14ac:dyDescent="0.25">
      <c r="A193" s="50">
        <v>200085</v>
      </c>
      <c r="B193" t="s">
        <v>3352</v>
      </c>
      <c r="M193">
        <v>14</v>
      </c>
      <c r="N193">
        <v>14</v>
      </c>
      <c r="U193">
        <v>26</v>
      </c>
      <c r="Y193">
        <v>125</v>
      </c>
      <c r="Z193">
        <v>42</v>
      </c>
      <c r="AA193">
        <v>88</v>
      </c>
      <c r="AB193">
        <v>104</v>
      </c>
      <c r="AC193">
        <v>125</v>
      </c>
      <c r="AD193">
        <v>105</v>
      </c>
      <c r="AE193">
        <v>70</v>
      </c>
      <c r="AF193">
        <v>51</v>
      </c>
      <c r="AG193">
        <v>41</v>
      </c>
      <c r="AI193">
        <v>36</v>
      </c>
      <c r="AK193">
        <v>21</v>
      </c>
      <c r="AO193">
        <v>17</v>
      </c>
      <c r="AR193">
        <v>12</v>
      </c>
      <c r="AV193">
        <v>13</v>
      </c>
      <c r="AX193">
        <v>13</v>
      </c>
    </row>
    <row r="194" spans="1:83" x14ac:dyDescent="0.25">
      <c r="A194" s="50">
        <v>500129</v>
      </c>
      <c r="B194" t="s">
        <v>3352</v>
      </c>
      <c r="Y194"/>
      <c r="Z194"/>
      <c r="AA194"/>
      <c r="AB194"/>
      <c r="AE194">
        <v>29.9</v>
      </c>
      <c r="AG194">
        <v>52</v>
      </c>
      <c r="AI194">
        <v>4125</v>
      </c>
      <c r="AK194">
        <v>2577</v>
      </c>
      <c r="AL194">
        <v>1223</v>
      </c>
      <c r="AS194">
        <v>132</v>
      </c>
      <c r="BE194">
        <v>269</v>
      </c>
      <c r="BF194">
        <v>125</v>
      </c>
      <c r="CE194">
        <v>120</v>
      </c>
    </row>
    <row r="195" spans="1:83" x14ac:dyDescent="0.25">
      <c r="A195" s="53">
        <v>1002033</v>
      </c>
      <c r="B195" t="s">
        <v>3352</v>
      </c>
      <c r="K195">
        <v>9</v>
      </c>
      <c r="S195">
        <v>22</v>
      </c>
      <c r="Y195"/>
      <c r="Z195">
        <v>47</v>
      </c>
      <c r="AA195"/>
      <c r="AB195"/>
      <c r="AE195">
        <v>18</v>
      </c>
      <c r="AS195">
        <v>13</v>
      </c>
      <c r="BG195">
        <v>17</v>
      </c>
    </row>
    <row r="196" spans="1:83" x14ac:dyDescent="0.25">
      <c r="A196" s="50">
        <v>1003457</v>
      </c>
      <c r="B196" t="s">
        <v>3352</v>
      </c>
      <c r="Y196"/>
      <c r="Z196">
        <v>75</v>
      </c>
      <c r="AA196"/>
      <c r="AB196"/>
    </row>
    <row r="197" spans="1:83" x14ac:dyDescent="0.25">
      <c r="A197" s="50">
        <v>2005223</v>
      </c>
      <c r="B197" t="s">
        <v>3352</v>
      </c>
      <c r="Y197"/>
      <c r="Z197">
        <v>84.6</v>
      </c>
      <c r="AA197"/>
      <c r="AB197">
        <v>111</v>
      </c>
      <c r="AQ197">
        <v>96</v>
      </c>
    </row>
    <row r="198" spans="1:83" x14ac:dyDescent="0.25">
      <c r="A198" s="50">
        <v>2006107</v>
      </c>
      <c r="B198" t="s">
        <v>3352</v>
      </c>
      <c r="Y198"/>
      <c r="Z198"/>
      <c r="AA198"/>
      <c r="AB198"/>
    </row>
    <row r="199" spans="1:83" x14ac:dyDescent="0.25">
      <c r="A199" s="50">
        <v>2012014</v>
      </c>
      <c r="B199" t="s">
        <v>3352</v>
      </c>
      <c r="O199">
        <v>7</v>
      </c>
      <c r="Y199"/>
      <c r="Z199"/>
      <c r="AA199"/>
      <c r="AB199"/>
    </row>
    <row r="200" spans="1:83" x14ac:dyDescent="0.25">
      <c r="A200" s="50">
        <v>3000152</v>
      </c>
      <c r="B200" t="s">
        <v>3352</v>
      </c>
      <c r="Y200" s="14">
        <v>17.34</v>
      </c>
      <c r="Z200"/>
      <c r="AA200"/>
      <c r="AB200"/>
    </row>
    <row r="201" spans="1:83" x14ac:dyDescent="0.25">
      <c r="A201" s="50">
        <v>3014566</v>
      </c>
      <c r="B201" t="s">
        <v>3352</v>
      </c>
      <c r="Y201"/>
      <c r="Z201">
        <v>49</v>
      </c>
      <c r="AA201"/>
      <c r="AB201"/>
    </row>
    <row r="202" spans="1:83" x14ac:dyDescent="0.25">
      <c r="A202" s="50">
        <v>3015058</v>
      </c>
      <c r="B202" t="s">
        <v>3352</v>
      </c>
      <c r="O202">
        <v>19</v>
      </c>
      <c r="Y202"/>
      <c r="Z202"/>
      <c r="AA202">
        <v>127</v>
      </c>
      <c r="AB202">
        <v>66</v>
      </c>
      <c r="AH202">
        <v>42</v>
      </c>
    </row>
    <row r="203" spans="1:83" x14ac:dyDescent="0.25">
      <c r="A203" s="53">
        <v>4000996</v>
      </c>
      <c r="B203" t="s">
        <v>3352</v>
      </c>
      <c r="Y203"/>
      <c r="Z203"/>
      <c r="AA203"/>
      <c r="AB203">
        <v>71.400000000000006</v>
      </c>
      <c r="AC203" s="3">
        <v>55.8</v>
      </c>
      <c r="AG203">
        <v>79.2</v>
      </c>
      <c r="AN203">
        <v>19.2</v>
      </c>
    </row>
    <row r="204" spans="1:83" x14ac:dyDescent="0.25">
      <c r="A204" s="50">
        <v>4003768</v>
      </c>
      <c r="B204" t="s">
        <v>3352</v>
      </c>
      <c r="T204">
        <v>15</v>
      </c>
      <c r="W204">
        <v>10</v>
      </c>
      <c r="Y204"/>
      <c r="Z204">
        <v>506</v>
      </c>
      <c r="AA204">
        <v>4543</v>
      </c>
      <c r="AB204">
        <v>4396</v>
      </c>
      <c r="AC204">
        <v>1897</v>
      </c>
    </row>
    <row r="205" spans="1:83" x14ac:dyDescent="0.25">
      <c r="A205" s="50">
        <v>4006540</v>
      </c>
      <c r="B205" t="s">
        <v>3352</v>
      </c>
      <c r="Y205"/>
      <c r="Z205"/>
      <c r="AA205"/>
      <c r="AB205"/>
      <c r="AJ205" s="3">
        <v>1485.6</v>
      </c>
      <c r="AK205">
        <v>1614</v>
      </c>
      <c r="AN205">
        <v>1728</v>
      </c>
      <c r="AQ205">
        <v>912</v>
      </c>
    </row>
    <row r="206" spans="1:83" x14ac:dyDescent="0.25">
      <c r="A206" s="50">
        <v>4007054</v>
      </c>
      <c r="B206" t="s">
        <v>3352</v>
      </c>
      <c r="Y206"/>
      <c r="Z206">
        <v>20.5</v>
      </c>
      <c r="AA206"/>
      <c r="AB206"/>
      <c r="AD206">
        <v>161</v>
      </c>
    </row>
    <row r="207" spans="1:83" x14ac:dyDescent="0.25">
      <c r="A207" s="50">
        <v>4011002</v>
      </c>
      <c r="B207" t="s">
        <v>3352</v>
      </c>
      <c r="Z207">
        <v>457.8</v>
      </c>
      <c r="AA207">
        <v>362.4</v>
      </c>
      <c r="AB207"/>
      <c r="AE207" s="3">
        <v>178.2</v>
      </c>
      <c r="AH207">
        <v>229.8</v>
      </c>
    </row>
    <row r="208" spans="1:83" x14ac:dyDescent="0.25">
      <c r="A208" s="50">
        <v>4900268</v>
      </c>
      <c r="B208" t="s">
        <v>3352</v>
      </c>
      <c r="Y208" s="14">
        <v>9489</v>
      </c>
      <c r="Z208"/>
      <c r="AA208"/>
      <c r="AB208"/>
      <c r="AC208">
        <v>4612</v>
      </c>
    </row>
    <row r="209" spans="1:44" x14ac:dyDescent="0.25">
      <c r="A209" s="50">
        <v>5001097</v>
      </c>
      <c r="B209" t="s">
        <v>3352</v>
      </c>
      <c r="R209">
        <v>22</v>
      </c>
      <c r="S209">
        <v>22</v>
      </c>
      <c r="Z209">
        <v>36</v>
      </c>
      <c r="AA209"/>
      <c r="AB209"/>
      <c r="AD209">
        <v>18</v>
      </c>
      <c r="AH209">
        <v>17</v>
      </c>
    </row>
    <row r="210" spans="1:44" x14ac:dyDescent="0.25">
      <c r="A210" s="50">
        <v>5001098</v>
      </c>
      <c r="B210" t="s">
        <v>3352</v>
      </c>
      <c r="N210">
        <v>64</v>
      </c>
      <c r="Q210">
        <v>53</v>
      </c>
      <c r="R210">
        <v>54</v>
      </c>
      <c r="U210">
        <v>57</v>
      </c>
      <c r="Y210"/>
      <c r="Z210">
        <v>57</v>
      </c>
      <c r="AA210"/>
      <c r="AB210"/>
    </row>
    <row r="211" spans="1:44" x14ac:dyDescent="0.25">
      <c r="A211" s="50">
        <v>5006152</v>
      </c>
      <c r="B211" t="s">
        <v>3352</v>
      </c>
      <c r="W211">
        <v>22.8</v>
      </c>
      <c r="Y211"/>
      <c r="Z211"/>
      <c r="AA211">
        <v>7231.8</v>
      </c>
      <c r="AB211"/>
    </row>
    <row r="212" spans="1:44" x14ac:dyDescent="0.25">
      <c r="A212" s="50">
        <v>6012361</v>
      </c>
      <c r="B212" t="s">
        <v>3352</v>
      </c>
      <c r="Y212"/>
      <c r="Z212"/>
      <c r="AA212"/>
      <c r="AB212">
        <v>147.6</v>
      </c>
      <c r="AC212">
        <v>126</v>
      </c>
    </row>
    <row r="213" spans="1:44" x14ac:dyDescent="0.25">
      <c r="A213" s="50">
        <v>6015793</v>
      </c>
      <c r="B213" t="s">
        <v>3352</v>
      </c>
      <c r="X213">
        <v>31</v>
      </c>
      <c r="Y213"/>
      <c r="Z213">
        <v>4875</v>
      </c>
      <c r="AA213">
        <v>1371</v>
      </c>
      <c r="AB213"/>
      <c r="AD213">
        <v>98</v>
      </c>
    </row>
    <row r="214" spans="1:44" x14ac:dyDescent="0.25">
      <c r="A214" s="50">
        <v>6043619</v>
      </c>
      <c r="B214" t="s">
        <v>3352</v>
      </c>
      <c r="Y214"/>
      <c r="Z214">
        <v>3306.6</v>
      </c>
      <c r="AA214"/>
      <c r="AB214"/>
    </row>
    <row r="215" spans="1:44" x14ac:dyDescent="0.25">
      <c r="A215" s="50">
        <v>7001097</v>
      </c>
      <c r="B215" t="s">
        <v>3352</v>
      </c>
      <c r="W215">
        <v>16</v>
      </c>
      <c r="X215">
        <v>53</v>
      </c>
      <c r="Y215"/>
      <c r="Z215">
        <v>42</v>
      </c>
      <c r="AA215">
        <v>35</v>
      </c>
      <c r="AB215">
        <v>49</v>
      </c>
      <c r="AC215">
        <v>34</v>
      </c>
      <c r="AD215">
        <v>28</v>
      </c>
      <c r="AE215">
        <v>47</v>
      </c>
      <c r="AG215">
        <v>123</v>
      </c>
      <c r="AH215">
        <v>25</v>
      </c>
      <c r="AM215">
        <v>26</v>
      </c>
      <c r="AN215">
        <v>52</v>
      </c>
      <c r="AO215">
        <v>41</v>
      </c>
    </row>
    <row r="216" spans="1:44" x14ac:dyDescent="0.25">
      <c r="A216" s="50">
        <v>7011435</v>
      </c>
      <c r="B216" t="s">
        <v>3352</v>
      </c>
      <c r="W216">
        <v>23.5</v>
      </c>
      <c r="Y216"/>
      <c r="Z216">
        <v>516</v>
      </c>
      <c r="AA216"/>
      <c r="AB216">
        <v>292</v>
      </c>
      <c r="AF216">
        <v>119</v>
      </c>
    </row>
    <row r="217" spans="1:44" x14ac:dyDescent="0.25">
      <c r="A217" s="50">
        <v>7045811</v>
      </c>
      <c r="B217" t="s">
        <v>3352</v>
      </c>
      <c r="Y217"/>
      <c r="Z217">
        <v>61.2</v>
      </c>
      <c r="AA217"/>
      <c r="AB217"/>
      <c r="AD217">
        <v>5346</v>
      </c>
      <c r="AK217">
        <v>110.4</v>
      </c>
    </row>
    <row r="218" spans="1:44" x14ac:dyDescent="0.25">
      <c r="A218" s="50">
        <v>7071198</v>
      </c>
      <c r="B218" t="s">
        <v>3352</v>
      </c>
      <c r="Y218"/>
      <c r="Z218"/>
      <c r="AA218"/>
      <c r="AB218"/>
    </row>
    <row r="219" spans="1:44" x14ac:dyDescent="0.25">
      <c r="A219" s="50">
        <v>7101143</v>
      </c>
      <c r="B219" t="s">
        <v>3352</v>
      </c>
      <c r="Y219"/>
      <c r="Z219">
        <v>778</v>
      </c>
      <c r="AA219"/>
      <c r="AB219">
        <v>908</v>
      </c>
      <c r="AC219">
        <v>746</v>
      </c>
      <c r="AG219">
        <v>532</v>
      </c>
      <c r="AJ219">
        <v>305</v>
      </c>
      <c r="AL219">
        <v>196</v>
      </c>
    </row>
    <row r="220" spans="1:44" x14ac:dyDescent="0.25">
      <c r="A220" s="50">
        <v>8073350</v>
      </c>
      <c r="B220" t="s">
        <v>3352</v>
      </c>
      <c r="Y220"/>
      <c r="Z220"/>
      <c r="AA220"/>
      <c r="AB220"/>
    </row>
    <row r="221" spans="1:44" x14ac:dyDescent="0.25">
      <c r="A221" s="50">
        <v>8073645</v>
      </c>
      <c r="B221" t="s">
        <v>3352</v>
      </c>
      <c r="Y221"/>
      <c r="Z221"/>
      <c r="AA221">
        <v>2189.3333333333298</v>
      </c>
      <c r="AB221"/>
    </row>
    <row r="222" spans="1:44" x14ac:dyDescent="0.25">
      <c r="A222" s="53">
        <v>8089666</v>
      </c>
      <c r="B222" t="s">
        <v>3352</v>
      </c>
      <c r="V222">
        <v>74</v>
      </c>
      <c r="W222">
        <v>16</v>
      </c>
      <c r="X222">
        <v>15</v>
      </c>
      <c r="Y222"/>
      <c r="Z222" s="14">
        <v>4190.5</v>
      </c>
      <c r="AA222">
        <v>5322</v>
      </c>
      <c r="AB222"/>
    </row>
    <row r="223" spans="1:44" x14ac:dyDescent="0.25">
      <c r="A223" s="50">
        <v>8103536</v>
      </c>
      <c r="B223" t="s">
        <v>3352</v>
      </c>
      <c r="Y223">
        <v>66</v>
      </c>
      <c r="Z223"/>
      <c r="AA223"/>
      <c r="AB223"/>
    </row>
    <row r="224" spans="1:44" x14ac:dyDescent="0.25">
      <c r="A224" s="50">
        <v>8124816</v>
      </c>
      <c r="B224" t="s">
        <v>3352</v>
      </c>
      <c r="Y224"/>
      <c r="Z224">
        <v>63</v>
      </c>
      <c r="AA224"/>
      <c r="AB224"/>
      <c r="AC224">
        <v>60</v>
      </c>
      <c r="AG224">
        <v>21</v>
      </c>
      <c r="AM224">
        <v>13</v>
      </c>
      <c r="AR224">
        <v>42</v>
      </c>
    </row>
    <row r="225" spans="1:68" x14ac:dyDescent="0.25">
      <c r="A225" s="50">
        <v>9003267</v>
      </c>
      <c r="B225" t="s">
        <v>3352</v>
      </c>
      <c r="Y225"/>
      <c r="Z225"/>
      <c r="AA225">
        <v>240</v>
      </c>
      <c r="AB225"/>
      <c r="AC225">
        <v>342</v>
      </c>
      <c r="AF225">
        <v>330</v>
      </c>
      <c r="AJ225">
        <v>276</v>
      </c>
      <c r="AK225">
        <v>263.39999999999998</v>
      </c>
      <c r="BH225">
        <v>29.4</v>
      </c>
    </row>
    <row r="226" spans="1:68" x14ac:dyDescent="0.25">
      <c r="A226" s="50">
        <v>9036964</v>
      </c>
      <c r="B226" t="s">
        <v>3352</v>
      </c>
      <c r="D226">
        <v>50.4</v>
      </c>
      <c r="E226">
        <v>83.7</v>
      </c>
      <c r="H226">
        <v>15</v>
      </c>
      <c r="Y226"/>
      <c r="Z226">
        <v>307</v>
      </c>
      <c r="AA226">
        <v>357</v>
      </c>
      <c r="AB226">
        <v>405</v>
      </c>
      <c r="AF226">
        <v>130</v>
      </c>
    </row>
    <row r="227" spans="1:68" x14ac:dyDescent="0.25">
      <c r="A227" s="50">
        <v>9090287</v>
      </c>
      <c r="B227" t="s">
        <v>3352</v>
      </c>
      <c r="Y227"/>
      <c r="Z227"/>
      <c r="AA227"/>
      <c r="AB227">
        <v>7837</v>
      </c>
      <c r="AC227">
        <v>4410</v>
      </c>
      <c r="AD227">
        <v>817</v>
      </c>
      <c r="AE227">
        <v>291</v>
      </c>
      <c r="AF227">
        <v>131</v>
      </c>
    </row>
    <row r="228" spans="1:68" x14ac:dyDescent="0.25">
      <c r="A228" s="50">
        <v>9095148</v>
      </c>
      <c r="B228" t="s">
        <v>3352</v>
      </c>
      <c r="Y228"/>
      <c r="Z228"/>
      <c r="AA228"/>
      <c r="AB228"/>
    </row>
    <row r="229" spans="1:68" x14ac:dyDescent="0.25">
      <c r="A229" s="50">
        <v>9104979</v>
      </c>
      <c r="B229" t="s">
        <v>3352</v>
      </c>
      <c r="Y229"/>
      <c r="Z229"/>
      <c r="AA229"/>
      <c r="AB229"/>
      <c r="AC229">
        <v>196</v>
      </c>
      <c r="AF229">
        <v>153</v>
      </c>
      <c r="AJ229">
        <v>249</v>
      </c>
      <c r="AN229">
        <v>156</v>
      </c>
      <c r="BE229">
        <v>106</v>
      </c>
      <c r="BO229">
        <v>62</v>
      </c>
    </row>
    <row r="230" spans="1:68" x14ac:dyDescent="0.25">
      <c r="A230" s="50">
        <v>9139514</v>
      </c>
      <c r="B230" t="s">
        <v>3352</v>
      </c>
      <c r="Y230"/>
      <c r="Z230"/>
      <c r="AA230"/>
      <c r="AB230"/>
      <c r="AJ230">
        <v>1773</v>
      </c>
      <c r="AN230">
        <v>2057</v>
      </c>
      <c r="AO230">
        <v>1986</v>
      </c>
      <c r="BA230">
        <v>717</v>
      </c>
      <c r="BP230">
        <v>164</v>
      </c>
    </row>
    <row r="231" spans="1:68" x14ac:dyDescent="0.25">
      <c r="A231" s="50">
        <v>10020659</v>
      </c>
      <c r="B231" t="s">
        <v>3352</v>
      </c>
      <c r="C231">
        <v>76.2</v>
      </c>
      <c r="Z231" s="50">
        <v>624</v>
      </c>
      <c r="AA231" s="50">
        <v>360</v>
      </c>
      <c r="AH231">
        <v>67.8</v>
      </c>
    </row>
    <row r="232" spans="1:68" x14ac:dyDescent="0.25">
      <c r="A232" s="50">
        <v>10025902</v>
      </c>
      <c r="B232" t="s">
        <v>3352</v>
      </c>
      <c r="Z232" s="50">
        <v>751.2</v>
      </c>
      <c r="AA232" s="50">
        <v>618</v>
      </c>
      <c r="AF232" s="3">
        <v>446.4</v>
      </c>
      <c r="AG232">
        <v>306</v>
      </c>
      <c r="AJ232">
        <v>132.6</v>
      </c>
      <c r="AM232">
        <v>52.2</v>
      </c>
    </row>
    <row r="233" spans="1:68" x14ac:dyDescent="0.25">
      <c r="A233" s="50">
        <v>10027654</v>
      </c>
      <c r="B233" t="s">
        <v>3352</v>
      </c>
      <c r="AA233" s="50">
        <v>32</v>
      </c>
      <c r="AE233">
        <v>61</v>
      </c>
      <c r="AM233">
        <v>39</v>
      </c>
      <c r="BB233">
        <v>26</v>
      </c>
    </row>
    <row r="234" spans="1:68" x14ac:dyDescent="0.25">
      <c r="A234" s="50">
        <v>10084485</v>
      </c>
      <c r="B234" t="s">
        <v>3352</v>
      </c>
      <c r="Z234" s="50">
        <v>150</v>
      </c>
    </row>
    <row r="235" spans="1:68" x14ac:dyDescent="0.25">
      <c r="A235" s="50">
        <v>10098420</v>
      </c>
      <c r="B235" t="s">
        <v>3352</v>
      </c>
      <c r="AA235" s="50">
        <v>8581</v>
      </c>
      <c r="AB235" s="50">
        <v>2450</v>
      </c>
      <c r="AC235">
        <v>1391</v>
      </c>
    </row>
    <row r="236" spans="1:68" x14ac:dyDescent="0.25">
      <c r="A236" s="50">
        <v>10129565</v>
      </c>
      <c r="B236" t="s">
        <v>3352</v>
      </c>
      <c r="AA236" s="50">
        <v>1092</v>
      </c>
      <c r="AB236" s="50">
        <v>376.2</v>
      </c>
      <c r="AD236">
        <v>98.4</v>
      </c>
      <c r="AK236">
        <v>22.2</v>
      </c>
    </row>
    <row r="237" spans="1:68" x14ac:dyDescent="0.25">
      <c r="A237" s="50">
        <v>10146828</v>
      </c>
      <c r="B237" t="s">
        <v>3352</v>
      </c>
      <c r="Z237" s="50">
        <v>585</v>
      </c>
      <c r="AA237" s="50">
        <v>128</v>
      </c>
      <c r="AE237">
        <v>32</v>
      </c>
      <c r="AM237">
        <v>20</v>
      </c>
    </row>
    <row r="238" spans="1:68" x14ac:dyDescent="0.25">
      <c r="A238">
        <v>10163776</v>
      </c>
      <c r="B238" t="s">
        <v>3352</v>
      </c>
    </row>
    <row r="239" spans="1:68" x14ac:dyDescent="0.25">
      <c r="A239">
        <v>10173664</v>
      </c>
      <c r="B239" t="s">
        <v>3352</v>
      </c>
      <c r="Y239"/>
      <c r="Z239"/>
      <c r="AA239"/>
      <c r="AB239"/>
      <c r="AC239">
        <v>963.6</v>
      </c>
      <c r="AE239">
        <v>779.4</v>
      </c>
      <c r="AJ239">
        <v>715.2</v>
      </c>
    </row>
  </sheetData>
  <conditionalFormatting sqref="A19">
    <cfRule type="duplicateValues" dxfId="29" priority="1"/>
  </conditionalFormatting>
  <pageMargins left="0.7" right="0.7" top="0.78740157499999996" bottom="0.78740157499999996" header="0.3" footer="0.3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2"/>
  <sheetViews>
    <sheetView zoomScaleNormal="100" workbookViewId="0">
      <selection activeCell="D7" sqref="D7"/>
    </sheetView>
  </sheetViews>
  <sheetFormatPr defaultColWidth="11.42578125" defaultRowHeight="15" x14ac:dyDescent="0.25"/>
  <cols>
    <col min="1" max="1" width="17.28515625" bestFit="1" customWidth="1"/>
    <col min="2" max="2" width="7.140625" bestFit="1" customWidth="1"/>
    <col min="3" max="3" width="87.140625" customWidth="1"/>
    <col min="4" max="4" width="30.28515625" bestFit="1" customWidth="1"/>
    <col min="5" max="5" width="12.5703125" bestFit="1" customWidth="1"/>
  </cols>
  <sheetData>
    <row r="1" spans="1:5" x14ac:dyDescent="0.25">
      <c r="A1" s="66" t="s">
        <v>59</v>
      </c>
      <c r="B1" s="66" t="s">
        <v>2689</v>
      </c>
      <c r="C1" s="66" t="s">
        <v>2564</v>
      </c>
      <c r="D1" s="66" t="s">
        <v>2523</v>
      </c>
      <c r="E1" s="66" t="s">
        <v>3346</v>
      </c>
    </row>
    <row r="2" spans="1:5" x14ac:dyDescent="0.25">
      <c r="A2" s="66">
        <v>7072184</v>
      </c>
      <c r="B2" s="66" t="s">
        <v>2689</v>
      </c>
      <c r="C2" s="66" t="s">
        <v>1366</v>
      </c>
      <c r="D2" s="66">
        <v>1</v>
      </c>
      <c r="E2" s="66" t="s">
        <v>3398</v>
      </c>
    </row>
    <row r="3" spans="1:5" x14ac:dyDescent="0.25">
      <c r="A3" s="66">
        <v>99004067</v>
      </c>
      <c r="B3" s="66" t="s">
        <v>2689</v>
      </c>
      <c r="C3" s="66" t="s">
        <v>1366</v>
      </c>
      <c r="D3" s="66">
        <v>1</v>
      </c>
      <c r="E3" s="66" t="s">
        <v>3398</v>
      </c>
    </row>
    <row r="4" spans="1:5" x14ac:dyDescent="0.25">
      <c r="A4" s="66">
        <v>97002136</v>
      </c>
      <c r="B4" s="66" t="s">
        <v>2689</v>
      </c>
      <c r="C4" s="66" t="s">
        <v>1366</v>
      </c>
      <c r="D4" s="66">
        <v>1</v>
      </c>
      <c r="E4" s="66" t="s">
        <v>3398</v>
      </c>
    </row>
    <row r="5" spans="1:5" x14ac:dyDescent="0.25">
      <c r="A5" s="66">
        <v>1502</v>
      </c>
      <c r="B5" s="66" t="s">
        <v>2689</v>
      </c>
      <c r="C5" s="66" t="s">
        <v>15</v>
      </c>
      <c r="D5" s="66">
        <v>1</v>
      </c>
      <c r="E5" s="66" t="s">
        <v>3398</v>
      </c>
    </row>
    <row r="6" spans="1:5" x14ac:dyDescent="0.25">
      <c r="A6" s="66">
        <v>4003543</v>
      </c>
      <c r="B6" s="66" t="s">
        <v>2689</v>
      </c>
      <c r="C6" s="66" t="s">
        <v>2690</v>
      </c>
      <c r="D6" s="66">
        <v>2</v>
      </c>
      <c r="E6" s="66" t="s">
        <v>3398</v>
      </c>
    </row>
    <row r="7" spans="1:5" x14ac:dyDescent="0.25">
      <c r="A7" s="66">
        <v>4900261</v>
      </c>
      <c r="B7" s="66" t="s">
        <v>2689</v>
      </c>
      <c r="C7" s="66" t="s">
        <v>2691</v>
      </c>
      <c r="D7" s="66">
        <v>3</v>
      </c>
      <c r="E7" s="66" t="s">
        <v>3398</v>
      </c>
    </row>
    <row r="8" spans="1:5" x14ac:dyDescent="0.25">
      <c r="A8" s="66">
        <v>14242856</v>
      </c>
      <c r="B8" s="66" t="s">
        <v>2689</v>
      </c>
      <c r="C8" s="66" t="s">
        <v>1366</v>
      </c>
      <c r="D8" s="66">
        <v>1</v>
      </c>
      <c r="E8" s="66" t="s">
        <v>3399</v>
      </c>
    </row>
    <row r="9" spans="1:5" x14ac:dyDescent="0.25">
      <c r="A9" s="66">
        <v>3000983</v>
      </c>
      <c r="B9" s="66" t="s">
        <v>2689</v>
      </c>
      <c r="C9" s="66" t="s">
        <v>2692</v>
      </c>
      <c r="D9" s="66">
        <v>3</v>
      </c>
      <c r="E9" s="66" t="s">
        <v>3399</v>
      </c>
    </row>
    <row r="10" spans="1:5" x14ac:dyDescent="0.25">
      <c r="A10" s="66">
        <v>10064335</v>
      </c>
      <c r="B10" s="66" t="s">
        <v>2689</v>
      </c>
      <c r="C10" s="66" t="s">
        <v>2693</v>
      </c>
      <c r="D10" s="66">
        <v>5</v>
      </c>
      <c r="E10" s="66" t="s">
        <v>3399</v>
      </c>
    </row>
    <row r="11" spans="1:5" x14ac:dyDescent="0.25">
      <c r="A11" s="66">
        <v>1480</v>
      </c>
      <c r="B11" s="66" t="s">
        <v>2689</v>
      </c>
      <c r="C11" s="66" t="s">
        <v>17</v>
      </c>
      <c r="D11" s="66">
        <v>1</v>
      </c>
      <c r="E11" s="66" t="s">
        <v>3400</v>
      </c>
    </row>
    <row r="12" spans="1:5" x14ac:dyDescent="0.25">
      <c r="A12" s="66">
        <v>1003215</v>
      </c>
      <c r="B12" s="66" t="s">
        <v>2689</v>
      </c>
      <c r="C12" s="66" t="s">
        <v>1366</v>
      </c>
      <c r="D12" s="66">
        <v>1</v>
      </c>
      <c r="E12" s="66" t="s">
        <v>3400</v>
      </c>
    </row>
    <row r="13" spans="1:5" x14ac:dyDescent="0.25">
      <c r="A13" s="66">
        <v>99000802</v>
      </c>
      <c r="B13" s="66" t="s">
        <v>2689</v>
      </c>
      <c r="C13" s="66" t="s">
        <v>1367</v>
      </c>
      <c r="D13" s="66">
        <v>1</v>
      </c>
      <c r="E13" s="66" t="s">
        <v>3400</v>
      </c>
    </row>
    <row r="14" spans="1:5" x14ac:dyDescent="0.25">
      <c r="A14" s="66">
        <v>99000892</v>
      </c>
      <c r="B14" s="66" t="s">
        <v>2689</v>
      </c>
      <c r="C14" s="66" t="s">
        <v>1367</v>
      </c>
      <c r="D14" s="66">
        <v>1</v>
      </c>
      <c r="E14" s="66" t="s">
        <v>3400</v>
      </c>
    </row>
    <row r="15" spans="1:5" x14ac:dyDescent="0.25">
      <c r="A15" s="66">
        <v>1506</v>
      </c>
      <c r="B15" s="66" t="s">
        <v>2689</v>
      </c>
      <c r="C15" s="66" t="s">
        <v>17</v>
      </c>
      <c r="D15" s="66">
        <v>1</v>
      </c>
      <c r="E15" s="66" t="s">
        <v>3400</v>
      </c>
    </row>
    <row r="16" spans="1:5" x14ac:dyDescent="0.25">
      <c r="A16" s="66">
        <v>99001245</v>
      </c>
      <c r="B16" s="66" t="s">
        <v>2689</v>
      </c>
      <c r="C16" s="66" t="s">
        <v>15</v>
      </c>
      <c r="D16" s="66">
        <v>1</v>
      </c>
      <c r="E16" s="66" t="s">
        <v>3400</v>
      </c>
    </row>
    <row r="17" spans="1:5" x14ac:dyDescent="0.25">
      <c r="A17" s="66">
        <v>99001902</v>
      </c>
      <c r="B17" s="66" t="s">
        <v>2689</v>
      </c>
      <c r="C17" s="66" t="s">
        <v>15</v>
      </c>
      <c r="D17" s="66">
        <v>1</v>
      </c>
      <c r="E17" s="66" t="s">
        <v>3400</v>
      </c>
    </row>
    <row r="18" spans="1:5" x14ac:dyDescent="0.25">
      <c r="A18" s="66">
        <v>99001912</v>
      </c>
      <c r="B18" s="66" t="s">
        <v>2689</v>
      </c>
      <c r="C18" s="66" t="s">
        <v>17</v>
      </c>
      <c r="D18" s="66">
        <v>1</v>
      </c>
      <c r="E18" s="66" t="s">
        <v>3400</v>
      </c>
    </row>
    <row r="19" spans="1:5" x14ac:dyDescent="0.25">
      <c r="A19" s="66">
        <v>99001913</v>
      </c>
      <c r="B19" s="66" t="s">
        <v>2689</v>
      </c>
      <c r="C19" s="66" t="s">
        <v>15</v>
      </c>
      <c r="D19" s="66">
        <v>1</v>
      </c>
      <c r="E19" s="66" t="s">
        <v>3400</v>
      </c>
    </row>
    <row r="20" spans="1:5" x14ac:dyDescent="0.25">
      <c r="A20" s="66">
        <v>99001937</v>
      </c>
      <c r="B20" s="66" t="s">
        <v>2689</v>
      </c>
      <c r="C20" s="66" t="s">
        <v>1369</v>
      </c>
      <c r="D20" s="66">
        <v>1</v>
      </c>
      <c r="E20" s="66" t="s">
        <v>3400</v>
      </c>
    </row>
    <row r="21" spans="1:5" x14ac:dyDescent="0.25">
      <c r="A21" s="66">
        <v>99001943</v>
      </c>
      <c r="B21" s="66" t="s">
        <v>2689</v>
      </c>
      <c r="C21" s="66" t="s">
        <v>55</v>
      </c>
      <c r="D21" s="66">
        <v>1</v>
      </c>
      <c r="E21" s="66" t="s">
        <v>3400</v>
      </c>
    </row>
    <row r="22" spans="1:5" x14ac:dyDescent="0.25">
      <c r="A22" s="66">
        <v>99001927</v>
      </c>
      <c r="B22" s="66" t="s">
        <v>2689</v>
      </c>
      <c r="C22" s="66" t="s">
        <v>1366</v>
      </c>
      <c r="D22" s="66">
        <v>1</v>
      </c>
      <c r="E22" s="66" t="s">
        <v>3400</v>
      </c>
    </row>
    <row r="23" spans="1:5" x14ac:dyDescent="0.25">
      <c r="A23" s="66">
        <v>1505</v>
      </c>
      <c r="B23" s="66" t="s">
        <v>2689</v>
      </c>
      <c r="C23" s="66" t="s">
        <v>1369</v>
      </c>
      <c r="D23" s="66">
        <v>1</v>
      </c>
      <c r="E23" s="66" t="s">
        <v>3400</v>
      </c>
    </row>
    <row r="24" spans="1:5" x14ac:dyDescent="0.25">
      <c r="A24" s="66">
        <v>1000197</v>
      </c>
      <c r="B24" s="66" t="s">
        <v>2689</v>
      </c>
      <c r="C24" s="66" t="s">
        <v>86</v>
      </c>
      <c r="D24" s="66">
        <v>1</v>
      </c>
      <c r="E24" s="66" t="s">
        <v>3400</v>
      </c>
    </row>
    <row r="25" spans="1:5" x14ac:dyDescent="0.25">
      <c r="A25" s="66">
        <v>96018835</v>
      </c>
      <c r="B25" s="66" t="s">
        <v>2689</v>
      </c>
      <c r="C25" s="66" t="s">
        <v>2694</v>
      </c>
      <c r="D25" s="66">
        <v>8</v>
      </c>
      <c r="E25" s="66" t="s">
        <v>3400</v>
      </c>
    </row>
    <row r="26" spans="1:5" x14ac:dyDescent="0.25">
      <c r="A26" s="66">
        <v>98008326</v>
      </c>
      <c r="B26" s="66" t="s">
        <v>2689</v>
      </c>
      <c r="C26" s="66" t="s">
        <v>1791</v>
      </c>
      <c r="D26" s="66">
        <v>1</v>
      </c>
      <c r="E26" s="66" t="s">
        <v>3400</v>
      </c>
    </row>
    <row r="27" spans="1:5" x14ac:dyDescent="0.25">
      <c r="A27" s="66">
        <v>99000717</v>
      </c>
      <c r="B27" s="66" t="s">
        <v>2689</v>
      </c>
      <c r="C27" s="66" t="s">
        <v>1372</v>
      </c>
      <c r="D27" s="66">
        <v>1</v>
      </c>
      <c r="E27" s="66" t="s">
        <v>3400</v>
      </c>
    </row>
    <row r="28" spans="1:5" x14ac:dyDescent="0.25">
      <c r="A28" s="66">
        <v>6006917</v>
      </c>
      <c r="B28" s="66" t="s">
        <v>2689</v>
      </c>
      <c r="C28" s="66" t="s">
        <v>1366</v>
      </c>
      <c r="D28" s="66">
        <v>1</v>
      </c>
      <c r="E28" s="66" t="s">
        <v>3347</v>
      </c>
    </row>
    <row r="29" spans="1:5" x14ac:dyDescent="0.25">
      <c r="A29" s="66">
        <v>12088444</v>
      </c>
      <c r="B29" s="66" t="s">
        <v>2689</v>
      </c>
      <c r="C29" s="66" t="s">
        <v>2695</v>
      </c>
      <c r="D29" s="66">
        <v>3</v>
      </c>
      <c r="E29" s="66" t="s">
        <v>3348</v>
      </c>
    </row>
    <row r="30" spans="1:5" x14ac:dyDescent="0.25">
      <c r="A30" s="66">
        <v>98004910</v>
      </c>
      <c r="B30" s="66" t="s">
        <v>2689</v>
      </c>
      <c r="C30" s="66" t="s">
        <v>1366</v>
      </c>
      <c r="D30" s="66">
        <v>1</v>
      </c>
      <c r="E30" s="66" t="s">
        <v>3349</v>
      </c>
    </row>
    <row r="31" spans="1:5" x14ac:dyDescent="0.25">
      <c r="A31" s="66">
        <v>7103068</v>
      </c>
      <c r="B31" s="66" t="s">
        <v>2689</v>
      </c>
      <c r="C31" s="66" t="s">
        <v>2696</v>
      </c>
      <c r="D31" s="66">
        <v>2</v>
      </c>
      <c r="E31" s="66" t="s">
        <v>3349</v>
      </c>
    </row>
    <row r="32" spans="1:5" x14ac:dyDescent="0.25">
      <c r="A32" s="66">
        <v>11240728</v>
      </c>
      <c r="B32" s="66" t="s">
        <v>2689</v>
      </c>
      <c r="C32" s="66" t="s">
        <v>2697</v>
      </c>
      <c r="D32" s="66">
        <v>4</v>
      </c>
      <c r="E32" s="66" t="s">
        <v>3349</v>
      </c>
    </row>
    <row r="33" spans="1:5" x14ac:dyDescent="0.25">
      <c r="A33" s="66">
        <v>5015869</v>
      </c>
      <c r="B33" s="66" t="s">
        <v>2689</v>
      </c>
      <c r="C33" s="66" t="s">
        <v>2698</v>
      </c>
      <c r="D33" s="66">
        <v>2</v>
      </c>
      <c r="E33" s="66" t="s">
        <v>3350</v>
      </c>
    </row>
    <row r="34" spans="1:5" x14ac:dyDescent="0.25">
      <c r="A34" s="66">
        <v>7015502</v>
      </c>
      <c r="B34" s="66" t="s">
        <v>2689</v>
      </c>
      <c r="C34" s="66" t="s">
        <v>17</v>
      </c>
      <c r="D34" s="66">
        <v>1</v>
      </c>
      <c r="E34" s="66" t="s">
        <v>3350</v>
      </c>
    </row>
    <row r="35" spans="1:5" x14ac:dyDescent="0.25">
      <c r="A35" s="66">
        <v>7082707</v>
      </c>
      <c r="B35" s="66" t="s">
        <v>2689</v>
      </c>
      <c r="C35" s="66" t="s">
        <v>2699</v>
      </c>
      <c r="D35" s="66">
        <v>2</v>
      </c>
      <c r="E35" s="66" t="s">
        <v>3350</v>
      </c>
    </row>
    <row r="36" spans="1:5" x14ac:dyDescent="0.25">
      <c r="A36" s="66">
        <v>7083159</v>
      </c>
      <c r="B36" s="66" t="s">
        <v>2689</v>
      </c>
      <c r="C36" s="66" t="s">
        <v>657</v>
      </c>
      <c r="D36" s="66">
        <v>1</v>
      </c>
      <c r="E36" s="66" t="s">
        <v>3350</v>
      </c>
    </row>
    <row r="37" spans="1:5" x14ac:dyDescent="0.25">
      <c r="A37" s="66">
        <v>7084659</v>
      </c>
      <c r="B37" s="66" t="s">
        <v>2689</v>
      </c>
      <c r="C37" s="66" t="s">
        <v>663</v>
      </c>
      <c r="D37" s="66">
        <v>1</v>
      </c>
      <c r="E37" s="66" t="s">
        <v>3350</v>
      </c>
    </row>
    <row r="38" spans="1:5" x14ac:dyDescent="0.25">
      <c r="A38" s="66">
        <v>7089231</v>
      </c>
      <c r="B38" s="66" t="s">
        <v>2689</v>
      </c>
      <c r="C38" s="66" t="s">
        <v>1366</v>
      </c>
      <c r="D38" s="66">
        <v>1</v>
      </c>
      <c r="E38" s="66" t="s">
        <v>3350</v>
      </c>
    </row>
    <row r="39" spans="1:5" x14ac:dyDescent="0.25">
      <c r="A39" s="66">
        <v>7116004</v>
      </c>
      <c r="B39" s="66" t="s">
        <v>2689</v>
      </c>
      <c r="C39" s="66" t="s">
        <v>2700</v>
      </c>
      <c r="D39" s="66">
        <v>2</v>
      </c>
      <c r="E39" s="66" t="s">
        <v>3350</v>
      </c>
    </row>
    <row r="40" spans="1:5" x14ac:dyDescent="0.25">
      <c r="A40" s="66">
        <v>8112522</v>
      </c>
      <c r="B40" s="66" t="s">
        <v>2689</v>
      </c>
      <c r="C40" s="66" t="s">
        <v>2701</v>
      </c>
      <c r="D40" s="66">
        <v>3</v>
      </c>
      <c r="E40" s="66" t="s">
        <v>3350</v>
      </c>
    </row>
    <row r="41" spans="1:5" x14ac:dyDescent="0.25">
      <c r="A41" s="66">
        <v>8130998</v>
      </c>
      <c r="B41" s="66" t="s">
        <v>2689</v>
      </c>
      <c r="C41" s="66" t="s">
        <v>2702</v>
      </c>
      <c r="D41" s="66">
        <v>3</v>
      </c>
      <c r="E41" s="66" t="s">
        <v>3350</v>
      </c>
    </row>
    <row r="42" spans="1:5" x14ac:dyDescent="0.25">
      <c r="A42" s="66">
        <v>9003331</v>
      </c>
      <c r="B42" s="66" t="s">
        <v>2689</v>
      </c>
      <c r="C42" s="66" t="s">
        <v>2703</v>
      </c>
      <c r="D42" s="66">
        <v>2</v>
      </c>
      <c r="E42" s="66" t="s">
        <v>3350</v>
      </c>
    </row>
    <row r="43" spans="1:5" x14ac:dyDescent="0.25">
      <c r="A43" s="66">
        <v>9003370</v>
      </c>
      <c r="B43" s="66" t="s">
        <v>2689</v>
      </c>
      <c r="C43" s="66" t="s">
        <v>663</v>
      </c>
      <c r="D43" s="66">
        <v>1</v>
      </c>
      <c r="E43" s="66" t="s">
        <v>3350</v>
      </c>
    </row>
    <row r="44" spans="1:5" x14ac:dyDescent="0.25">
      <c r="A44" s="66">
        <v>9016278</v>
      </c>
      <c r="B44" s="66" t="s">
        <v>2689</v>
      </c>
      <c r="C44" s="66" t="s">
        <v>2704</v>
      </c>
      <c r="D44" s="66">
        <v>4</v>
      </c>
      <c r="E44" s="66" t="s">
        <v>3350</v>
      </c>
    </row>
    <row r="45" spans="1:5" x14ac:dyDescent="0.25">
      <c r="A45" s="66">
        <v>9030684</v>
      </c>
      <c r="B45" s="66" t="s">
        <v>2689</v>
      </c>
      <c r="C45" s="66" t="s">
        <v>1372</v>
      </c>
      <c r="D45" s="66">
        <v>1</v>
      </c>
      <c r="E45" s="66" t="s">
        <v>3350</v>
      </c>
    </row>
    <row r="46" spans="1:5" x14ac:dyDescent="0.25">
      <c r="A46" s="66">
        <v>9031387</v>
      </c>
      <c r="B46" s="66" t="s">
        <v>2689</v>
      </c>
      <c r="C46" s="66" t="s">
        <v>812</v>
      </c>
      <c r="D46" s="66">
        <v>1</v>
      </c>
      <c r="E46" s="66" t="s">
        <v>3350</v>
      </c>
    </row>
    <row r="47" spans="1:5" x14ac:dyDescent="0.25">
      <c r="A47" s="66">
        <v>9038676</v>
      </c>
      <c r="B47" s="66" t="s">
        <v>2689</v>
      </c>
      <c r="C47" s="66" t="s">
        <v>663</v>
      </c>
      <c r="D47" s="66">
        <v>1</v>
      </c>
      <c r="E47" s="66" t="s">
        <v>3350</v>
      </c>
    </row>
    <row r="48" spans="1:5" x14ac:dyDescent="0.25">
      <c r="A48" s="66">
        <v>9039416</v>
      </c>
      <c r="B48" s="66" t="s">
        <v>2689</v>
      </c>
      <c r="C48" s="66" t="s">
        <v>1368</v>
      </c>
      <c r="D48" s="66">
        <v>1</v>
      </c>
      <c r="E48" s="66" t="s">
        <v>3350</v>
      </c>
    </row>
    <row r="49" spans="1:5" x14ac:dyDescent="0.25">
      <c r="A49" s="66">
        <v>9042861</v>
      </c>
      <c r="B49" s="66" t="s">
        <v>2689</v>
      </c>
      <c r="C49" s="66" t="s">
        <v>2705</v>
      </c>
      <c r="D49" s="66">
        <v>2</v>
      </c>
      <c r="E49" s="66" t="s">
        <v>3350</v>
      </c>
    </row>
    <row r="50" spans="1:5" x14ac:dyDescent="0.25">
      <c r="A50" s="66">
        <v>9044899</v>
      </c>
      <c r="B50" s="66" t="s">
        <v>2689</v>
      </c>
      <c r="C50" s="66" t="s">
        <v>2706</v>
      </c>
      <c r="D50" s="66">
        <v>3</v>
      </c>
      <c r="E50" s="66" t="s">
        <v>3350</v>
      </c>
    </row>
    <row r="51" spans="1:5" x14ac:dyDescent="0.25">
      <c r="A51" s="66">
        <v>9052398</v>
      </c>
      <c r="B51" s="66" t="s">
        <v>2689</v>
      </c>
      <c r="C51" s="66" t="s">
        <v>2707</v>
      </c>
      <c r="D51" s="66">
        <v>2</v>
      </c>
      <c r="E51" s="66" t="s">
        <v>3350</v>
      </c>
    </row>
    <row r="52" spans="1:5" x14ac:dyDescent="0.25">
      <c r="A52" s="66">
        <v>9085204</v>
      </c>
      <c r="B52" s="66" t="s">
        <v>2689</v>
      </c>
      <c r="C52" s="66" t="s">
        <v>15</v>
      </c>
      <c r="D52" s="66">
        <v>1</v>
      </c>
      <c r="E52" s="66" t="s">
        <v>3350</v>
      </c>
    </row>
    <row r="53" spans="1:5" x14ac:dyDescent="0.25">
      <c r="A53" s="66">
        <v>9105492</v>
      </c>
      <c r="B53" s="66" t="s">
        <v>2689</v>
      </c>
      <c r="C53" s="66" t="s">
        <v>2708</v>
      </c>
      <c r="D53" s="66">
        <v>6</v>
      </c>
      <c r="E53" s="66" t="s">
        <v>3350</v>
      </c>
    </row>
    <row r="54" spans="1:5" x14ac:dyDescent="0.25">
      <c r="A54" s="66">
        <v>9138470</v>
      </c>
      <c r="B54" s="66" t="s">
        <v>2689</v>
      </c>
      <c r="C54" s="66" t="s">
        <v>663</v>
      </c>
      <c r="D54" s="66">
        <v>1</v>
      </c>
      <c r="E54" s="66" t="s">
        <v>3350</v>
      </c>
    </row>
    <row r="55" spans="1:5" x14ac:dyDescent="0.25">
      <c r="A55" s="66">
        <v>9150676</v>
      </c>
      <c r="B55" s="66" t="s">
        <v>2689</v>
      </c>
      <c r="C55" s="66" t="s">
        <v>1378</v>
      </c>
      <c r="D55" s="66">
        <v>1</v>
      </c>
      <c r="E55" s="66" t="s">
        <v>3350</v>
      </c>
    </row>
    <row r="56" spans="1:5" x14ac:dyDescent="0.25">
      <c r="A56" s="66">
        <v>10010926</v>
      </c>
      <c r="B56" s="66" t="s">
        <v>2689</v>
      </c>
      <c r="C56" s="66" t="s">
        <v>2707</v>
      </c>
      <c r="D56" s="66">
        <v>2</v>
      </c>
      <c r="E56" s="66" t="s">
        <v>3350</v>
      </c>
    </row>
    <row r="57" spans="1:5" x14ac:dyDescent="0.25">
      <c r="A57" s="66">
        <v>10030897</v>
      </c>
      <c r="B57" s="66" t="s">
        <v>2689</v>
      </c>
      <c r="C57" s="66" t="s">
        <v>2709</v>
      </c>
      <c r="D57" s="66">
        <v>4</v>
      </c>
      <c r="E57" s="66" t="s">
        <v>3350</v>
      </c>
    </row>
    <row r="58" spans="1:5" x14ac:dyDescent="0.25">
      <c r="A58" s="66">
        <v>324</v>
      </c>
      <c r="B58" s="66" t="s">
        <v>2689</v>
      </c>
      <c r="C58" s="66" t="s">
        <v>2710</v>
      </c>
      <c r="D58" s="66">
        <v>2</v>
      </c>
      <c r="E58" s="66" t="s">
        <v>3350</v>
      </c>
    </row>
    <row r="59" spans="1:5" x14ac:dyDescent="0.25">
      <c r="A59" s="66">
        <v>3909</v>
      </c>
      <c r="B59" s="66" t="s">
        <v>2689</v>
      </c>
      <c r="C59" s="66" t="s">
        <v>2711</v>
      </c>
      <c r="D59" s="66">
        <v>2</v>
      </c>
      <c r="E59" s="66" t="s">
        <v>3350</v>
      </c>
    </row>
    <row r="60" spans="1:5" x14ac:dyDescent="0.25">
      <c r="A60" s="66">
        <v>4663</v>
      </c>
      <c r="B60" s="66" t="s">
        <v>2689</v>
      </c>
      <c r="C60" s="66" t="s">
        <v>1364</v>
      </c>
      <c r="D60" s="66">
        <v>1</v>
      </c>
      <c r="E60" s="66" t="s">
        <v>3350</v>
      </c>
    </row>
    <row r="61" spans="1:5" x14ac:dyDescent="0.25">
      <c r="A61" s="66">
        <v>1005522</v>
      </c>
      <c r="B61" s="66" t="s">
        <v>2689</v>
      </c>
      <c r="C61" s="66" t="s">
        <v>2712</v>
      </c>
      <c r="D61" s="66">
        <v>5</v>
      </c>
      <c r="E61" s="66" t="s">
        <v>3350</v>
      </c>
    </row>
    <row r="62" spans="1:5" x14ac:dyDescent="0.25">
      <c r="A62" s="66">
        <v>1007631</v>
      </c>
      <c r="B62" s="66" t="s">
        <v>2689</v>
      </c>
      <c r="C62" s="66" t="s">
        <v>2713</v>
      </c>
      <c r="D62" s="66">
        <v>3</v>
      </c>
      <c r="E62" s="66" t="s">
        <v>3350</v>
      </c>
    </row>
    <row r="63" spans="1:5" x14ac:dyDescent="0.25">
      <c r="A63" s="66">
        <v>1009760</v>
      </c>
      <c r="B63" s="66" t="s">
        <v>2689</v>
      </c>
      <c r="C63" s="66" t="s">
        <v>2714</v>
      </c>
      <c r="D63" s="66">
        <v>5</v>
      </c>
      <c r="E63" s="66" t="s">
        <v>3350</v>
      </c>
    </row>
    <row r="64" spans="1:5" x14ac:dyDescent="0.25">
      <c r="A64" s="66">
        <v>2000646</v>
      </c>
      <c r="B64" s="66" t="s">
        <v>2689</v>
      </c>
      <c r="C64" s="66" t="s">
        <v>2715</v>
      </c>
      <c r="D64" s="66">
        <v>6</v>
      </c>
      <c r="E64" s="66" t="s">
        <v>3350</v>
      </c>
    </row>
    <row r="65" spans="1:5" x14ac:dyDescent="0.25">
      <c r="A65" s="66">
        <v>2006469</v>
      </c>
      <c r="B65" s="66" t="s">
        <v>2689</v>
      </c>
      <c r="C65" s="66" t="s">
        <v>2700</v>
      </c>
      <c r="D65" s="66">
        <v>2</v>
      </c>
      <c r="E65" s="66" t="s">
        <v>3350</v>
      </c>
    </row>
    <row r="66" spans="1:5" x14ac:dyDescent="0.25">
      <c r="A66" s="66">
        <v>3014643</v>
      </c>
      <c r="B66" s="66" t="s">
        <v>2689</v>
      </c>
      <c r="C66" s="66" t="s">
        <v>2716</v>
      </c>
      <c r="D66" s="66">
        <v>3</v>
      </c>
      <c r="E66" s="66" t="s">
        <v>3350</v>
      </c>
    </row>
    <row r="67" spans="1:5" x14ac:dyDescent="0.25">
      <c r="A67" s="66">
        <v>3016056</v>
      </c>
      <c r="B67" s="66" t="s">
        <v>2689</v>
      </c>
      <c r="C67" s="66" t="s">
        <v>2717</v>
      </c>
      <c r="D67" s="66">
        <v>3</v>
      </c>
      <c r="E67" s="66" t="s">
        <v>3350</v>
      </c>
    </row>
    <row r="68" spans="1:5" x14ac:dyDescent="0.25">
      <c r="A68" s="66">
        <v>3900219</v>
      </c>
      <c r="B68" s="66" t="s">
        <v>2689</v>
      </c>
      <c r="C68" s="66" t="s">
        <v>2718</v>
      </c>
      <c r="D68" s="66">
        <v>4</v>
      </c>
      <c r="E68" s="66" t="s">
        <v>3350</v>
      </c>
    </row>
    <row r="69" spans="1:5" x14ac:dyDescent="0.25">
      <c r="A69" s="66">
        <v>4000158</v>
      </c>
      <c r="B69" s="66" t="s">
        <v>2689</v>
      </c>
      <c r="C69" s="66" t="s">
        <v>2719</v>
      </c>
      <c r="D69" s="66">
        <v>3</v>
      </c>
      <c r="E69" s="66" t="s">
        <v>3350</v>
      </c>
    </row>
    <row r="70" spans="1:5" x14ac:dyDescent="0.25">
      <c r="A70" s="66">
        <v>4000304</v>
      </c>
      <c r="B70" s="66" t="s">
        <v>2689</v>
      </c>
      <c r="C70" s="66" t="s">
        <v>663</v>
      </c>
      <c r="D70" s="66">
        <v>1</v>
      </c>
      <c r="E70" s="66" t="s">
        <v>3350</v>
      </c>
    </row>
    <row r="71" spans="1:5" x14ac:dyDescent="0.25">
      <c r="A71" s="66">
        <v>4001905</v>
      </c>
      <c r="B71" s="66" t="s">
        <v>2689</v>
      </c>
      <c r="C71" s="66" t="s">
        <v>2720</v>
      </c>
      <c r="D71" s="66">
        <v>6</v>
      </c>
      <c r="E71" s="66" t="s">
        <v>3350</v>
      </c>
    </row>
    <row r="72" spans="1:5" x14ac:dyDescent="0.25">
      <c r="A72" s="66">
        <v>4002206</v>
      </c>
      <c r="B72" s="66" t="s">
        <v>2689</v>
      </c>
      <c r="C72" s="66" t="s">
        <v>663</v>
      </c>
      <c r="D72" s="66">
        <v>1</v>
      </c>
      <c r="E72" s="66" t="s">
        <v>3350</v>
      </c>
    </row>
    <row r="73" spans="1:5" x14ac:dyDescent="0.25">
      <c r="A73" s="66">
        <v>4002715</v>
      </c>
      <c r="B73" s="66" t="s">
        <v>2689</v>
      </c>
      <c r="C73" s="66" t="s">
        <v>2721</v>
      </c>
      <c r="D73" s="66">
        <v>3</v>
      </c>
      <c r="E73" s="66" t="s">
        <v>3350</v>
      </c>
    </row>
    <row r="74" spans="1:5" x14ac:dyDescent="0.25">
      <c r="A74" s="66">
        <v>4003924</v>
      </c>
      <c r="B74" s="66" t="s">
        <v>2689</v>
      </c>
      <c r="C74" s="66" t="s">
        <v>1367</v>
      </c>
      <c r="D74" s="66">
        <v>1</v>
      </c>
      <c r="E74" s="66" t="s">
        <v>3350</v>
      </c>
    </row>
    <row r="75" spans="1:5" x14ac:dyDescent="0.25">
      <c r="A75" s="66">
        <v>4008140</v>
      </c>
      <c r="B75" s="66" t="s">
        <v>2689</v>
      </c>
      <c r="C75" s="66" t="s">
        <v>1366</v>
      </c>
      <c r="D75" s="66">
        <v>1</v>
      </c>
      <c r="E75" s="66" t="s">
        <v>3350</v>
      </c>
    </row>
    <row r="76" spans="1:5" x14ac:dyDescent="0.25">
      <c r="A76" s="66">
        <v>4009906</v>
      </c>
      <c r="B76" s="66" t="s">
        <v>2689</v>
      </c>
      <c r="C76" s="66" t="s">
        <v>2722</v>
      </c>
      <c r="D76" s="66">
        <v>4</v>
      </c>
      <c r="E76" s="66" t="s">
        <v>3350</v>
      </c>
    </row>
    <row r="77" spans="1:5" x14ac:dyDescent="0.25">
      <c r="A77" s="66">
        <v>4011027</v>
      </c>
      <c r="B77" s="66" t="s">
        <v>2689</v>
      </c>
      <c r="C77" s="66" t="s">
        <v>2723</v>
      </c>
      <c r="D77" s="66">
        <v>2</v>
      </c>
      <c r="E77" s="66" t="s">
        <v>3350</v>
      </c>
    </row>
    <row r="78" spans="1:5" x14ac:dyDescent="0.25">
      <c r="A78" s="66">
        <v>4011920</v>
      </c>
      <c r="B78" s="66" t="s">
        <v>2689</v>
      </c>
      <c r="C78" s="66" t="s">
        <v>2724</v>
      </c>
      <c r="D78" s="66">
        <v>3</v>
      </c>
      <c r="E78" s="66" t="s">
        <v>3350</v>
      </c>
    </row>
    <row r="79" spans="1:5" x14ac:dyDescent="0.25">
      <c r="A79" s="66">
        <v>4012248</v>
      </c>
      <c r="B79" s="66" t="s">
        <v>2689</v>
      </c>
      <c r="C79" s="66" t="s">
        <v>2725</v>
      </c>
      <c r="D79" s="66">
        <v>7</v>
      </c>
      <c r="E79" s="66" t="s">
        <v>3350</v>
      </c>
    </row>
    <row r="80" spans="1:5" x14ac:dyDescent="0.25">
      <c r="A80" s="66">
        <v>4013603</v>
      </c>
      <c r="B80" s="66" t="s">
        <v>2689</v>
      </c>
      <c r="C80" s="66" t="s">
        <v>663</v>
      </c>
      <c r="D80" s="66">
        <v>1</v>
      </c>
      <c r="E80" s="66" t="s">
        <v>3350</v>
      </c>
    </row>
    <row r="81" spans="1:5" x14ac:dyDescent="0.25">
      <c r="A81" s="66">
        <v>5004654</v>
      </c>
      <c r="B81" s="66" t="s">
        <v>2689</v>
      </c>
      <c r="C81" s="66" t="s">
        <v>2726</v>
      </c>
      <c r="D81" s="66">
        <v>10</v>
      </c>
      <c r="E81" s="66" t="s">
        <v>3350</v>
      </c>
    </row>
    <row r="82" spans="1:5" x14ac:dyDescent="0.25">
      <c r="A82" s="66">
        <v>4289</v>
      </c>
      <c r="B82" s="66" t="s">
        <v>2689</v>
      </c>
      <c r="C82" s="66" t="s">
        <v>2723</v>
      </c>
      <c r="D82" s="66">
        <v>2</v>
      </c>
      <c r="E82" s="66" t="s">
        <v>3351</v>
      </c>
    </row>
    <row r="83" spans="1:5" x14ac:dyDescent="0.25">
      <c r="A83" s="66">
        <v>500245</v>
      </c>
      <c r="B83" s="66" t="s">
        <v>2689</v>
      </c>
      <c r="C83" s="66" t="s">
        <v>2727</v>
      </c>
      <c r="D83" s="66">
        <v>6</v>
      </c>
      <c r="E83" s="66" t="s">
        <v>3351</v>
      </c>
    </row>
    <row r="84" spans="1:5" x14ac:dyDescent="0.25">
      <c r="A84" s="66">
        <v>2002573</v>
      </c>
      <c r="B84" s="66" t="s">
        <v>2689</v>
      </c>
      <c r="C84" s="66" t="s">
        <v>2728</v>
      </c>
      <c r="D84" s="66">
        <v>3</v>
      </c>
      <c r="E84" s="66" t="s">
        <v>3351</v>
      </c>
    </row>
    <row r="85" spans="1:5" x14ac:dyDescent="0.25">
      <c r="A85" s="66">
        <v>2003539</v>
      </c>
      <c r="B85" s="66" t="s">
        <v>2689</v>
      </c>
      <c r="C85" s="66" t="s">
        <v>161</v>
      </c>
      <c r="D85" s="66">
        <v>1</v>
      </c>
      <c r="E85" s="66" t="s">
        <v>3351</v>
      </c>
    </row>
    <row r="86" spans="1:5" x14ac:dyDescent="0.25">
      <c r="A86" s="66">
        <v>2003649</v>
      </c>
      <c r="B86" s="66" t="s">
        <v>2689</v>
      </c>
      <c r="C86" s="66" t="s">
        <v>2729</v>
      </c>
      <c r="D86" s="66">
        <v>7</v>
      </c>
      <c r="E86" s="66" t="s">
        <v>3351</v>
      </c>
    </row>
    <row r="87" spans="1:5" x14ac:dyDescent="0.25">
      <c r="A87" s="66">
        <v>2005572</v>
      </c>
      <c r="B87" s="66" t="s">
        <v>2689</v>
      </c>
      <c r="C87" s="66" t="s">
        <v>2730</v>
      </c>
      <c r="D87" s="66">
        <v>3</v>
      </c>
      <c r="E87" s="66" t="s">
        <v>3351</v>
      </c>
    </row>
    <row r="88" spans="1:5" x14ac:dyDescent="0.25">
      <c r="A88" s="66">
        <v>3009633</v>
      </c>
      <c r="B88" s="66" t="s">
        <v>2689</v>
      </c>
      <c r="C88" s="66" t="s">
        <v>2731</v>
      </c>
      <c r="D88" s="66">
        <v>4</v>
      </c>
      <c r="E88" s="66" t="s">
        <v>3351</v>
      </c>
    </row>
    <row r="89" spans="1:5" x14ac:dyDescent="0.25">
      <c r="A89" s="66">
        <v>3010583</v>
      </c>
      <c r="B89" s="66" t="s">
        <v>2689</v>
      </c>
      <c r="C89" s="66" t="s">
        <v>2732</v>
      </c>
      <c r="D89" s="66">
        <v>3</v>
      </c>
      <c r="E89" s="66" t="s">
        <v>3351</v>
      </c>
    </row>
    <row r="90" spans="1:5" x14ac:dyDescent="0.25">
      <c r="A90" s="66">
        <v>3011892</v>
      </c>
      <c r="B90" s="66" t="s">
        <v>2689</v>
      </c>
      <c r="C90" s="66" t="s">
        <v>2733</v>
      </c>
      <c r="D90" s="66">
        <v>3</v>
      </c>
      <c r="E90" s="66" t="s">
        <v>3351</v>
      </c>
    </row>
    <row r="91" spans="1:5" x14ac:dyDescent="0.25">
      <c r="A91" s="66">
        <v>4001382</v>
      </c>
      <c r="B91" s="66" t="s">
        <v>2689</v>
      </c>
      <c r="C91" s="66" t="s">
        <v>2734</v>
      </c>
      <c r="D91" s="66">
        <v>3</v>
      </c>
      <c r="E91" s="66" t="s">
        <v>3351</v>
      </c>
    </row>
    <row r="92" spans="1:5" x14ac:dyDescent="0.25">
      <c r="A92" s="66">
        <v>5018675</v>
      </c>
      <c r="B92" s="66" t="s">
        <v>2689</v>
      </c>
      <c r="C92" s="66" t="s">
        <v>1369</v>
      </c>
      <c r="D92" s="66">
        <v>1</v>
      </c>
      <c r="E92" s="66" t="s">
        <v>3351</v>
      </c>
    </row>
    <row r="93" spans="1:5" x14ac:dyDescent="0.25">
      <c r="A93" s="66">
        <v>5006592</v>
      </c>
      <c r="B93" s="66" t="s">
        <v>2689</v>
      </c>
      <c r="C93" s="66" t="s">
        <v>2735</v>
      </c>
      <c r="D93" s="66">
        <v>4</v>
      </c>
      <c r="E93" s="66" t="s">
        <v>3351</v>
      </c>
    </row>
    <row r="94" spans="1:5" x14ac:dyDescent="0.25">
      <c r="A94" s="66">
        <v>5007274</v>
      </c>
      <c r="B94" s="66" t="s">
        <v>2689</v>
      </c>
      <c r="C94" s="66" t="s">
        <v>2736</v>
      </c>
      <c r="D94" s="66">
        <v>2</v>
      </c>
      <c r="E94" s="66" t="s">
        <v>3351</v>
      </c>
    </row>
    <row r="95" spans="1:5" x14ac:dyDescent="0.25">
      <c r="A95" s="66">
        <v>5015851</v>
      </c>
      <c r="B95" s="66" t="s">
        <v>2689</v>
      </c>
      <c r="C95" s="66" t="s">
        <v>2737</v>
      </c>
      <c r="D95" s="66">
        <v>5</v>
      </c>
      <c r="E95" s="66" t="s">
        <v>3351</v>
      </c>
    </row>
    <row r="96" spans="1:5" x14ac:dyDescent="0.25">
      <c r="A96" s="66">
        <v>6015647</v>
      </c>
      <c r="B96" s="66" t="s">
        <v>2689</v>
      </c>
      <c r="C96" s="66" t="s">
        <v>2738</v>
      </c>
      <c r="D96" s="66">
        <v>12</v>
      </c>
      <c r="E96" s="66" t="s">
        <v>3351</v>
      </c>
    </row>
    <row r="97" spans="1:5" x14ac:dyDescent="0.25">
      <c r="A97" s="66">
        <v>7086224</v>
      </c>
      <c r="B97" s="66" t="s">
        <v>2689</v>
      </c>
      <c r="C97" s="66" t="s">
        <v>2739</v>
      </c>
      <c r="D97" s="66">
        <v>4</v>
      </c>
      <c r="E97" s="66" t="s">
        <v>3351</v>
      </c>
    </row>
    <row r="98" spans="1:5" x14ac:dyDescent="0.25">
      <c r="A98" s="66">
        <v>8040959</v>
      </c>
      <c r="B98" s="66" t="s">
        <v>2689</v>
      </c>
      <c r="C98" s="66" t="s">
        <v>2145</v>
      </c>
      <c r="D98" s="66">
        <v>1</v>
      </c>
      <c r="E98" s="66" t="s">
        <v>3351</v>
      </c>
    </row>
    <row r="99" spans="1:5" x14ac:dyDescent="0.25">
      <c r="A99" s="66">
        <v>8107048</v>
      </c>
      <c r="B99" s="66" t="s">
        <v>2689</v>
      </c>
      <c r="C99" s="66" t="s">
        <v>2740</v>
      </c>
      <c r="D99" s="66">
        <v>2</v>
      </c>
      <c r="E99" s="66" t="s">
        <v>3351</v>
      </c>
    </row>
    <row r="100" spans="1:5" x14ac:dyDescent="0.25">
      <c r="A100" s="66">
        <v>8124044</v>
      </c>
      <c r="B100" s="66" t="s">
        <v>2689</v>
      </c>
      <c r="C100" s="66" t="s">
        <v>2741</v>
      </c>
      <c r="D100" s="66">
        <v>12</v>
      </c>
      <c r="E100" s="66" t="s">
        <v>3351</v>
      </c>
    </row>
    <row r="101" spans="1:5" x14ac:dyDescent="0.25">
      <c r="A101" s="66">
        <v>8142949</v>
      </c>
      <c r="B101" s="66" t="s">
        <v>2689</v>
      </c>
      <c r="C101" s="66" t="s">
        <v>2742</v>
      </c>
      <c r="D101" s="66">
        <v>4</v>
      </c>
      <c r="E101" s="66" t="s">
        <v>3351</v>
      </c>
    </row>
    <row r="102" spans="1:5" x14ac:dyDescent="0.25">
      <c r="A102" s="66">
        <v>9023306</v>
      </c>
      <c r="B102" s="66" t="s">
        <v>2689</v>
      </c>
      <c r="C102" s="66" t="s">
        <v>2743</v>
      </c>
      <c r="D102" s="66">
        <v>4</v>
      </c>
      <c r="E102" s="66" t="s">
        <v>3351</v>
      </c>
    </row>
    <row r="103" spans="1:5" x14ac:dyDescent="0.25">
      <c r="A103" s="66">
        <v>9030615</v>
      </c>
      <c r="B103" s="66" t="s">
        <v>2689</v>
      </c>
      <c r="C103" s="66" t="s">
        <v>2744</v>
      </c>
      <c r="D103" s="66">
        <v>4</v>
      </c>
      <c r="E103" s="66" t="s">
        <v>3351</v>
      </c>
    </row>
    <row r="104" spans="1:5" x14ac:dyDescent="0.25">
      <c r="A104" s="66">
        <v>9054567</v>
      </c>
      <c r="B104" s="66" t="s">
        <v>2689</v>
      </c>
      <c r="C104" s="66" t="s">
        <v>1366</v>
      </c>
      <c r="D104" s="66">
        <v>1</v>
      </c>
      <c r="E104" s="66" t="s">
        <v>3351</v>
      </c>
    </row>
    <row r="105" spans="1:5" x14ac:dyDescent="0.25">
      <c r="A105" s="66">
        <v>9083682</v>
      </c>
      <c r="B105" s="66" t="s">
        <v>2689</v>
      </c>
      <c r="C105" s="66" t="s">
        <v>2745</v>
      </c>
      <c r="D105" s="66">
        <v>2</v>
      </c>
      <c r="E105" s="66" t="s">
        <v>3351</v>
      </c>
    </row>
    <row r="106" spans="1:5" x14ac:dyDescent="0.25">
      <c r="A106" s="66">
        <v>9102044</v>
      </c>
      <c r="B106" s="66" t="s">
        <v>2689</v>
      </c>
      <c r="C106" s="66" t="s">
        <v>2746</v>
      </c>
      <c r="D106" s="66">
        <v>5</v>
      </c>
      <c r="E106" s="66" t="s">
        <v>3351</v>
      </c>
    </row>
    <row r="107" spans="1:5" x14ac:dyDescent="0.25">
      <c r="A107" s="66">
        <v>9119854</v>
      </c>
      <c r="B107" s="66" t="s">
        <v>2689</v>
      </c>
      <c r="C107" s="66" t="s">
        <v>2747</v>
      </c>
      <c r="D107" s="66">
        <v>8</v>
      </c>
      <c r="E107" s="66" t="s">
        <v>3351</v>
      </c>
    </row>
    <row r="108" spans="1:5" x14ac:dyDescent="0.25">
      <c r="A108" s="66">
        <v>9125126</v>
      </c>
      <c r="B108" s="66" t="s">
        <v>2689</v>
      </c>
      <c r="C108" s="66" t="s">
        <v>2748</v>
      </c>
      <c r="D108" s="66">
        <v>2</v>
      </c>
      <c r="E108" s="66" t="s">
        <v>3351</v>
      </c>
    </row>
    <row r="109" spans="1:5" x14ac:dyDescent="0.25">
      <c r="A109" s="66">
        <v>9174811</v>
      </c>
      <c r="B109" s="66" t="s">
        <v>2689</v>
      </c>
      <c r="C109" s="66" t="s">
        <v>2749</v>
      </c>
      <c r="D109" s="66">
        <v>5</v>
      </c>
      <c r="E109" s="66" t="s">
        <v>3351</v>
      </c>
    </row>
    <row r="110" spans="1:5" x14ac:dyDescent="0.25">
      <c r="A110" s="66">
        <v>10002875</v>
      </c>
      <c r="B110" s="66" t="s">
        <v>2689</v>
      </c>
      <c r="C110" s="66" t="s">
        <v>2750</v>
      </c>
      <c r="D110" s="66">
        <v>9</v>
      </c>
      <c r="E110" s="66" t="s">
        <v>3351</v>
      </c>
    </row>
    <row r="111" spans="1:5" x14ac:dyDescent="0.25">
      <c r="A111" s="66">
        <v>10023080</v>
      </c>
      <c r="B111" s="66" t="s">
        <v>2689</v>
      </c>
      <c r="C111" s="66" t="s">
        <v>2751</v>
      </c>
      <c r="D111" s="66">
        <v>2</v>
      </c>
      <c r="E111" s="66" t="s">
        <v>3351</v>
      </c>
    </row>
    <row r="112" spans="1:5" x14ac:dyDescent="0.25">
      <c r="A112" s="66">
        <v>10025212</v>
      </c>
      <c r="B112" s="66" t="s">
        <v>2689</v>
      </c>
      <c r="C112" s="66" t="s">
        <v>2752</v>
      </c>
      <c r="D112" s="66">
        <v>5</v>
      </c>
      <c r="E112" s="66" t="s">
        <v>3351</v>
      </c>
    </row>
    <row r="113" spans="1:5" x14ac:dyDescent="0.25">
      <c r="A113" s="66">
        <v>10069407</v>
      </c>
      <c r="B113" s="66" t="s">
        <v>2689</v>
      </c>
      <c r="C113" s="66" t="s">
        <v>2753</v>
      </c>
      <c r="D113" s="66">
        <v>4</v>
      </c>
      <c r="E113" s="66" t="s">
        <v>3351</v>
      </c>
    </row>
    <row r="114" spans="1:5" x14ac:dyDescent="0.25">
      <c r="A114" s="66">
        <v>10071135</v>
      </c>
      <c r="B114" s="66" t="s">
        <v>2689</v>
      </c>
      <c r="C114" s="66" t="s">
        <v>2754</v>
      </c>
      <c r="D114" s="66">
        <v>4</v>
      </c>
      <c r="E114" s="66" t="s">
        <v>3351</v>
      </c>
    </row>
    <row r="115" spans="1:5" x14ac:dyDescent="0.25">
      <c r="A115" s="66">
        <v>10083649</v>
      </c>
      <c r="B115" s="66" t="s">
        <v>2689</v>
      </c>
      <c r="C115" s="66" t="s">
        <v>2755</v>
      </c>
      <c r="D115" s="66">
        <v>2</v>
      </c>
      <c r="E115" s="66" t="s">
        <v>3351</v>
      </c>
    </row>
    <row r="116" spans="1:5" x14ac:dyDescent="0.25">
      <c r="A116" s="66">
        <v>10102021</v>
      </c>
      <c r="B116" s="66" t="s">
        <v>2689</v>
      </c>
      <c r="C116" s="66" t="s">
        <v>2756</v>
      </c>
      <c r="D116" s="66">
        <v>2</v>
      </c>
      <c r="E116" s="66" t="s">
        <v>3351</v>
      </c>
    </row>
    <row r="117" spans="1:5" x14ac:dyDescent="0.25">
      <c r="A117" s="66">
        <v>10123729</v>
      </c>
      <c r="B117" s="66" t="s">
        <v>2689</v>
      </c>
      <c r="C117" s="66" t="s">
        <v>2757</v>
      </c>
      <c r="D117" s="66">
        <v>5</v>
      </c>
      <c r="E117" s="66" t="s">
        <v>3351</v>
      </c>
    </row>
    <row r="118" spans="1:5" x14ac:dyDescent="0.25">
      <c r="A118" s="66">
        <v>10144736</v>
      </c>
      <c r="B118" s="66" t="s">
        <v>2689</v>
      </c>
      <c r="C118" s="66" t="s">
        <v>2758</v>
      </c>
      <c r="D118" s="66">
        <v>4</v>
      </c>
      <c r="E118" s="66" t="s">
        <v>3351</v>
      </c>
    </row>
    <row r="119" spans="1:5" x14ac:dyDescent="0.25">
      <c r="A119" s="66">
        <v>10157275</v>
      </c>
      <c r="B119" s="66" t="s">
        <v>2689</v>
      </c>
      <c r="C119" s="66" t="s">
        <v>2759</v>
      </c>
      <c r="D119" s="66">
        <v>5</v>
      </c>
      <c r="E119" s="66" t="s">
        <v>3351</v>
      </c>
    </row>
    <row r="120" spans="1:5" x14ac:dyDescent="0.25">
      <c r="A120" s="66">
        <v>5281</v>
      </c>
      <c r="B120" s="66" t="s">
        <v>2689</v>
      </c>
      <c r="C120" s="66" t="s">
        <v>2760</v>
      </c>
      <c r="D120" s="66">
        <v>2</v>
      </c>
      <c r="E120" s="66" t="s">
        <v>3352</v>
      </c>
    </row>
    <row r="121" spans="1:5" x14ac:dyDescent="0.25">
      <c r="A121" s="66">
        <v>200085</v>
      </c>
      <c r="B121" s="66" t="s">
        <v>2689</v>
      </c>
      <c r="C121" s="66" t="s">
        <v>2761</v>
      </c>
      <c r="D121" s="66">
        <v>18</v>
      </c>
      <c r="E121" s="66" t="s">
        <v>3352</v>
      </c>
    </row>
    <row r="122" spans="1:5" x14ac:dyDescent="0.25">
      <c r="A122" s="66">
        <v>500129</v>
      </c>
      <c r="B122" s="66" t="s">
        <v>2689</v>
      </c>
      <c r="C122" s="66" t="s">
        <v>2762</v>
      </c>
      <c r="D122" s="66">
        <v>9</v>
      </c>
      <c r="E122" s="66" t="s">
        <v>3352</v>
      </c>
    </row>
    <row r="123" spans="1:5" x14ac:dyDescent="0.25">
      <c r="A123" s="66">
        <v>1002033</v>
      </c>
      <c r="B123" s="66" t="s">
        <v>2689</v>
      </c>
      <c r="C123" s="66" t="s">
        <v>2763</v>
      </c>
      <c r="D123" s="66">
        <v>6</v>
      </c>
      <c r="E123" s="66" t="s">
        <v>3352</v>
      </c>
    </row>
    <row r="124" spans="1:5" x14ac:dyDescent="0.25">
      <c r="A124" s="66">
        <v>1003457</v>
      </c>
      <c r="B124" s="66" t="s">
        <v>2689</v>
      </c>
      <c r="C124" s="66" t="s">
        <v>663</v>
      </c>
      <c r="D124" s="66">
        <v>1</v>
      </c>
      <c r="E124" s="66" t="s">
        <v>3352</v>
      </c>
    </row>
    <row r="125" spans="1:5" x14ac:dyDescent="0.25">
      <c r="A125" s="66">
        <v>2005223</v>
      </c>
      <c r="B125" s="66" t="s">
        <v>2689</v>
      </c>
      <c r="C125" s="66" t="s">
        <v>2764</v>
      </c>
      <c r="D125" s="66">
        <v>3</v>
      </c>
      <c r="E125" s="66" t="s">
        <v>3352</v>
      </c>
    </row>
    <row r="126" spans="1:5" x14ac:dyDescent="0.25">
      <c r="A126" s="66">
        <v>2012014</v>
      </c>
      <c r="B126" s="66" t="s">
        <v>2689</v>
      </c>
      <c r="C126" s="66" t="s">
        <v>1858</v>
      </c>
      <c r="D126" s="66">
        <v>1</v>
      </c>
      <c r="E126" s="66" t="s">
        <v>3352</v>
      </c>
    </row>
    <row r="127" spans="1:5" x14ac:dyDescent="0.25">
      <c r="A127" s="66">
        <v>3000152</v>
      </c>
      <c r="B127" s="66" t="s">
        <v>2689</v>
      </c>
      <c r="C127" s="66" t="s">
        <v>1366</v>
      </c>
      <c r="D127" s="66">
        <v>1</v>
      </c>
      <c r="E127" s="66" t="s">
        <v>3352</v>
      </c>
    </row>
    <row r="128" spans="1:5" x14ac:dyDescent="0.25">
      <c r="A128" s="66">
        <v>3014566</v>
      </c>
      <c r="B128" s="66" t="s">
        <v>2689</v>
      </c>
      <c r="C128" s="66" t="s">
        <v>663</v>
      </c>
      <c r="D128" s="66">
        <v>1</v>
      </c>
      <c r="E128" s="66" t="s">
        <v>3352</v>
      </c>
    </row>
    <row r="129" spans="1:5" x14ac:dyDescent="0.25">
      <c r="A129" s="66">
        <v>3015058</v>
      </c>
      <c r="B129" s="66" t="s">
        <v>2689</v>
      </c>
      <c r="C129" s="66" t="s">
        <v>2765</v>
      </c>
      <c r="D129" s="66">
        <v>4</v>
      </c>
      <c r="E129" s="66" t="s">
        <v>3352</v>
      </c>
    </row>
    <row r="130" spans="1:5" x14ac:dyDescent="0.25">
      <c r="A130" s="66">
        <v>4000996</v>
      </c>
      <c r="B130" s="66" t="s">
        <v>2689</v>
      </c>
      <c r="C130" s="66" t="s">
        <v>2766</v>
      </c>
      <c r="D130" s="66">
        <v>4</v>
      </c>
      <c r="E130" s="66" t="s">
        <v>3352</v>
      </c>
    </row>
    <row r="131" spans="1:5" x14ac:dyDescent="0.25">
      <c r="A131" s="66">
        <v>4003768</v>
      </c>
      <c r="B131" s="66" t="s">
        <v>2689</v>
      </c>
      <c r="C131" s="66" t="s">
        <v>2767</v>
      </c>
      <c r="D131" s="66">
        <v>6</v>
      </c>
      <c r="E131" s="66" t="s">
        <v>3352</v>
      </c>
    </row>
    <row r="132" spans="1:5" x14ac:dyDescent="0.25">
      <c r="A132" s="66">
        <v>4006540</v>
      </c>
      <c r="B132" s="66" t="s">
        <v>2689</v>
      </c>
      <c r="C132" s="66" t="s">
        <v>2768</v>
      </c>
      <c r="D132" s="66">
        <v>4</v>
      </c>
      <c r="E132" s="66" t="s">
        <v>3352</v>
      </c>
    </row>
    <row r="133" spans="1:5" x14ac:dyDescent="0.25">
      <c r="A133" s="66">
        <v>4007054</v>
      </c>
      <c r="B133" s="66" t="s">
        <v>2689</v>
      </c>
      <c r="C133" s="66" t="s">
        <v>2769</v>
      </c>
      <c r="D133" s="66">
        <v>2</v>
      </c>
      <c r="E133" s="66" t="s">
        <v>3352</v>
      </c>
    </row>
    <row r="134" spans="1:5" x14ac:dyDescent="0.25">
      <c r="A134" s="66">
        <v>4011002</v>
      </c>
      <c r="B134" s="66" t="s">
        <v>2689</v>
      </c>
      <c r="C134" s="66" t="s">
        <v>2770</v>
      </c>
      <c r="D134" s="66">
        <v>4</v>
      </c>
      <c r="E134" s="66" t="s">
        <v>3352</v>
      </c>
    </row>
    <row r="135" spans="1:5" x14ac:dyDescent="0.25">
      <c r="A135" s="66">
        <v>4900268</v>
      </c>
      <c r="B135" s="66" t="s">
        <v>2689</v>
      </c>
      <c r="C135" s="66" t="s">
        <v>2771</v>
      </c>
      <c r="D135" s="66">
        <v>2</v>
      </c>
      <c r="E135" s="66" t="s">
        <v>3352</v>
      </c>
    </row>
    <row r="136" spans="1:5" x14ac:dyDescent="0.25">
      <c r="A136" s="66">
        <v>5001097</v>
      </c>
      <c r="B136" s="66" t="s">
        <v>2689</v>
      </c>
      <c r="C136" s="66" t="s">
        <v>2772</v>
      </c>
      <c r="D136" s="66">
        <v>5</v>
      </c>
      <c r="E136" s="66" t="s">
        <v>3352</v>
      </c>
    </row>
    <row r="137" spans="1:5" x14ac:dyDescent="0.25">
      <c r="A137" s="66">
        <v>5001098</v>
      </c>
      <c r="B137" s="66" t="s">
        <v>2689</v>
      </c>
      <c r="C137" s="66" t="s">
        <v>2773</v>
      </c>
      <c r="D137" s="66">
        <v>5</v>
      </c>
      <c r="E137" s="66" t="s">
        <v>3352</v>
      </c>
    </row>
    <row r="138" spans="1:5" x14ac:dyDescent="0.25">
      <c r="A138" s="66">
        <v>5006152</v>
      </c>
      <c r="B138" s="66" t="s">
        <v>2689</v>
      </c>
      <c r="C138" s="66" t="s">
        <v>2774</v>
      </c>
      <c r="D138" s="66">
        <v>2</v>
      </c>
      <c r="E138" s="66" t="s">
        <v>3352</v>
      </c>
    </row>
    <row r="139" spans="1:5" x14ac:dyDescent="0.25">
      <c r="A139" s="66">
        <v>6012361</v>
      </c>
      <c r="B139" s="66" t="s">
        <v>2689</v>
      </c>
      <c r="C139" s="66" t="s">
        <v>2775</v>
      </c>
      <c r="D139" s="66">
        <v>2</v>
      </c>
      <c r="E139" s="66" t="s">
        <v>3352</v>
      </c>
    </row>
    <row r="140" spans="1:5" x14ac:dyDescent="0.25">
      <c r="A140" s="66">
        <v>6015793</v>
      </c>
      <c r="B140" s="66" t="s">
        <v>2689</v>
      </c>
      <c r="C140" s="66" t="s">
        <v>2776</v>
      </c>
      <c r="D140" s="66">
        <v>4</v>
      </c>
      <c r="E140" s="66" t="s">
        <v>3352</v>
      </c>
    </row>
    <row r="141" spans="1:5" x14ac:dyDescent="0.25">
      <c r="A141" s="66">
        <v>6043619</v>
      </c>
      <c r="B141" s="66" t="s">
        <v>2689</v>
      </c>
      <c r="C141" s="66" t="s">
        <v>663</v>
      </c>
      <c r="D141" s="66">
        <v>1</v>
      </c>
      <c r="E141" s="66" t="s">
        <v>3352</v>
      </c>
    </row>
    <row r="142" spans="1:5" x14ac:dyDescent="0.25">
      <c r="A142" s="66">
        <v>7001097</v>
      </c>
      <c r="B142" s="66" t="s">
        <v>2689</v>
      </c>
      <c r="C142" s="66" t="s">
        <v>2777</v>
      </c>
      <c r="D142" s="66">
        <v>13</v>
      </c>
      <c r="E142" s="66" t="s">
        <v>3352</v>
      </c>
    </row>
    <row r="143" spans="1:5" x14ac:dyDescent="0.25">
      <c r="A143" s="66">
        <v>7011435</v>
      </c>
      <c r="B143" s="66" t="s">
        <v>2689</v>
      </c>
      <c r="C143" s="66" t="s">
        <v>2778</v>
      </c>
      <c r="D143" s="66">
        <v>4</v>
      </c>
      <c r="E143" s="66" t="s">
        <v>3352</v>
      </c>
    </row>
    <row r="144" spans="1:5" x14ac:dyDescent="0.25">
      <c r="A144" s="66">
        <v>7045811</v>
      </c>
      <c r="B144" s="66" t="s">
        <v>2689</v>
      </c>
      <c r="C144" s="66" t="s">
        <v>2779</v>
      </c>
      <c r="D144" s="66">
        <v>3</v>
      </c>
      <c r="E144" s="66" t="s">
        <v>3352</v>
      </c>
    </row>
    <row r="145" spans="1:5" x14ac:dyDescent="0.25">
      <c r="A145" s="66">
        <v>7101143</v>
      </c>
      <c r="B145" s="66" t="s">
        <v>2689</v>
      </c>
      <c r="C145" s="66" t="s">
        <v>2780</v>
      </c>
      <c r="D145" s="66">
        <v>6</v>
      </c>
      <c r="E145" s="66" t="s">
        <v>3352</v>
      </c>
    </row>
    <row r="146" spans="1:5" x14ac:dyDescent="0.25">
      <c r="A146" s="66">
        <v>8073645</v>
      </c>
      <c r="B146" s="66" t="s">
        <v>2689</v>
      </c>
      <c r="C146" s="66" t="s">
        <v>1367</v>
      </c>
      <c r="D146" s="66">
        <v>1</v>
      </c>
      <c r="E146" s="66" t="s">
        <v>3352</v>
      </c>
    </row>
    <row r="147" spans="1:5" x14ac:dyDescent="0.25">
      <c r="A147" s="66">
        <v>8089666</v>
      </c>
      <c r="B147" s="66" t="s">
        <v>2689</v>
      </c>
      <c r="C147" s="66" t="s">
        <v>2781</v>
      </c>
      <c r="D147" s="66">
        <v>5</v>
      </c>
      <c r="E147" s="66" t="s">
        <v>3352</v>
      </c>
    </row>
    <row r="148" spans="1:5" x14ac:dyDescent="0.25">
      <c r="A148" s="66">
        <v>8103536</v>
      </c>
      <c r="B148" s="66" t="s">
        <v>2689</v>
      </c>
      <c r="C148" s="66" t="s">
        <v>1366</v>
      </c>
      <c r="D148" s="66">
        <v>1</v>
      </c>
      <c r="E148" s="66" t="s">
        <v>3352</v>
      </c>
    </row>
    <row r="149" spans="1:5" x14ac:dyDescent="0.25">
      <c r="A149" s="66">
        <v>8124816</v>
      </c>
      <c r="B149" s="66" t="s">
        <v>2689</v>
      </c>
      <c r="C149" s="66" t="s">
        <v>2782</v>
      </c>
      <c r="D149" s="66">
        <v>5</v>
      </c>
      <c r="E149" s="66" t="s">
        <v>3352</v>
      </c>
    </row>
    <row r="150" spans="1:5" x14ac:dyDescent="0.25">
      <c r="A150" s="66">
        <v>9003267</v>
      </c>
      <c r="B150" s="66" t="s">
        <v>2689</v>
      </c>
      <c r="C150" s="66" t="s">
        <v>2783</v>
      </c>
      <c r="D150" s="66">
        <v>6</v>
      </c>
      <c r="E150" s="66" t="s">
        <v>3352</v>
      </c>
    </row>
    <row r="151" spans="1:5" x14ac:dyDescent="0.25">
      <c r="A151" s="66">
        <v>9036964</v>
      </c>
      <c r="B151" s="66" t="s">
        <v>2689</v>
      </c>
      <c r="C151" s="66" t="s">
        <v>2784</v>
      </c>
      <c r="D151" s="66">
        <v>7</v>
      </c>
      <c r="E151" s="66" t="s">
        <v>3352</v>
      </c>
    </row>
    <row r="152" spans="1:5" x14ac:dyDescent="0.25">
      <c r="A152" s="66">
        <v>9090287</v>
      </c>
      <c r="B152" s="66" t="s">
        <v>2689</v>
      </c>
      <c r="C152" s="66" t="s">
        <v>2785</v>
      </c>
      <c r="D152" s="66">
        <v>5</v>
      </c>
      <c r="E152" s="66" t="s">
        <v>3352</v>
      </c>
    </row>
    <row r="153" spans="1:5" x14ac:dyDescent="0.25">
      <c r="A153" s="66">
        <v>9104979</v>
      </c>
      <c r="B153" s="66" t="s">
        <v>2689</v>
      </c>
      <c r="C153" s="66" t="s">
        <v>2786</v>
      </c>
      <c r="D153" s="66">
        <v>6</v>
      </c>
      <c r="E153" s="66" t="s">
        <v>3352</v>
      </c>
    </row>
    <row r="154" spans="1:5" x14ac:dyDescent="0.25">
      <c r="A154" s="66">
        <v>9139514</v>
      </c>
      <c r="B154" s="66" t="s">
        <v>2689</v>
      </c>
      <c r="C154" s="66" t="s">
        <v>2787</v>
      </c>
      <c r="D154" s="66">
        <v>5</v>
      </c>
      <c r="E154" s="66" t="s">
        <v>3352</v>
      </c>
    </row>
    <row r="155" spans="1:5" x14ac:dyDescent="0.25">
      <c r="A155" s="66">
        <v>10020659</v>
      </c>
      <c r="B155" s="66" t="s">
        <v>2689</v>
      </c>
      <c r="C155" s="66" t="s">
        <v>2788</v>
      </c>
      <c r="D155" s="66">
        <v>4</v>
      </c>
      <c r="E155" s="66" t="s">
        <v>3352</v>
      </c>
    </row>
    <row r="156" spans="1:5" x14ac:dyDescent="0.25">
      <c r="A156" s="66">
        <v>10025902</v>
      </c>
      <c r="B156" s="66" t="s">
        <v>2689</v>
      </c>
      <c r="C156" s="66" t="s">
        <v>2789</v>
      </c>
      <c r="D156" s="66">
        <v>6</v>
      </c>
      <c r="E156" s="66" t="s">
        <v>3352</v>
      </c>
    </row>
    <row r="157" spans="1:5" x14ac:dyDescent="0.25">
      <c r="A157" s="66">
        <v>10027654</v>
      </c>
      <c r="B157" s="66" t="s">
        <v>2689</v>
      </c>
      <c r="C157" s="66" t="s">
        <v>2790</v>
      </c>
      <c r="D157" s="66">
        <v>4</v>
      </c>
      <c r="E157" s="66" t="s">
        <v>3352</v>
      </c>
    </row>
    <row r="158" spans="1:5" x14ac:dyDescent="0.25">
      <c r="A158" s="66">
        <v>10084485</v>
      </c>
      <c r="B158" s="66" t="s">
        <v>2689</v>
      </c>
      <c r="C158" s="66" t="s">
        <v>663</v>
      </c>
      <c r="D158" s="66">
        <v>1</v>
      </c>
      <c r="E158" s="66" t="s">
        <v>3352</v>
      </c>
    </row>
    <row r="159" spans="1:5" x14ac:dyDescent="0.25">
      <c r="A159" s="66">
        <v>10098420</v>
      </c>
      <c r="B159" s="66" t="s">
        <v>2689</v>
      </c>
      <c r="C159" s="66" t="s">
        <v>2791</v>
      </c>
      <c r="D159" s="66">
        <v>3</v>
      </c>
      <c r="E159" s="66" t="s">
        <v>3352</v>
      </c>
    </row>
    <row r="160" spans="1:5" x14ac:dyDescent="0.25">
      <c r="A160" s="66">
        <v>10129565</v>
      </c>
      <c r="B160" s="66" t="s">
        <v>2689</v>
      </c>
      <c r="C160" s="66" t="s">
        <v>2792</v>
      </c>
      <c r="D160" s="66">
        <v>4</v>
      </c>
      <c r="E160" s="66" t="s">
        <v>3352</v>
      </c>
    </row>
    <row r="161" spans="1:5" x14ac:dyDescent="0.25">
      <c r="A161" s="66">
        <v>10146828</v>
      </c>
      <c r="B161" s="66" t="s">
        <v>2689</v>
      </c>
      <c r="C161" s="66" t="s">
        <v>2793</v>
      </c>
      <c r="D161" s="66">
        <v>4</v>
      </c>
      <c r="E161" s="66" t="s">
        <v>3352</v>
      </c>
    </row>
    <row r="162" spans="1:5" x14ac:dyDescent="0.25">
      <c r="A162" s="66">
        <v>10173664</v>
      </c>
      <c r="B162" s="66" t="s">
        <v>2689</v>
      </c>
      <c r="C162" s="66" t="s">
        <v>2794</v>
      </c>
      <c r="D162" s="66">
        <v>3</v>
      </c>
      <c r="E162" s="66" t="s">
        <v>3352</v>
      </c>
    </row>
  </sheetData>
  <phoneticPr fontId="6" type="noConversion"/>
  <pageMargins left="0.7" right="0.7" top="0.78740157499999996" bottom="0.78740157499999996" header="0.3" footer="0.3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T239"/>
  <sheetViews>
    <sheetView workbookViewId="0">
      <selection activeCell="B1" sqref="B1:B1048576"/>
    </sheetView>
  </sheetViews>
  <sheetFormatPr defaultColWidth="11.42578125" defaultRowHeight="15" x14ac:dyDescent="0.25"/>
  <cols>
    <col min="1" max="1" width="17.140625" style="50" customWidth="1"/>
    <col min="2" max="2" width="12.42578125" customWidth="1"/>
    <col min="3" max="6" width="38.7109375" customWidth="1"/>
    <col min="7" max="14" width="33.28515625" customWidth="1"/>
    <col min="15" max="15" width="37.7109375" customWidth="1"/>
    <col min="16" max="18" width="33.28515625" customWidth="1"/>
    <col min="19" max="24" width="32.28515625" customWidth="1"/>
    <col min="25" max="25" width="36.7109375" customWidth="1"/>
    <col min="26" max="26" width="32.28515625" customWidth="1"/>
    <col min="27" max="27" width="31.140625" customWidth="1"/>
    <col min="28" max="28" width="23.28515625" customWidth="1"/>
    <col min="29" max="29" width="47.7109375" customWidth="1"/>
    <col min="32" max="32" width="14.42578125" customWidth="1"/>
    <col min="35" max="35" width="14.42578125" customWidth="1"/>
    <col min="36" max="37" width="12.140625" customWidth="1"/>
    <col min="38" max="38" width="17" customWidth="1"/>
    <col min="39" max="40" width="12.140625" customWidth="1"/>
    <col min="41" max="41" width="17" customWidth="1"/>
    <col min="42" max="44" width="12.140625" customWidth="1"/>
    <col min="45" max="45" width="17" customWidth="1"/>
    <col min="46" max="48" width="12.140625" customWidth="1"/>
    <col min="49" max="49" width="17" customWidth="1"/>
    <col min="50" max="53" width="12.140625" customWidth="1"/>
    <col min="54" max="54" width="17" customWidth="1"/>
    <col min="55" max="56" width="12.140625" customWidth="1"/>
    <col min="57" max="57" width="14.85546875" customWidth="1"/>
    <col min="58" max="59" width="19.7109375" customWidth="1"/>
    <col min="60" max="67" width="14.85546875" customWidth="1"/>
    <col min="68" max="78" width="19.7109375" customWidth="1"/>
    <col min="79" max="88" width="14.85546875" customWidth="1"/>
    <col min="89" max="89" width="19.7109375" customWidth="1"/>
    <col min="90" max="92" width="14.85546875" customWidth="1"/>
    <col min="93" max="98" width="19.7109375" customWidth="1"/>
  </cols>
  <sheetData>
    <row r="1" spans="1:98" x14ac:dyDescent="0.25">
      <c r="A1" s="61" t="s">
        <v>59</v>
      </c>
      <c r="B1" s="61" t="s">
        <v>3346</v>
      </c>
      <c r="C1" s="62" t="s">
        <v>2436</v>
      </c>
      <c r="D1" s="62" t="s">
        <v>2413</v>
      </c>
      <c r="E1" s="62" t="s">
        <v>2414</v>
      </c>
      <c r="F1" s="62" t="s">
        <v>1379</v>
      </c>
      <c r="G1" s="62" t="s">
        <v>2444</v>
      </c>
      <c r="H1" s="62" t="s">
        <v>2198</v>
      </c>
      <c r="I1" s="62" t="s">
        <v>2437</v>
      </c>
      <c r="J1" s="62" t="s">
        <v>1101</v>
      </c>
      <c r="K1" s="62" t="s">
        <v>2442</v>
      </c>
      <c r="L1" s="62" t="s">
        <v>2213</v>
      </c>
      <c r="M1" s="62" t="s">
        <v>1031</v>
      </c>
      <c r="N1" s="62" t="s">
        <v>1102</v>
      </c>
      <c r="O1" s="62" t="s">
        <v>1380</v>
      </c>
      <c r="P1" s="62" t="s">
        <v>1792</v>
      </c>
      <c r="Q1" s="62" t="s">
        <v>1986</v>
      </c>
      <c r="R1" s="62" t="s">
        <v>1859</v>
      </c>
      <c r="S1" s="62" t="s">
        <v>1192</v>
      </c>
      <c r="T1" s="62" t="s">
        <v>1987</v>
      </c>
      <c r="U1" s="62" t="s">
        <v>857</v>
      </c>
      <c r="V1" s="62" t="s">
        <v>1826</v>
      </c>
      <c r="W1" s="62" t="s">
        <v>1793</v>
      </c>
      <c r="X1" s="62" t="s">
        <v>1794</v>
      </c>
      <c r="Y1" s="62" t="s">
        <v>1381</v>
      </c>
      <c r="Z1" s="62" t="s">
        <v>856</v>
      </c>
      <c r="AA1" s="62" t="s">
        <v>2144</v>
      </c>
      <c r="AB1" s="62" t="s">
        <v>57</v>
      </c>
      <c r="AC1" s="63" t="s">
        <v>807</v>
      </c>
      <c r="AD1" s="62" t="s">
        <v>19</v>
      </c>
      <c r="AE1" s="62" t="s">
        <v>21</v>
      </c>
      <c r="AF1" s="62" t="s">
        <v>1383</v>
      </c>
      <c r="AG1" s="62" t="s">
        <v>1382</v>
      </c>
      <c r="AH1" s="62" t="s">
        <v>22</v>
      </c>
      <c r="AI1" s="62" t="s">
        <v>1384</v>
      </c>
      <c r="AJ1" s="62" t="s">
        <v>78</v>
      </c>
      <c r="AK1" s="62" t="s">
        <v>579</v>
      </c>
      <c r="AL1" s="62" t="s">
        <v>1385</v>
      </c>
      <c r="AM1" s="62" t="s">
        <v>70</v>
      </c>
      <c r="AN1" s="62" t="s">
        <v>79</v>
      </c>
      <c r="AO1" s="62" t="s">
        <v>1386</v>
      </c>
      <c r="AP1" s="62" t="s">
        <v>162</v>
      </c>
      <c r="AQ1" s="62" t="s">
        <v>18</v>
      </c>
      <c r="AR1" s="62" t="s">
        <v>20</v>
      </c>
      <c r="AS1" s="62" t="s">
        <v>1387</v>
      </c>
      <c r="AT1" s="62" t="s">
        <v>795</v>
      </c>
      <c r="AU1" s="62" t="s">
        <v>1291</v>
      </c>
      <c r="AV1" s="62" t="s">
        <v>892</v>
      </c>
      <c r="AW1" s="62" t="s">
        <v>1388</v>
      </c>
      <c r="AX1" s="62" t="s">
        <v>810</v>
      </c>
      <c r="AY1" s="62" t="s">
        <v>1292</v>
      </c>
      <c r="AZ1" s="62" t="s">
        <v>1313</v>
      </c>
      <c r="BA1" s="62" t="s">
        <v>2131</v>
      </c>
      <c r="BB1" s="62" t="s">
        <v>1389</v>
      </c>
      <c r="BC1" s="62" t="s">
        <v>2147</v>
      </c>
      <c r="BD1" s="62" t="s">
        <v>1054</v>
      </c>
      <c r="BE1" s="62" t="s">
        <v>1215</v>
      </c>
      <c r="BF1" s="62" t="s">
        <v>1390</v>
      </c>
      <c r="BG1" s="62" t="s">
        <v>1400</v>
      </c>
      <c r="BH1" s="62" t="s">
        <v>1801</v>
      </c>
      <c r="BI1" s="62" t="s">
        <v>1401</v>
      </c>
      <c r="BJ1" s="62" t="s">
        <v>2408</v>
      </c>
      <c r="BK1" s="62" t="s">
        <v>2178</v>
      </c>
      <c r="BL1" s="62" t="s">
        <v>1032</v>
      </c>
      <c r="BM1" s="62" t="s">
        <v>2182</v>
      </c>
      <c r="BN1" s="62" t="s">
        <v>2179</v>
      </c>
      <c r="BO1" s="62" t="s">
        <v>912</v>
      </c>
      <c r="BP1" s="62" t="s">
        <v>1391</v>
      </c>
      <c r="BQ1" s="62" t="s">
        <v>2194</v>
      </c>
      <c r="BR1" s="62" t="s">
        <v>2162</v>
      </c>
      <c r="BS1" s="62" t="s">
        <v>2168</v>
      </c>
      <c r="BT1" s="62" t="s">
        <v>2090</v>
      </c>
      <c r="BU1" s="62" t="s">
        <v>2163</v>
      </c>
      <c r="BV1" s="62" t="s">
        <v>2067</v>
      </c>
      <c r="BW1" s="62" t="s">
        <v>2164</v>
      </c>
      <c r="BX1" s="62" t="s">
        <v>2317</v>
      </c>
      <c r="BY1" s="62" t="s">
        <v>2318</v>
      </c>
      <c r="BZ1" s="62" t="s">
        <v>2165</v>
      </c>
      <c r="CA1" s="62" t="s">
        <v>2319</v>
      </c>
      <c r="CB1" s="62" t="s">
        <v>2183</v>
      </c>
      <c r="CC1" s="62" t="s">
        <v>1067</v>
      </c>
      <c r="CD1" s="62" t="s">
        <v>1216</v>
      </c>
      <c r="CE1" s="62" t="s">
        <v>2218</v>
      </c>
      <c r="CF1" s="62" t="s">
        <v>2343</v>
      </c>
      <c r="CG1" s="62" t="s">
        <v>2132</v>
      </c>
      <c r="CH1" s="62" t="s">
        <v>1399</v>
      </c>
      <c r="CI1" s="62" t="s">
        <v>1802</v>
      </c>
      <c r="CJ1" s="62" t="s">
        <v>2091</v>
      </c>
      <c r="CK1" s="62" t="s">
        <v>1392</v>
      </c>
      <c r="CL1" s="62" t="s">
        <v>1173</v>
      </c>
      <c r="CM1" s="62" t="s">
        <v>1174</v>
      </c>
      <c r="CN1" s="62" t="s">
        <v>2210</v>
      </c>
      <c r="CO1" s="62" t="s">
        <v>1393</v>
      </c>
      <c r="CP1" s="62" t="s">
        <v>2092</v>
      </c>
      <c r="CQ1" s="62" t="s">
        <v>2068</v>
      </c>
      <c r="CR1" s="62" t="s">
        <v>2219</v>
      </c>
      <c r="CS1" s="62" t="s">
        <v>2069</v>
      </c>
      <c r="CT1" s="62" t="s">
        <v>2220</v>
      </c>
    </row>
    <row r="2" spans="1:98" x14ac:dyDescent="0.25">
      <c r="A2" s="40" t="s">
        <v>561</v>
      </c>
      <c r="B2" s="40"/>
    </row>
    <row r="3" spans="1:98" x14ac:dyDescent="0.25">
      <c r="A3" s="10" t="s">
        <v>2519</v>
      </c>
      <c r="B3" s="10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  <c r="BB3" s="6"/>
      <c r="BC3" s="6"/>
      <c r="BD3" s="6"/>
      <c r="BE3" s="6"/>
      <c r="BF3" s="6"/>
      <c r="BG3" s="6"/>
      <c r="BH3" s="6"/>
      <c r="BI3" s="6"/>
      <c r="BJ3" s="6"/>
      <c r="BK3" s="6"/>
      <c r="BL3" s="6"/>
      <c r="BM3" s="6"/>
      <c r="BN3" s="6"/>
      <c r="BO3" s="6"/>
      <c r="BP3" s="6"/>
      <c r="BQ3" s="6"/>
      <c r="BR3" s="6"/>
      <c r="BS3" s="6"/>
      <c r="BT3" s="6"/>
      <c r="BU3" s="6"/>
      <c r="BV3" s="6"/>
      <c r="BW3" s="6"/>
      <c r="BX3" s="6"/>
      <c r="BY3" s="6"/>
      <c r="BZ3" s="6"/>
      <c r="CA3" s="6"/>
      <c r="CB3" s="6"/>
      <c r="CC3" s="6"/>
      <c r="CD3" s="6"/>
      <c r="CE3" s="6"/>
      <c r="CF3" s="6"/>
      <c r="CG3" s="6"/>
      <c r="CH3" s="6"/>
      <c r="CI3" s="6"/>
      <c r="CJ3" s="6"/>
      <c r="CK3" s="6"/>
      <c r="CL3" s="6"/>
      <c r="CM3" s="6"/>
      <c r="CN3" s="6"/>
      <c r="CO3" s="6"/>
      <c r="CP3" s="6"/>
      <c r="CQ3" s="6"/>
      <c r="CR3" s="6"/>
      <c r="CS3" s="6"/>
      <c r="CT3" s="6"/>
    </row>
    <row r="4" spans="1:98" x14ac:dyDescent="0.25">
      <c r="A4" s="50">
        <v>7072184</v>
      </c>
      <c r="B4" s="10" t="s">
        <v>3398</v>
      </c>
      <c r="C4" s="6"/>
      <c r="D4" s="6"/>
      <c r="E4" s="6"/>
      <c r="AB4">
        <v>190</v>
      </c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  <c r="BM4" s="6"/>
      <c r="BN4" s="6"/>
      <c r="BO4" s="6"/>
      <c r="BP4" s="6"/>
      <c r="BQ4" s="6"/>
      <c r="BR4" s="6"/>
      <c r="BS4" s="6"/>
      <c r="BT4" s="6"/>
      <c r="BU4" s="6"/>
      <c r="BV4" s="6"/>
      <c r="BW4" s="6"/>
      <c r="BX4" s="6"/>
      <c r="BY4" s="6"/>
      <c r="BZ4" s="6"/>
      <c r="CA4" s="6"/>
      <c r="CB4" s="6"/>
      <c r="CC4" s="6"/>
      <c r="CD4" s="6"/>
      <c r="CE4" s="6"/>
      <c r="CF4" s="6"/>
      <c r="CG4" s="6"/>
      <c r="CH4" s="6"/>
      <c r="CI4" s="6"/>
      <c r="CJ4" s="6"/>
      <c r="CK4" s="6"/>
      <c r="CL4" s="6"/>
      <c r="CM4" s="6"/>
      <c r="CN4" s="6"/>
      <c r="CO4" s="6"/>
      <c r="CP4" s="6"/>
      <c r="CQ4" s="6"/>
      <c r="CR4" s="6"/>
      <c r="CS4" s="6"/>
      <c r="CT4" s="6"/>
    </row>
    <row r="5" spans="1:98" x14ac:dyDescent="0.25">
      <c r="A5" s="50">
        <v>9108231</v>
      </c>
      <c r="B5" s="10" t="s">
        <v>3398</v>
      </c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6"/>
      <c r="BL5" s="6"/>
      <c r="BM5" s="6"/>
      <c r="BN5" s="6"/>
      <c r="BO5" s="6"/>
      <c r="BP5" s="6"/>
      <c r="BQ5" s="6"/>
      <c r="BR5" s="6"/>
      <c r="BS5" s="6"/>
      <c r="BT5" s="6"/>
      <c r="BU5" s="6"/>
      <c r="BV5" s="6"/>
      <c r="BW5" s="6"/>
      <c r="BX5" s="6"/>
      <c r="BY5" s="6"/>
      <c r="BZ5" s="6"/>
      <c r="CA5" s="6"/>
      <c r="CB5" s="6"/>
      <c r="CC5" s="6"/>
      <c r="CD5" s="6"/>
      <c r="CE5" s="6"/>
      <c r="CF5" s="6"/>
      <c r="CG5" s="6"/>
      <c r="CH5" s="6"/>
      <c r="CI5" s="6"/>
      <c r="CJ5" s="6"/>
      <c r="CK5" s="6"/>
      <c r="CL5" s="6"/>
      <c r="CM5" s="6"/>
      <c r="CN5" s="6"/>
      <c r="CO5" s="6"/>
      <c r="CP5" s="6"/>
      <c r="CQ5" s="6"/>
      <c r="CR5" s="6"/>
      <c r="CS5" s="6"/>
      <c r="CT5" s="6"/>
    </row>
    <row r="6" spans="1:98" x14ac:dyDescent="0.25">
      <c r="A6" s="50">
        <v>12061933</v>
      </c>
      <c r="B6" s="10" t="s">
        <v>3398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6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6"/>
      <c r="CK6" s="6"/>
      <c r="CL6" s="6"/>
      <c r="CM6" s="6"/>
      <c r="CN6" s="6"/>
      <c r="CO6" s="6"/>
      <c r="CP6" s="6"/>
      <c r="CQ6" s="6"/>
      <c r="CR6" s="6"/>
      <c r="CS6" s="6"/>
      <c r="CT6" s="6"/>
    </row>
    <row r="7" spans="1:98" x14ac:dyDescent="0.25">
      <c r="A7" s="50">
        <v>95005911</v>
      </c>
      <c r="B7" s="10" t="s">
        <v>3398</v>
      </c>
      <c r="AB7">
        <v>40</v>
      </c>
    </row>
    <row r="8" spans="1:98" x14ac:dyDescent="0.25">
      <c r="A8" s="50">
        <v>99001908</v>
      </c>
      <c r="B8" s="10" t="s">
        <v>3398</v>
      </c>
    </row>
    <row r="9" spans="1:98" x14ac:dyDescent="0.25">
      <c r="A9" s="50">
        <v>99004067</v>
      </c>
      <c r="B9" s="10" t="s">
        <v>3398</v>
      </c>
      <c r="AB9">
        <v>22</v>
      </c>
    </row>
    <row r="10" spans="1:98" x14ac:dyDescent="0.25">
      <c r="A10" s="50">
        <v>97002136</v>
      </c>
      <c r="B10" s="10" t="s">
        <v>3398</v>
      </c>
      <c r="AB10">
        <v>44</v>
      </c>
    </row>
    <row r="11" spans="1:98" x14ac:dyDescent="0.25">
      <c r="A11" s="50">
        <v>1502</v>
      </c>
      <c r="B11" s="10" t="s">
        <v>3398</v>
      </c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>
        <v>82</v>
      </c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  <c r="CT11" s="6"/>
    </row>
    <row r="12" spans="1:98" x14ac:dyDescent="0.25">
      <c r="A12" s="50">
        <v>4003543</v>
      </c>
      <c r="B12" s="10" t="s">
        <v>3398</v>
      </c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F12" s="6"/>
      <c r="AG12" s="6"/>
      <c r="AH12" s="6"/>
      <c r="AI12" s="6"/>
      <c r="AJ12">
        <v>53</v>
      </c>
      <c r="AM12" s="6"/>
      <c r="AN12">
        <v>38</v>
      </c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</row>
    <row r="13" spans="1:98" x14ac:dyDescent="0.25">
      <c r="A13" s="50">
        <v>4900261</v>
      </c>
      <c r="B13" s="10" t="s">
        <v>3398</v>
      </c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</row>
    <row r="15" spans="1:98" x14ac:dyDescent="0.25">
      <c r="A15" s="52" t="s">
        <v>2520</v>
      </c>
      <c r="B15" s="10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  <c r="CT15" s="6"/>
    </row>
    <row r="16" spans="1:98" x14ac:dyDescent="0.25">
      <c r="A16" s="50">
        <v>14242856</v>
      </c>
      <c r="B16" s="10" t="s">
        <v>3399</v>
      </c>
      <c r="C16" s="6"/>
      <c r="D16" s="6"/>
      <c r="E16" s="6"/>
      <c r="AB16">
        <v>145</v>
      </c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  <c r="CT16" s="6"/>
    </row>
    <row r="17" spans="1:98" x14ac:dyDescent="0.25">
      <c r="A17" s="50">
        <v>99001183</v>
      </c>
      <c r="B17" s="10" t="s">
        <v>3399</v>
      </c>
      <c r="C17" s="6"/>
      <c r="D17" s="6"/>
      <c r="E17" s="6"/>
      <c r="AC17" s="6"/>
      <c r="AD17" s="6"/>
      <c r="AE17" s="6"/>
      <c r="AF17" s="6"/>
      <c r="AG17" s="6"/>
      <c r="AH17" s="6"/>
      <c r="AI17" s="6"/>
      <c r="AJ17" s="6">
        <v>23</v>
      </c>
      <c r="AK17" s="6"/>
      <c r="AL17" s="6"/>
      <c r="AM17" s="6"/>
      <c r="AN17" s="6"/>
      <c r="AO17" s="6"/>
      <c r="AP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  <c r="CT17" s="6"/>
    </row>
    <row r="18" spans="1:98" x14ac:dyDescent="0.25">
      <c r="A18" s="50">
        <v>3000983</v>
      </c>
      <c r="B18" s="10" t="s">
        <v>3399</v>
      </c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>
        <v>28</v>
      </c>
      <c r="AH18">
        <v>241</v>
      </c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>
        <v>264</v>
      </c>
    </row>
    <row r="19" spans="1:98" x14ac:dyDescent="0.25">
      <c r="A19" s="50">
        <v>10064335</v>
      </c>
      <c r="B19" s="10" t="s">
        <v>3399</v>
      </c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>
        <v>52</v>
      </c>
      <c r="AQ19">
        <v>101</v>
      </c>
      <c r="AR19" s="6"/>
      <c r="AS19">
        <v>113</v>
      </c>
      <c r="BE19">
        <v>32</v>
      </c>
      <c r="BF19">
        <v>32</v>
      </c>
    </row>
    <row r="20" spans="1:98" x14ac:dyDescent="0.25">
      <c r="A20" s="51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  <c r="CT20" s="6"/>
    </row>
    <row r="21" spans="1:98" x14ac:dyDescent="0.25">
      <c r="A21" s="52" t="s">
        <v>2521</v>
      </c>
      <c r="B21" s="10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  <c r="CT21" s="6"/>
    </row>
    <row r="22" spans="1:98" x14ac:dyDescent="0.25">
      <c r="A22" s="50">
        <v>1480</v>
      </c>
      <c r="B22" s="10" t="s">
        <v>3400</v>
      </c>
      <c r="AC22">
        <v>24</v>
      </c>
      <c r="AH22">
        <v>24</v>
      </c>
    </row>
    <row r="23" spans="1:98" x14ac:dyDescent="0.25">
      <c r="A23" s="50">
        <v>7063959</v>
      </c>
      <c r="B23" s="10" t="s">
        <v>3400</v>
      </c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  <c r="CT23" s="6"/>
    </row>
    <row r="24" spans="1:98" x14ac:dyDescent="0.25">
      <c r="A24" s="50">
        <v>1003215</v>
      </c>
      <c r="B24" s="10" t="s">
        <v>3400</v>
      </c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>
        <v>27</v>
      </c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  <c r="CT24" s="6"/>
    </row>
    <row r="25" spans="1:98" x14ac:dyDescent="0.25">
      <c r="A25" s="50">
        <v>99000802</v>
      </c>
      <c r="B25" s="10" t="s">
        <v>3400</v>
      </c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>
        <v>26</v>
      </c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  <c r="CT25" s="6"/>
    </row>
    <row r="26" spans="1:98" x14ac:dyDescent="0.25">
      <c r="A26" s="50">
        <v>99000892</v>
      </c>
      <c r="B26" s="10" t="s">
        <v>3400</v>
      </c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>
        <v>65</v>
      </c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  <c r="CT26" s="6"/>
    </row>
    <row r="27" spans="1:98" x14ac:dyDescent="0.25">
      <c r="A27" s="50">
        <v>1000192</v>
      </c>
      <c r="B27" s="10" t="s">
        <v>3400</v>
      </c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  <c r="CT27" s="6"/>
    </row>
    <row r="28" spans="1:98" x14ac:dyDescent="0.25">
      <c r="A28" s="50">
        <v>1506</v>
      </c>
      <c r="B28" s="10" t="s">
        <v>3400</v>
      </c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>
        <v>28</v>
      </c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  <c r="CT28" s="6"/>
    </row>
    <row r="29" spans="1:98" x14ac:dyDescent="0.25">
      <c r="A29" s="50">
        <v>99000894</v>
      </c>
      <c r="B29" s="10" t="s">
        <v>3400</v>
      </c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>
        <v>30</v>
      </c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  <c r="CT29" s="6"/>
    </row>
    <row r="30" spans="1:98" x14ac:dyDescent="0.25">
      <c r="A30" s="50">
        <v>99000897</v>
      </c>
      <c r="B30" s="10" t="s">
        <v>3400</v>
      </c>
      <c r="F30" s="23"/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  <c r="AA30" s="23"/>
      <c r="AB30" s="23">
        <v>37</v>
      </c>
    </row>
    <row r="31" spans="1:98" x14ac:dyDescent="0.25">
      <c r="A31" s="50">
        <v>99001245</v>
      </c>
      <c r="B31" s="10" t="s">
        <v>3400</v>
      </c>
    </row>
    <row r="32" spans="1:98" x14ac:dyDescent="0.25">
      <c r="A32" s="50">
        <v>99001902</v>
      </c>
      <c r="B32" s="10" t="s">
        <v>3400</v>
      </c>
      <c r="AE32">
        <v>29</v>
      </c>
    </row>
    <row r="33" spans="1:98" x14ac:dyDescent="0.25">
      <c r="A33" s="50">
        <v>99001912</v>
      </c>
      <c r="B33" s="10" t="s">
        <v>3400</v>
      </c>
      <c r="AH33">
        <v>147</v>
      </c>
    </row>
    <row r="34" spans="1:98" x14ac:dyDescent="0.25">
      <c r="A34" s="50">
        <v>99001913</v>
      </c>
      <c r="B34" s="10" t="s">
        <v>3400</v>
      </c>
      <c r="AE34">
        <v>24</v>
      </c>
    </row>
    <row r="35" spans="1:98" x14ac:dyDescent="0.25">
      <c r="A35" s="50">
        <v>99001937</v>
      </c>
      <c r="B35" s="10" t="s">
        <v>3400</v>
      </c>
      <c r="AJ35">
        <v>48</v>
      </c>
    </row>
    <row r="36" spans="1:98" x14ac:dyDescent="0.25">
      <c r="A36" s="50">
        <v>99001943</v>
      </c>
      <c r="B36" s="10" t="s">
        <v>3400</v>
      </c>
      <c r="AS36">
        <v>27</v>
      </c>
    </row>
    <row r="37" spans="1:98" x14ac:dyDescent="0.25">
      <c r="A37" s="50">
        <v>99001927</v>
      </c>
      <c r="B37" s="10" t="s">
        <v>3400</v>
      </c>
      <c r="AB37">
        <v>2880</v>
      </c>
    </row>
    <row r="38" spans="1:98" x14ac:dyDescent="0.25">
      <c r="A38" s="50">
        <v>1505</v>
      </c>
      <c r="B38" s="10" t="s">
        <v>3400</v>
      </c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>
        <v>32</v>
      </c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  <c r="CT38" s="6"/>
    </row>
    <row r="39" spans="1:98" x14ac:dyDescent="0.25">
      <c r="A39" s="50">
        <v>1000197</v>
      </c>
      <c r="B39" s="10" t="s">
        <v>3400</v>
      </c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I39">
        <v>64</v>
      </c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  <c r="CT39" s="6"/>
    </row>
    <row r="40" spans="1:98" x14ac:dyDescent="0.25">
      <c r="A40" s="50">
        <v>96018835</v>
      </c>
      <c r="B40" s="10" t="s">
        <v>3400</v>
      </c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>
        <v>1496</v>
      </c>
      <c r="AE40">
        <v>1029</v>
      </c>
      <c r="AF40">
        <v>630</v>
      </c>
      <c r="AG40" s="6"/>
      <c r="AH40">
        <v>356</v>
      </c>
      <c r="AJ40" s="6"/>
      <c r="AK40" s="6"/>
      <c r="AL40" s="6"/>
      <c r="AM40" s="6"/>
      <c r="AN40">
        <v>18</v>
      </c>
      <c r="AP40">
        <v>19</v>
      </c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  <c r="CT40" s="6"/>
    </row>
    <row r="41" spans="1:98" x14ac:dyDescent="0.25">
      <c r="A41" s="50">
        <v>98008326</v>
      </c>
      <c r="B41" s="10" t="s">
        <v>3400</v>
      </c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  <c r="CT41" s="6"/>
    </row>
    <row r="42" spans="1:98" x14ac:dyDescent="0.25">
      <c r="A42" s="50">
        <v>99000717</v>
      </c>
      <c r="B42" s="10" t="s">
        <v>3400</v>
      </c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>
        <v>30</v>
      </c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  <c r="CT42" s="6"/>
    </row>
    <row r="43" spans="1:98" x14ac:dyDescent="0.25"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  <c r="CT43" s="6"/>
    </row>
    <row r="44" spans="1:98" x14ac:dyDescent="0.25">
      <c r="A44" s="25" t="s">
        <v>169</v>
      </c>
      <c r="B44" s="25"/>
    </row>
    <row r="45" spans="1:98" x14ac:dyDescent="0.25">
      <c r="A45" s="52" t="s">
        <v>143</v>
      </c>
      <c r="B45" s="10"/>
    </row>
    <row r="46" spans="1:98" x14ac:dyDescent="0.25">
      <c r="A46" s="50">
        <v>6016435</v>
      </c>
      <c r="B46" t="s">
        <v>3347</v>
      </c>
    </row>
    <row r="47" spans="1:98" x14ac:dyDescent="0.25">
      <c r="A47" s="50">
        <v>8045149</v>
      </c>
      <c r="B47" t="s">
        <v>3347</v>
      </c>
    </row>
    <row r="48" spans="1:98" x14ac:dyDescent="0.25">
      <c r="A48" s="50">
        <v>10023001</v>
      </c>
      <c r="B48" t="s">
        <v>3347</v>
      </c>
    </row>
    <row r="49" spans="1:86" x14ac:dyDescent="0.25">
      <c r="A49" s="50">
        <v>10027526</v>
      </c>
      <c r="B49" t="s">
        <v>3347</v>
      </c>
    </row>
    <row r="50" spans="1:86" x14ac:dyDescent="0.25">
      <c r="A50" s="50">
        <v>14222171</v>
      </c>
      <c r="B50" t="s">
        <v>3347</v>
      </c>
    </row>
    <row r="51" spans="1:86" x14ac:dyDescent="0.25">
      <c r="A51" s="50">
        <v>1006143</v>
      </c>
      <c r="B51" t="s">
        <v>3347</v>
      </c>
    </row>
    <row r="52" spans="1:86" x14ac:dyDescent="0.25">
      <c r="A52" s="50">
        <v>6006917</v>
      </c>
      <c r="B52" t="s">
        <v>3347</v>
      </c>
      <c r="AB52">
        <v>74</v>
      </c>
    </row>
    <row r="54" spans="1:86" x14ac:dyDescent="0.25">
      <c r="A54" s="52" t="s">
        <v>146</v>
      </c>
      <c r="B54" s="10"/>
    </row>
    <row r="55" spans="1:86" x14ac:dyDescent="0.25">
      <c r="A55" s="50">
        <v>8057159</v>
      </c>
      <c r="B55" s="10" t="s">
        <v>3348</v>
      </c>
      <c r="AI55">
        <v>40</v>
      </c>
      <c r="AK55">
        <v>50</v>
      </c>
    </row>
    <row r="56" spans="1:86" x14ac:dyDescent="0.25">
      <c r="A56" s="50">
        <v>9140312</v>
      </c>
      <c r="B56" s="10" t="s">
        <v>3348</v>
      </c>
    </row>
    <row r="57" spans="1:86" x14ac:dyDescent="0.25">
      <c r="A57" s="50">
        <v>12008230</v>
      </c>
      <c r="B57" s="10" t="s">
        <v>3348</v>
      </c>
    </row>
    <row r="58" spans="1:86" x14ac:dyDescent="0.25">
      <c r="A58" s="50">
        <v>12088444</v>
      </c>
      <c r="B58" s="10" t="s">
        <v>3348</v>
      </c>
      <c r="AF58">
        <v>44</v>
      </c>
      <c r="AL58">
        <v>70</v>
      </c>
      <c r="CH58">
        <v>36</v>
      </c>
    </row>
    <row r="59" spans="1:86" x14ac:dyDescent="0.25">
      <c r="A59" s="50">
        <v>13118872</v>
      </c>
      <c r="B59" s="10" t="s">
        <v>3348</v>
      </c>
    </row>
    <row r="60" spans="1:86" x14ac:dyDescent="0.25">
      <c r="A60" s="50">
        <v>12012030</v>
      </c>
      <c r="B60" s="10" t="s">
        <v>3348</v>
      </c>
    </row>
    <row r="62" spans="1:86" x14ac:dyDescent="0.25">
      <c r="A62" s="52" t="s">
        <v>120</v>
      </c>
      <c r="B62" s="10"/>
    </row>
    <row r="63" spans="1:86" x14ac:dyDescent="0.25">
      <c r="A63" s="50">
        <v>9074418</v>
      </c>
      <c r="B63" s="10" t="s">
        <v>3349</v>
      </c>
    </row>
    <row r="64" spans="1:86" x14ac:dyDescent="0.25">
      <c r="A64" s="50">
        <v>1263</v>
      </c>
      <c r="B64" s="10" t="s">
        <v>3349</v>
      </c>
    </row>
    <row r="65" spans="1:98" x14ac:dyDescent="0.25">
      <c r="A65" s="50">
        <v>98004910</v>
      </c>
      <c r="B65" s="10" t="s">
        <v>3349</v>
      </c>
      <c r="AB65">
        <v>82</v>
      </c>
    </row>
    <row r="66" spans="1:98" x14ac:dyDescent="0.25">
      <c r="A66" s="50">
        <v>7103068</v>
      </c>
      <c r="B66" s="10" t="s">
        <v>3349</v>
      </c>
    </row>
    <row r="67" spans="1:98" x14ac:dyDescent="0.25">
      <c r="A67" s="50">
        <v>11240728</v>
      </c>
      <c r="B67" s="10" t="s">
        <v>3349</v>
      </c>
      <c r="AC67">
        <v>156</v>
      </c>
      <c r="AD67">
        <v>151.80000000000001</v>
      </c>
      <c r="AF67">
        <v>161.4</v>
      </c>
      <c r="AI67">
        <v>91.8</v>
      </c>
    </row>
    <row r="68" spans="1:98" x14ac:dyDescent="0.25">
      <c r="A68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  <c r="BP68" s="6"/>
      <c r="BQ68" s="6"/>
      <c r="BR68" s="6"/>
      <c r="BS68" s="6"/>
      <c r="BT68" s="6"/>
      <c r="BU68" s="6"/>
      <c r="BV68" s="6"/>
      <c r="BW68" s="6"/>
      <c r="BX68" s="6"/>
      <c r="BY68" s="6"/>
      <c r="BZ68" s="6"/>
      <c r="CA68" s="6"/>
      <c r="CB68" s="6"/>
      <c r="CC68" s="6"/>
      <c r="CD68" s="6"/>
      <c r="CE68" s="6"/>
      <c r="CF68" s="6"/>
      <c r="CG68" s="6"/>
      <c r="CH68" s="6"/>
      <c r="CI68" s="6"/>
      <c r="CJ68" s="6"/>
      <c r="CK68" s="6"/>
      <c r="CL68" s="6"/>
      <c r="CM68" s="6"/>
      <c r="CN68" s="6"/>
      <c r="CO68" s="6"/>
      <c r="CP68" s="6"/>
      <c r="CQ68" s="6"/>
      <c r="CR68" s="6"/>
      <c r="CS68" s="6"/>
      <c r="CT68" s="6"/>
    </row>
    <row r="69" spans="1:98" x14ac:dyDescent="0.25">
      <c r="A69" s="26" t="s">
        <v>170</v>
      </c>
      <c r="B69" s="26"/>
    </row>
    <row r="70" spans="1:98" x14ac:dyDescent="0.25">
      <c r="A70" s="10" t="s">
        <v>143</v>
      </c>
      <c r="B70" s="10"/>
    </row>
    <row r="71" spans="1:98" x14ac:dyDescent="0.25">
      <c r="A71" s="50">
        <v>5015869</v>
      </c>
      <c r="B71" t="s">
        <v>3350</v>
      </c>
      <c r="AC71">
        <v>898</v>
      </c>
      <c r="AF71">
        <v>774</v>
      </c>
    </row>
    <row r="72" spans="1:98" x14ac:dyDescent="0.25">
      <c r="A72" s="50">
        <v>5016969</v>
      </c>
      <c r="B72" t="s">
        <v>3350</v>
      </c>
    </row>
    <row r="73" spans="1:98" x14ac:dyDescent="0.25">
      <c r="A73" s="50">
        <v>6023231</v>
      </c>
      <c r="B73" t="s">
        <v>3350</v>
      </c>
    </row>
    <row r="74" spans="1:98" x14ac:dyDescent="0.25">
      <c r="A74" s="50">
        <v>6010712</v>
      </c>
      <c r="B74" t="s">
        <v>3350</v>
      </c>
    </row>
    <row r="75" spans="1:98" x14ac:dyDescent="0.25">
      <c r="A75" s="50">
        <v>6011198</v>
      </c>
      <c r="B75" t="s">
        <v>3350</v>
      </c>
    </row>
    <row r="76" spans="1:98" x14ac:dyDescent="0.25">
      <c r="A76" s="50">
        <v>6012681</v>
      </c>
      <c r="B76" t="s">
        <v>3350</v>
      </c>
    </row>
    <row r="77" spans="1:98" x14ac:dyDescent="0.25">
      <c r="A77" s="50">
        <v>6014511</v>
      </c>
      <c r="B77" t="s">
        <v>3350</v>
      </c>
    </row>
    <row r="78" spans="1:98" x14ac:dyDescent="0.25">
      <c r="A78" s="50">
        <v>6045127</v>
      </c>
      <c r="B78" t="s">
        <v>3350</v>
      </c>
    </row>
    <row r="79" spans="1:98" x14ac:dyDescent="0.25">
      <c r="A79" s="50">
        <v>7000458</v>
      </c>
      <c r="B79" t="s">
        <v>3350</v>
      </c>
      <c r="AH79">
        <v>166</v>
      </c>
    </row>
    <row r="80" spans="1:98" x14ac:dyDescent="0.25">
      <c r="A80" s="50">
        <v>7015502</v>
      </c>
      <c r="B80" t="s">
        <v>3350</v>
      </c>
      <c r="AC80">
        <v>114</v>
      </c>
    </row>
    <row r="81" spans="1:61" x14ac:dyDescent="0.25">
      <c r="A81" s="50">
        <v>7025847</v>
      </c>
      <c r="B81" t="s">
        <v>3350</v>
      </c>
    </row>
    <row r="82" spans="1:61" x14ac:dyDescent="0.25">
      <c r="A82" s="50">
        <v>7082707</v>
      </c>
      <c r="B82" t="s">
        <v>3350</v>
      </c>
      <c r="AO82">
        <v>111</v>
      </c>
    </row>
    <row r="83" spans="1:61" x14ac:dyDescent="0.25">
      <c r="A83" s="50">
        <v>7083159</v>
      </c>
      <c r="B83" t="s">
        <v>3350</v>
      </c>
      <c r="AT83">
        <v>1329.6</v>
      </c>
    </row>
    <row r="84" spans="1:61" x14ac:dyDescent="0.25">
      <c r="A84" s="50">
        <v>7084659</v>
      </c>
      <c r="B84" t="s">
        <v>3350</v>
      </c>
      <c r="AC84">
        <v>1489.2</v>
      </c>
    </row>
    <row r="85" spans="1:61" x14ac:dyDescent="0.25">
      <c r="A85" s="50">
        <v>7076814</v>
      </c>
      <c r="B85" t="s">
        <v>3350</v>
      </c>
    </row>
    <row r="86" spans="1:61" x14ac:dyDescent="0.25">
      <c r="A86" s="50">
        <v>7076815</v>
      </c>
      <c r="B86" t="s">
        <v>3350</v>
      </c>
    </row>
    <row r="87" spans="1:61" x14ac:dyDescent="0.25">
      <c r="A87" s="50">
        <v>7089231</v>
      </c>
      <c r="B87" t="s">
        <v>3350</v>
      </c>
      <c r="AB87">
        <v>332</v>
      </c>
    </row>
    <row r="88" spans="1:61" x14ac:dyDescent="0.25">
      <c r="A88" s="50">
        <v>7116004</v>
      </c>
      <c r="B88" t="s">
        <v>3350</v>
      </c>
      <c r="AC88">
        <v>111</v>
      </c>
    </row>
    <row r="89" spans="1:61" x14ac:dyDescent="0.25">
      <c r="A89" s="50">
        <v>8003819</v>
      </c>
      <c r="B89" t="s">
        <v>3350</v>
      </c>
      <c r="AB89">
        <v>80</v>
      </c>
    </row>
    <row r="90" spans="1:61" x14ac:dyDescent="0.25">
      <c r="A90" s="50">
        <v>8091779</v>
      </c>
      <c r="B90" t="s">
        <v>3350</v>
      </c>
    </row>
    <row r="91" spans="1:61" x14ac:dyDescent="0.25">
      <c r="A91" s="50">
        <v>8097989</v>
      </c>
      <c r="B91" t="s">
        <v>3350</v>
      </c>
    </row>
    <row r="92" spans="1:61" x14ac:dyDescent="0.25">
      <c r="A92" s="50">
        <v>8112522</v>
      </c>
      <c r="B92" t="s">
        <v>3350</v>
      </c>
      <c r="AJ92">
        <v>991</v>
      </c>
      <c r="AL92">
        <v>2315</v>
      </c>
      <c r="AO92">
        <v>370</v>
      </c>
    </row>
    <row r="93" spans="1:61" x14ac:dyDescent="0.25">
      <c r="A93" s="50">
        <v>8127397</v>
      </c>
      <c r="B93" t="s">
        <v>3350</v>
      </c>
    </row>
    <row r="94" spans="1:61" x14ac:dyDescent="0.25">
      <c r="A94" s="50">
        <v>8130998</v>
      </c>
      <c r="B94" t="s">
        <v>3350</v>
      </c>
      <c r="AC94">
        <v>238</v>
      </c>
      <c r="AD94">
        <v>416</v>
      </c>
      <c r="AF94">
        <v>279</v>
      </c>
    </row>
    <row r="95" spans="1:61" x14ac:dyDescent="0.25">
      <c r="A95" s="50">
        <v>9002836</v>
      </c>
      <c r="B95" t="s">
        <v>3350</v>
      </c>
    </row>
    <row r="96" spans="1:61" x14ac:dyDescent="0.25">
      <c r="A96" s="50">
        <v>9003331</v>
      </c>
      <c r="B96" t="s">
        <v>3350</v>
      </c>
      <c r="AX96">
        <v>2323.1999999999998</v>
      </c>
      <c r="BI96">
        <v>1098</v>
      </c>
    </row>
    <row r="97" spans="1:95" x14ac:dyDescent="0.25">
      <c r="A97" s="50">
        <v>9003370</v>
      </c>
      <c r="B97" t="s">
        <v>3350</v>
      </c>
      <c r="AC97">
        <v>99</v>
      </c>
    </row>
    <row r="98" spans="1:95" x14ac:dyDescent="0.25">
      <c r="A98" s="50">
        <v>9016278</v>
      </c>
      <c r="B98" t="s">
        <v>3350</v>
      </c>
      <c r="U98">
        <v>792</v>
      </c>
      <c r="Z98">
        <v>427.2</v>
      </c>
      <c r="AE98">
        <v>310.8</v>
      </c>
      <c r="AI98">
        <v>291</v>
      </c>
    </row>
    <row r="99" spans="1:95" x14ac:dyDescent="0.25">
      <c r="A99" s="50">
        <v>9030684</v>
      </c>
      <c r="B99" t="s">
        <v>3350</v>
      </c>
      <c r="AR99">
        <v>26.4</v>
      </c>
    </row>
    <row r="100" spans="1:95" x14ac:dyDescent="0.25">
      <c r="A100" s="50">
        <v>9031387</v>
      </c>
      <c r="B100" t="s">
        <v>3350</v>
      </c>
      <c r="AX100">
        <v>37.200000000000003</v>
      </c>
    </row>
    <row r="101" spans="1:95" x14ac:dyDescent="0.25">
      <c r="A101" s="50">
        <v>9038676</v>
      </c>
      <c r="B101" t="s">
        <v>3350</v>
      </c>
      <c r="AC101">
        <v>11.4</v>
      </c>
    </row>
    <row r="102" spans="1:95" x14ac:dyDescent="0.25">
      <c r="A102" s="50">
        <v>9039416</v>
      </c>
      <c r="B102" t="s">
        <v>3350</v>
      </c>
      <c r="AF102">
        <v>22.2</v>
      </c>
    </row>
    <row r="103" spans="1:95" x14ac:dyDescent="0.25">
      <c r="A103" s="50">
        <v>9042861</v>
      </c>
      <c r="B103" t="s">
        <v>3350</v>
      </c>
      <c r="AS103">
        <v>52.2</v>
      </c>
      <c r="AV103">
        <v>43.2</v>
      </c>
    </row>
    <row r="104" spans="1:95" x14ac:dyDescent="0.25">
      <c r="A104" s="50">
        <v>9044899</v>
      </c>
      <c r="B104" t="s">
        <v>3350</v>
      </c>
      <c r="AC104">
        <v>45</v>
      </c>
      <c r="AE104">
        <v>77</v>
      </c>
      <c r="AH104">
        <v>49</v>
      </c>
      <c r="AK104">
        <v>42</v>
      </c>
    </row>
    <row r="105" spans="1:95" x14ac:dyDescent="0.25">
      <c r="A105" s="50">
        <v>9052398</v>
      </c>
      <c r="B105" t="s">
        <v>3350</v>
      </c>
      <c r="AC105" s="3">
        <v>144.6</v>
      </c>
      <c r="AE105">
        <v>116.4</v>
      </c>
    </row>
    <row r="106" spans="1:95" x14ac:dyDescent="0.25">
      <c r="A106" s="50">
        <v>9085204</v>
      </c>
      <c r="B106" t="s">
        <v>3350</v>
      </c>
      <c r="AE106">
        <v>874</v>
      </c>
      <c r="AQ106">
        <v>70</v>
      </c>
    </row>
    <row r="107" spans="1:95" x14ac:dyDescent="0.25">
      <c r="A107" s="50">
        <v>9090323</v>
      </c>
      <c r="B107" t="s">
        <v>3350</v>
      </c>
    </row>
    <row r="108" spans="1:95" x14ac:dyDescent="0.25">
      <c r="A108" s="50">
        <v>9105492</v>
      </c>
      <c r="B108" t="s">
        <v>3350</v>
      </c>
      <c r="AC108">
        <v>80</v>
      </c>
      <c r="AD108">
        <v>512</v>
      </c>
      <c r="AE108">
        <v>750</v>
      </c>
      <c r="AF108">
        <v>574</v>
      </c>
      <c r="AJ108">
        <v>223</v>
      </c>
      <c r="AN108">
        <v>97</v>
      </c>
    </row>
    <row r="109" spans="1:95" x14ac:dyDescent="0.25">
      <c r="A109" s="50">
        <v>9138470</v>
      </c>
      <c r="B109" t="s">
        <v>3350</v>
      </c>
      <c r="AD109">
        <v>41.2</v>
      </c>
    </row>
    <row r="110" spans="1:95" x14ac:dyDescent="0.25">
      <c r="A110" s="50">
        <v>9150676</v>
      </c>
      <c r="B110" t="s">
        <v>3350</v>
      </c>
      <c r="BO110">
        <v>56</v>
      </c>
      <c r="CQ110">
        <v>135</v>
      </c>
    </row>
    <row r="111" spans="1:95" x14ac:dyDescent="0.25">
      <c r="A111" s="50">
        <v>10010926</v>
      </c>
      <c r="B111" t="s">
        <v>3350</v>
      </c>
      <c r="AC111">
        <v>16.7</v>
      </c>
      <c r="AE111">
        <v>18.399999999999999</v>
      </c>
    </row>
    <row r="112" spans="1:95" x14ac:dyDescent="0.25">
      <c r="A112" s="50">
        <v>10016588</v>
      </c>
      <c r="B112" t="s">
        <v>3350</v>
      </c>
    </row>
    <row r="113" spans="1:81" x14ac:dyDescent="0.25">
      <c r="A113" s="50">
        <v>10030897</v>
      </c>
      <c r="B113" t="s">
        <v>3350</v>
      </c>
      <c r="M113">
        <v>24</v>
      </c>
      <c r="AC113">
        <v>224</v>
      </c>
      <c r="AH113">
        <v>118</v>
      </c>
      <c r="AP113">
        <v>68</v>
      </c>
      <c r="BF113">
        <v>136</v>
      </c>
      <c r="BL113">
        <v>36</v>
      </c>
    </row>
    <row r="114" spans="1:81" x14ac:dyDescent="0.25">
      <c r="A114" s="50">
        <v>324</v>
      </c>
      <c r="B114" t="s">
        <v>3350</v>
      </c>
      <c r="AC114">
        <v>33.5</v>
      </c>
      <c r="BD114">
        <v>14.5</v>
      </c>
    </row>
    <row r="115" spans="1:81" x14ac:dyDescent="0.25">
      <c r="A115" s="50">
        <v>3909</v>
      </c>
      <c r="B115" t="s">
        <v>3350</v>
      </c>
      <c r="AG115">
        <v>570</v>
      </c>
      <c r="CC115">
        <v>158</v>
      </c>
    </row>
    <row r="116" spans="1:81" x14ac:dyDescent="0.25">
      <c r="A116" s="50">
        <v>4663</v>
      </c>
      <c r="B116" t="s">
        <v>3350</v>
      </c>
      <c r="O116">
        <v>29.4</v>
      </c>
      <c r="AM116" s="50"/>
      <c r="AN116" s="50"/>
      <c r="AO116" s="50"/>
      <c r="AP116" s="50"/>
      <c r="AQ116" s="50"/>
      <c r="AR116" s="50"/>
    </row>
    <row r="117" spans="1:81" x14ac:dyDescent="0.25">
      <c r="A117" s="50">
        <v>1005522</v>
      </c>
      <c r="B117" t="s">
        <v>3350</v>
      </c>
      <c r="J117">
        <v>10</v>
      </c>
      <c r="N117">
        <v>13</v>
      </c>
      <c r="AC117">
        <v>63</v>
      </c>
      <c r="AQ117">
        <v>13</v>
      </c>
    </row>
    <row r="118" spans="1:81" x14ac:dyDescent="0.25">
      <c r="A118" s="50">
        <v>1007631</v>
      </c>
      <c r="B118" t="s">
        <v>3350</v>
      </c>
      <c r="AD118">
        <v>50</v>
      </c>
      <c r="AK118">
        <v>16</v>
      </c>
      <c r="AN118">
        <v>71</v>
      </c>
      <c r="BB118">
        <v>27</v>
      </c>
    </row>
    <row r="119" spans="1:81" x14ac:dyDescent="0.25">
      <c r="A119" s="50">
        <v>1009760</v>
      </c>
      <c r="B119" t="s">
        <v>3350</v>
      </c>
      <c r="AF119">
        <v>976.6</v>
      </c>
      <c r="AH119">
        <v>794.2</v>
      </c>
      <c r="AL119">
        <v>755.4</v>
      </c>
      <c r="AN119">
        <v>852.1</v>
      </c>
      <c r="AR119">
        <v>623.29999999999995</v>
      </c>
    </row>
    <row r="120" spans="1:81" x14ac:dyDescent="0.25">
      <c r="A120" s="50">
        <v>2000646</v>
      </c>
      <c r="B120" t="s">
        <v>3350</v>
      </c>
      <c r="AC120">
        <v>203</v>
      </c>
      <c r="AD120">
        <v>293</v>
      </c>
      <c r="AK120">
        <v>68</v>
      </c>
      <c r="AL120">
        <v>61</v>
      </c>
      <c r="AM120">
        <v>61</v>
      </c>
    </row>
    <row r="121" spans="1:81" x14ac:dyDescent="0.25">
      <c r="A121" s="50">
        <v>2003761</v>
      </c>
      <c r="B121" t="s">
        <v>3350</v>
      </c>
    </row>
    <row r="122" spans="1:81" x14ac:dyDescent="0.25">
      <c r="A122" s="50">
        <v>2004061</v>
      </c>
      <c r="B122" t="s">
        <v>3350</v>
      </c>
    </row>
    <row r="123" spans="1:81" x14ac:dyDescent="0.25">
      <c r="A123" s="50">
        <v>2006469</v>
      </c>
      <c r="B123" t="s">
        <v>3350</v>
      </c>
      <c r="AB123">
        <v>399</v>
      </c>
      <c r="AC123">
        <v>196</v>
      </c>
    </row>
    <row r="124" spans="1:81" x14ac:dyDescent="0.25">
      <c r="A124" s="50">
        <v>3005132</v>
      </c>
      <c r="B124" t="s">
        <v>3350</v>
      </c>
    </row>
    <row r="125" spans="1:81" x14ac:dyDescent="0.25">
      <c r="A125" s="50">
        <v>3009119</v>
      </c>
      <c r="B125" t="s">
        <v>3350</v>
      </c>
      <c r="AC125">
        <v>150</v>
      </c>
    </row>
    <row r="126" spans="1:81" x14ac:dyDescent="0.25">
      <c r="A126" s="50">
        <v>3009936</v>
      </c>
      <c r="B126" t="s">
        <v>3350</v>
      </c>
    </row>
    <row r="127" spans="1:81" x14ac:dyDescent="0.25">
      <c r="A127" s="50">
        <v>3011094</v>
      </c>
      <c r="B127" t="s">
        <v>3350</v>
      </c>
    </row>
    <row r="128" spans="1:81" x14ac:dyDescent="0.25">
      <c r="A128" s="50">
        <v>3014643</v>
      </c>
      <c r="B128" t="s">
        <v>3350</v>
      </c>
      <c r="AC128">
        <v>143</v>
      </c>
      <c r="AT128">
        <v>43</v>
      </c>
      <c r="BP128">
        <v>15.7</v>
      </c>
    </row>
    <row r="129" spans="1:91" x14ac:dyDescent="0.25">
      <c r="A129" s="50">
        <v>3016056</v>
      </c>
      <c r="B129" t="s">
        <v>3350</v>
      </c>
      <c r="AC129">
        <v>147</v>
      </c>
      <c r="CL129">
        <v>213</v>
      </c>
      <c r="CM129">
        <v>180</v>
      </c>
    </row>
    <row r="130" spans="1:91" x14ac:dyDescent="0.25">
      <c r="A130" s="50">
        <v>3900219</v>
      </c>
      <c r="B130" t="s">
        <v>3350</v>
      </c>
      <c r="S130">
        <v>19</v>
      </c>
      <c r="U130">
        <v>19</v>
      </c>
      <c r="AC130">
        <v>24</v>
      </c>
      <c r="AR130">
        <v>28</v>
      </c>
    </row>
    <row r="131" spans="1:91" x14ac:dyDescent="0.25">
      <c r="A131" s="50">
        <v>4000158</v>
      </c>
      <c r="B131" t="s">
        <v>3350</v>
      </c>
      <c r="AD131">
        <v>83.4</v>
      </c>
      <c r="AE131">
        <v>76.8</v>
      </c>
      <c r="AM131">
        <v>24</v>
      </c>
    </row>
    <row r="132" spans="1:91" x14ac:dyDescent="0.25">
      <c r="A132" s="50">
        <v>4000304</v>
      </c>
      <c r="B132" t="s">
        <v>3350</v>
      </c>
      <c r="AC132">
        <v>1104</v>
      </c>
    </row>
    <row r="133" spans="1:91" x14ac:dyDescent="0.25">
      <c r="A133" s="50">
        <v>4001905</v>
      </c>
      <c r="B133" t="s">
        <v>3350</v>
      </c>
    </row>
    <row r="134" spans="1:91" x14ac:dyDescent="0.25">
      <c r="A134" s="50">
        <v>4002206</v>
      </c>
      <c r="B134" t="s">
        <v>3350</v>
      </c>
      <c r="AC134">
        <v>25.8</v>
      </c>
    </row>
    <row r="135" spans="1:91" x14ac:dyDescent="0.25">
      <c r="A135" s="50">
        <v>4002715</v>
      </c>
      <c r="B135" t="s">
        <v>3350</v>
      </c>
    </row>
    <row r="136" spans="1:91" x14ac:dyDescent="0.25">
      <c r="A136" s="50">
        <v>4003924</v>
      </c>
      <c r="B136" t="s">
        <v>3350</v>
      </c>
      <c r="AD136">
        <v>1276</v>
      </c>
    </row>
    <row r="137" spans="1:91" x14ac:dyDescent="0.25">
      <c r="A137" s="50">
        <v>4006051</v>
      </c>
      <c r="B137" t="s">
        <v>3350</v>
      </c>
    </row>
    <row r="138" spans="1:91" x14ac:dyDescent="0.25">
      <c r="A138" s="50">
        <v>4008140</v>
      </c>
      <c r="B138" t="s">
        <v>3350</v>
      </c>
      <c r="AB138">
        <v>291</v>
      </c>
    </row>
    <row r="139" spans="1:91" x14ac:dyDescent="0.25">
      <c r="A139" s="50">
        <v>4009906</v>
      </c>
      <c r="B139" t="s">
        <v>3350</v>
      </c>
      <c r="AD139">
        <v>32</v>
      </c>
      <c r="BE139">
        <v>26</v>
      </c>
      <c r="CD139">
        <v>24</v>
      </c>
      <c r="CK139">
        <v>46</v>
      </c>
    </row>
    <row r="140" spans="1:91" x14ac:dyDescent="0.25">
      <c r="A140" s="50">
        <v>4011027</v>
      </c>
      <c r="B140" t="s">
        <v>3350</v>
      </c>
      <c r="AD140" s="3">
        <v>23.4</v>
      </c>
      <c r="AE140">
        <v>24</v>
      </c>
    </row>
    <row r="141" spans="1:91" x14ac:dyDescent="0.25">
      <c r="A141" s="50">
        <v>4011920</v>
      </c>
      <c r="B141" t="s">
        <v>3350</v>
      </c>
      <c r="AC141">
        <v>625</v>
      </c>
      <c r="AN141">
        <v>76</v>
      </c>
      <c r="AX141">
        <v>17</v>
      </c>
    </row>
    <row r="142" spans="1:91" x14ac:dyDescent="0.25">
      <c r="A142" s="50">
        <v>4012248</v>
      </c>
      <c r="B142" t="s">
        <v>3350</v>
      </c>
      <c r="AC142">
        <v>285</v>
      </c>
      <c r="AD142">
        <v>256</v>
      </c>
      <c r="AF142">
        <v>180</v>
      </c>
      <c r="AK142">
        <v>171</v>
      </c>
      <c r="AP142">
        <v>86</v>
      </c>
      <c r="AW142">
        <v>45</v>
      </c>
      <c r="BG142">
        <v>33</v>
      </c>
    </row>
    <row r="143" spans="1:91" x14ac:dyDescent="0.25">
      <c r="A143" s="50">
        <v>4013603</v>
      </c>
      <c r="B143" t="s">
        <v>3350</v>
      </c>
      <c r="AC143">
        <v>120</v>
      </c>
    </row>
    <row r="144" spans="1:91" x14ac:dyDescent="0.25">
      <c r="A144" s="50">
        <v>5004654</v>
      </c>
      <c r="B144" t="s">
        <v>3350</v>
      </c>
      <c r="AD144">
        <v>2002</v>
      </c>
      <c r="AE144">
        <v>2444</v>
      </c>
      <c r="AF144">
        <v>2265</v>
      </c>
      <c r="AG144">
        <v>3468</v>
      </c>
      <c r="AH144">
        <v>2847</v>
      </c>
      <c r="AI144">
        <v>2301</v>
      </c>
      <c r="AK144">
        <v>1462</v>
      </c>
      <c r="AM144">
        <v>764</v>
      </c>
      <c r="AQ144">
        <v>294</v>
      </c>
      <c r="AS144">
        <v>181</v>
      </c>
    </row>
    <row r="145" spans="1:97" x14ac:dyDescent="0.25">
      <c r="A145" s="54"/>
      <c r="B145" s="65"/>
    </row>
    <row r="146" spans="1:97" x14ac:dyDescent="0.25">
      <c r="A146" s="52" t="s">
        <v>146</v>
      </c>
      <c r="B146" s="10"/>
    </row>
    <row r="147" spans="1:97" x14ac:dyDescent="0.25">
      <c r="A147" s="50">
        <v>4289</v>
      </c>
      <c r="B147" t="s">
        <v>3351</v>
      </c>
      <c r="AD147">
        <v>72</v>
      </c>
      <c r="AE147">
        <v>1242</v>
      </c>
    </row>
    <row r="148" spans="1:97" x14ac:dyDescent="0.25">
      <c r="A148" s="50">
        <v>500245</v>
      </c>
      <c r="B148" t="s">
        <v>3351</v>
      </c>
      <c r="AC148">
        <v>147</v>
      </c>
      <c r="AD148">
        <v>182</v>
      </c>
      <c r="AE148">
        <v>381.7</v>
      </c>
      <c r="AF148">
        <v>335.2</v>
      </c>
      <c r="AH148">
        <v>225.1</v>
      </c>
      <c r="AL148">
        <v>176.5</v>
      </c>
    </row>
    <row r="149" spans="1:97" x14ac:dyDescent="0.25">
      <c r="A149" s="50">
        <v>2002573</v>
      </c>
      <c r="B149" t="s">
        <v>3351</v>
      </c>
      <c r="AJ149">
        <v>583</v>
      </c>
      <c r="AO149">
        <v>432</v>
      </c>
      <c r="AS149">
        <v>774</v>
      </c>
    </row>
    <row r="150" spans="1:97" x14ac:dyDescent="0.25">
      <c r="A150" s="50">
        <v>2003539</v>
      </c>
      <c r="B150" t="s">
        <v>3351</v>
      </c>
    </row>
    <row r="151" spans="1:97" x14ac:dyDescent="0.25">
      <c r="A151" s="50">
        <v>2003649</v>
      </c>
      <c r="B151" t="s">
        <v>3351</v>
      </c>
      <c r="F151">
        <v>65.400000000000006</v>
      </c>
      <c r="U151">
        <v>39</v>
      </c>
      <c r="AC151">
        <v>48.6</v>
      </c>
      <c r="AJ151">
        <v>31.8</v>
      </c>
      <c r="AO151">
        <v>26.4</v>
      </c>
      <c r="AT151">
        <v>65.400000000000006</v>
      </c>
      <c r="CD151">
        <v>39</v>
      </c>
    </row>
    <row r="152" spans="1:97" x14ac:dyDescent="0.25">
      <c r="A152" s="50">
        <v>2005572</v>
      </c>
      <c r="B152" t="s">
        <v>3351</v>
      </c>
      <c r="AC152">
        <v>863</v>
      </c>
      <c r="AE152">
        <v>437</v>
      </c>
      <c r="AH152">
        <v>145</v>
      </c>
    </row>
    <row r="153" spans="1:97" x14ac:dyDescent="0.25">
      <c r="A153" s="50">
        <v>2013117</v>
      </c>
      <c r="B153" t="s">
        <v>3351</v>
      </c>
      <c r="AB153">
        <v>1280</v>
      </c>
    </row>
    <row r="154" spans="1:97" x14ac:dyDescent="0.25">
      <c r="A154" s="50">
        <v>3009633</v>
      </c>
      <c r="B154" t="s">
        <v>3351</v>
      </c>
      <c r="AQ154">
        <v>1805.4</v>
      </c>
      <c r="AU154">
        <v>665.4</v>
      </c>
      <c r="AW154">
        <v>309</v>
      </c>
      <c r="AY154">
        <v>262.8</v>
      </c>
    </row>
    <row r="155" spans="1:97" x14ac:dyDescent="0.25">
      <c r="A155" s="50">
        <v>3010583</v>
      </c>
      <c r="B155" t="s">
        <v>3351</v>
      </c>
      <c r="AB155" s="14">
        <v>545</v>
      </c>
      <c r="AC155">
        <v>1004</v>
      </c>
      <c r="BF155">
        <v>1004</v>
      </c>
    </row>
    <row r="156" spans="1:97" x14ac:dyDescent="0.25">
      <c r="A156" s="23">
        <v>3011892</v>
      </c>
      <c r="B156" t="s">
        <v>3351</v>
      </c>
      <c r="AL156">
        <v>3062</v>
      </c>
      <c r="AU156">
        <v>526</v>
      </c>
      <c r="AZ156">
        <v>248</v>
      </c>
    </row>
    <row r="157" spans="1:97" x14ac:dyDescent="0.25">
      <c r="A157">
        <v>4001382</v>
      </c>
      <c r="B157" t="s">
        <v>3351</v>
      </c>
      <c r="AC157">
        <v>916</v>
      </c>
      <c r="AQ157" s="14">
        <v>138</v>
      </c>
      <c r="AR157" s="14">
        <v>119.666</v>
      </c>
    </row>
    <row r="158" spans="1:97" x14ac:dyDescent="0.25">
      <c r="A158" s="50">
        <v>5018675</v>
      </c>
      <c r="B158" t="s">
        <v>3351</v>
      </c>
      <c r="AI158">
        <v>1701</v>
      </c>
    </row>
    <row r="159" spans="1:97" x14ac:dyDescent="0.25">
      <c r="A159" s="50">
        <v>6050168</v>
      </c>
      <c r="B159" t="s">
        <v>3351</v>
      </c>
      <c r="AB159" s="50"/>
    </row>
    <row r="160" spans="1:97" x14ac:dyDescent="0.25">
      <c r="A160" s="50">
        <v>5006592</v>
      </c>
      <c r="B160" t="s">
        <v>3351</v>
      </c>
      <c r="AC160">
        <v>175</v>
      </c>
      <c r="BV160">
        <v>68</v>
      </c>
      <c r="CQ160">
        <v>143</v>
      </c>
      <c r="CS160">
        <v>37</v>
      </c>
    </row>
    <row r="161" spans="1:94" x14ac:dyDescent="0.25">
      <c r="A161" s="50">
        <v>5007274</v>
      </c>
      <c r="B161" t="s">
        <v>3351</v>
      </c>
      <c r="AC161">
        <v>1474</v>
      </c>
      <c r="AO161">
        <v>487</v>
      </c>
    </row>
    <row r="162" spans="1:94" x14ac:dyDescent="0.25">
      <c r="A162" s="50">
        <v>5015851</v>
      </c>
      <c r="B162" t="s">
        <v>3351</v>
      </c>
      <c r="AC162" s="3">
        <v>499.2</v>
      </c>
      <c r="BH162">
        <v>67.8</v>
      </c>
      <c r="BT162" s="3">
        <v>62.4</v>
      </c>
      <c r="BU162" s="3"/>
      <c r="CJ162">
        <v>30.6</v>
      </c>
      <c r="CP162">
        <v>36</v>
      </c>
    </row>
    <row r="163" spans="1:94" x14ac:dyDescent="0.25">
      <c r="A163" s="50">
        <v>6015647</v>
      </c>
      <c r="B163" t="s">
        <v>3351</v>
      </c>
      <c r="AC163">
        <v>1451</v>
      </c>
      <c r="AD163">
        <v>1218</v>
      </c>
      <c r="AE163">
        <v>1157</v>
      </c>
      <c r="AF163">
        <v>870</v>
      </c>
      <c r="AG163">
        <v>736</v>
      </c>
      <c r="AI163">
        <v>736</v>
      </c>
      <c r="AJ163">
        <v>730</v>
      </c>
      <c r="AL163">
        <v>596</v>
      </c>
      <c r="AQ163">
        <v>391</v>
      </c>
      <c r="BA163">
        <v>111</v>
      </c>
      <c r="CG163">
        <v>15</v>
      </c>
      <c r="CI163">
        <v>23</v>
      </c>
    </row>
    <row r="164" spans="1:94" x14ac:dyDescent="0.25">
      <c r="A164" s="50">
        <v>6056633</v>
      </c>
      <c r="B164" t="s">
        <v>3351</v>
      </c>
      <c r="Z164">
        <v>88</v>
      </c>
      <c r="AF164">
        <v>82</v>
      </c>
      <c r="AT164">
        <v>25</v>
      </c>
    </row>
    <row r="165" spans="1:94" x14ac:dyDescent="0.25">
      <c r="A165" s="50">
        <v>7086224</v>
      </c>
      <c r="B165" t="s">
        <v>3351</v>
      </c>
      <c r="AM165">
        <v>1855.8</v>
      </c>
      <c r="AR165">
        <v>1438.8</v>
      </c>
      <c r="AZ165">
        <v>338.4</v>
      </c>
      <c r="BE165">
        <v>187.8</v>
      </c>
    </row>
    <row r="166" spans="1:94" x14ac:dyDescent="0.25">
      <c r="A166" s="50">
        <v>8040959</v>
      </c>
      <c r="B166" t="s">
        <v>3351</v>
      </c>
      <c r="AA166">
        <v>1375</v>
      </c>
    </row>
    <row r="167" spans="1:94" x14ac:dyDescent="0.25">
      <c r="A167" s="50">
        <v>8107048</v>
      </c>
      <c r="B167" t="s">
        <v>3351</v>
      </c>
      <c r="AC167">
        <v>1012.2</v>
      </c>
      <c r="AM167" t="s">
        <v>2146</v>
      </c>
    </row>
    <row r="168" spans="1:94" x14ac:dyDescent="0.25">
      <c r="A168" s="50">
        <v>8124044</v>
      </c>
      <c r="B168" t="s">
        <v>3351</v>
      </c>
      <c r="AC168">
        <v>392</v>
      </c>
      <c r="AN168">
        <v>685</v>
      </c>
      <c r="AQ168">
        <v>924</v>
      </c>
      <c r="AU168">
        <v>742</v>
      </c>
      <c r="AX168">
        <v>346</v>
      </c>
      <c r="BC168">
        <v>108</v>
      </c>
      <c r="BP168">
        <v>685</v>
      </c>
      <c r="BR168">
        <v>924</v>
      </c>
      <c r="BS168">
        <v>826</v>
      </c>
      <c r="BT168">
        <v>913</v>
      </c>
      <c r="BU168">
        <v>742</v>
      </c>
      <c r="BW168">
        <v>346</v>
      </c>
      <c r="BZ168">
        <v>244</v>
      </c>
    </row>
    <row r="169" spans="1:94" x14ac:dyDescent="0.25">
      <c r="A169" s="50">
        <v>8142949</v>
      </c>
      <c r="B169" t="s">
        <v>3351</v>
      </c>
      <c r="AL169">
        <v>592</v>
      </c>
      <c r="AN169">
        <v>710</v>
      </c>
      <c r="AR169">
        <v>582</v>
      </c>
      <c r="AZ169">
        <v>149</v>
      </c>
    </row>
    <row r="170" spans="1:94" x14ac:dyDescent="0.25">
      <c r="A170" s="50">
        <v>9023306</v>
      </c>
      <c r="B170" t="s">
        <v>3351</v>
      </c>
      <c r="AF170">
        <v>336</v>
      </c>
      <c r="AG170">
        <v>276</v>
      </c>
      <c r="AH170">
        <v>120</v>
      </c>
      <c r="AK170">
        <v>91.8</v>
      </c>
    </row>
    <row r="171" spans="1:94" x14ac:dyDescent="0.25">
      <c r="A171" s="50">
        <v>9030615</v>
      </c>
      <c r="B171" t="s">
        <v>3351</v>
      </c>
      <c r="AF171">
        <v>121.2</v>
      </c>
      <c r="AL171">
        <v>256.8</v>
      </c>
      <c r="AR171">
        <v>1052.4000000000001</v>
      </c>
      <c r="AT171">
        <v>626.4</v>
      </c>
    </row>
    <row r="172" spans="1:94" x14ac:dyDescent="0.25">
      <c r="A172" s="50">
        <v>9034464</v>
      </c>
      <c r="B172" t="s">
        <v>3351</v>
      </c>
    </row>
    <row r="173" spans="1:94" x14ac:dyDescent="0.25">
      <c r="A173" s="50">
        <v>9040167</v>
      </c>
      <c r="B173" t="s">
        <v>3351</v>
      </c>
    </row>
    <row r="174" spans="1:94" x14ac:dyDescent="0.25">
      <c r="A174" s="50">
        <v>9054567</v>
      </c>
      <c r="B174" t="s">
        <v>3351</v>
      </c>
      <c r="AB174">
        <v>1973</v>
      </c>
    </row>
    <row r="175" spans="1:94" x14ac:dyDescent="0.25">
      <c r="A175" s="50">
        <v>9083682</v>
      </c>
      <c r="B175" t="s">
        <v>3351</v>
      </c>
      <c r="AC175">
        <v>2410</v>
      </c>
      <c r="AD175">
        <v>2222</v>
      </c>
      <c r="AN175">
        <v>52</v>
      </c>
    </row>
    <row r="176" spans="1:94" x14ac:dyDescent="0.25">
      <c r="A176" s="50">
        <v>9102044</v>
      </c>
      <c r="B176" t="s">
        <v>3351</v>
      </c>
      <c r="AC176">
        <v>1668</v>
      </c>
      <c r="AF176">
        <v>1422</v>
      </c>
      <c r="AP176">
        <v>894</v>
      </c>
      <c r="CC176">
        <v>34</v>
      </c>
    </row>
    <row r="177" spans="1:98" x14ac:dyDescent="0.25">
      <c r="A177" s="50">
        <v>9119854</v>
      </c>
      <c r="B177" t="s">
        <v>3351</v>
      </c>
      <c r="V177">
        <v>17</v>
      </c>
      <c r="AG177">
        <v>571</v>
      </c>
      <c r="AI177">
        <v>331</v>
      </c>
      <c r="AJ177">
        <v>267</v>
      </c>
      <c r="AN177">
        <v>343</v>
      </c>
      <c r="AP177">
        <v>449</v>
      </c>
      <c r="AV177">
        <v>360</v>
      </c>
      <c r="AX177">
        <v>305</v>
      </c>
      <c r="BA177">
        <v>23</v>
      </c>
    </row>
    <row r="178" spans="1:98" x14ac:dyDescent="0.25">
      <c r="A178" s="50">
        <v>9125126</v>
      </c>
      <c r="B178" t="s">
        <v>3351</v>
      </c>
      <c r="AH178">
        <v>361</v>
      </c>
      <c r="AI178">
        <v>356</v>
      </c>
      <c r="AM178">
        <v>128</v>
      </c>
      <c r="BN178">
        <v>22</v>
      </c>
    </row>
    <row r="179" spans="1:98" x14ac:dyDescent="0.25">
      <c r="A179" s="50">
        <v>9174811</v>
      </c>
      <c r="B179" t="s">
        <v>3351</v>
      </c>
      <c r="AC179">
        <v>305</v>
      </c>
      <c r="AD179">
        <v>264</v>
      </c>
      <c r="AL179">
        <v>241</v>
      </c>
      <c r="BM179">
        <v>337</v>
      </c>
      <c r="CB179">
        <v>59</v>
      </c>
    </row>
    <row r="180" spans="1:98" x14ac:dyDescent="0.25">
      <c r="A180" s="50">
        <v>10002875</v>
      </c>
      <c r="B180" t="s">
        <v>3351</v>
      </c>
      <c r="AD180" s="3">
        <v>55.8</v>
      </c>
      <c r="AE180" s="3">
        <v>47.4</v>
      </c>
      <c r="AF180">
        <v>46.2</v>
      </c>
      <c r="AG180">
        <v>45</v>
      </c>
      <c r="AH180">
        <v>46.2</v>
      </c>
      <c r="AI180" s="14">
        <v>38.4</v>
      </c>
      <c r="AR180">
        <v>41.6</v>
      </c>
      <c r="AY180">
        <v>46.5</v>
      </c>
      <c r="BD180">
        <v>49.8</v>
      </c>
    </row>
    <row r="181" spans="1:98" x14ac:dyDescent="0.25">
      <c r="A181" s="50">
        <v>10023080</v>
      </c>
      <c r="B181" t="s">
        <v>3351</v>
      </c>
      <c r="AC181">
        <v>306</v>
      </c>
      <c r="BF181">
        <v>38</v>
      </c>
    </row>
    <row r="182" spans="1:98" x14ac:dyDescent="0.25">
      <c r="A182" s="50">
        <v>10025212</v>
      </c>
      <c r="B182" t="s">
        <v>3351</v>
      </c>
      <c r="AS182">
        <v>599</v>
      </c>
      <c r="AT182">
        <v>1046</v>
      </c>
      <c r="AV182">
        <v>1584</v>
      </c>
      <c r="BF182">
        <v>943</v>
      </c>
      <c r="BQ182">
        <v>79</v>
      </c>
    </row>
    <row r="183" spans="1:98" x14ac:dyDescent="0.25">
      <c r="A183" s="50">
        <v>10069407</v>
      </c>
      <c r="B183" t="s">
        <v>3351</v>
      </c>
      <c r="H183">
        <v>131</v>
      </c>
      <c r="AC183">
        <v>790</v>
      </c>
      <c r="AJ183">
        <v>465</v>
      </c>
      <c r="BB183">
        <v>47</v>
      </c>
    </row>
    <row r="184" spans="1:98" x14ac:dyDescent="0.25">
      <c r="A184" s="50">
        <v>10071135</v>
      </c>
      <c r="B184" t="s">
        <v>3351</v>
      </c>
      <c r="AO184">
        <v>52.8</v>
      </c>
      <c r="AQ184">
        <v>39</v>
      </c>
      <c r="AS184">
        <v>45</v>
      </c>
      <c r="AW184">
        <v>58.8</v>
      </c>
    </row>
    <row r="185" spans="1:98" x14ac:dyDescent="0.25">
      <c r="A185" s="50">
        <v>10083649</v>
      </c>
      <c r="B185" t="s">
        <v>3351</v>
      </c>
      <c r="AC185">
        <v>70</v>
      </c>
      <c r="AD185">
        <v>53</v>
      </c>
    </row>
    <row r="186" spans="1:98" x14ac:dyDescent="0.25">
      <c r="A186" s="50">
        <v>10102021</v>
      </c>
      <c r="B186" t="s">
        <v>3351</v>
      </c>
    </row>
    <row r="187" spans="1:98" x14ac:dyDescent="0.25">
      <c r="A187" s="50">
        <v>10123729</v>
      </c>
      <c r="B187" t="s">
        <v>3351</v>
      </c>
      <c r="AC187">
        <v>107</v>
      </c>
      <c r="AD187">
        <v>155</v>
      </c>
      <c r="AF187">
        <v>32</v>
      </c>
      <c r="AN187">
        <v>78.599999999999994</v>
      </c>
      <c r="CN187">
        <v>26</v>
      </c>
    </row>
    <row r="188" spans="1:98" x14ac:dyDescent="0.25">
      <c r="A188" s="50">
        <v>10144736</v>
      </c>
      <c r="B188" t="s">
        <v>3351</v>
      </c>
      <c r="L188">
        <v>11</v>
      </c>
      <c r="AC188">
        <v>85</v>
      </c>
      <c r="AD188">
        <v>214</v>
      </c>
      <c r="AF188">
        <v>96</v>
      </c>
    </row>
    <row r="189" spans="1:98" x14ac:dyDescent="0.25">
      <c r="A189" s="50">
        <v>10157275</v>
      </c>
      <c r="B189" t="s">
        <v>3351</v>
      </c>
      <c r="AC189">
        <v>401</v>
      </c>
      <c r="BK189">
        <v>401</v>
      </c>
      <c r="CE189">
        <v>77</v>
      </c>
      <c r="CR189">
        <v>67</v>
      </c>
      <c r="CT189">
        <v>18</v>
      </c>
    </row>
    <row r="190" spans="1:98" x14ac:dyDescent="0.25">
      <c r="A190" s="54"/>
      <c r="B190" s="65"/>
    </row>
    <row r="191" spans="1:98" x14ac:dyDescent="0.25">
      <c r="A191" s="52" t="s">
        <v>120</v>
      </c>
      <c r="B191" s="10"/>
    </row>
    <row r="192" spans="1:98" x14ac:dyDescent="0.25">
      <c r="A192" s="50">
        <v>5281</v>
      </c>
      <c r="B192" t="s">
        <v>3352</v>
      </c>
      <c r="AB192">
        <v>5300</v>
      </c>
      <c r="AJ192">
        <v>849</v>
      </c>
    </row>
    <row r="193" spans="1:87" x14ac:dyDescent="0.25">
      <c r="A193" s="50">
        <v>200085</v>
      </c>
      <c r="B193" t="s">
        <v>3352</v>
      </c>
      <c r="P193">
        <v>27</v>
      </c>
      <c r="W193">
        <v>36</v>
      </c>
      <c r="X193">
        <v>58</v>
      </c>
      <c r="AB193">
        <v>343</v>
      </c>
      <c r="AC193">
        <v>110</v>
      </c>
      <c r="AD193">
        <v>205</v>
      </c>
      <c r="AE193">
        <v>277</v>
      </c>
      <c r="AF193">
        <v>343</v>
      </c>
      <c r="AG193">
        <v>302</v>
      </c>
      <c r="AH193">
        <v>278</v>
      </c>
      <c r="AI193">
        <v>241</v>
      </c>
      <c r="AJ193">
        <v>195</v>
      </c>
      <c r="AL193">
        <v>145</v>
      </c>
      <c r="AN193">
        <v>102</v>
      </c>
      <c r="AR193">
        <v>48</v>
      </c>
      <c r="AT193">
        <v>29</v>
      </c>
      <c r="AU193">
        <v>23</v>
      </c>
      <c r="AY193">
        <v>22</v>
      </c>
      <c r="BB193">
        <v>21</v>
      </c>
    </row>
    <row r="194" spans="1:87" x14ac:dyDescent="0.25">
      <c r="A194" s="50">
        <v>500129</v>
      </c>
      <c r="B194" t="s">
        <v>3352</v>
      </c>
      <c r="AH194">
        <v>24.6</v>
      </c>
      <c r="AJ194">
        <v>8.6</v>
      </c>
      <c r="AL194">
        <v>4298</v>
      </c>
      <c r="AN194">
        <v>3607</v>
      </c>
      <c r="AO194">
        <v>2361</v>
      </c>
      <c r="AV194">
        <v>274</v>
      </c>
      <c r="BE194">
        <v>186</v>
      </c>
      <c r="BH194">
        <v>76</v>
      </c>
      <c r="CI194">
        <v>69</v>
      </c>
    </row>
    <row r="195" spans="1:87" x14ac:dyDescent="0.25">
      <c r="A195" s="53">
        <v>1002033</v>
      </c>
      <c r="B195" t="s">
        <v>3352</v>
      </c>
      <c r="N195">
        <v>34</v>
      </c>
      <c r="V195">
        <v>49</v>
      </c>
      <c r="AC195">
        <v>190</v>
      </c>
      <c r="AH195">
        <v>111</v>
      </c>
      <c r="AV195">
        <v>30</v>
      </c>
      <c r="BI195">
        <v>50</v>
      </c>
    </row>
    <row r="196" spans="1:87" x14ac:dyDescent="0.25">
      <c r="A196" s="50">
        <v>1003457</v>
      </c>
      <c r="B196" t="s">
        <v>3352</v>
      </c>
      <c r="AC196">
        <v>193</v>
      </c>
    </row>
    <row r="197" spans="1:87" x14ac:dyDescent="0.25">
      <c r="A197" s="50">
        <v>2005223</v>
      </c>
      <c r="B197" t="s">
        <v>3352</v>
      </c>
      <c r="AC197">
        <v>173.4</v>
      </c>
      <c r="AE197">
        <v>142.80000000000001</v>
      </c>
      <c r="AT197">
        <v>252</v>
      </c>
    </row>
    <row r="198" spans="1:87" x14ac:dyDescent="0.25">
      <c r="A198" s="50">
        <v>2006107</v>
      </c>
      <c r="B198" t="s">
        <v>3352</v>
      </c>
      <c r="AC198">
        <v>523</v>
      </c>
      <c r="AJ198">
        <v>77</v>
      </c>
    </row>
    <row r="199" spans="1:87" x14ac:dyDescent="0.25">
      <c r="A199" s="50">
        <v>2012014</v>
      </c>
      <c r="B199" t="s">
        <v>3352</v>
      </c>
      <c r="R199">
        <v>8</v>
      </c>
    </row>
    <row r="200" spans="1:87" x14ac:dyDescent="0.25">
      <c r="A200" s="50">
        <v>3000152</v>
      </c>
      <c r="B200" t="s">
        <v>3352</v>
      </c>
      <c r="AB200" s="14">
        <v>47.32</v>
      </c>
    </row>
    <row r="201" spans="1:87" x14ac:dyDescent="0.25">
      <c r="A201" s="50">
        <v>3014566</v>
      </c>
      <c r="B201" t="s">
        <v>3352</v>
      </c>
      <c r="AC201">
        <v>24</v>
      </c>
    </row>
    <row r="202" spans="1:87" x14ac:dyDescent="0.25">
      <c r="A202" s="50">
        <v>3015058</v>
      </c>
      <c r="B202" t="s">
        <v>3352</v>
      </c>
      <c r="R202">
        <v>7</v>
      </c>
      <c r="AD202">
        <v>138</v>
      </c>
      <c r="AE202">
        <v>110</v>
      </c>
      <c r="AK202">
        <v>47</v>
      </c>
    </row>
    <row r="203" spans="1:87" x14ac:dyDescent="0.25">
      <c r="A203" s="53">
        <v>4000996</v>
      </c>
      <c r="B203" t="s">
        <v>3352</v>
      </c>
      <c r="AD203">
        <v>142.80000000000001</v>
      </c>
      <c r="AE203">
        <v>129</v>
      </c>
      <c r="AF203">
        <v>112.2</v>
      </c>
      <c r="AJ203">
        <v>7080</v>
      </c>
      <c r="AQ203">
        <v>40.200000000000003</v>
      </c>
    </row>
    <row r="204" spans="1:87" x14ac:dyDescent="0.25">
      <c r="A204" s="50">
        <v>4003768</v>
      </c>
      <c r="B204" t="s">
        <v>3352</v>
      </c>
      <c r="W204">
        <v>12</v>
      </c>
      <c r="Z204">
        <v>14</v>
      </c>
      <c r="AC204">
        <v>390</v>
      </c>
      <c r="AD204">
        <v>3135</v>
      </c>
      <c r="AE204">
        <v>4112</v>
      </c>
      <c r="AF204">
        <v>2774</v>
      </c>
    </row>
    <row r="205" spans="1:87" x14ac:dyDescent="0.25">
      <c r="A205" s="50">
        <v>4006540</v>
      </c>
      <c r="B205" t="s">
        <v>3352</v>
      </c>
      <c r="AM205">
        <v>2376</v>
      </c>
      <c r="AN205">
        <v>2262</v>
      </c>
      <c r="AQ205">
        <v>1722</v>
      </c>
      <c r="AT205">
        <v>1548</v>
      </c>
    </row>
    <row r="206" spans="1:87" x14ac:dyDescent="0.25">
      <c r="A206" s="50">
        <v>4007054</v>
      </c>
      <c r="B206" t="s">
        <v>3352</v>
      </c>
      <c r="AC206">
        <v>45.8</v>
      </c>
      <c r="AG206">
        <v>920</v>
      </c>
    </row>
    <row r="207" spans="1:87" x14ac:dyDescent="0.25">
      <c r="A207" s="50">
        <v>4011002</v>
      </c>
      <c r="B207" t="s">
        <v>3352</v>
      </c>
      <c r="AB207" s="50"/>
      <c r="AC207">
        <v>410.4</v>
      </c>
      <c r="AD207">
        <v>505.2</v>
      </c>
      <c r="AH207">
        <v>315</v>
      </c>
      <c r="AK207" s="3">
        <v>502.8</v>
      </c>
    </row>
    <row r="208" spans="1:87" x14ac:dyDescent="0.25">
      <c r="A208" s="50">
        <v>4900268</v>
      </c>
      <c r="B208" t="s">
        <v>3352</v>
      </c>
      <c r="AB208" s="14">
        <v>9593.5</v>
      </c>
    </row>
    <row r="209" spans="1:47" x14ac:dyDescent="0.25">
      <c r="A209" s="50">
        <v>5001097</v>
      </c>
      <c r="B209" t="s">
        <v>3352</v>
      </c>
      <c r="U209">
        <v>23</v>
      </c>
      <c r="V209">
        <v>22</v>
      </c>
      <c r="AB209" s="50"/>
      <c r="AC209">
        <v>58</v>
      </c>
      <c r="AG209">
        <v>34</v>
      </c>
      <c r="AK209">
        <v>33</v>
      </c>
    </row>
    <row r="210" spans="1:47" x14ac:dyDescent="0.25">
      <c r="A210" s="50">
        <v>5001098</v>
      </c>
      <c r="B210" t="s">
        <v>3352</v>
      </c>
      <c r="Q210">
        <v>73</v>
      </c>
      <c r="T210">
        <v>69</v>
      </c>
      <c r="U210">
        <v>72</v>
      </c>
      <c r="X210">
        <v>82</v>
      </c>
      <c r="AC210">
        <v>86</v>
      </c>
    </row>
    <row r="211" spans="1:47" x14ac:dyDescent="0.25">
      <c r="A211" s="50">
        <v>5006152</v>
      </c>
      <c r="B211" t="s">
        <v>3352</v>
      </c>
      <c r="Z211">
        <v>27</v>
      </c>
      <c r="AD211">
        <v>4365</v>
      </c>
    </row>
    <row r="212" spans="1:47" x14ac:dyDescent="0.25">
      <c r="A212" s="50">
        <v>6012361</v>
      </c>
      <c r="B212" t="s">
        <v>3352</v>
      </c>
      <c r="AE212">
        <v>594</v>
      </c>
      <c r="AF212">
        <v>408</v>
      </c>
      <c r="AT212">
        <v>78</v>
      </c>
    </row>
    <row r="213" spans="1:47" x14ac:dyDescent="0.25">
      <c r="A213" s="50">
        <v>6015793</v>
      </c>
      <c r="B213" t="s">
        <v>3352</v>
      </c>
      <c r="AC213">
        <v>4937</v>
      </c>
      <c r="AD213">
        <v>3826</v>
      </c>
      <c r="AG213">
        <v>905</v>
      </c>
    </row>
    <row r="214" spans="1:47" x14ac:dyDescent="0.25">
      <c r="A214" s="50">
        <v>6043619</v>
      </c>
      <c r="B214" t="s">
        <v>3352</v>
      </c>
      <c r="AC214">
        <v>5887.2</v>
      </c>
    </row>
    <row r="215" spans="1:47" x14ac:dyDescent="0.25">
      <c r="A215" s="50">
        <v>7001097</v>
      </c>
      <c r="B215" t="s">
        <v>3352</v>
      </c>
      <c r="Z215">
        <v>12</v>
      </c>
      <c r="AA215">
        <v>30</v>
      </c>
      <c r="AC215">
        <v>29</v>
      </c>
      <c r="AD215">
        <v>39</v>
      </c>
      <c r="AE215">
        <v>57</v>
      </c>
      <c r="AF215">
        <v>37</v>
      </c>
      <c r="AG215">
        <v>28</v>
      </c>
      <c r="AH215">
        <v>35</v>
      </c>
      <c r="AJ215">
        <v>125</v>
      </c>
      <c r="AK215">
        <v>73</v>
      </c>
      <c r="AP215">
        <v>47</v>
      </c>
      <c r="AQ215">
        <v>64</v>
      </c>
      <c r="AR215">
        <v>59</v>
      </c>
    </row>
    <row r="216" spans="1:47" x14ac:dyDescent="0.25">
      <c r="A216" s="50">
        <v>7011435</v>
      </c>
      <c r="B216" t="s">
        <v>3352</v>
      </c>
      <c r="Z216">
        <v>24.2</v>
      </c>
      <c r="AC216">
        <v>437</v>
      </c>
      <c r="AE216">
        <v>367</v>
      </c>
      <c r="AI216">
        <v>257</v>
      </c>
    </row>
    <row r="217" spans="1:47" x14ac:dyDescent="0.25">
      <c r="A217" s="50">
        <v>7045811</v>
      </c>
      <c r="B217" t="s">
        <v>3352</v>
      </c>
      <c r="AG217" s="50">
        <v>12864</v>
      </c>
      <c r="AN217">
        <v>1533</v>
      </c>
    </row>
    <row r="218" spans="1:47" x14ac:dyDescent="0.25">
      <c r="A218" s="50">
        <v>7071198</v>
      </c>
      <c r="B218" t="s">
        <v>3352</v>
      </c>
    </row>
    <row r="219" spans="1:47" x14ac:dyDescent="0.25">
      <c r="A219" s="50">
        <v>7101143</v>
      </c>
      <c r="B219" t="s">
        <v>3352</v>
      </c>
      <c r="AC219">
        <v>1917.49</v>
      </c>
      <c r="AE219">
        <v>2074.65</v>
      </c>
      <c r="AF219">
        <v>1898.18</v>
      </c>
      <c r="AJ219">
        <v>1436.2</v>
      </c>
      <c r="AM219">
        <v>961.74</v>
      </c>
      <c r="AO219">
        <v>689.06</v>
      </c>
    </row>
    <row r="220" spans="1:47" x14ac:dyDescent="0.25">
      <c r="A220" s="50">
        <v>8073350</v>
      </c>
      <c r="B220" t="s">
        <v>3352</v>
      </c>
    </row>
    <row r="221" spans="1:47" x14ac:dyDescent="0.25">
      <c r="A221" s="50">
        <v>8073645</v>
      </c>
      <c r="B221" t="s">
        <v>3352</v>
      </c>
      <c r="AD221">
        <v>1197.3333333333301</v>
      </c>
    </row>
    <row r="222" spans="1:47" x14ac:dyDescent="0.25">
      <c r="A222" s="53">
        <v>8089666</v>
      </c>
      <c r="B222" t="s">
        <v>3352</v>
      </c>
      <c r="Y222">
        <v>63</v>
      </c>
      <c r="Z222">
        <v>18</v>
      </c>
      <c r="AA222">
        <v>15</v>
      </c>
      <c r="AC222" s="14">
        <v>1851.25</v>
      </c>
      <c r="AD222">
        <v>43</v>
      </c>
    </row>
    <row r="223" spans="1:47" x14ac:dyDescent="0.25">
      <c r="A223" s="50">
        <v>8103536</v>
      </c>
      <c r="B223" t="s">
        <v>3352</v>
      </c>
      <c r="AD223">
        <v>104</v>
      </c>
    </row>
    <row r="224" spans="1:47" x14ac:dyDescent="0.25">
      <c r="A224" s="50">
        <v>8124816</v>
      </c>
      <c r="B224" t="s">
        <v>3352</v>
      </c>
      <c r="AC224">
        <v>113</v>
      </c>
      <c r="AF224">
        <v>130</v>
      </c>
      <c r="AI224">
        <v>59</v>
      </c>
      <c r="AP224">
        <v>27</v>
      </c>
      <c r="AU224">
        <v>50</v>
      </c>
    </row>
    <row r="225" spans="1:77" x14ac:dyDescent="0.25">
      <c r="A225" s="50">
        <v>9003267</v>
      </c>
      <c r="B225" t="s">
        <v>3352</v>
      </c>
      <c r="AD225">
        <v>345</v>
      </c>
      <c r="AF225">
        <v>471.6</v>
      </c>
      <c r="BJ225">
        <v>45.6</v>
      </c>
    </row>
    <row r="226" spans="1:77" x14ac:dyDescent="0.25">
      <c r="A226" s="50">
        <v>9036964</v>
      </c>
      <c r="B226" t="s">
        <v>3352</v>
      </c>
      <c r="D226">
        <v>43.8</v>
      </c>
      <c r="E226">
        <v>57.2</v>
      </c>
      <c r="J226">
        <v>43.8</v>
      </c>
      <c r="AC226">
        <v>210</v>
      </c>
      <c r="AD226">
        <v>242</v>
      </c>
      <c r="AE226">
        <v>273</v>
      </c>
      <c r="AI226">
        <v>170</v>
      </c>
    </row>
    <row r="227" spans="1:77" x14ac:dyDescent="0.25">
      <c r="A227" s="50">
        <v>9090287</v>
      </c>
      <c r="B227" t="s">
        <v>3352</v>
      </c>
      <c r="AE227">
        <v>9462</v>
      </c>
      <c r="AF227">
        <v>7114</v>
      </c>
      <c r="AG227">
        <v>4107</v>
      </c>
      <c r="AH227">
        <v>2881</v>
      </c>
      <c r="AI227">
        <v>1819</v>
      </c>
    </row>
    <row r="228" spans="1:77" x14ac:dyDescent="0.25">
      <c r="A228" s="50">
        <v>9095148</v>
      </c>
      <c r="B228" t="s">
        <v>3352</v>
      </c>
      <c r="AD228">
        <v>46</v>
      </c>
    </row>
    <row r="229" spans="1:77" x14ac:dyDescent="0.25">
      <c r="A229" s="50">
        <v>9104979</v>
      </c>
      <c r="B229" t="s">
        <v>3352</v>
      </c>
      <c r="AF229">
        <v>215</v>
      </c>
      <c r="AI229">
        <v>109</v>
      </c>
      <c r="AM229">
        <v>297</v>
      </c>
      <c r="AQ229">
        <v>207</v>
      </c>
      <c r="BG229">
        <v>68</v>
      </c>
      <c r="BS229">
        <v>38</v>
      </c>
    </row>
    <row r="230" spans="1:77" x14ac:dyDescent="0.25">
      <c r="A230" s="50">
        <v>9139514</v>
      </c>
      <c r="B230" t="s">
        <v>3352</v>
      </c>
      <c r="AM230">
        <v>2988</v>
      </c>
      <c r="AR230">
        <v>2666</v>
      </c>
      <c r="BD230">
        <v>940</v>
      </c>
      <c r="BT230">
        <v>209</v>
      </c>
      <c r="BY230">
        <v>190</v>
      </c>
    </row>
    <row r="231" spans="1:77" x14ac:dyDescent="0.25">
      <c r="A231" s="50">
        <v>10020659</v>
      </c>
      <c r="B231" t="s">
        <v>3352</v>
      </c>
      <c r="C231" s="3">
        <v>108.6</v>
      </c>
      <c r="I231">
        <v>120</v>
      </c>
      <c r="AC231">
        <v>288.60000000000002</v>
      </c>
      <c r="AD231">
        <v>208.8</v>
      </c>
      <c r="AF231">
        <v>157.80000000000001</v>
      </c>
      <c r="AK231">
        <v>85.2</v>
      </c>
    </row>
    <row r="232" spans="1:77" x14ac:dyDescent="0.25">
      <c r="A232" s="50">
        <v>10025902</v>
      </c>
      <c r="B232" t="s">
        <v>3352</v>
      </c>
      <c r="AC232">
        <v>1413</v>
      </c>
      <c r="AD232">
        <v>1169.4000000000001</v>
      </c>
      <c r="AI232">
        <v>906</v>
      </c>
      <c r="AJ232" s="3">
        <v>733.8</v>
      </c>
      <c r="AM232">
        <v>395.4</v>
      </c>
      <c r="AP232">
        <v>206.4</v>
      </c>
    </row>
    <row r="233" spans="1:77" x14ac:dyDescent="0.25">
      <c r="A233" s="50">
        <v>10027654</v>
      </c>
      <c r="B233" t="s">
        <v>3352</v>
      </c>
      <c r="K233">
        <v>61</v>
      </c>
      <c r="AC233">
        <v>168</v>
      </c>
      <c r="AD233">
        <v>122</v>
      </c>
      <c r="AE233">
        <v>85</v>
      </c>
      <c r="BE233">
        <v>38</v>
      </c>
    </row>
    <row r="234" spans="1:77" x14ac:dyDescent="0.25">
      <c r="A234" s="50">
        <v>10084485</v>
      </c>
      <c r="B234" t="s">
        <v>3352</v>
      </c>
      <c r="AC234">
        <v>40</v>
      </c>
    </row>
    <row r="235" spans="1:77" x14ac:dyDescent="0.25">
      <c r="A235" s="50">
        <v>10098420</v>
      </c>
      <c r="B235" t="s">
        <v>3352</v>
      </c>
      <c r="AC235">
        <v>6950</v>
      </c>
      <c r="AD235" s="14">
        <v>6450</v>
      </c>
      <c r="AF235">
        <v>3094</v>
      </c>
    </row>
    <row r="236" spans="1:77" x14ac:dyDescent="0.25">
      <c r="A236" s="50">
        <v>10129565</v>
      </c>
      <c r="B236" t="s">
        <v>3352</v>
      </c>
      <c r="AD236">
        <v>2796</v>
      </c>
      <c r="AE236">
        <v>1938</v>
      </c>
      <c r="AG236">
        <v>1104</v>
      </c>
      <c r="AN236">
        <v>214.8</v>
      </c>
    </row>
    <row r="237" spans="1:77" x14ac:dyDescent="0.25">
      <c r="A237" s="50">
        <v>10146828</v>
      </c>
      <c r="B237" t="s">
        <v>3352</v>
      </c>
      <c r="AC237">
        <v>469</v>
      </c>
      <c r="AD237">
        <v>240</v>
      </c>
      <c r="AH237">
        <v>81</v>
      </c>
      <c r="AP237">
        <v>19</v>
      </c>
    </row>
    <row r="238" spans="1:77" x14ac:dyDescent="0.25">
      <c r="A238">
        <v>10163776</v>
      </c>
      <c r="B238" t="s">
        <v>3352</v>
      </c>
      <c r="G238">
        <v>17</v>
      </c>
      <c r="AC238">
        <v>98</v>
      </c>
    </row>
    <row r="239" spans="1:77" x14ac:dyDescent="0.25">
      <c r="A239">
        <v>10173664</v>
      </c>
      <c r="B239" t="s">
        <v>3352</v>
      </c>
      <c r="AF239">
        <v>2065.1999999999998</v>
      </c>
      <c r="AH239">
        <v>1780.2</v>
      </c>
      <c r="AM239">
        <v>1845.6</v>
      </c>
    </row>
  </sheetData>
  <conditionalFormatting sqref="A19">
    <cfRule type="duplicateValues" dxfId="28" priority="1"/>
  </conditionalFormatting>
  <pageMargins left="0.7" right="0.7" top="0.78740157499999996" bottom="0.78740157499999996" header="0.3" footer="0.3"/>
  <tableParts count="1"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7"/>
  <sheetViews>
    <sheetView zoomScaleNormal="100" workbookViewId="0">
      <selection activeCell="D11" sqref="D11"/>
    </sheetView>
  </sheetViews>
  <sheetFormatPr defaultColWidth="11.42578125" defaultRowHeight="15" x14ac:dyDescent="0.25"/>
  <cols>
    <col min="1" max="1" width="17.28515625" bestFit="1" customWidth="1"/>
    <col min="2" max="2" width="6.85546875" bestFit="1" customWidth="1"/>
    <col min="3" max="3" width="78.85546875" customWidth="1"/>
    <col min="4" max="4" width="30.28515625" bestFit="1" customWidth="1"/>
    <col min="5" max="5" width="12.5703125" bestFit="1" customWidth="1"/>
  </cols>
  <sheetData>
    <row r="1" spans="1:5" x14ac:dyDescent="0.25">
      <c r="A1" s="66" t="s">
        <v>59</v>
      </c>
      <c r="B1" s="66" t="s">
        <v>2795</v>
      </c>
      <c r="C1" s="66" t="s">
        <v>2564</v>
      </c>
      <c r="D1" s="66" t="s">
        <v>2523</v>
      </c>
      <c r="E1" s="66" t="s">
        <v>3346</v>
      </c>
    </row>
    <row r="2" spans="1:5" x14ac:dyDescent="0.25">
      <c r="A2" s="66">
        <v>7072184</v>
      </c>
      <c r="B2" s="66" t="s">
        <v>2795</v>
      </c>
      <c r="C2" s="66" t="s">
        <v>57</v>
      </c>
      <c r="D2" s="66">
        <v>1</v>
      </c>
      <c r="E2" s="66" t="s">
        <v>3398</v>
      </c>
    </row>
    <row r="3" spans="1:5" x14ac:dyDescent="0.25">
      <c r="A3" s="66">
        <v>95005911</v>
      </c>
      <c r="B3" s="66" t="s">
        <v>2795</v>
      </c>
      <c r="C3" s="66" t="s">
        <v>57</v>
      </c>
      <c r="D3" s="66">
        <v>1</v>
      </c>
      <c r="E3" s="66" t="s">
        <v>3398</v>
      </c>
    </row>
    <row r="4" spans="1:5" x14ac:dyDescent="0.25">
      <c r="A4" s="66">
        <v>99004067</v>
      </c>
      <c r="B4" s="66" t="s">
        <v>2795</v>
      </c>
      <c r="C4" s="66" t="s">
        <v>57</v>
      </c>
      <c r="D4" s="66">
        <v>1</v>
      </c>
      <c r="E4" s="66" t="s">
        <v>3398</v>
      </c>
    </row>
    <row r="5" spans="1:5" x14ac:dyDescent="0.25">
      <c r="A5" s="66">
        <v>97002136</v>
      </c>
      <c r="B5" s="66" t="s">
        <v>2795</v>
      </c>
      <c r="C5" s="66" t="s">
        <v>57</v>
      </c>
      <c r="D5" s="66">
        <v>1</v>
      </c>
      <c r="E5" s="66" t="s">
        <v>3398</v>
      </c>
    </row>
    <row r="6" spans="1:5" x14ac:dyDescent="0.25">
      <c r="A6" s="66">
        <v>1502</v>
      </c>
      <c r="B6" s="66" t="s">
        <v>2795</v>
      </c>
      <c r="C6" s="66" t="s">
        <v>21</v>
      </c>
      <c r="D6" s="66">
        <v>1</v>
      </c>
      <c r="E6" s="66" t="s">
        <v>3398</v>
      </c>
    </row>
    <row r="7" spans="1:5" x14ac:dyDescent="0.25">
      <c r="A7" s="66">
        <v>4003543</v>
      </c>
      <c r="B7" s="66" t="s">
        <v>2795</v>
      </c>
      <c r="C7" s="66" t="s">
        <v>2796</v>
      </c>
      <c r="D7" s="66">
        <v>2</v>
      </c>
      <c r="E7" s="66" t="s">
        <v>3398</v>
      </c>
    </row>
    <row r="8" spans="1:5" x14ac:dyDescent="0.25">
      <c r="A8" s="66">
        <v>14242856</v>
      </c>
      <c r="B8" s="66" t="s">
        <v>2795</v>
      </c>
      <c r="C8" s="66" t="s">
        <v>57</v>
      </c>
      <c r="D8" s="66">
        <v>1</v>
      </c>
      <c r="E8" s="66" t="s">
        <v>3399</v>
      </c>
    </row>
    <row r="9" spans="1:5" x14ac:dyDescent="0.25">
      <c r="A9" s="66">
        <v>99001183</v>
      </c>
      <c r="B9" s="66" t="s">
        <v>2795</v>
      </c>
      <c r="C9" s="66" t="s">
        <v>78</v>
      </c>
      <c r="D9" s="66">
        <v>1</v>
      </c>
      <c r="E9" s="66" t="s">
        <v>3399</v>
      </c>
    </row>
    <row r="10" spans="1:5" x14ac:dyDescent="0.25">
      <c r="A10" s="66">
        <v>3000983</v>
      </c>
      <c r="B10" s="66" t="s">
        <v>2795</v>
      </c>
      <c r="C10" s="66" t="s">
        <v>2797</v>
      </c>
      <c r="D10" s="66">
        <v>3</v>
      </c>
      <c r="E10" s="66" t="s">
        <v>3399</v>
      </c>
    </row>
    <row r="11" spans="1:5" x14ac:dyDescent="0.25">
      <c r="A11" s="66">
        <v>10064335</v>
      </c>
      <c r="B11" s="66" t="s">
        <v>2795</v>
      </c>
      <c r="C11" s="66" t="s">
        <v>2798</v>
      </c>
      <c r="D11" s="66">
        <v>5</v>
      </c>
      <c r="E11" s="66" t="s">
        <v>3399</v>
      </c>
    </row>
    <row r="12" spans="1:5" x14ac:dyDescent="0.25">
      <c r="A12" s="66">
        <v>1480</v>
      </c>
      <c r="B12" s="66" t="s">
        <v>2795</v>
      </c>
      <c r="C12" s="66" t="s">
        <v>2799</v>
      </c>
      <c r="D12" s="66">
        <v>2</v>
      </c>
      <c r="E12" s="66" t="s">
        <v>3400</v>
      </c>
    </row>
    <row r="13" spans="1:5" x14ac:dyDescent="0.25">
      <c r="A13" s="66">
        <v>1003215</v>
      </c>
      <c r="B13" s="66" t="s">
        <v>2795</v>
      </c>
      <c r="C13" s="66" t="s">
        <v>57</v>
      </c>
      <c r="D13" s="66">
        <v>1</v>
      </c>
      <c r="E13" s="66" t="s">
        <v>3400</v>
      </c>
    </row>
    <row r="14" spans="1:5" x14ac:dyDescent="0.25">
      <c r="A14" s="66">
        <v>99000802</v>
      </c>
      <c r="B14" s="66" t="s">
        <v>2795</v>
      </c>
      <c r="C14" s="66" t="s">
        <v>19</v>
      </c>
      <c r="D14" s="66">
        <v>1</v>
      </c>
      <c r="E14" s="66" t="s">
        <v>3400</v>
      </c>
    </row>
    <row r="15" spans="1:5" x14ac:dyDescent="0.25">
      <c r="A15" s="66">
        <v>99000892</v>
      </c>
      <c r="B15" s="66" t="s">
        <v>2795</v>
      </c>
      <c r="C15" s="66" t="s">
        <v>19</v>
      </c>
      <c r="D15" s="66">
        <v>1</v>
      </c>
      <c r="E15" s="66" t="s">
        <v>3400</v>
      </c>
    </row>
    <row r="16" spans="1:5" x14ac:dyDescent="0.25">
      <c r="A16" s="66">
        <v>1506</v>
      </c>
      <c r="B16" s="66" t="s">
        <v>2795</v>
      </c>
      <c r="C16" s="66" t="s">
        <v>22</v>
      </c>
      <c r="D16" s="66">
        <v>1</v>
      </c>
      <c r="E16" s="66" t="s">
        <v>3400</v>
      </c>
    </row>
    <row r="17" spans="1:5" x14ac:dyDescent="0.25">
      <c r="A17" s="66">
        <v>99000894</v>
      </c>
      <c r="B17" s="66" t="s">
        <v>2795</v>
      </c>
      <c r="C17" s="66" t="s">
        <v>18</v>
      </c>
      <c r="D17" s="66">
        <v>1</v>
      </c>
      <c r="E17" s="66" t="s">
        <v>3400</v>
      </c>
    </row>
    <row r="18" spans="1:5" x14ac:dyDescent="0.25">
      <c r="A18" s="66">
        <v>99000897</v>
      </c>
      <c r="B18" s="66" t="s">
        <v>2795</v>
      </c>
      <c r="C18" s="66" t="s">
        <v>57</v>
      </c>
      <c r="D18" s="66">
        <v>1</v>
      </c>
      <c r="E18" s="66" t="s">
        <v>3400</v>
      </c>
    </row>
    <row r="19" spans="1:5" x14ac:dyDescent="0.25">
      <c r="A19" s="66">
        <v>99001902</v>
      </c>
      <c r="B19" s="66" t="s">
        <v>2795</v>
      </c>
      <c r="C19" s="66" t="s">
        <v>21</v>
      </c>
      <c r="D19" s="66">
        <v>1</v>
      </c>
      <c r="E19" s="66" t="s">
        <v>3400</v>
      </c>
    </row>
    <row r="20" spans="1:5" x14ac:dyDescent="0.25">
      <c r="A20" s="66">
        <v>99001912</v>
      </c>
      <c r="B20" s="66" t="s">
        <v>2795</v>
      </c>
      <c r="C20" s="66" t="s">
        <v>22</v>
      </c>
      <c r="D20" s="66">
        <v>1</v>
      </c>
      <c r="E20" s="66" t="s">
        <v>3400</v>
      </c>
    </row>
    <row r="21" spans="1:5" x14ac:dyDescent="0.25">
      <c r="A21" s="66">
        <v>99001913</v>
      </c>
      <c r="B21" s="66" t="s">
        <v>2795</v>
      </c>
      <c r="C21" s="66" t="s">
        <v>21</v>
      </c>
      <c r="D21" s="66">
        <v>1</v>
      </c>
      <c r="E21" s="66" t="s">
        <v>3400</v>
      </c>
    </row>
    <row r="22" spans="1:5" x14ac:dyDescent="0.25">
      <c r="A22" s="66">
        <v>99001937</v>
      </c>
      <c r="B22" s="66" t="s">
        <v>2795</v>
      </c>
      <c r="C22" s="66" t="s">
        <v>78</v>
      </c>
      <c r="D22" s="66">
        <v>1</v>
      </c>
      <c r="E22" s="66" t="s">
        <v>3400</v>
      </c>
    </row>
    <row r="23" spans="1:5" x14ac:dyDescent="0.25">
      <c r="A23" s="66">
        <v>99001943</v>
      </c>
      <c r="B23" s="66" t="s">
        <v>2795</v>
      </c>
      <c r="C23" s="66" t="s">
        <v>1387</v>
      </c>
      <c r="D23" s="66">
        <v>1</v>
      </c>
      <c r="E23" s="66" t="s">
        <v>3400</v>
      </c>
    </row>
    <row r="24" spans="1:5" x14ac:dyDescent="0.25">
      <c r="A24" s="66">
        <v>99001927</v>
      </c>
      <c r="B24" s="66" t="s">
        <v>2795</v>
      </c>
      <c r="C24" s="66" t="s">
        <v>57</v>
      </c>
      <c r="D24" s="66">
        <v>1</v>
      </c>
      <c r="E24" s="66" t="s">
        <v>3400</v>
      </c>
    </row>
    <row r="25" spans="1:5" x14ac:dyDescent="0.25">
      <c r="A25" s="66">
        <v>1505</v>
      </c>
      <c r="B25" s="66" t="s">
        <v>2795</v>
      </c>
      <c r="C25" s="66" t="s">
        <v>1384</v>
      </c>
      <c r="D25" s="66">
        <v>1</v>
      </c>
      <c r="E25" s="66" t="s">
        <v>3400</v>
      </c>
    </row>
    <row r="26" spans="1:5" x14ac:dyDescent="0.25">
      <c r="A26" s="66">
        <v>1000197</v>
      </c>
      <c r="B26" s="66" t="s">
        <v>2795</v>
      </c>
      <c r="C26" s="66" t="s">
        <v>1384</v>
      </c>
      <c r="D26" s="66">
        <v>1</v>
      </c>
      <c r="E26" s="66" t="s">
        <v>3400</v>
      </c>
    </row>
    <row r="27" spans="1:5" x14ac:dyDescent="0.25">
      <c r="A27" s="66">
        <v>96018835</v>
      </c>
      <c r="B27" s="66" t="s">
        <v>2795</v>
      </c>
      <c r="C27" s="66" t="s">
        <v>2800</v>
      </c>
      <c r="D27" s="66">
        <v>6</v>
      </c>
      <c r="E27" s="66" t="s">
        <v>3400</v>
      </c>
    </row>
    <row r="28" spans="1:5" x14ac:dyDescent="0.25">
      <c r="A28" s="66">
        <v>99000717</v>
      </c>
      <c r="B28" s="66" t="s">
        <v>2795</v>
      </c>
      <c r="C28" s="66" t="s">
        <v>20</v>
      </c>
      <c r="D28" s="66">
        <v>1</v>
      </c>
      <c r="E28" s="66" t="s">
        <v>3400</v>
      </c>
    </row>
    <row r="29" spans="1:5" x14ac:dyDescent="0.25">
      <c r="A29" s="66">
        <v>6006917</v>
      </c>
      <c r="B29" s="66" t="s">
        <v>2795</v>
      </c>
      <c r="C29" s="66" t="s">
        <v>57</v>
      </c>
      <c r="D29" s="66">
        <v>1</v>
      </c>
      <c r="E29" s="66" t="s">
        <v>3347</v>
      </c>
    </row>
    <row r="30" spans="1:5" x14ac:dyDescent="0.25">
      <c r="A30" s="66">
        <v>8057159</v>
      </c>
      <c r="B30" s="66" t="s">
        <v>2795</v>
      </c>
      <c r="C30" s="66" t="s">
        <v>2801</v>
      </c>
      <c r="D30" s="66">
        <v>2</v>
      </c>
      <c r="E30" s="66" t="s">
        <v>3348</v>
      </c>
    </row>
    <row r="31" spans="1:5" x14ac:dyDescent="0.25">
      <c r="A31" s="66">
        <v>12088444</v>
      </c>
      <c r="B31" s="66" t="s">
        <v>2795</v>
      </c>
      <c r="C31" s="66" t="s">
        <v>2802</v>
      </c>
      <c r="D31" s="66">
        <v>3</v>
      </c>
      <c r="E31" s="66" t="s">
        <v>3348</v>
      </c>
    </row>
    <row r="32" spans="1:5" x14ac:dyDescent="0.25">
      <c r="A32" s="66">
        <v>98004910</v>
      </c>
      <c r="B32" s="66" t="s">
        <v>2795</v>
      </c>
      <c r="C32" s="66" t="s">
        <v>57</v>
      </c>
      <c r="D32" s="66">
        <v>1</v>
      </c>
      <c r="E32" s="66" t="s">
        <v>3349</v>
      </c>
    </row>
    <row r="33" spans="1:5" x14ac:dyDescent="0.25">
      <c r="A33" s="66">
        <v>11240728</v>
      </c>
      <c r="B33" s="66" t="s">
        <v>2795</v>
      </c>
      <c r="C33" s="66" t="s">
        <v>2803</v>
      </c>
      <c r="D33" s="66">
        <v>4</v>
      </c>
      <c r="E33" s="66" t="s">
        <v>3349</v>
      </c>
    </row>
    <row r="34" spans="1:5" x14ac:dyDescent="0.25">
      <c r="A34" s="66">
        <v>5015869</v>
      </c>
      <c r="B34" s="66" t="s">
        <v>2795</v>
      </c>
      <c r="C34" s="66" t="s">
        <v>2804</v>
      </c>
      <c r="D34" s="66">
        <v>2</v>
      </c>
      <c r="E34" s="66" t="s">
        <v>3350</v>
      </c>
    </row>
    <row r="35" spans="1:5" x14ac:dyDescent="0.25">
      <c r="A35" s="66">
        <v>7000458</v>
      </c>
      <c r="B35" s="66" t="s">
        <v>2795</v>
      </c>
      <c r="C35" s="66" t="s">
        <v>22</v>
      </c>
      <c r="D35" s="66">
        <v>1</v>
      </c>
      <c r="E35" s="66" t="s">
        <v>3350</v>
      </c>
    </row>
    <row r="36" spans="1:5" x14ac:dyDescent="0.25">
      <c r="A36" s="66">
        <v>7015502</v>
      </c>
      <c r="B36" s="66" t="s">
        <v>2795</v>
      </c>
      <c r="C36" s="66" t="s">
        <v>807</v>
      </c>
      <c r="D36" s="66">
        <v>1</v>
      </c>
      <c r="E36" s="66" t="s">
        <v>3350</v>
      </c>
    </row>
    <row r="37" spans="1:5" x14ac:dyDescent="0.25">
      <c r="A37" s="66">
        <v>7082707</v>
      </c>
      <c r="B37" s="66" t="s">
        <v>2795</v>
      </c>
      <c r="C37" s="66" t="s">
        <v>1386</v>
      </c>
      <c r="D37" s="66">
        <v>1</v>
      </c>
      <c r="E37" s="66" t="s">
        <v>3350</v>
      </c>
    </row>
    <row r="38" spans="1:5" x14ac:dyDescent="0.25">
      <c r="A38" s="66">
        <v>7083159</v>
      </c>
      <c r="B38" s="66" t="s">
        <v>2795</v>
      </c>
      <c r="C38" s="66" t="s">
        <v>795</v>
      </c>
      <c r="D38" s="66">
        <v>1</v>
      </c>
      <c r="E38" s="66" t="s">
        <v>3350</v>
      </c>
    </row>
    <row r="39" spans="1:5" x14ac:dyDescent="0.25">
      <c r="A39" s="66">
        <v>7084659</v>
      </c>
      <c r="B39" s="66" t="s">
        <v>2795</v>
      </c>
      <c r="C39" s="66" t="s">
        <v>807</v>
      </c>
      <c r="D39" s="66">
        <v>1</v>
      </c>
      <c r="E39" s="66" t="s">
        <v>3350</v>
      </c>
    </row>
    <row r="40" spans="1:5" x14ac:dyDescent="0.25">
      <c r="A40" s="66">
        <v>7089231</v>
      </c>
      <c r="B40" s="66" t="s">
        <v>2795</v>
      </c>
      <c r="C40" s="66" t="s">
        <v>57</v>
      </c>
      <c r="D40" s="66">
        <v>1</v>
      </c>
      <c r="E40" s="66" t="s">
        <v>3350</v>
      </c>
    </row>
    <row r="41" spans="1:5" x14ac:dyDescent="0.25">
      <c r="A41" s="66">
        <v>7116004</v>
      </c>
      <c r="B41" s="66" t="s">
        <v>2795</v>
      </c>
      <c r="C41" s="66" t="s">
        <v>807</v>
      </c>
      <c r="D41" s="66">
        <v>1</v>
      </c>
      <c r="E41" s="66" t="s">
        <v>3350</v>
      </c>
    </row>
    <row r="42" spans="1:5" x14ac:dyDescent="0.25">
      <c r="A42" s="66">
        <v>8003819</v>
      </c>
      <c r="B42" s="66" t="s">
        <v>2795</v>
      </c>
      <c r="C42" s="66" t="s">
        <v>57</v>
      </c>
      <c r="D42" s="66">
        <v>1</v>
      </c>
      <c r="E42" s="66" t="s">
        <v>3350</v>
      </c>
    </row>
    <row r="43" spans="1:5" x14ac:dyDescent="0.25">
      <c r="A43" s="66">
        <v>8112522</v>
      </c>
      <c r="B43" s="66" t="s">
        <v>2795</v>
      </c>
      <c r="C43" s="66" t="s">
        <v>2805</v>
      </c>
      <c r="D43" s="66">
        <v>3</v>
      </c>
      <c r="E43" s="66" t="s">
        <v>3350</v>
      </c>
    </row>
    <row r="44" spans="1:5" x14ac:dyDescent="0.25">
      <c r="A44" s="66">
        <v>8130998</v>
      </c>
      <c r="B44" s="66" t="s">
        <v>2795</v>
      </c>
      <c r="C44" s="66" t="s">
        <v>2806</v>
      </c>
      <c r="D44" s="66">
        <v>3</v>
      </c>
      <c r="E44" s="66" t="s">
        <v>3350</v>
      </c>
    </row>
    <row r="45" spans="1:5" x14ac:dyDescent="0.25">
      <c r="A45" s="66">
        <v>9003331</v>
      </c>
      <c r="B45" s="66" t="s">
        <v>2795</v>
      </c>
      <c r="C45" s="66" t="s">
        <v>2807</v>
      </c>
      <c r="D45" s="66">
        <v>2</v>
      </c>
      <c r="E45" s="66" t="s">
        <v>3350</v>
      </c>
    </row>
    <row r="46" spans="1:5" x14ac:dyDescent="0.25">
      <c r="A46" s="66">
        <v>9003370</v>
      </c>
      <c r="B46" s="66" t="s">
        <v>2795</v>
      </c>
      <c r="C46" s="66" t="s">
        <v>807</v>
      </c>
      <c r="D46" s="66">
        <v>1</v>
      </c>
      <c r="E46" s="66" t="s">
        <v>3350</v>
      </c>
    </row>
    <row r="47" spans="1:5" x14ac:dyDescent="0.25">
      <c r="A47" s="66">
        <v>9016278</v>
      </c>
      <c r="B47" s="66" t="s">
        <v>2795</v>
      </c>
      <c r="C47" s="66" t="s">
        <v>2808</v>
      </c>
      <c r="D47" s="66">
        <v>4</v>
      </c>
      <c r="E47" s="66" t="s">
        <v>3350</v>
      </c>
    </row>
    <row r="48" spans="1:5" x14ac:dyDescent="0.25">
      <c r="A48" s="66">
        <v>9030684</v>
      </c>
      <c r="B48" s="66" t="s">
        <v>2795</v>
      </c>
      <c r="C48" s="66" t="s">
        <v>20</v>
      </c>
      <c r="D48" s="66">
        <v>1</v>
      </c>
      <c r="E48" s="66" t="s">
        <v>3350</v>
      </c>
    </row>
    <row r="49" spans="1:5" x14ac:dyDescent="0.25">
      <c r="A49" s="66">
        <v>9031387</v>
      </c>
      <c r="B49" s="66" t="s">
        <v>2795</v>
      </c>
      <c r="C49" s="66" t="s">
        <v>810</v>
      </c>
      <c r="D49" s="66">
        <v>1</v>
      </c>
      <c r="E49" s="66" t="s">
        <v>3350</v>
      </c>
    </row>
    <row r="50" spans="1:5" x14ac:dyDescent="0.25">
      <c r="A50" s="66">
        <v>9038676</v>
      </c>
      <c r="B50" s="66" t="s">
        <v>2795</v>
      </c>
      <c r="C50" s="66" t="s">
        <v>807</v>
      </c>
      <c r="D50" s="66">
        <v>1</v>
      </c>
      <c r="E50" s="66" t="s">
        <v>3350</v>
      </c>
    </row>
    <row r="51" spans="1:5" x14ac:dyDescent="0.25">
      <c r="A51" s="66">
        <v>9039416</v>
      </c>
      <c r="B51" s="66" t="s">
        <v>2795</v>
      </c>
      <c r="C51" s="66" t="s">
        <v>1383</v>
      </c>
      <c r="D51" s="66">
        <v>1</v>
      </c>
      <c r="E51" s="66" t="s">
        <v>3350</v>
      </c>
    </row>
    <row r="52" spans="1:5" x14ac:dyDescent="0.25">
      <c r="A52" s="66">
        <v>9042861</v>
      </c>
      <c r="B52" s="66" t="s">
        <v>2795</v>
      </c>
      <c r="C52" s="66" t="s">
        <v>2809</v>
      </c>
      <c r="D52" s="66">
        <v>2</v>
      </c>
      <c r="E52" s="66" t="s">
        <v>3350</v>
      </c>
    </row>
    <row r="53" spans="1:5" x14ac:dyDescent="0.25">
      <c r="A53" s="66">
        <v>9044899</v>
      </c>
      <c r="B53" s="66" t="s">
        <v>2795</v>
      </c>
      <c r="C53" s="66" t="s">
        <v>2810</v>
      </c>
      <c r="D53" s="66">
        <v>4</v>
      </c>
      <c r="E53" s="66" t="s">
        <v>3350</v>
      </c>
    </row>
    <row r="54" spans="1:5" x14ac:dyDescent="0.25">
      <c r="A54" s="66">
        <v>9052398</v>
      </c>
      <c r="B54" s="66" t="s">
        <v>2795</v>
      </c>
      <c r="C54" s="66" t="s">
        <v>2811</v>
      </c>
      <c r="D54" s="66">
        <v>2</v>
      </c>
      <c r="E54" s="66" t="s">
        <v>3350</v>
      </c>
    </row>
    <row r="55" spans="1:5" x14ac:dyDescent="0.25">
      <c r="A55" s="66">
        <v>9085204</v>
      </c>
      <c r="B55" s="66" t="s">
        <v>2795</v>
      </c>
      <c r="C55" s="66" t="s">
        <v>2812</v>
      </c>
      <c r="D55" s="66">
        <v>2</v>
      </c>
      <c r="E55" s="66" t="s">
        <v>3350</v>
      </c>
    </row>
    <row r="56" spans="1:5" x14ac:dyDescent="0.25">
      <c r="A56" s="66">
        <v>9105492</v>
      </c>
      <c r="B56" s="66" t="s">
        <v>2795</v>
      </c>
      <c r="C56" s="66" t="s">
        <v>2813</v>
      </c>
      <c r="D56" s="66">
        <v>6</v>
      </c>
      <c r="E56" s="66" t="s">
        <v>3350</v>
      </c>
    </row>
    <row r="57" spans="1:5" x14ac:dyDescent="0.25">
      <c r="A57" s="66">
        <v>9138470</v>
      </c>
      <c r="B57" s="66" t="s">
        <v>2795</v>
      </c>
      <c r="C57" s="66" t="s">
        <v>19</v>
      </c>
      <c r="D57" s="66">
        <v>1</v>
      </c>
      <c r="E57" s="66" t="s">
        <v>3350</v>
      </c>
    </row>
    <row r="58" spans="1:5" x14ac:dyDescent="0.25">
      <c r="A58" s="66">
        <v>9150676</v>
      </c>
      <c r="B58" s="66" t="s">
        <v>2795</v>
      </c>
      <c r="C58" s="66" t="s">
        <v>2814</v>
      </c>
      <c r="D58" s="66">
        <v>2</v>
      </c>
      <c r="E58" s="66" t="s">
        <v>3350</v>
      </c>
    </row>
    <row r="59" spans="1:5" x14ac:dyDescent="0.25">
      <c r="A59" s="66">
        <v>10010926</v>
      </c>
      <c r="B59" s="66" t="s">
        <v>2795</v>
      </c>
      <c r="C59" s="66" t="s">
        <v>2811</v>
      </c>
      <c r="D59" s="66">
        <v>2</v>
      </c>
      <c r="E59" s="66" t="s">
        <v>3350</v>
      </c>
    </row>
    <row r="60" spans="1:5" x14ac:dyDescent="0.25">
      <c r="A60" s="66">
        <v>10030897</v>
      </c>
      <c r="B60" s="66" t="s">
        <v>2795</v>
      </c>
      <c r="C60" s="66" t="s">
        <v>2815</v>
      </c>
      <c r="D60" s="66">
        <v>6</v>
      </c>
      <c r="E60" s="66" t="s">
        <v>3350</v>
      </c>
    </row>
    <row r="61" spans="1:5" x14ac:dyDescent="0.25">
      <c r="A61" s="66">
        <v>324</v>
      </c>
      <c r="B61" s="66" t="s">
        <v>2795</v>
      </c>
      <c r="C61" s="66" t="s">
        <v>2816</v>
      </c>
      <c r="D61" s="66">
        <v>2</v>
      </c>
      <c r="E61" s="66" t="s">
        <v>3350</v>
      </c>
    </row>
    <row r="62" spans="1:5" x14ac:dyDescent="0.25">
      <c r="A62" s="66">
        <v>3909</v>
      </c>
      <c r="B62" s="66" t="s">
        <v>2795</v>
      </c>
      <c r="C62" s="66" t="s">
        <v>2817</v>
      </c>
      <c r="D62" s="66">
        <v>2</v>
      </c>
      <c r="E62" s="66" t="s">
        <v>3350</v>
      </c>
    </row>
    <row r="63" spans="1:5" x14ac:dyDescent="0.25">
      <c r="A63" s="66">
        <v>4663</v>
      </c>
      <c r="B63" s="66" t="s">
        <v>2795</v>
      </c>
      <c r="C63" s="66" t="s">
        <v>1380</v>
      </c>
      <c r="D63" s="66">
        <v>1</v>
      </c>
      <c r="E63" s="66" t="s">
        <v>3350</v>
      </c>
    </row>
    <row r="64" spans="1:5" x14ac:dyDescent="0.25">
      <c r="A64" s="66">
        <v>1005522</v>
      </c>
      <c r="B64" s="66" t="s">
        <v>2795</v>
      </c>
      <c r="C64" s="66" t="s">
        <v>2818</v>
      </c>
      <c r="D64" s="66">
        <v>4</v>
      </c>
      <c r="E64" s="66" t="s">
        <v>3350</v>
      </c>
    </row>
    <row r="65" spans="1:5" x14ac:dyDescent="0.25">
      <c r="A65" s="66">
        <v>1007631</v>
      </c>
      <c r="B65" s="66" t="s">
        <v>2795</v>
      </c>
      <c r="C65" s="66" t="s">
        <v>2819</v>
      </c>
      <c r="D65" s="66">
        <v>4</v>
      </c>
      <c r="E65" s="66" t="s">
        <v>3350</v>
      </c>
    </row>
    <row r="66" spans="1:5" x14ac:dyDescent="0.25">
      <c r="A66" s="66">
        <v>1009760</v>
      </c>
      <c r="B66" s="66" t="s">
        <v>2795</v>
      </c>
      <c r="C66" s="66" t="s">
        <v>2820</v>
      </c>
      <c r="D66" s="66">
        <v>5</v>
      </c>
      <c r="E66" s="66" t="s">
        <v>3350</v>
      </c>
    </row>
    <row r="67" spans="1:5" x14ac:dyDescent="0.25">
      <c r="A67" s="66">
        <v>2000646</v>
      </c>
      <c r="B67" s="66" t="s">
        <v>2795</v>
      </c>
      <c r="C67" s="66" t="s">
        <v>2821</v>
      </c>
      <c r="D67" s="66">
        <v>5</v>
      </c>
      <c r="E67" s="66" t="s">
        <v>3350</v>
      </c>
    </row>
    <row r="68" spans="1:5" x14ac:dyDescent="0.25">
      <c r="A68" s="66">
        <v>2006469</v>
      </c>
      <c r="B68" s="66" t="s">
        <v>2795</v>
      </c>
      <c r="C68" s="66" t="s">
        <v>2822</v>
      </c>
      <c r="D68" s="66">
        <v>2</v>
      </c>
      <c r="E68" s="66" t="s">
        <v>3350</v>
      </c>
    </row>
    <row r="69" spans="1:5" x14ac:dyDescent="0.25">
      <c r="A69" s="66">
        <v>3009119</v>
      </c>
      <c r="B69" s="66" t="s">
        <v>2795</v>
      </c>
      <c r="C69" s="66" t="s">
        <v>807</v>
      </c>
      <c r="D69" s="66">
        <v>1</v>
      </c>
      <c r="E69" s="66" t="s">
        <v>3350</v>
      </c>
    </row>
    <row r="70" spans="1:5" x14ac:dyDescent="0.25">
      <c r="A70" s="66">
        <v>3014643</v>
      </c>
      <c r="B70" s="66" t="s">
        <v>2795</v>
      </c>
      <c r="C70" s="66" t="s">
        <v>2823</v>
      </c>
      <c r="D70" s="66">
        <v>3</v>
      </c>
      <c r="E70" s="66" t="s">
        <v>3350</v>
      </c>
    </row>
    <row r="71" spans="1:5" x14ac:dyDescent="0.25">
      <c r="A71" s="66">
        <v>3016056</v>
      </c>
      <c r="B71" s="66" t="s">
        <v>2795</v>
      </c>
      <c r="C71" s="66" t="s">
        <v>2824</v>
      </c>
      <c r="D71" s="66">
        <v>3</v>
      </c>
      <c r="E71" s="66" t="s">
        <v>3350</v>
      </c>
    </row>
    <row r="72" spans="1:5" x14ac:dyDescent="0.25">
      <c r="A72" s="66">
        <v>3900219</v>
      </c>
      <c r="B72" s="66" t="s">
        <v>2795</v>
      </c>
      <c r="C72" s="66" t="s">
        <v>2825</v>
      </c>
      <c r="D72" s="66">
        <v>4</v>
      </c>
      <c r="E72" s="66" t="s">
        <v>3350</v>
      </c>
    </row>
    <row r="73" spans="1:5" x14ac:dyDescent="0.25">
      <c r="A73" s="66">
        <v>4000158</v>
      </c>
      <c r="B73" s="66" t="s">
        <v>2795</v>
      </c>
      <c r="C73" s="66" t="s">
        <v>2826</v>
      </c>
      <c r="D73" s="66">
        <v>3</v>
      </c>
      <c r="E73" s="66" t="s">
        <v>3350</v>
      </c>
    </row>
    <row r="74" spans="1:5" x14ac:dyDescent="0.25">
      <c r="A74" s="66">
        <v>4000304</v>
      </c>
      <c r="B74" s="66" t="s">
        <v>2795</v>
      </c>
      <c r="C74" s="66" t="s">
        <v>807</v>
      </c>
      <c r="D74" s="66">
        <v>1</v>
      </c>
      <c r="E74" s="66" t="s">
        <v>3350</v>
      </c>
    </row>
    <row r="75" spans="1:5" x14ac:dyDescent="0.25">
      <c r="A75" s="66">
        <v>4002206</v>
      </c>
      <c r="B75" s="66" t="s">
        <v>2795</v>
      </c>
      <c r="C75" s="66" t="s">
        <v>807</v>
      </c>
      <c r="D75" s="66">
        <v>1</v>
      </c>
      <c r="E75" s="66" t="s">
        <v>3350</v>
      </c>
    </row>
    <row r="76" spans="1:5" x14ac:dyDescent="0.25">
      <c r="A76" s="66">
        <v>4003924</v>
      </c>
      <c r="B76" s="66" t="s">
        <v>2795</v>
      </c>
      <c r="C76" s="66" t="s">
        <v>19</v>
      </c>
      <c r="D76" s="66">
        <v>1</v>
      </c>
      <c r="E76" s="66" t="s">
        <v>3350</v>
      </c>
    </row>
    <row r="77" spans="1:5" x14ac:dyDescent="0.25">
      <c r="A77" s="66">
        <v>4008140</v>
      </c>
      <c r="B77" s="66" t="s">
        <v>2795</v>
      </c>
      <c r="C77" s="66" t="s">
        <v>57</v>
      </c>
      <c r="D77" s="66">
        <v>1</v>
      </c>
      <c r="E77" s="66" t="s">
        <v>3350</v>
      </c>
    </row>
    <row r="78" spans="1:5" x14ac:dyDescent="0.25">
      <c r="A78" s="66">
        <v>4009906</v>
      </c>
      <c r="B78" s="66" t="s">
        <v>2795</v>
      </c>
      <c r="C78" s="66" t="s">
        <v>2827</v>
      </c>
      <c r="D78" s="66">
        <v>4</v>
      </c>
      <c r="E78" s="66" t="s">
        <v>3350</v>
      </c>
    </row>
    <row r="79" spans="1:5" x14ac:dyDescent="0.25">
      <c r="A79" s="66">
        <v>4011027</v>
      </c>
      <c r="B79" s="66" t="s">
        <v>2795</v>
      </c>
      <c r="C79" s="66" t="s">
        <v>2828</v>
      </c>
      <c r="D79" s="66">
        <v>2</v>
      </c>
      <c r="E79" s="66" t="s">
        <v>3350</v>
      </c>
    </row>
    <row r="80" spans="1:5" x14ac:dyDescent="0.25">
      <c r="A80" s="66">
        <v>4011920</v>
      </c>
      <c r="B80" s="66" t="s">
        <v>2795</v>
      </c>
      <c r="C80" s="66" t="s">
        <v>2829</v>
      </c>
      <c r="D80" s="66">
        <v>3</v>
      </c>
      <c r="E80" s="66" t="s">
        <v>3350</v>
      </c>
    </row>
    <row r="81" spans="1:5" x14ac:dyDescent="0.25">
      <c r="A81" s="66">
        <v>4012248</v>
      </c>
      <c r="B81" s="66" t="s">
        <v>2795</v>
      </c>
      <c r="C81" s="66" t="s">
        <v>2830</v>
      </c>
      <c r="D81" s="66">
        <v>7</v>
      </c>
      <c r="E81" s="66" t="s">
        <v>3350</v>
      </c>
    </row>
    <row r="82" spans="1:5" x14ac:dyDescent="0.25">
      <c r="A82" s="66">
        <v>4013603</v>
      </c>
      <c r="B82" s="66" t="s">
        <v>2795</v>
      </c>
      <c r="C82" s="66" t="s">
        <v>807</v>
      </c>
      <c r="D82" s="66">
        <v>1</v>
      </c>
      <c r="E82" s="66" t="s">
        <v>3350</v>
      </c>
    </row>
    <row r="83" spans="1:5" x14ac:dyDescent="0.25">
      <c r="A83" s="66">
        <v>5004654</v>
      </c>
      <c r="B83" s="66" t="s">
        <v>2795</v>
      </c>
      <c r="C83" s="66" t="s">
        <v>2831</v>
      </c>
      <c r="D83" s="66">
        <v>10</v>
      </c>
      <c r="E83" s="66" t="s">
        <v>3350</v>
      </c>
    </row>
    <row r="84" spans="1:5" x14ac:dyDescent="0.25">
      <c r="A84" s="66">
        <v>4289</v>
      </c>
      <c r="B84" s="66" t="s">
        <v>2795</v>
      </c>
      <c r="C84" s="66" t="s">
        <v>2828</v>
      </c>
      <c r="D84" s="66">
        <v>2</v>
      </c>
      <c r="E84" s="66" t="s">
        <v>3351</v>
      </c>
    </row>
    <row r="85" spans="1:5" x14ac:dyDescent="0.25">
      <c r="A85" s="66">
        <v>500245</v>
      </c>
      <c r="B85" s="66" t="s">
        <v>2795</v>
      </c>
      <c r="C85" s="66" t="s">
        <v>2832</v>
      </c>
      <c r="D85" s="66">
        <v>6</v>
      </c>
      <c r="E85" s="66" t="s">
        <v>3351</v>
      </c>
    </row>
    <row r="86" spans="1:5" x14ac:dyDescent="0.25">
      <c r="A86" s="66">
        <v>2002573</v>
      </c>
      <c r="B86" s="66" t="s">
        <v>2795</v>
      </c>
      <c r="C86" s="66" t="s">
        <v>2833</v>
      </c>
      <c r="D86" s="66">
        <v>3</v>
      </c>
      <c r="E86" s="66" t="s">
        <v>3351</v>
      </c>
    </row>
    <row r="87" spans="1:5" x14ac:dyDescent="0.25">
      <c r="A87" s="66">
        <v>2003649</v>
      </c>
      <c r="B87" s="66" t="s">
        <v>2795</v>
      </c>
      <c r="C87" s="66" t="s">
        <v>2834</v>
      </c>
      <c r="D87" s="66">
        <v>7</v>
      </c>
      <c r="E87" s="66" t="s">
        <v>3351</v>
      </c>
    </row>
    <row r="88" spans="1:5" x14ac:dyDescent="0.25">
      <c r="A88" s="66">
        <v>2005572</v>
      </c>
      <c r="B88" s="66" t="s">
        <v>2795</v>
      </c>
      <c r="C88" s="66" t="s">
        <v>2835</v>
      </c>
      <c r="D88" s="66">
        <v>3</v>
      </c>
      <c r="E88" s="66" t="s">
        <v>3351</v>
      </c>
    </row>
    <row r="89" spans="1:5" x14ac:dyDescent="0.25">
      <c r="A89" s="66">
        <v>2013117</v>
      </c>
      <c r="B89" s="66" t="s">
        <v>2795</v>
      </c>
      <c r="C89" s="66" t="s">
        <v>57</v>
      </c>
      <c r="D89" s="66">
        <v>1</v>
      </c>
      <c r="E89" s="66" t="s">
        <v>3351</v>
      </c>
    </row>
    <row r="90" spans="1:5" x14ac:dyDescent="0.25">
      <c r="A90" s="66">
        <v>3009633</v>
      </c>
      <c r="B90" s="66" t="s">
        <v>2795</v>
      </c>
      <c r="C90" s="66" t="s">
        <v>2836</v>
      </c>
      <c r="D90" s="66">
        <v>4</v>
      </c>
      <c r="E90" s="66" t="s">
        <v>3351</v>
      </c>
    </row>
    <row r="91" spans="1:5" x14ac:dyDescent="0.25">
      <c r="A91" s="66">
        <v>3010583</v>
      </c>
      <c r="B91" s="66" t="s">
        <v>2795</v>
      </c>
      <c r="C91" s="66" t="s">
        <v>2837</v>
      </c>
      <c r="D91" s="66">
        <v>3</v>
      </c>
      <c r="E91" s="66" t="s">
        <v>3351</v>
      </c>
    </row>
    <row r="92" spans="1:5" x14ac:dyDescent="0.25">
      <c r="A92" s="66">
        <v>3011892</v>
      </c>
      <c r="B92" s="66" t="s">
        <v>2795</v>
      </c>
      <c r="C92" s="66" t="s">
        <v>2838</v>
      </c>
      <c r="D92" s="66">
        <v>3</v>
      </c>
      <c r="E92" s="66" t="s">
        <v>3351</v>
      </c>
    </row>
    <row r="93" spans="1:5" x14ac:dyDescent="0.25">
      <c r="A93" s="66">
        <v>4001382</v>
      </c>
      <c r="B93" s="66" t="s">
        <v>2795</v>
      </c>
      <c r="C93" s="66" t="s">
        <v>2839</v>
      </c>
      <c r="D93" s="66">
        <v>3</v>
      </c>
      <c r="E93" s="66" t="s">
        <v>3351</v>
      </c>
    </row>
    <row r="94" spans="1:5" x14ac:dyDescent="0.25">
      <c r="A94" s="66">
        <v>5018675</v>
      </c>
      <c r="B94" s="66" t="s">
        <v>2795</v>
      </c>
      <c r="C94" s="66" t="s">
        <v>1384</v>
      </c>
      <c r="D94" s="66">
        <v>1</v>
      </c>
      <c r="E94" s="66" t="s">
        <v>3351</v>
      </c>
    </row>
    <row r="95" spans="1:5" x14ac:dyDescent="0.25">
      <c r="A95" s="66">
        <v>5006592</v>
      </c>
      <c r="B95" s="66" t="s">
        <v>2795</v>
      </c>
      <c r="C95" s="66" t="s">
        <v>2840</v>
      </c>
      <c r="D95" s="66">
        <v>4</v>
      </c>
      <c r="E95" s="66" t="s">
        <v>3351</v>
      </c>
    </row>
    <row r="96" spans="1:5" x14ac:dyDescent="0.25">
      <c r="A96" s="66">
        <v>5007274</v>
      </c>
      <c r="B96" s="66" t="s">
        <v>2795</v>
      </c>
      <c r="C96" s="66" t="s">
        <v>2841</v>
      </c>
      <c r="D96" s="66">
        <v>2</v>
      </c>
      <c r="E96" s="66" t="s">
        <v>3351</v>
      </c>
    </row>
    <row r="97" spans="1:5" x14ac:dyDescent="0.25">
      <c r="A97" s="66">
        <v>5015851</v>
      </c>
      <c r="B97" s="66" t="s">
        <v>2795</v>
      </c>
      <c r="C97" s="66" t="s">
        <v>2842</v>
      </c>
      <c r="D97" s="66">
        <v>5</v>
      </c>
      <c r="E97" s="66" t="s">
        <v>3351</v>
      </c>
    </row>
    <row r="98" spans="1:5" x14ac:dyDescent="0.25">
      <c r="A98" s="66">
        <v>6015647</v>
      </c>
      <c r="B98" s="66" t="s">
        <v>2795</v>
      </c>
      <c r="C98" s="66" t="s">
        <v>2843</v>
      </c>
      <c r="D98" s="66">
        <v>12</v>
      </c>
      <c r="E98" s="66" t="s">
        <v>3351</v>
      </c>
    </row>
    <row r="99" spans="1:5" x14ac:dyDescent="0.25">
      <c r="A99" s="66">
        <v>6056633</v>
      </c>
      <c r="B99" s="66" t="s">
        <v>2795</v>
      </c>
      <c r="C99" s="66" t="s">
        <v>2844</v>
      </c>
      <c r="D99" s="66">
        <v>3</v>
      </c>
      <c r="E99" s="66" t="s">
        <v>3351</v>
      </c>
    </row>
    <row r="100" spans="1:5" x14ac:dyDescent="0.25">
      <c r="A100" s="66">
        <v>7086224</v>
      </c>
      <c r="B100" s="66" t="s">
        <v>2795</v>
      </c>
      <c r="C100" s="66" t="s">
        <v>2845</v>
      </c>
      <c r="D100" s="66">
        <v>4</v>
      </c>
      <c r="E100" s="66" t="s">
        <v>3351</v>
      </c>
    </row>
    <row r="101" spans="1:5" x14ac:dyDescent="0.25">
      <c r="A101" s="66">
        <v>8040959</v>
      </c>
      <c r="B101" s="66" t="s">
        <v>2795</v>
      </c>
      <c r="C101" s="66" t="s">
        <v>2144</v>
      </c>
      <c r="D101" s="66">
        <v>1</v>
      </c>
      <c r="E101" s="66" t="s">
        <v>3351</v>
      </c>
    </row>
    <row r="102" spans="1:5" x14ac:dyDescent="0.25">
      <c r="A102" s="66">
        <v>8107048</v>
      </c>
      <c r="B102" s="66" t="s">
        <v>2795</v>
      </c>
      <c r="C102" s="66" t="s">
        <v>2846</v>
      </c>
      <c r="D102" s="66">
        <v>2</v>
      </c>
      <c r="E102" s="66" t="s">
        <v>3351</v>
      </c>
    </row>
    <row r="103" spans="1:5" x14ac:dyDescent="0.25">
      <c r="A103" s="66">
        <v>8124044</v>
      </c>
      <c r="B103" s="66" t="s">
        <v>2795</v>
      </c>
      <c r="C103" s="66" t="s">
        <v>2847</v>
      </c>
      <c r="D103" s="66">
        <v>13</v>
      </c>
      <c r="E103" s="66" t="s">
        <v>3351</v>
      </c>
    </row>
    <row r="104" spans="1:5" x14ac:dyDescent="0.25">
      <c r="A104" s="66">
        <v>8142949</v>
      </c>
      <c r="B104" s="66" t="s">
        <v>2795</v>
      </c>
      <c r="C104" s="66" t="s">
        <v>2848</v>
      </c>
      <c r="D104" s="66">
        <v>4</v>
      </c>
      <c r="E104" s="66" t="s">
        <v>3351</v>
      </c>
    </row>
    <row r="105" spans="1:5" x14ac:dyDescent="0.25">
      <c r="A105" s="66">
        <v>9023306</v>
      </c>
      <c r="B105" s="66" t="s">
        <v>2795</v>
      </c>
      <c r="C105" s="66" t="s">
        <v>2849</v>
      </c>
      <c r="D105" s="66">
        <v>4</v>
      </c>
      <c r="E105" s="66" t="s">
        <v>3351</v>
      </c>
    </row>
    <row r="106" spans="1:5" x14ac:dyDescent="0.25">
      <c r="A106" s="66">
        <v>9030615</v>
      </c>
      <c r="B106" s="66" t="s">
        <v>2795</v>
      </c>
      <c r="C106" s="66" t="s">
        <v>2850</v>
      </c>
      <c r="D106" s="66">
        <v>4</v>
      </c>
      <c r="E106" s="66" t="s">
        <v>3351</v>
      </c>
    </row>
    <row r="107" spans="1:5" x14ac:dyDescent="0.25">
      <c r="A107" s="66">
        <v>9054567</v>
      </c>
      <c r="B107" s="66" t="s">
        <v>2795</v>
      </c>
      <c r="C107" s="66" t="s">
        <v>57</v>
      </c>
      <c r="D107" s="66">
        <v>1</v>
      </c>
      <c r="E107" s="66" t="s">
        <v>3351</v>
      </c>
    </row>
    <row r="108" spans="1:5" x14ac:dyDescent="0.25">
      <c r="A108" s="66">
        <v>9083682</v>
      </c>
      <c r="B108" s="66" t="s">
        <v>2795</v>
      </c>
      <c r="C108" s="66" t="s">
        <v>2851</v>
      </c>
      <c r="D108" s="66">
        <v>3</v>
      </c>
      <c r="E108" s="66" t="s">
        <v>3351</v>
      </c>
    </row>
    <row r="109" spans="1:5" x14ac:dyDescent="0.25">
      <c r="A109" s="66">
        <v>9102044</v>
      </c>
      <c r="B109" s="66" t="s">
        <v>2795</v>
      </c>
      <c r="C109" s="66" t="s">
        <v>2852</v>
      </c>
      <c r="D109" s="66">
        <v>4</v>
      </c>
      <c r="E109" s="66" t="s">
        <v>3351</v>
      </c>
    </row>
    <row r="110" spans="1:5" x14ac:dyDescent="0.25">
      <c r="A110" s="66">
        <v>9119854</v>
      </c>
      <c r="B110" s="66" t="s">
        <v>2795</v>
      </c>
      <c r="C110" s="66" t="s">
        <v>2853</v>
      </c>
      <c r="D110" s="66">
        <v>9</v>
      </c>
      <c r="E110" s="66" t="s">
        <v>3351</v>
      </c>
    </row>
    <row r="111" spans="1:5" x14ac:dyDescent="0.25">
      <c r="A111" s="66">
        <v>9125126</v>
      </c>
      <c r="B111" s="66" t="s">
        <v>2795</v>
      </c>
      <c r="C111" s="66" t="s">
        <v>2854</v>
      </c>
      <c r="D111" s="66">
        <v>4</v>
      </c>
      <c r="E111" s="66" t="s">
        <v>3351</v>
      </c>
    </row>
    <row r="112" spans="1:5" x14ac:dyDescent="0.25">
      <c r="A112" s="66">
        <v>9174811</v>
      </c>
      <c r="B112" s="66" t="s">
        <v>2795</v>
      </c>
      <c r="C112" s="66" t="s">
        <v>2855</v>
      </c>
      <c r="D112" s="66">
        <v>5</v>
      </c>
      <c r="E112" s="66" t="s">
        <v>3351</v>
      </c>
    </row>
    <row r="113" spans="1:5" x14ac:dyDescent="0.25">
      <c r="A113" s="66">
        <v>10002875</v>
      </c>
      <c r="B113" s="66" t="s">
        <v>2795</v>
      </c>
      <c r="C113" s="66" t="s">
        <v>2856</v>
      </c>
      <c r="D113" s="66">
        <v>9</v>
      </c>
      <c r="E113" s="66" t="s">
        <v>3351</v>
      </c>
    </row>
    <row r="114" spans="1:5" x14ac:dyDescent="0.25">
      <c r="A114" s="66">
        <v>10023080</v>
      </c>
      <c r="B114" s="66" t="s">
        <v>2795</v>
      </c>
      <c r="C114" s="66" t="s">
        <v>2857</v>
      </c>
      <c r="D114" s="66">
        <v>2</v>
      </c>
      <c r="E114" s="66" t="s">
        <v>3351</v>
      </c>
    </row>
    <row r="115" spans="1:5" x14ac:dyDescent="0.25">
      <c r="A115" s="66">
        <v>10025212</v>
      </c>
      <c r="B115" s="66" t="s">
        <v>2795</v>
      </c>
      <c r="C115" s="66" t="s">
        <v>2858</v>
      </c>
      <c r="D115" s="66">
        <v>5</v>
      </c>
      <c r="E115" s="66" t="s">
        <v>3351</v>
      </c>
    </row>
    <row r="116" spans="1:5" x14ac:dyDescent="0.25">
      <c r="A116" s="66">
        <v>10069407</v>
      </c>
      <c r="B116" s="66" t="s">
        <v>2795</v>
      </c>
      <c r="C116" s="66" t="s">
        <v>2859</v>
      </c>
      <c r="D116" s="66">
        <v>4</v>
      </c>
      <c r="E116" s="66" t="s">
        <v>3351</v>
      </c>
    </row>
    <row r="117" spans="1:5" x14ac:dyDescent="0.25">
      <c r="A117" s="66">
        <v>10071135</v>
      </c>
      <c r="B117" s="66" t="s">
        <v>2795</v>
      </c>
      <c r="C117" s="66" t="s">
        <v>2860</v>
      </c>
      <c r="D117" s="66">
        <v>4</v>
      </c>
      <c r="E117" s="66" t="s">
        <v>3351</v>
      </c>
    </row>
    <row r="118" spans="1:5" x14ac:dyDescent="0.25">
      <c r="A118" s="66">
        <v>10083649</v>
      </c>
      <c r="B118" s="66" t="s">
        <v>2795</v>
      </c>
      <c r="C118" s="66" t="s">
        <v>2861</v>
      </c>
      <c r="D118" s="66">
        <v>2</v>
      </c>
      <c r="E118" s="66" t="s">
        <v>3351</v>
      </c>
    </row>
    <row r="119" spans="1:5" x14ac:dyDescent="0.25">
      <c r="A119" s="66">
        <v>10123729</v>
      </c>
      <c r="B119" s="66" t="s">
        <v>2795</v>
      </c>
      <c r="C119" s="66" t="s">
        <v>2862</v>
      </c>
      <c r="D119" s="66">
        <v>5</v>
      </c>
      <c r="E119" s="66" t="s">
        <v>3351</v>
      </c>
    </row>
    <row r="120" spans="1:5" x14ac:dyDescent="0.25">
      <c r="A120" s="66">
        <v>10144736</v>
      </c>
      <c r="B120" s="66" t="s">
        <v>2795</v>
      </c>
      <c r="C120" s="66" t="s">
        <v>2863</v>
      </c>
      <c r="D120" s="66">
        <v>4</v>
      </c>
      <c r="E120" s="66" t="s">
        <v>3351</v>
      </c>
    </row>
    <row r="121" spans="1:5" x14ac:dyDescent="0.25">
      <c r="A121" s="66">
        <v>10157275</v>
      </c>
      <c r="B121" s="66" t="s">
        <v>2795</v>
      </c>
      <c r="C121" s="66" t="s">
        <v>2864</v>
      </c>
      <c r="D121" s="66">
        <v>5</v>
      </c>
      <c r="E121" s="66" t="s">
        <v>3351</v>
      </c>
    </row>
    <row r="122" spans="1:5" x14ac:dyDescent="0.25">
      <c r="A122" s="66">
        <v>5281</v>
      </c>
      <c r="B122" s="66" t="s">
        <v>2795</v>
      </c>
      <c r="C122" s="66" t="s">
        <v>2865</v>
      </c>
      <c r="D122" s="66">
        <v>2</v>
      </c>
      <c r="E122" s="66" t="s">
        <v>3352</v>
      </c>
    </row>
    <row r="123" spans="1:5" x14ac:dyDescent="0.25">
      <c r="A123" s="66">
        <v>200085</v>
      </c>
      <c r="B123" s="66" t="s">
        <v>2795</v>
      </c>
      <c r="C123" s="66" t="s">
        <v>2866</v>
      </c>
      <c r="D123" s="66">
        <v>19</v>
      </c>
      <c r="E123" s="66" t="s">
        <v>3352</v>
      </c>
    </row>
    <row r="124" spans="1:5" x14ac:dyDescent="0.25">
      <c r="A124" s="66">
        <v>500129</v>
      </c>
      <c r="B124" s="66" t="s">
        <v>2795</v>
      </c>
      <c r="C124" s="66" t="s">
        <v>2867</v>
      </c>
      <c r="D124" s="66">
        <v>9</v>
      </c>
      <c r="E124" s="66" t="s">
        <v>3352</v>
      </c>
    </row>
    <row r="125" spans="1:5" x14ac:dyDescent="0.25">
      <c r="A125" s="66">
        <v>1002033</v>
      </c>
      <c r="B125" s="66" t="s">
        <v>2795</v>
      </c>
      <c r="C125" s="66" t="s">
        <v>2868</v>
      </c>
      <c r="D125" s="66">
        <v>6</v>
      </c>
      <c r="E125" s="66" t="s">
        <v>3352</v>
      </c>
    </row>
    <row r="126" spans="1:5" x14ac:dyDescent="0.25">
      <c r="A126" s="66">
        <v>1003457</v>
      </c>
      <c r="B126" s="66" t="s">
        <v>2795</v>
      </c>
      <c r="C126" s="66" t="s">
        <v>807</v>
      </c>
      <c r="D126" s="66">
        <v>1</v>
      </c>
      <c r="E126" s="66" t="s">
        <v>3352</v>
      </c>
    </row>
    <row r="127" spans="1:5" x14ac:dyDescent="0.25">
      <c r="A127" s="66">
        <v>2005223</v>
      </c>
      <c r="B127" s="66" t="s">
        <v>2795</v>
      </c>
      <c r="C127" s="66" t="s">
        <v>2869</v>
      </c>
      <c r="D127" s="66">
        <v>3</v>
      </c>
      <c r="E127" s="66" t="s">
        <v>3352</v>
      </c>
    </row>
    <row r="128" spans="1:5" x14ac:dyDescent="0.25">
      <c r="A128" s="66">
        <v>2006107</v>
      </c>
      <c r="B128" s="66" t="s">
        <v>2795</v>
      </c>
      <c r="C128" s="66" t="s">
        <v>2870</v>
      </c>
      <c r="D128" s="66">
        <v>2</v>
      </c>
      <c r="E128" s="66" t="s">
        <v>3352</v>
      </c>
    </row>
    <row r="129" spans="1:5" x14ac:dyDescent="0.25">
      <c r="A129" s="66">
        <v>2012014</v>
      </c>
      <c r="B129" s="66" t="s">
        <v>2795</v>
      </c>
      <c r="C129" s="66" t="s">
        <v>1859</v>
      </c>
      <c r="D129" s="66">
        <v>1</v>
      </c>
      <c r="E129" s="66" t="s">
        <v>3352</v>
      </c>
    </row>
    <row r="130" spans="1:5" x14ac:dyDescent="0.25">
      <c r="A130" s="66">
        <v>3000152</v>
      </c>
      <c r="B130" s="66" t="s">
        <v>2795</v>
      </c>
      <c r="C130" s="66" t="s">
        <v>57</v>
      </c>
      <c r="D130" s="66">
        <v>1</v>
      </c>
      <c r="E130" s="66" t="s">
        <v>3352</v>
      </c>
    </row>
    <row r="131" spans="1:5" x14ac:dyDescent="0.25">
      <c r="A131" s="66">
        <v>3014566</v>
      </c>
      <c r="B131" s="66" t="s">
        <v>2795</v>
      </c>
      <c r="C131" s="66" t="s">
        <v>807</v>
      </c>
      <c r="D131" s="66">
        <v>1</v>
      </c>
      <c r="E131" s="66" t="s">
        <v>3352</v>
      </c>
    </row>
    <row r="132" spans="1:5" x14ac:dyDescent="0.25">
      <c r="A132" s="66">
        <v>3015058</v>
      </c>
      <c r="B132" s="66" t="s">
        <v>2795</v>
      </c>
      <c r="C132" s="66" t="s">
        <v>2871</v>
      </c>
      <c r="D132" s="66">
        <v>4</v>
      </c>
      <c r="E132" s="66" t="s">
        <v>3352</v>
      </c>
    </row>
    <row r="133" spans="1:5" x14ac:dyDescent="0.25">
      <c r="A133" s="66">
        <v>4000996</v>
      </c>
      <c r="B133" s="66" t="s">
        <v>2795</v>
      </c>
      <c r="C133" s="66" t="s">
        <v>2872</v>
      </c>
      <c r="D133" s="66">
        <v>5</v>
      </c>
      <c r="E133" s="66" t="s">
        <v>3352</v>
      </c>
    </row>
    <row r="134" spans="1:5" x14ac:dyDescent="0.25">
      <c r="A134" s="66">
        <v>4003768</v>
      </c>
      <c r="B134" s="66" t="s">
        <v>2795</v>
      </c>
      <c r="C134" s="66" t="s">
        <v>2873</v>
      </c>
      <c r="D134" s="66">
        <v>6</v>
      </c>
      <c r="E134" s="66" t="s">
        <v>3352</v>
      </c>
    </row>
    <row r="135" spans="1:5" x14ac:dyDescent="0.25">
      <c r="A135" s="66">
        <v>4006540</v>
      </c>
      <c r="B135" s="66" t="s">
        <v>2795</v>
      </c>
      <c r="C135" s="66" t="s">
        <v>2874</v>
      </c>
      <c r="D135" s="66">
        <v>4</v>
      </c>
      <c r="E135" s="66" t="s">
        <v>3352</v>
      </c>
    </row>
    <row r="136" spans="1:5" x14ac:dyDescent="0.25">
      <c r="A136" s="66">
        <v>4007054</v>
      </c>
      <c r="B136" s="66" t="s">
        <v>2795</v>
      </c>
      <c r="C136" s="66" t="s">
        <v>2875</v>
      </c>
      <c r="D136" s="66">
        <v>2</v>
      </c>
      <c r="E136" s="66" t="s">
        <v>3352</v>
      </c>
    </row>
    <row r="137" spans="1:5" x14ac:dyDescent="0.25">
      <c r="A137" s="66">
        <v>4011002</v>
      </c>
      <c r="B137" s="66" t="s">
        <v>2795</v>
      </c>
      <c r="C137" s="66" t="s">
        <v>2876</v>
      </c>
      <c r="D137" s="66">
        <v>4</v>
      </c>
      <c r="E137" s="66" t="s">
        <v>3352</v>
      </c>
    </row>
    <row r="138" spans="1:5" x14ac:dyDescent="0.25">
      <c r="A138" s="66">
        <v>4900268</v>
      </c>
      <c r="B138" s="66" t="s">
        <v>2795</v>
      </c>
      <c r="C138" s="66" t="s">
        <v>57</v>
      </c>
      <c r="D138" s="66">
        <v>1</v>
      </c>
      <c r="E138" s="66" t="s">
        <v>3352</v>
      </c>
    </row>
    <row r="139" spans="1:5" x14ac:dyDescent="0.25">
      <c r="A139" s="66">
        <v>5001097</v>
      </c>
      <c r="B139" s="66" t="s">
        <v>2795</v>
      </c>
      <c r="C139" s="66" t="s">
        <v>2877</v>
      </c>
      <c r="D139" s="66">
        <v>5</v>
      </c>
      <c r="E139" s="66" t="s">
        <v>3352</v>
      </c>
    </row>
    <row r="140" spans="1:5" x14ac:dyDescent="0.25">
      <c r="A140" s="66">
        <v>5001098</v>
      </c>
      <c r="B140" s="66" t="s">
        <v>2795</v>
      </c>
      <c r="C140" s="66" t="s">
        <v>2878</v>
      </c>
      <c r="D140" s="66">
        <v>5</v>
      </c>
      <c r="E140" s="66" t="s">
        <v>3352</v>
      </c>
    </row>
    <row r="141" spans="1:5" x14ac:dyDescent="0.25">
      <c r="A141" s="66">
        <v>5006152</v>
      </c>
      <c r="B141" s="66" t="s">
        <v>2795</v>
      </c>
      <c r="C141" s="66" t="s">
        <v>2879</v>
      </c>
      <c r="D141" s="66">
        <v>2</v>
      </c>
      <c r="E141" s="66" t="s">
        <v>3352</v>
      </c>
    </row>
    <row r="142" spans="1:5" x14ac:dyDescent="0.25">
      <c r="A142" s="66">
        <v>6012361</v>
      </c>
      <c r="B142" s="66" t="s">
        <v>2795</v>
      </c>
      <c r="C142" s="66" t="s">
        <v>2880</v>
      </c>
      <c r="D142" s="66">
        <v>3</v>
      </c>
      <c r="E142" s="66" t="s">
        <v>3352</v>
      </c>
    </row>
    <row r="143" spans="1:5" x14ac:dyDescent="0.25">
      <c r="A143" s="66">
        <v>6015793</v>
      </c>
      <c r="B143" s="66" t="s">
        <v>2795</v>
      </c>
      <c r="C143" s="66" t="s">
        <v>2881</v>
      </c>
      <c r="D143" s="66">
        <v>3</v>
      </c>
      <c r="E143" s="66" t="s">
        <v>3352</v>
      </c>
    </row>
    <row r="144" spans="1:5" x14ac:dyDescent="0.25">
      <c r="A144" s="66">
        <v>6043619</v>
      </c>
      <c r="B144" s="66" t="s">
        <v>2795</v>
      </c>
      <c r="C144" s="66" t="s">
        <v>807</v>
      </c>
      <c r="D144" s="66">
        <v>1</v>
      </c>
      <c r="E144" s="66" t="s">
        <v>3352</v>
      </c>
    </row>
    <row r="145" spans="1:5" x14ac:dyDescent="0.25">
      <c r="A145" s="66">
        <v>7001097</v>
      </c>
      <c r="B145" s="66" t="s">
        <v>2795</v>
      </c>
      <c r="C145" s="66" t="s">
        <v>2882</v>
      </c>
      <c r="D145" s="66">
        <v>13</v>
      </c>
      <c r="E145" s="66" t="s">
        <v>3352</v>
      </c>
    </row>
    <row r="146" spans="1:5" x14ac:dyDescent="0.25">
      <c r="A146" s="66">
        <v>7011435</v>
      </c>
      <c r="B146" s="66" t="s">
        <v>2795</v>
      </c>
      <c r="C146" s="66" t="s">
        <v>2883</v>
      </c>
      <c r="D146" s="66">
        <v>4</v>
      </c>
      <c r="E146" s="66" t="s">
        <v>3352</v>
      </c>
    </row>
    <row r="147" spans="1:5" x14ac:dyDescent="0.25">
      <c r="A147" s="66">
        <v>7045811</v>
      </c>
      <c r="B147" s="66" t="s">
        <v>2795</v>
      </c>
      <c r="C147" s="66" t="s">
        <v>2884</v>
      </c>
      <c r="D147" s="66">
        <v>2</v>
      </c>
      <c r="E147" s="66" t="s">
        <v>3352</v>
      </c>
    </row>
    <row r="148" spans="1:5" x14ac:dyDescent="0.25">
      <c r="A148" s="66">
        <v>7101143</v>
      </c>
      <c r="B148" s="66" t="s">
        <v>2795</v>
      </c>
      <c r="C148" s="66" t="s">
        <v>2885</v>
      </c>
      <c r="D148" s="66">
        <v>6</v>
      </c>
      <c r="E148" s="66" t="s">
        <v>3352</v>
      </c>
    </row>
    <row r="149" spans="1:5" x14ac:dyDescent="0.25">
      <c r="A149" s="66">
        <v>8073645</v>
      </c>
      <c r="B149" s="66" t="s">
        <v>2795</v>
      </c>
      <c r="C149" s="66" t="s">
        <v>19</v>
      </c>
      <c r="D149" s="66">
        <v>1</v>
      </c>
      <c r="E149" s="66" t="s">
        <v>3352</v>
      </c>
    </row>
    <row r="150" spans="1:5" x14ac:dyDescent="0.25">
      <c r="A150" s="66">
        <v>8089666</v>
      </c>
      <c r="B150" s="66" t="s">
        <v>2795</v>
      </c>
      <c r="C150" s="66" t="s">
        <v>2886</v>
      </c>
      <c r="D150" s="66">
        <v>5</v>
      </c>
      <c r="E150" s="66" t="s">
        <v>3352</v>
      </c>
    </row>
    <row r="151" spans="1:5" x14ac:dyDescent="0.25">
      <c r="A151" s="66">
        <v>8103536</v>
      </c>
      <c r="B151" s="66" t="s">
        <v>2795</v>
      </c>
      <c r="C151" s="66" t="s">
        <v>19</v>
      </c>
      <c r="D151" s="66">
        <v>1</v>
      </c>
      <c r="E151" s="66" t="s">
        <v>3352</v>
      </c>
    </row>
    <row r="152" spans="1:5" x14ac:dyDescent="0.25">
      <c r="A152" s="66">
        <v>8124816</v>
      </c>
      <c r="B152" s="66" t="s">
        <v>2795</v>
      </c>
      <c r="C152" s="66" t="s">
        <v>2887</v>
      </c>
      <c r="D152" s="66">
        <v>5</v>
      </c>
      <c r="E152" s="66" t="s">
        <v>3352</v>
      </c>
    </row>
    <row r="153" spans="1:5" x14ac:dyDescent="0.25">
      <c r="A153" s="66">
        <v>9003267</v>
      </c>
      <c r="B153" s="66" t="s">
        <v>2795</v>
      </c>
      <c r="C153" s="66" t="s">
        <v>2888</v>
      </c>
      <c r="D153" s="66">
        <v>3</v>
      </c>
      <c r="E153" s="66" t="s">
        <v>3352</v>
      </c>
    </row>
    <row r="154" spans="1:5" x14ac:dyDescent="0.25">
      <c r="A154" s="66">
        <v>9036964</v>
      </c>
      <c r="B154" s="66" t="s">
        <v>2795</v>
      </c>
      <c r="C154" s="66" t="s">
        <v>2889</v>
      </c>
      <c r="D154" s="66">
        <v>7</v>
      </c>
      <c r="E154" s="66" t="s">
        <v>3352</v>
      </c>
    </row>
    <row r="155" spans="1:5" x14ac:dyDescent="0.25">
      <c r="A155" s="66">
        <v>9090287</v>
      </c>
      <c r="B155" s="66" t="s">
        <v>2795</v>
      </c>
      <c r="C155" s="66" t="s">
        <v>2890</v>
      </c>
      <c r="D155" s="66">
        <v>5</v>
      </c>
      <c r="E155" s="66" t="s">
        <v>3352</v>
      </c>
    </row>
    <row r="156" spans="1:5" x14ac:dyDescent="0.25">
      <c r="A156" s="66">
        <v>9095148</v>
      </c>
      <c r="B156" s="66" t="s">
        <v>2795</v>
      </c>
      <c r="C156" s="66" t="s">
        <v>19</v>
      </c>
      <c r="D156" s="66">
        <v>1</v>
      </c>
      <c r="E156" s="66" t="s">
        <v>3352</v>
      </c>
    </row>
    <row r="157" spans="1:5" x14ac:dyDescent="0.25">
      <c r="A157" s="66">
        <v>9104979</v>
      </c>
      <c r="B157" s="66" t="s">
        <v>2795</v>
      </c>
      <c r="C157" s="66" t="s">
        <v>2891</v>
      </c>
      <c r="D157" s="66">
        <v>6</v>
      </c>
      <c r="E157" s="66" t="s">
        <v>3352</v>
      </c>
    </row>
    <row r="158" spans="1:5" x14ac:dyDescent="0.25">
      <c r="A158" s="66">
        <v>9139514</v>
      </c>
      <c r="B158" s="66" t="s">
        <v>2795</v>
      </c>
      <c r="C158" s="66" t="s">
        <v>2892</v>
      </c>
      <c r="D158" s="66">
        <v>5</v>
      </c>
      <c r="E158" s="66" t="s">
        <v>3352</v>
      </c>
    </row>
    <row r="159" spans="1:5" x14ac:dyDescent="0.25">
      <c r="A159" s="66">
        <v>10020659</v>
      </c>
      <c r="B159" s="66" t="s">
        <v>2795</v>
      </c>
      <c r="C159" s="66" t="s">
        <v>2893</v>
      </c>
      <c r="D159" s="66">
        <v>6</v>
      </c>
      <c r="E159" s="66" t="s">
        <v>3352</v>
      </c>
    </row>
    <row r="160" spans="1:5" x14ac:dyDescent="0.25">
      <c r="A160" s="66">
        <v>10025902</v>
      </c>
      <c r="B160" s="66" t="s">
        <v>2795</v>
      </c>
      <c r="C160" s="66" t="s">
        <v>2894</v>
      </c>
      <c r="D160" s="66">
        <v>6</v>
      </c>
      <c r="E160" s="66" t="s">
        <v>3352</v>
      </c>
    </row>
    <row r="161" spans="1:5" x14ac:dyDescent="0.25">
      <c r="A161" s="66">
        <v>10027654</v>
      </c>
      <c r="B161" s="66" t="s">
        <v>2795</v>
      </c>
      <c r="C161" s="66" t="s">
        <v>2895</v>
      </c>
      <c r="D161" s="66">
        <v>5</v>
      </c>
      <c r="E161" s="66" t="s">
        <v>3352</v>
      </c>
    </row>
    <row r="162" spans="1:5" x14ac:dyDescent="0.25">
      <c r="A162" s="66">
        <v>10084485</v>
      </c>
      <c r="B162" s="66" t="s">
        <v>2795</v>
      </c>
      <c r="C162" s="66" t="s">
        <v>807</v>
      </c>
      <c r="D162" s="66">
        <v>1</v>
      </c>
      <c r="E162" s="66" t="s">
        <v>3352</v>
      </c>
    </row>
    <row r="163" spans="1:5" x14ac:dyDescent="0.25">
      <c r="A163" s="66">
        <v>10098420</v>
      </c>
      <c r="B163" s="66" t="s">
        <v>2795</v>
      </c>
      <c r="C163" s="66" t="s">
        <v>2806</v>
      </c>
      <c r="D163" s="66">
        <v>3</v>
      </c>
      <c r="E163" s="66" t="s">
        <v>3352</v>
      </c>
    </row>
    <row r="164" spans="1:5" x14ac:dyDescent="0.25">
      <c r="A164" s="66">
        <v>10129565</v>
      </c>
      <c r="B164" s="66" t="s">
        <v>2795</v>
      </c>
      <c r="C164" s="66" t="s">
        <v>2896</v>
      </c>
      <c r="D164" s="66">
        <v>4</v>
      </c>
      <c r="E164" s="66" t="s">
        <v>3352</v>
      </c>
    </row>
    <row r="165" spans="1:5" x14ac:dyDescent="0.25">
      <c r="A165" s="66">
        <v>10146828</v>
      </c>
      <c r="B165" s="66" t="s">
        <v>2795</v>
      </c>
      <c r="C165" s="66" t="s">
        <v>2897</v>
      </c>
      <c r="D165" s="66">
        <v>4</v>
      </c>
      <c r="E165" s="66" t="s">
        <v>3352</v>
      </c>
    </row>
    <row r="166" spans="1:5" x14ac:dyDescent="0.25">
      <c r="A166" s="66">
        <v>10163776</v>
      </c>
      <c r="B166" s="66" t="s">
        <v>2795</v>
      </c>
      <c r="C166" s="66" t="s">
        <v>2898</v>
      </c>
      <c r="D166" s="66">
        <v>2</v>
      </c>
      <c r="E166" s="66" t="s">
        <v>3352</v>
      </c>
    </row>
    <row r="167" spans="1:5" x14ac:dyDescent="0.25">
      <c r="A167" s="66">
        <v>10173664</v>
      </c>
      <c r="B167" s="66" t="s">
        <v>2795</v>
      </c>
      <c r="C167" s="66" t="s">
        <v>2899</v>
      </c>
      <c r="D167" s="66">
        <v>3</v>
      </c>
      <c r="E167" s="66" t="s">
        <v>3352</v>
      </c>
    </row>
  </sheetData>
  <phoneticPr fontId="6" type="noConversion"/>
  <pageMargins left="0.7" right="0.7" top="0.78740157499999996" bottom="0.78740157499999996" header="0.3" footer="0.3"/>
  <tableParts count="1">
    <tablePart r:id="rId1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D239"/>
  <sheetViews>
    <sheetView workbookViewId="0">
      <selection activeCell="B1" sqref="B1:B1048576"/>
    </sheetView>
  </sheetViews>
  <sheetFormatPr defaultColWidth="11.42578125" defaultRowHeight="15" x14ac:dyDescent="0.25"/>
  <cols>
    <col min="1" max="1" width="17.140625" style="50" customWidth="1"/>
    <col min="2" max="2" width="12.42578125" customWidth="1"/>
    <col min="3" max="5" width="39" customWidth="1"/>
    <col min="6" max="9" width="33.5703125" customWidth="1"/>
    <col min="10" max="10" width="38" customWidth="1"/>
    <col min="11" max="14" width="33.5703125" customWidth="1"/>
    <col min="15" max="15" width="32.5703125" customWidth="1"/>
    <col min="16" max="16" width="37" customWidth="1"/>
    <col min="17" max="21" width="32.5703125" customWidth="1"/>
    <col min="22" max="22" width="37" customWidth="1"/>
    <col min="23" max="23" width="31.42578125" customWidth="1"/>
    <col min="24" max="24" width="28" customWidth="1"/>
    <col min="25" max="25" width="14.28515625" customWidth="1"/>
    <col min="29" max="29" width="14.7109375" customWidth="1"/>
    <col min="32" max="32" width="17.28515625" customWidth="1"/>
    <col min="33" max="35" width="12.42578125" customWidth="1"/>
    <col min="36" max="36" width="17.28515625" customWidth="1"/>
    <col min="37" max="39" width="12.42578125" customWidth="1"/>
    <col min="40" max="40" width="17.28515625" customWidth="1"/>
    <col min="41" max="43" width="12.42578125" customWidth="1"/>
    <col min="44" max="44" width="17.28515625" customWidth="1"/>
    <col min="45" max="48" width="12.42578125" customWidth="1"/>
    <col min="49" max="49" width="17.28515625" customWidth="1"/>
    <col min="50" max="50" width="12.42578125" customWidth="1"/>
    <col min="51" max="52" width="15.140625" customWidth="1"/>
    <col min="53" max="54" width="20" customWidth="1"/>
    <col min="55" max="60" width="15.140625" customWidth="1"/>
    <col min="61" max="68" width="20" customWidth="1"/>
    <col min="69" max="76" width="15.140625" customWidth="1"/>
    <col min="77" max="77" width="20" customWidth="1"/>
    <col min="78" max="79" width="15.140625" customWidth="1"/>
    <col min="80" max="82" width="20" customWidth="1"/>
  </cols>
  <sheetData>
    <row r="1" spans="1:82" x14ac:dyDescent="0.25">
      <c r="A1" s="61" t="s">
        <v>59</v>
      </c>
      <c r="B1" s="61" t="s">
        <v>3346</v>
      </c>
      <c r="C1" s="62" t="s">
        <v>2439</v>
      </c>
      <c r="D1" s="62" t="s">
        <v>2419</v>
      </c>
      <c r="E1" s="62" t="s">
        <v>1402</v>
      </c>
      <c r="F1" s="62" t="s">
        <v>1289</v>
      </c>
      <c r="G1" s="62" t="s">
        <v>2445</v>
      </c>
      <c r="H1" s="62" t="s">
        <v>2440</v>
      </c>
      <c r="I1" s="62" t="s">
        <v>1103</v>
      </c>
      <c r="J1" s="62" t="s">
        <v>1403</v>
      </c>
      <c r="K1" s="62" t="s">
        <v>1104</v>
      </c>
      <c r="L1" s="62" t="s">
        <v>1072</v>
      </c>
      <c r="M1" s="62" t="s">
        <v>1778</v>
      </c>
      <c r="N1" s="62" t="s">
        <v>1860</v>
      </c>
      <c r="O1" s="62" t="s">
        <v>1823</v>
      </c>
      <c r="P1" s="62" t="s">
        <v>1404</v>
      </c>
      <c r="Q1" s="62" t="s">
        <v>111</v>
      </c>
      <c r="R1" s="62" t="s">
        <v>1777</v>
      </c>
      <c r="S1" s="62" t="s">
        <v>1776</v>
      </c>
      <c r="T1" s="62" t="s">
        <v>1988</v>
      </c>
      <c r="U1" s="62" t="s">
        <v>1271</v>
      </c>
      <c r="V1" s="62" t="s">
        <v>1405</v>
      </c>
      <c r="W1" s="62" t="s">
        <v>160</v>
      </c>
      <c r="X1" s="62" t="s">
        <v>1406</v>
      </c>
      <c r="Y1" s="63" t="s">
        <v>664</v>
      </c>
      <c r="Z1" s="62" t="s">
        <v>665</v>
      </c>
      <c r="AA1" s="62" t="s">
        <v>24</v>
      </c>
      <c r="AB1" s="62" t="s">
        <v>25</v>
      </c>
      <c r="AC1" s="62" t="s">
        <v>1407</v>
      </c>
      <c r="AD1" s="62" t="s">
        <v>26</v>
      </c>
      <c r="AE1" s="62" t="s">
        <v>582</v>
      </c>
      <c r="AF1" s="62" t="s">
        <v>1408</v>
      </c>
      <c r="AG1" s="62" t="s">
        <v>87</v>
      </c>
      <c r="AH1" s="62" t="s">
        <v>1124</v>
      </c>
      <c r="AI1" s="62" t="s">
        <v>71</v>
      </c>
      <c r="AJ1" s="62" t="s">
        <v>1409</v>
      </c>
      <c r="AK1" s="62" t="s">
        <v>115</v>
      </c>
      <c r="AL1" s="62" t="s">
        <v>163</v>
      </c>
      <c r="AM1" s="62" t="s">
        <v>23</v>
      </c>
      <c r="AN1" s="62" t="s">
        <v>1410</v>
      </c>
      <c r="AO1" s="62" t="s">
        <v>56</v>
      </c>
      <c r="AP1" s="62" t="s">
        <v>796</v>
      </c>
      <c r="AQ1" s="62" t="s">
        <v>794</v>
      </c>
      <c r="AR1" s="62" t="s">
        <v>1411</v>
      </c>
      <c r="AS1" s="62" t="s">
        <v>1037</v>
      </c>
      <c r="AT1" s="62" t="s">
        <v>814</v>
      </c>
      <c r="AU1" s="62" t="s">
        <v>1295</v>
      </c>
      <c r="AV1" s="62" t="s">
        <v>2135</v>
      </c>
      <c r="AW1" s="62" t="s">
        <v>1412</v>
      </c>
      <c r="AX1" s="62" t="s">
        <v>1055</v>
      </c>
      <c r="AY1" s="62" t="s">
        <v>1212</v>
      </c>
      <c r="AZ1" s="62" t="s">
        <v>1195</v>
      </c>
      <c r="BA1" s="62" t="s">
        <v>1413</v>
      </c>
      <c r="BB1" s="62" t="s">
        <v>1417</v>
      </c>
      <c r="BC1" s="62" t="s">
        <v>1805</v>
      </c>
      <c r="BD1" s="62" t="s">
        <v>1418</v>
      </c>
      <c r="BE1" s="62" t="s">
        <v>2410</v>
      </c>
      <c r="BF1" s="62" t="s">
        <v>2189</v>
      </c>
      <c r="BG1" s="62" t="s">
        <v>913</v>
      </c>
      <c r="BH1" s="62" t="s">
        <v>1162</v>
      </c>
      <c r="BI1" s="62" t="s">
        <v>2197</v>
      </c>
      <c r="BJ1" s="62" t="s">
        <v>2156</v>
      </c>
      <c r="BK1" s="62" t="s">
        <v>2123</v>
      </c>
      <c r="BL1" s="62" t="s">
        <v>2093</v>
      </c>
      <c r="BM1" s="62" t="s">
        <v>1414</v>
      </c>
      <c r="BN1" s="62" t="s">
        <v>2323</v>
      </c>
      <c r="BO1" s="62" t="s">
        <v>2324</v>
      </c>
      <c r="BP1" s="62" t="s">
        <v>2157</v>
      </c>
      <c r="BQ1" s="62" t="s">
        <v>2325</v>
      </c>
      <c r="BR1" s="62" t="s">
        <v>2188</v>
      </c>
      <c r="BS1" s="62" t="s">
        <v>1064</v>
      </c>
      <c r="BT1" s="62" t="s">
        <v>1213</v>
      </c>
      <c r="BU1" s="62" t="s">
        <v>2344</v>
      </c>
      <c r="BV1" s="62" t="s">
        <v>2124</v>
      </c>
      <c r="BW1" s="62" t="s">
        <v>914</v>
      </c>
      <c r="BX1" s="62" t="s">
        <v>2094</v>
      </c>
      <c r="BY1" s="62" t="s">
        <v>1415</v>
      </c>
      <c r="BZ1" s="62" t="s">
        <v>1175</v>
      </c>
      <c r="CA1" s="62" t="s">
        <v>1176</v>
      </c>
      <c r="CB1" s="62" t="s">
        <v>1416</v>
      </c>
      <c r="CC1" s="62" t="s">
        <v>2095</v>
      </c>
      <c r="CD1" s="62" t="s">
        <v>2215</v>
      </c>
    </row>
    <row r="2" spans="1:82" x14ac:dyDescent="0.25">
      <c r="A2" s="40" t="s">
        <v>561</v>
      </c>
      <c r="B2" s="40"/>
    </row>
    <row r="3" spans="1:82" x14ac:dyDescent="0.25">
      <c r="A3" s="10" t="s">
        <v>2519</v>
      </c>
      <c r="B3" s="10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  <c r="BB3" s="6"/>
      <c r="BC3" s="6"/>
      <c r="BD3" s="6"/>
      <c r="BE3" s="6"/>
      <c r="BF3" s="6"/>
      <c r="BG3" s="6"/>
      <c r="BH3" s="6"/>
      <c r="BI3" s="6"/>
      <c r="BJ3" s="6"/>
      <c r="BK3" s="6"/>
      <c r="BL3" s="6"/>
      <c r="BM3" s="6"/>
      <c r="BN3" s="6"/>
      <c r="BO3" s="6"/>
      <c r="BP3" s="6"/>
      <c r="BQ3" s="6"/>
      <c r="BR3" s="6"/>
      <c r="BS3" s="6"/>
      <c r="BT3" s="6"/>
      <c r="BU3" s="6"/>
      <c r="BV3" s="6"/>
      <c r="BW3" s="6"/>
      <c r="BX3" s="6"/>
      <c r="BY3" s="6"/>
      <c r="BZ3" s="6"/>
      <c r="CA3" s="6"/>
      <c r="CB3" s="6"/>
      <c r="CC3" s="6"/>
      <c r="CD3" s="6"/>
    </row>
    <row r="4" spans="1:82" x14ac:dyDescent="0.25">
      <c r="A4" s="50">
        <v>7072184</v>
      </c>
      <c r="B4" s="10" t="s">
        <v>3398</v>
      </c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  <c r="BM4" s="6"/>
      <c r="BN4" s="6"/>
      <c r="BO4" s="6"/>
      <c r="BP4" s="6"/>
      <c r="BQ4" s="6"/>
      <c r="BR4" s="6"/>
      <c r="BS4" s="6"/>
      <c r="BT4" s="6"/>
      <c r="BU4" s="6"/>
      <c r="BV4" s="6"/>
      <c r="BW4" s="6"/>
      <c r="BX4" s="6"/>
      <c r="BY4" s="6"/>
      <c r="BZ4" s="6"/>
      <c r="CA4" s="6"/>
      <c r="CB4" s="6"/>
      <c r="CC4" s="6"/>
      <c r="CD4" s="6"/>
    </row>
    <row r="5" spans="1:82" x14ac:dyDescent="0.25">
      <c r="A5" s="50">
        <v>9108231</v>
      </c>
      <c r="B5" s="10" t="s">
        <v>3398</v>
      </c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6"/>
      <c r="BL5" s="6"/>
      <c r="BM5" s="6"/>
      <c r="BN5" s="6"/>
      <c r="BO5" s="6"/>
      <c r="BP5" s="6"/>
      <c r="BQ5" s="6"/>
      <c r="BR5" s="6"/>
      <c r="BS5" s="6"/>
      <c r="BT5" s="6"/>
      <c r="BU5" s="6"/>
      <c r="BV5" s="6"/>
      <c r="BW5" s="6"/>
      <c r="BX5" s="6"/>
      <c r="BY5" s="6"/>
      <c r="BZ5" s="6"/>
      <c r="CA5" s="6"/>
      <c r="CB5" s="6"/>
      <c r="CC5" s="6"/>
      <c r="CD5" s="6"/>
    </row>
    <row r="6" spans="1:82" x14ac:dyDescent="0.25">
      <c r="A6" s="50">
        <v>12061933</v>
      </c>
      <c r="B6" s="10" t="s">
        <v>3398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6"/>
      <c r="BW6" s="6"/>
      <c r="BX6" s="6"/>
      <c r="BY6" s="6"/>
      <c r="BZ6" s="6"/>
      <c r="CA6" s="6"/>
      <c r="CB6" s="6"/>
      <c r="CC6" s="6"/>
      <c r="CD6" s="6"/>
    </row>
    <row r="7" spans="1:82" x14ac:dyDescent="0.25">
      <c r="A7" s="50">
        <v>95005911</v>
      </c>
      <c r="B7" s="10" t="s">
        <v>3398</v>
      </c>
      <c r="X7">
        <v>70</v>
      </c>
    </row>
    <row r="8" spans="1:82" x14ac:dyDescent="0.25">
      <c r="A8" s="50">
        <v>99001908</v>
      </c>
      <c r="B8" s="10" t="s">
        <v>3398</v>
      </c>
      <c r="X8">
        <v>25</v>
      </c>
    </row>
    <row r="9" spans="1:82" x14ac:dyDescent="0.25">
      <c r="A9" s="50">
        <v>99004067</v>
      </c>
      <c r="B9" s="10" t="s">
        <v>3398</v>
      </c>
      <c r="X9">
        <v>106</v>
      </c>
    </row>
    <row r="10" spans="1:82" x14ac:dyDescent="0.25">
      <c r="A10" s="50">
        <v>97002136</v>
      </c>
      <c r="B10" s="10" t="s">
        <v>3398</v>
      </c>
      <c r="X10">
        <v>440</v>
      </c>
    </row>
    <row r="11" spans="1:82" x14ac:dyDescent="0.25">
      <c r="A11" s="50">
        <v>1502</v>
      </c>
      <c r="B11" s="10" t="s">
        <v>3398</v>
      </c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>
        <v>112</v>
      </c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</row>
    <row r="12" spans="1:82" x14ac:dyDescent="0.25">
      <c r="A12" s="50">
        <v>4003543</v>
      </c>
      <c r="B12" s="10" t="s">
        <v>3398</v>
      </c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</row>
    <row r="13" spans="1:82" x14ac:dyDescent="0.25">
      <c r="A13" s="50">
        <v>4900261</v>
      </c>
      <c r="B13" s="10" t="s">
        <v>3398</v>
      </c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</row>
    <row r="15" spans="1:82" x14ac:dyDescent="0.25">
      <c r="A15" s="52" t="s">
        <v>2520</v>
      </c>
      <c r="B15" s="10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</row>
    <row r="16" spans="1:82" x14ac:dyDescent="0.25">
      <c r="A16" s="50">
        <v>14242856</v>
      </c>
      <c r="B16" s="10" t="s">
        <v>3399</v>
      </c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</row>
    <row r="17" spans="1:82" x14ac:dyDescent="0.25">
      <c r="A17" s="50">
        <v>99001183</v>
      </c>
      <c r="B17" s="10" t="s">
        <v>3399</v>
      </c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>
        <v>56</v>
      </c>
      <c r="AG17" s="6"/>
      <c r="AH17" s="6"/>
      <c r="AI17" s="6"/>
      <c r="AJ17" s="6"/>
      <c r="AK17" s="6"/>
      <c r="AL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</row>
    <row r="18" spans="1:82" x14ac:dyDescent="0.25">
      <c r="A18" s="50">
        <v>3000983</v>
      </c>
      <c r="B18" s="10" t="s">
        <v>3399</v>
      </c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>
        <v>22</v>
      </c>
      <c r="AD18">
        <v>943</v>
      </c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>
        <v>847</v>
      </c>
    </row>
    <row r="19" spans="1:82" x14ac:dyDescent="0.25">
      <c r="A19" s="50">
        <v>10064335</v>
      </c>
      <c r="B19" s="10" t="s">
        <v>3399</v>
      </c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>
        <v>126</v>
      </c>
      <c r="AM19">
        <v>140</v>
      </c>
      <c r="AO19">
        <v>171</v>
      </c>
      <c r="AY19">
        <v>183</v>
      </c>
    </row>
    <row r="20" spans="1:82" x14ac:dyDescent="0.25">
      <c r="A20" s="51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</row>
    <row r="21" spans="1:82" x14ac:dyDescent="0.25">
      <c r="A21" s="52" t="s">
        <v>2521</v>
      </c>
      <c r="B21" s="10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</row>
    <row r="22" spans="1:82" x14ac:dyDescent="0.25">
      <c r="A22" s="50">
        <v>1480</v>
      </c>
      <c r="B22" s="10" t="s">
        <v>3400</v>
      </c>
      <c r="AD22">
        <v>49</v>
      </c>
    </row>
    <row r="23" spans="1:82" x14ac:dyDescent="0.25">
      <c r="A23" s="50">
        <v>7063959</v>
      </c>
      <c r="B23" s="10" t="s">
        <v>3400</v>
      </c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</row>
    <row r="24" spans="1:82" x14ac:dyDescent="0.25">
      <c r="A24" s="50">
        <v>1003215</v>
      </c>
      <c r="B24" s="10" t="s">
        <v>3400</v>
      </c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</row>
    <row r="25" spans="1:82" x14ac:dyDescent="0.25">
      <c r="A25" s="50">
        <v>99000802</v>
      </c>
      <c r="B25" s="10" t="s">
        <v>3400</v>
      </c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>
        <v>27</v>
      </c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</row>
    <row r="26" spans="1:82" x14ac:dyDescent="0.25">
      <c r="A26" s="50">
        <v>99000892</v>
      </c>
      <c r="B26" s="10" t="s">
        <v>3400</v>
      </c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>
        <v>6.93</v>
      </c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</row>
    <row r="27" spans="1:82" x14ac:dyDescent="0.25">
      <c r="A27" s="50">
        <v>1000192</v>
      </c>
      <c r="B27" s="10" t="s">
        <v>3400</v>
      </c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>
        <v>240</v>
      </c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</row>
    <row r="28" spans="1:82" x14ac:dyDescent="0.25">
      <c r="A28" s="50">
        <v>1506</v>
      </c>
      <c r="B28" s="10" t="s">
        <v>3400</v>
      </c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>
        <v>45</v>
      </c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</row>
    <row r="29" spans="1:82" x14ac:dyDescent="0.25">
      <c r="A29" s="50">
        <v>99000894</v>
      </c>
      <c r="B29" s="10" t="s">
        <v>3400</v>
      </c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X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>
        <v>72</v>
      </c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</row>
    <row r="30" spans="1:82" x14ac:dyDescent="0.25">
      <c r="A30" s="50">
        <v>99000897</v>
      </c>
      <c r="B30" s="10" t="s">
        <v>3400</v>
      </c>
    </row>
    <row r="31" spans="1:82" x14ac:dyDescent="0.25">
      <c r="A31" s="50">
        <v>99001245</v>
      </c>
      <c r="B31" s="10" t="s">
        <v>3400</v>
      </c>
    </row>
    <row r="32" spans="1:82" x14ac:dyDescent="0.25">
      <c r="A32" s="50">
        <v>99001902</v>
      </c>
      <c r="B32" s="10" t="s">
        <v>3400</v>
      </c>
      <c r="AA32">
        <v>18</v>
      </c>
    </row>
    <row r="33" spans="1:82" x14ac:dyDescent="0.25">
      <c r="A33" s="50">
        <v>99001912</v>
      </c>
      <c r="B33" s="10" t="s">
        <v>3400</v>
      </c>
      <c r="AD33">
        <v>139</v>
      </c>
    </row>
    <row r="34" spans="1:82" x14ac:dyDescent="0.25">
      <c r="A34" s="50">
        <v>99001913</v>
      </c>
      <c r="B34" s="10" t="s">
        <v>3400</v>
      </c>
      <c r="AA34">
        <v>22</v>
      </c>
    </row>
    <row r="35" spans="1:82" x14ac:dyDescent="0.25">
      <c r="A35" s="50">
        <v>99001937</v>
      </c>
      <c r="B35" s="10" t="s">
        <v>3400</v>
      </c>
      <c r="AF35">
        <v>53</v>
      </c>
    </row>
    <row r="36" spans="1:82" x14ac:dyDescent="0.25">
      <c r="A36" s="50">
        <v>99001943</v>
      </c>
      <c r="B36" s="10" t="s">
        <v>3400</v>
      </c>
      <c r="AO36">
        <v>162</v>
      </c>
    </row>
    <row r="37" spans="1:82" x14ac:dyDescent="0.25">
      <c r="A37" s="50">
        <v>99001927</v>
      </c>
      <c r="B37" s="10" t="s">
        <v>3400</v>
      </c>
      <c r="X37">
        <v>167</v>
      </c>
    </row>
    <row r="38" spans="1:82" x14ac:dyDescent="0.25">
      <c r="A38" s="50">
        <v>1505</v>
      </c>
      <c r="B38" s="10" t="s">
        <v>3400</v>
      </c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</row>
    <row r="39" spans="1:82" x14ac:dyDescent="0.25">
      <c r="A39" s="50">
        <v>1000197</v>
      </c>
      <c r="B39" s="10" t="s">
        <v>3400</v>
      </c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F39" s="6"/>
      <c r="AG39">
        <v>51</v>
      </c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</row>
    <row r="40" spans="1:82" x14ac:dyDescent="0.25">
      <c r="A40" s="50">
        <v>96018835</v>
      </c>
      <c r="B40" s="10" t="s">
        <v>3400</v>
      </c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>
        <v>246</v>
      </c>
      <c r="X40" s="6"/>
      <c r="Y40" s="6"/>
      <c r="Z40">
        <v>201</v>
      </c>
      <c r="AA40">
        <v>180</v>
      </c>
      <c r="AB40">
        <v>177</v>
      </c>
      <c r="AC40" s="6"/>
      <c r="AD40">
        <v>246</v>
      </c>
      <c r="AF40" s="6"/>
      <c r="AI40" s="6"/>
      <c r="AJ40">
        <v>41</v>
      </c>
      <c r="AL40">
        <v>70</v>
      </c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</row>
    <row r="41" spans="1:82" x14ac:dyDescent="0.25">
      <c r="A41" s="50">
        <v>98008326</v>
      </c>
      <c r="B41" s="10" t="s">
        <v>3400</v>
      </c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>
        <v>27</v>
      </c>
      <c r="X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</row>
    <row r="42" spans="1:82" x14ac:dyDescent="0.25">
      <c r="A42" s="50">
        <v>99000717</v>
      </c>
      <c r="B42" s="10" t="s">
        <v>3400</v>
      </c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X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>
        <v>75</v>
      </c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</row>
    <row r="43" spans="1:82" x14ac:dyDescent="0.25"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X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</row>
    <row r="44" spans="1:82" x14ac:dyDescent="0.25">
      <c r="A44" s="25" t="s">
        <v>169</v>
      </c>
      <c r="B44" s="25"/>
    </row>
    <row r="45" spans="1:82" x14ac:dyDescent="0.25">
      <c r="A45" s="52" t="s">
        <v>143</v>
      </c>
      <c r="B45" s="10"/>
    </row>
    <row r="46" spans="1:82" x14ac:dyDescent="0.25">
      <c r="A46" s="50">
        <v>6016435</v>
      </c>
      <c r="B46" t="s">
        <v>3347</v>
      </c>
    </row>
    <row r="47" spans="1:82" x14ac:dyDescent="0.25">
      <c r="A47" s="50">
        <v>8045149</v>
      </c>
      <c r="B47" t="s">
        <v>3347</v>
      </c>
    </row>
    <row r="48" spans="1:82" x14ac:dyDescent="0.25">
      <c r="A48" s="50">
        <v>10023001</v>
      </c>
      <c r="B48" t="s">
        <v>3347</v>
      </c>
    </row>
    <row r="49" spans="1:33" x14ac:dyDescent="0.25">
      <c r="A49" s="50">
        <v>10027526</v>
      </c>
      <c r="B49" t="s">
        <v>3347</v>
      </c>
    </row>
    <row r="50" spans="1:33" x14ac:dyDescent="0.25">
      <c r="A50" s="50">
        <v>14222171</v>
      </c>
      <c r="B50" t="s">
        <v>3347</v>
      </c>
    </row>
    <row r="51" spans="1:33" x14ac:dyDescent="0.25">
      <c r="A51" s="50">
        <v>1006143</v>
      </c>
      <c r="B51" t="s">
        <v>3347</v>
      </c>
      <c r="X51">
        <v>20</v>
      </c>
    </row>
    <row r="52" spans="1:33" x14ac:dyDescent="0.25">
      <c r="A52" s="50">
        <v>6006917</v>
      </c>
      <c r="B52" t="s">
        <v>3347</v>
      </c>
      <c r="X52">
        <v>81</v>
      </c>
    </row>
    <row r="54" spans="1:33" x14ac:dyDescent="0.25">
      <c r="A54" s="52" t="s">
        <v>146</v>
      </c>
      <c r="B54" s="10"/>
    </row>
    <row r="55" spans="1:33" x14ac:dyDescent="0.25">
      <c r="A55" s="50">
        <v>8057159</v>
      </c>
      <c r="B55" s="10" t="s">
        <v>3348</v>
      </c>
      <c r="AE55">
        <v>68</v>
      </c>
      <c r="AG55">
        <v>71</v>
      </c>
    </row>
    <row r="56" spans="1:33" x14ac:dyDescent="0.25">
      <c r="A56" s="50">
        <v>9140312</v>
      </c>
      <c r="B56" s="10" t="s">
        <v>3348</v>
      </c>
    </row>
    <row r="57" spans="1:33" x14ac:dyDescent="0.25">
      <c r="A57" s="50">
        <v>12008230</v>
      </c>
      <c r="B57" s="10" t="s">
        <v>3348</v>
      </c>
    </row>
    <row r="58" spans="1:33" x14ac:dyDescent="0.25">
      <c r="A58" s="50">
        <v>12088444</v>
      </c>
      <c r="B58" s="10" t="s">
        <v>3348</v>
      </c>
    </row>
    <row r="59" spans="1:33" x14ac:dyDescent="0.25">
      <c r="A59" s="50">
        <v>13118872</v>
      </c>
      <c r="B59" s="10" t="s">
        <v>3348</v>
      </c>
    </row>
    <row r="60" spans="1:33" x14ac:dyDescent="0.25">
      <c r="A60" s="50">
        <v>12012030</v>
      </c>
      <c r="B60" s="10" t="s">
        <v>3348</v>
      </c>
    </row>
    <row r="62" spans="1:33" x14ac:dyDescent="0.25">
      <c r="A62" s="52" t="s">
        <v>120</v>
      </c>
      <c r="B62" s="10"/>
    </row>
    <row r="63" spans="1:33" x14ac:dyDescent="0.25">
      <c r="A63" s="50">
        <v>9074418</v>
      </c>
      <c r="B63" s="10" t="s">
        <v>3349</v>
      </c>
    </row>
    <row r="64" spans="1:33" x14ac:dyDescent="0.25">
      <c r="A64" s="50">
        <v>1263</v>
      </c>
      <c r="B64" s="10" t="s">
        <v>3349</v>
      </c>
    </row>
    <row r="65" spans="1:82" x14ac:dyDescent="0.25">
      <c r="A65" s="50">
        <v>98004910</v>
      </c>
      <c r="B65" s="10" t="s">
        <v>3349</v>
      </c>
      <c r="X65">
        <v>225</v>
      </c>
    </row>
    <row r="66" spans="1:82" x14ac:dyDescent="0.25">
      <c r="A66" s="50">
        <v>7103068</v>
      </c>
      <c r="B66" s="10" t="s">
        <v>3349</v>
      </c>
      <c r="X66">
        <v>163.80000000000001</v>
      </c>
      <c r="AM66">
        <v>75</v>
      </c>
    </row>
    <row r="67" spans="1:82" x14ac:dyDescent="0.25">
      <c r="A67" s="50">
        <v>11240728</v>
      </c>
      <c r="B67" s="10" t="s">
        <v>3349</v>
      </c>
      <c r="Y67">
        <v>336</v>
      </c>
      <c r="Z67">
        <v>325.2</v>
      </c>
      <c r="AB67">
        <v>424.2</v>
      </c>
      <c r="AE67">
        <v>268.2</v>
      </c>
    </row>
    <row r="68" spans="1:82" x14ac:dyDescent="0.25">
      <c r="A68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X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  <c r="BP68" s="6"/>
      <c r="BQ68" s="6"/>
      <c r="BR68" s="6"/>
      <c r="BS68" s="6"/>
      <c r="BT68" s="6"/>
      <c r="BU68" s="6"/>
      <c r="BV68" s="6"/>
      <c r="BW68" s="6"/>
      <c r="BX68" s="6"/>
      <c r="BY68" s="6"/>
      <c r="BZ68" s="6"/>
      <c r="CA68" s="6"/>
      <c r="CB68" s="6"/>
      <c r="CC68" s="6"/>
      <c r="CD68" s="6"/>
    </row>
    <row r="69" spans="1:82" x14ac:dyDescent="0.25">
      <c r="A69" s="26" t="s">
        <v>170</v>
      </c>
      <c r="B69" s="26"/>
    </row>
    <row r="70" spans="1:82" x14ac:dyDescent="0.25">
      <c r="A70" s="10" t="s">
        <v>143</v>
      </c>
      <c r="B70" s="10"/>
    </row>
    <row r="71" spans="1:82" x14ac:dyDescent="0.25">
      <c r="A71" s="50">
        <v>5015869</v>
      </c>
      <c r="B71" t="s">
        <v>3350</v>
      </c>
      <c r="Y71">
        <v>113</v>
      </c>
      <c r="AD71">
        <v>443</v>
      </c>
    </row>
    <row r="72" spans="1:82" x14ac:dyDescent="0.25">
      <c r="A72" s="50">
        <v>5016969</v>
      </c>
      <c r="B72" t="s">
        <v>3350</v>
      </c>
    </row>
    <row r="73" spans="1:82" x14ac:dyDescent="0.25">
      <c r="A73" s="50">
        <v>6023231</v>
      </c>
      <c r="B73" t="s">
        <v>3350</v>
      </c>
    </row>
    <row r="74" spans="1:82" x14ac:dyDescent="0.25">
      <c r="A74" s="50">
        <v>6010712</v>
      </c>
      <c r="B74" t="s">
        <v>3350</v>
      </c>
    </row>
    <row r="75" spans="1:82" x14ac:dyDescent="0.25">
      <c r="A75" s="50">
        <v>6011198</v>
      </c>
      <c r="B75" t="s">
        <v>3350</v>
      </c>
    </row>
    <row r="76" spans="1:82" x14ac:dyDescent="0.25">
      <c r="A76" s="50">
        <v>6012681</v>
      </c>
      <c r="B76" t="s">
        <v>3350</v>
      </c>
    </row>
    <row r="77" spans="1:82" x14ac:dyDescent="0.25">
      <c r="A77" s="50">
        <v>6014511</v>
      </c>
      <c r="B77" t="s">
        <v>3350</v>
      </c>
    </row>
    <row r="78" spans="1:82" x14ac:dyDescent="0.25">
      <c r="A78" s="50">
        <v>6045127</v>
      </c>
      <c r="B78" t="s">
        <v>3350</v>
      </c>
    </row>
    <row r="79" spans="1:82" x14ac:dyDescent="0.25">
      <c r="A79" s="50">
        <v>7000458</v>
      </c>
      <c r="B79" t="s">
        <v>3350</v>
      </c>
      <c r="AD79">
        <v>166</v>
      </c>
    </row>
    <row r="80" spans="1:82" x14ac:dyDescent="0.25">
      <c r="A80" s="50">
        <v>7015502</v>
      </c>
      <c r="B80" t="s">
        <v>3350</v>
      </c>
      <c r="Y80">
        <v>263</v>
      </c>
    </row>
    <row r="81" spans="1:59" x14ac:dyDescent="0.25">
      <c r="A81" s="50">
        <v>7025847</v>
      </c>
      <c r="B81" t="s">
        <v>3350</v>
      </c>
    </row>
    <row r="82" spans="1:59" x14ac:dyDescent="0.25">
      <c r="A82" s="50">
        <v>7082707</v>
      </c>
      <c r="B82" t="s">
        <v>3350</v>
      </c>
      <c r="AQ82">
        <v>492.6</v>
      </c>
    </row>
    <row r="83" spans="1:59" x14ac:dyDescent="0.25">
      <c r="A83" s="50">
        <v>7083159</v>
      </c>
      <c r="B83" t="s">
        <v>3350</v>
      </c>
      <c r="AP83">
        <v>380.4</v>
      </c>
    </row>
    <row r="84" spans="1:59" x14ac:dyDescent="0.25">
      <c r="A84" s="50">
        <v>7084659</v>
      </c>
      <c r="B84" t="s">
        <v>3350</v>
      </c>
    </row>
    <row r="85" spans="1:59" x14ac:dyDescent="0.25">
      <c r="A85" s="50">
        <v>7076814</v>
      </c>
      <c r="B85" t="s">
        <v>3350</v>
      </c>
    </row>
    <row r="86" spans="1:59" x14ac:dyDescent="0.25">
      <c r="A86" s="50">
        <v>7076815</v>
      </c>
      <c r="B86" t="s">
        <v>3350</v>
      </c>
    </row>
    <row r="87" spans="1:59" x14ac:dyDescent="0.25">
      <c r="A87" s="50">
        <v>7089231</v>
      </c>
      <c r="B87" t="s">
        <v>3350</v>
      </c>
      <c r="P87" s="50"/>
      <c r="Q87" s="50"/>
      <c r="R87" s="50"/>
      <c r="S87" s="50"/>
      <c r="T87" s="50"/>
      <c r="U87" s="50"/>
      <c r="V87" s="50"/>
      <c r="W87" s="50"/>
      <c r="X87" s="50">
        <v>131</v>
      </c>
      <c r="Y87" s="50"/>
      <c r="Z87" s="50"/>
      <c r="AA87" s="50"/>
      <c r="AB87" s="50"/>
      <c r="AC87" s="50"/>
      <c r="AD87" s="50"/>
      <c r="AE87" s="50"/>
      <c r="AF87" s="50"/>
      <c r="AG87" s="50"/>
      <c r="AH87" s="50"/>
      <c r="AI87" s="50"/>
      <c r="AJ87" s="50"/>
      <c r="AK87" s="50"/>
      <c r="AL87" s="50"/>
      <c r="AM87" s="50"/>
      <c r="AN87" s="50"/>
      <c r="AO87" s="50"/>
      <c r="AP87" s="50"/>
      <c r="AQ87" s="50"/>
      <c r="AR87" s="50"/>
      <c r="AS87" s="50"/>
      <c r="AT87" s="50"/>
      <c r="AU87" s="50"/>
      <c r="AV87" s="50"/>
      <c r="AW87" s="50"/>
      <c r="AX87" s="50"/>
      <c r="AY87" s="50"/>
      <c r="AZ87" s="50"/>
      <c r="BA87" s="50"/>
      <c r="BB87" s="50"/>
      <c r="BC87" s="50"/>
      <c r="BD87" s="50"/>
      <c r="BE87" s="50"/>
      <c r="BF87" s="50"/>
      <c r="BG87" s="50"/>
    </row>
    <row r="88" spans="1:59" x14ac:dyDescent="0.25">
      <c r="A88" s="50">
        <v>7116004</v>
      </c>
      <c r="B88" t="s">
        <v>3350</v>
      </c>
      <c r="P88" s="50"/>
      <c r="Q88" s="50"/>
      <c r="R88" s="50"/>
      <c r="S88" s="50"/>
      <c r="T88" s="50"/>
      <c r="U88" s="50"/>
      <c r="V88" s="50"/>
      <c r="W88" s="50"/>
      <c r="X88" s="50">
        <v>11</v>
      </c>
      <c r="Y88" s="50"/>
      <c r="Z88" s="50"/>
      <c r="AA88" s="50"/>
      <c r="AB88" s="50"/>
      <c r="AC88" s="50"/>
      <c r="AD88" s="50"/>
      <c r="AE88" s="50"/>
      <c r="AF88" s="50"/>
      <c r="AG88" s="50"/>
      <c r="AH88" s="50"/>
      <c r="AI88" s="50"/>
      <c r="AJ88" s="50"/>
      <c r="AK88" s="50"/>
      <c r="AL88" s="50"/>
      <c r="AM88" s="50"/>
      <c r="AN88" s="50"/>
      <c r="AO88" s="50"/>
      <c r="AP88" s="50"/>
      <c r="AQ88" s="50"/>
      <c r="AR88" s="50"/>
      <c r="AS88" s="50"/>
      <c r="AT88" s="50"/>
      <c r="AU88" s="50"/>
      <c r="AV88" s="50"/>
      <c r="AW88" s="50"/>
      <c r="AX88" s="50"/>
      <c r="AY88" s="50"/>
      <c r="AZ88" s="50"/>
      <c r="BA88" s="50"/>
      <c r="BB88" s="50"/>
      <c r="BC88" s="50"/>
      <c r="BD88" s="50"/>
      <c r="BE88" s="50"/>
      <c r="BF88" s="50"/>
      <c r="BG88" s="50"/>
    </row>
    <row r="89" spans="1:59" x14ac:dyDescent="0.25">
      <c r="A89" s="50">
        <v>8003819</v>
      </c>
      <c r="B89" t="s">
        <v>3350</v>
      </c>
      <c r="P89" s="50"/>
      <c r="Q89" s="50"/>
      <c r="R89" s="50"/>
      <c r="S89" s="50"/>
      <c r="T89" s="50"/>
      <c r="U89" s="50"/>
      <c r="V89" s="50"/>
      <c r="W89" s="50"/>
      <c r="X89" s="50">
        <v>300</v>
      </c>
      <c r="Y89" s="50"/>
      <c r="Z89" s="50"/>
      <c r="AA89" s="50"/>
      <c r="AB89" s="50"/>
      <c r="AC89" s="50"/>
      <c r="AD89" s="50"/>
      <c r="AE89" s="50"/>
      <c r="AF89" s="50"/>
      <c r="AG89" s="50"/>
      <c r="AH89" s="50"/>
      <c r="AI89" s="50"/>
      <c r="AJ89" s="50"/>
      <c r="AK89" s="50"/>
      <c r="AL89" s="50"/>
      <c r="AM89" s="50"/>
      <c r="AN89" s="50"/>
      <c r="AO89" s="50"/>
      <c r="AP89" s="50"/>
      <c r="AQ89" s="50"/>
      <c r="AR89" s="50"/>
      <c r="AS89" s="50"/>
      <c r="AT89" s="50"/>
      <c r="AU89" s="50"/>
      <c r="AV89" s="50"/>
      <c r="AW89" s="50"/>
      <c r="AX89" s="50"/>
      <c r="AY89" s="50"/>
      <c r="AZ89" s="50"/>
      <c r="BA89" s="50"/>
      <c r="BB89" s="50"/>
      <c r="BC89" s="50"/>
      <c r="BD89" s="50"/>
      <c r="BE89" s="50"/>
      <c r="BF89" s="50"/>
      <c r="BG89" s="50"/>
    </row>
    <row r="90" spans="1:59" x14ac:dyDescent="0.25">
      <c r="A90" s="50">
        <v>8091779</v>
      </c>
      <c r="B90" t="s">
        <v>3350</v>
      </c>
      <c r="P90" s="50"/>
      <c r="Q90" s="50"/>
      <c r="R90" s="50"/>
      <c r="S90" s="50"/>
      <c r="T90" s="50"/>
      <c r="U90" s="50"/>
      <c r="V90" s="50"/>
      <c r="W90" s="50"/>
      <c r="X90" s="50"/>
      <c r="Y90" s="50"/>
      <c r="Z90" s="50"/>
      <c r="AA90" s="50"/>
      <c r="AB90" s="50"/>
      <c r="AC90" s="50"/>
      <c r="AD90" s="50"/>
      <c r="AE90" s="50"/>
      <c r="AF90" s="50"/>
      <c r="AG90" s="50"/>
      <c r="AH90" s="50"/>
      <c r="AI90" s="50"/>
      <c r="AJ90" s="50"/>
      <c r="AK90" s="50"/>
      <c r="AL90" s="50"/>
      <c r="AM90" s="50"/>
      <c r="AN90" s="50"/>
      <c r="AO90" s="50"/>
      <c r="AP90" s="50"/>
      <c r="AQ90" s="50"/>
      <c r="AR90" s="50"/>
      <c r="AS90" s="50"/>
      <c r="AT90" s="50"/>
      <c r="AU90" s="50"/>
      <c r="AV90" s="50"/>
      <c r="AW90" s="50"/>
      <c r="AX90" s="50"/>
      <c r="AY90" s="50"/>
      <c r="AZ90" s="50"/>
      <c r="BA90" s="50"/>
      <c r="BB90" s="50"/>
      <c r="BC90" s="50"/>
      <c r="BD90" s="50"/>
      <c r="BE90" s="50"/>
      <c r="BF90" s="50"/>
      <c r="BG90" s="50"/>
    </row>
    <row r="91" spans="1:59" x14ac:dyDescent="0.25">
      <c r="A91" s="50">
        <v>8097989</v>
      </c>
      <c r="B91" t="s">
        <v>3350</v>
      </c>
      <c r="P91" s="50"/>
      <c r="Q91" s="50"/>
      <c r="R91" s="50"/>
      <c r="S91" s="50"/>
      <c r="T91" s="50"/>
      <c r="U91" s="50"/>
      <c r="V91" s="50"/>
      <c r="W91" s="50"/>
      <c r="X91" s="50"/>
      <c r="Y91" s="50"/>
      <c r="Z91" s="50"/>
      <c r="AA91" s="50"/>
      <c r="AB91" s="50"/>
      <c r="AC91" s="50"/>
      <c r="AD91" s="50"/>
      <c r="AE91" s="50"/>
      <c r="AF91" s="50"/>
      <c r="AG91" s="50"/>
      <c r="AH91" s="50"/>
      <c r="AI91" s="50"/>
      <c r="AJ91" s="50"/>
      <c r="AK91" s="50"/>
      <c r="AL91" s="50"/>
      <c r="AM91" s="50"/>
      <c r="AN91" s="50"/>
      <c r="AO91" s="50"/>
      <c r="AP91" s="50"/>
      <c r="AQ91" s="50"/>
      <c r="AR91" s="50"/>
      <c r="AS91" s="50"/>
      <c r="AT91" s="50"/>
      <c r="AU91" s="50"/>
      <c r="AV91" s="50"/>
      <c r="AW91" s="50"/>
      <c r="AX91" s="50"/>
      <c r="AY91" s="50"/>
      <c r="AZ91" s="50"/>
      <c r="BA91" s="50"/>
      <c r="BB91" s="50"/>
      <c r="BC91" s="50"/>
      <c r="BD91" s="50"/>
      <c r="BE91" s="50"/>
      <c r="BF91" s="50"/>
      <c r="BG91" s="50"/>
    </row>
    <row r="92" spans="1:59" x14ac:dyDescent="0.25">
      <c r="A92" s="50">
        <v>8112522</v>
      </c>
      <c r="B92" t="s">
        <v>3350</v>
      </c>
      <c r="P92" s="50"/>
      <c r="Q92" s="50"/>
      <c r="R92" s="50"/>
      <c r="S92" s="50"/>
      <c r="T92" s="50"/>
      <c r="U92" s="50"/>
      <c r="V92" s="50"/>
      <c r="W92" s="50"/>
      <c r="X92" s="50"/>
      <c r="Y92" s="50"/>
      <c r="Z92" s="50"/>
      <c r="AA92" s="50"/>
      <c r="AB92" s="50"/>
      <c r="AC92" s="50"/>
      <c r="AD92" s="50"/>
      <c r="AE92" s="50"/>
      <c r="AF92" s="50"/>
      <c r="AG92" s="50"/>
      <c r="AH92" s="50"/>
      <c r="AI92" s="50"/>
      <c r="AJ92" s="50"/>
      <c r="AK92" s="50"/>
      <c r="AL92" s="50"/>
      <c r="AM92" s="50"/>
      <c r="AN92" s="50"/>
      <c r="AO92" s="50"/>
      <c r="AP92" s="50"/>
      <c r="AQ92" s="50"/>
      <c r="AR92" s="50"/>
      <c r="AS92" s="50"/>
      <c r="AT92" s="50"/>
      <c r="AU92" s="50"/>
      <c r="AV92" s="50"/>
      <c r="AW92" s="50"/>
      <c r="AX92" s="50"/>
      <c r="AY92" s="50"/>
      <c r="AZ92" s="50"/>
      <c r="BA92" s="50"/>
      <c r="BB92" s="50"/>
      <c r="BC92" s="50"/>
      <c r="BD92" s="50"/>
      <c r="BE92" s="50"/>
      <c r="BF92" s="50"/>
      <c r="BG92" s="50"/>
    </row>
    <row r="93" spans="1:59" x14ac:dyDescent="0.25">
      <c r="A93" s="50">
        <v>8127397</v>
      </c>
      <c r="B93" t="s">
        <v>3350</v>
      </c>
      <c r="P93" s="50"/>
      <c r="Q93" s="50"/>
      <c r="R93" s="50"/>
      <c r="S93" s="50"/>
      <c r="T93" s="50"/>
      <c r="U93" s="50"/>
      <c r="V93" s="50"/>
      <c r="W93" s="50"/>
      <c r="X93" s="50"/>
      <c r="Y93" s="50"/>
      <c r="Z93" s="50"/>
      <c r="AA93" s="50"/>
      <c r="AB93" s="50"/>
      <c r="AC93" s="50"/>
      <c r="AD93" s="50"/>
      <c r="AE93" s="50"/>
      <c r="AF93" s="50"/>
      <c r="AG93" s="50"/>
      <c r="AH93" s="50"/>
      <c r="AI93" s="50"/>
      <c r="AJ93" s="50"/>
      <c r="AK93" s="50"/>
      <c r="AL93" s="50"/>
      <c r="AM93" s="50"/>
      <c r="AN93" s="50"/>
      <c r="AO93" s="50"/>
      <c r="AP93" s="50"/>
      <c r="AQ93" s="50"/>
      <c r="AR93" s="50"/>
      <c r="AS93" s="50"/>
      <c r="AT93" s="50"/>
      <c r="AU93" s="50"/>
      <c r="AV93" s="50"/>
      <c r="AW93" s="50"/>
      <c r="AX93" s="50"/>
      <c r="AY93" s="50"/>
      <c r="AZ93" s="50"/>
      <c r="BA93" s="50"/>
      <c r="BB93" s="50"/>
      <c r="BC93" s="50"/>
      <c r="BD93" s="50"/>
      <c r="BE93" s="50"/>
      <c r="BF93" s="50"/>
      <c r="BG93" s="50"/>
    </row>
    <row r="94" spans="1:59" x14ac:dyDescent="0.25">
      <c r="A94" s="50">
        <v>8130998</v>
      </c>
      <c r="B94" t="s">
        <v>3350</v>
      </c>
      <c r="P94" s="50"/>
      <c r="Q94" s="50"/>
      <c r="R94" s="50"/>
      <c r="S94" s="50"/>
      <c r="T94" s="50"/>
      <c r="U94" s="50"/>
      <c r="V94" s="50"/>
      <c r="W94" s="50"/>
      <c r="X94" s="50"/>
      <c r="Y94" s="50">
        <v>74</v>
      </c>
      <c r="Z94" s="50">
        <v>104</v>
      </c>
      <c r="AA94" s="50"/>
      <c r="AB94" s="50">
        <v>90</v>
      </c>
      <c r="AC94" s="50"/>
      <c r="AD94" s="50"/>
      <c r="AE94" s="50"/>
      <c r="AF94" s="50"/>
      <c r="AG94" s="50"/>
      <c r="AH94" s="50"/>
      <c r="AI94" s="50"/>
      <c r="AJ94" s="50"/>
      <c r="AK94" s="50"/>
      <c r="AL94" s="50"/>
      <c r="AM94" s="50"/>
      <c r="AN94" s="50"/>
      <c r="AO94" s="50"/>
      <c r="AP94" s="50"/>
      <c r="AQ94" s="50"/>
      <c r="AR94" s="50"/>
      <c r="AS94" s="50"/>
      <c r="AT94" s="50"/>
      <c r="AU94" s="50"/>
      <c r="AV94" s="50"/>
      <c r="AW94" s="50"/>
      <c r="AX94" s="50"/>
      <c r="AY94" s="50"/>
      <c r="AZ94" s="50"/>
      <c r="BA94" s="50"/>
      <c r="BB94" s="50"/>
      <c r="BC94" s="50"/>
      <c r="BD94" s="50"/>
      <c r="BE94" s="50"/>
      <c r="BF94" s="50"/>
      <c r="BG94" s="50"/>
    </row>
    <row r="95" spans="1:59" x14ac:dyDescent="0.25">
      <c r="A95" s="50">
        <v>9002836</v>
      </c>
      <c r="B95" t="s">
        <v>3350</v>
      </c>
      <c r="P95" s="50"/>
      <c r="Q95" s="50"/>
      <c r="R95" s="50"/>
      <c r="S95" s="50"/>
      <c r="T95" s="50"/>
      <c r="U95" s="50"/>
      <c r="V95" s="50"/>
      <c r="W95" s="50"/>
      <c r="X95" s="50"/>
      <c r="Y95" s="50"/>
      <c r="Z95" s="50"/>
      <c r="AA95" s="50"/>
      <c r="AB95" s="50"/>
      <c r="AC95" s="50"/>
      <c r="AD95" s="50"/>
      <c r="AE95" s="50"/>
      <c r="AF95" s="50"/>
      <c r="AG95" s="50"/>
      <c r="AH95" s="50"/>
      <c r="AI95" s="50"/>
      <c r="AJ95" s="50"/>
      <c r="AK95" s="50"/>
      <c r="AL95" s="50"/>
      <c r="AM95" s="50"/>
      <c r="AN95" s="50"/>
      <c r="AO95" s="50"/>
      <c r="AP95" s="50"/>
      <c r="AQ95" s="50"/>
      <c r="AR95" s="50"/>
      <c r="AS95" s="50"/>
      <c r="AT95" s="50"/>
      <c r="AU95" s="50"/>
      <c r="AV95" s="50"/>
      <c r="AW95" s="50"/>
      <c r="AX95" s="50"/>
      <c r="AY95" s="50"/>
      <c r="AZ95" s="50"/>
      <c r="BA95" s="50"/>
      <c r="BB95" s="50"/>
      <c r="BC95" s="50"/>
      <c r="BD95" s="50"/>
      <c r="BE95" s="50"/>
      <c r="BF95" s="50"/>
      <c r="BG95" s="50"/>
    </row>
    <row r="96" spans="1:59" x14ac:dyDescent="0.25">
      <c r="A96" s="50">
        <v>9003331</v>
      </c>
      <c r="B96" t="s">
        <v>3350</v>
      </c>
      <c r="P96" s="50"/>
      <c r="Q96" s="50"/>
      <c r="R96" s="50"/>
      <c r="S96" s="50"/>
      <c r="T96" s="50"/>
      <c r="U96" s="50"/>
      <c r="V96" s="50"/>
      <c r="W96" s="50"/>
      <c r="X96" s="50"/>
      <c r="Y96" s="50"/>
      <c r="Z96" s="50"/>
      <c r="AA96" s="50"/>
      <c r="AB96" s="50"/>
      <c r="AC96" s="50"/>
      <c r="AD96" s="50"/>
      <c r="AE96" s="50"/>
      <c r="AF96" s="50"/>
      <c r="AG96" s="50"/>
      <c r="AH96" s="50"/>
      <c r="AI96" s="50"/>
      <c r="AJ96" s="50"/>
      <c r="AK96" s="50"/>
      <c r="AL96" s="50"/>
      <c r="AM96" s="50"/>
      <c r="AN96" s="50"/>
      <c r="AO96" s="50"/>
      <c r="AP96" s="50"/>
      <c r="AQ96" s="50"/>
      <c r="AR96" s="50"/>
      <c r="AS96" s="50"/>
      <c r="AT96" s="56"/>
      <c r="AU96" s="56"/>
      <c r="AV96" s="56"/>
      <c r="AW96" s="56"/>
      <c r="AX96" s="56"/>
      <c r="AY96" s="50"/>
      <c r="AZ96" s="50"/>
      <c r="BA96" s="50"/>
      <c r="BB96" s="50"/>
      <c r="BC96" s="50"/>
      <c r="BD96" s="50"/>
      <c r="BE96" s="50"/>
      <c r="BF96" s="50"/>
      <c r="BG96" s="50"/>
    </row>
    <row r="97" spans="1:80" x14ac:dyDescent="0.25">
      <c r="A97" s="50">
        <v>9003370</v>
      </c>
      <c r="B97" t="s">
        <v>3350</v>
      </c>
      <c r="P97" s="50"/>
      <c r="Q97" s="50"/>
      <c r="R97" s="50"/>
      <c r="S97" s="50"/>
      <c r="T97" s="50"/>
      <c r="U97" s="50"/>
      <c r="V97" s="50"/>
      <c r="W97" s="50"/>
      <c r="X97" s="50"/>
      <c r="Y97" s="50">
        <v>43.2</v>
      </c>
      <c r="Z97" s="50"/>
      <c r="AA97" s="50"/>
      <c r="AB97" s="50"/>
      <c r="AC97" s="50"/>
      <c r="AD97" s="50"/>
      <c r="AE97" s="50"/>
      <c r="AF97" s="50"/>
      <c r="AG97" s="50"/>
      <c r="AH97" s="50"/>
      <c r="AI97" s="50"/>
      <c r="AJ97" s="50"/>
      <c r="AK97" s="50"/>
      <c r="AL97" s="50"/>
      <c r="AM97" s="50"/>
      <c r="AN97" s="50"/>
      <c r="AO97" s="50"/>
      <c r="AP97" s="50"/>
      <c r="AQ97" s="50"/>
      <c r="AR97" s="50"/>
      <c r="AS97" s="50"/>
      <c r="AT97" s="50"/>
      <c r="AU97" s="50"/>
      <c r="AV97" s="50"/>
      <c r="AW97" s="50"/>
      <c r="AX97" s="50"/>
      <c r="AY97" s="50"/>
      <c r="AZ97" s="50"/>
      <c r="BA97" s="50"/>
      <c r="BB97" s="50"/>
      <c r="BC97" s="50"/>
      <c r="BD97" s="50"/>
      <c r="BE97" s="50"/>
      <c r="BF97" s="50"/>
      <c r="BG97" s="50"/>
    </row>
    <row r="98" spans="1:80" x14ac:dyDescent="0.25">
      <c r="A98" s="50">
        <v>9016278</v>
      </c>
      <c r="B98" t="s">
        <v>3350</v>
      </c>
      <c r="P98" s="50"/>
      <c r="Q98" s="50">
        <v>775.8</v>
      </c>
      <c r="R98" s="50"/>
      <c r="S98" s="50"/>
      <c r="T98" s="50"/>
      <c r="U98" s="50"/>
      <c r="V98" s="50">
        <v>364.8</v>
      </c>
      <c r="W98" s="50"/>
      <c r="X98" s="50"/>
      <c r="Y98" s="50"/>
      <c r="Z98" s="50"/>
      <c r="AA98" s="50">
        <v>196.8</v>
      </c>
      <c r="AB98" s="50"/>
      <c r="AC98" s="50"/>
      <c r="AD98" s="50"/>
      <c r="AE98" s="57">
        <v>178.2</v>
      </c>
      <c r="AF98" s="50"/>
      <c r="AG98" s="50"/>
      <c r="AH98" s="50"/>
      <c r="AI98" s="50"/>
      <c r="AJ98" s="50"/>
      <c r="AK98" s="50"/>
      <c r="AL98" s="50"/>
      <c r="AM98" s="50"/>
      <c r="AN98" s="50"/>
      <c r="AO98" s="50"/>
      <c r="AP98" s="50"/>
      <c r="AQ98" s="50"/>
      <c r="AR98" s="50"/>
      <c r="AS98" s="50"/>
      <c r="AT98" s="50"/>
      <c r="AU98" s="50"/>
      <c r="AV98" s="50"/>
      <c r="AW98" s="50"/>
      <c r="AX98" s="50"/>
      <c r="AY98" s="50"/>
      <c r="AZ98" s="50"/>
      <c r="BA98" s="50"/>
      <c r="BB98" s="50"/>
      <c r="BC98" s="50"/>
      <c r="BD98" s="50"/>
      <c r="BE98" s="50"/>
      <c r="BF98" s="50"/>
      <c r="BG98" s="50"/>
    </row>
    <row r="99" spans="1:80" x14ac:dyDescent="0.25">
      <c r="A99" s="50">
        <v>9030684</v>
      </c>
      <c r="B99" t="s">
        <v>3350</v>
      </c>
      <c r="P99" s="50"/>
      <c r="Q99" s="50"/>
      <c r="R99" s="50"/>
      <c r="S99" s="50"/>
      <c r="T99" s="50"/>
      <c r="U99" s="50"/>
      <c r="V99" s="50"/>
      <c r="W99" s="50"/>
      <c r="X99" s="50"/>
      <c r="Y99" s="50"/>
      <c r="Z99" s="50"/>
      <c r="AA99" s="50"/>
      <c r="AB99" s="50"/>
      <c r="AC99" s="50"/>
      <c r="AD99" s="50"/>
      <c r="AE99" s="50"/>
      <c r="AF99" s="50"/>
      <c r="AG99" s="50"/>
      <c r="AH99" s="50"/>
      <c r="AI99" s="50"/>
      <c r="AJ99" s="50"/>
      <c r="AK99" s="50"/>
      <c r="AL99" s="50"/>
      <c r="AM99" s="50"/>
      <c r="AN99" s="50">
        <v>15</v>
      </c>
      <c r="AO99" s="50"/>
      <c r="AP99" s="50"/>
      <c r="AQ99" s="50"/>
      <c r="AR99" s="50"/>
      <c r="AS99" s="50"/>
      <c r="AT99" s="50"/>
      <c r="AU99" s="50"/>
      <c r="AV99" s="50"/>
      <c r="AW99" s="50"/>
      <c r="AX99" s="50"/>
      <c r="AY99" s="50"/>
      <c r="AZ99" s="50"/>
      <c r="BA99" s="50"/>
      <c r="BB99" s="50"/>
      <c r="BC99" s="50"/>
      <c r="BD99" s="50"/>
      <c r="BE99" s="50"/>
      <c r="BF99" s="50"/>
      <c r="BG99" s="50"/>
    </row>
    <row r="100" spans="1:80" x14ac:dyDescent="0.25">
      <c r="A100" s="50">
        <v>9031387</v>
      </c>
      <c r="B100" t="s">
        <v>3350</v>
      </c>
      <c r="P100" s="50"/>
      <c r="Q100" s="50"/>
      <c r="R100" s="50"/>
      <c r="S100" s="50"/>
      <c r="T100" s="50"/>
      <c r="U100" s="50"/>
      <c r="V100" s="50"/>
      <c r="W100" s="50"/>
      <c r="X100" s="50"/>
      <c r="Y100" s="50"/>
      <c r="Z100" s="50"/>
      <c r="AA100" s="50"/>
      <c r="AB100" s="50"/>
      <c r="AC100" s="50"/>
      <c r="AD100" s="50"/>
      <c r="AE100" s="50"/>
      <c r="AF100" s="50"/>
      <c r="AG100" s="50"/>
      <c r="AH100" s="50"/>
      <c r="AI100" s="50"/>
      <c r="AJ100" s="50"/>
      <c r="AK100" s="50"/>
      <c r="AL100" s="50"/>
      <c r="AM100" s="50"/>
      <c r="AN100" s="50"/>
      <c r="AO100" s="50"/>
      <c r="AP100" s="50"/>
      <c r="AQ100" s="50"/>
      <c r="AR100" s="50"/>
      <c r="AS100" s="50"/>
      <c r="AT100" s="50">
        <v>37.799999999999997</v>
      </c>
      <c r="AU100" s="50"/>
      <c r="AV100" s="50"/>
      <c r="AW100" s="50"/>
      <c r="AX100" s="50"/>
      <c r="AY100" s="50"/>
      <c r="AZ100" s="50"/>
      <c r="BA100" s="50"/>
      <c r="BB100" s="50"/>
      <c r="BC100" s="50"/>
      <c r="BD100" s="50"/>
      <c r="BE100" s="50"/>
      <c r="BF100" s="50"/>
      <c r="BG100" s="50"/>
    </row>
    <row r="101" spans="1:80" x14ac:dyDescent="0.25">
      <c r="A101" s="50">
        <v>9038676</v>
      </c>
      <c r="B101" t="s">
        <v>3350</v>
      </c>
      <c r="P101" s="50"/>
      <c r="Q101" s="50"/>
      <c r="R101" s="50"/>
      <c r="S101" s="50"/>
      <c r="T101" s="50"/>
      <c r="U101" s="50"/>
      <c r="V101" s="50"/>
      <c r="W101" s="50"/>
      <c r="X101" s="50"/>
      <c r="Y101" s="50">
        <v>78</v>
      </c>
      <c r="Z101" s="50"/>
      <c r="AA101" s="50"/>
      <c r="AB101" s="50"/>
      <c r="AC101" s="50"/>
      <c r="AD101" s="50"/>
      <c r="AE101" s="50"/>
      <c r="AF101" s="50"/>
      <c r="AG101" s="50"/>
      <c r="AH101" s="50"/>
      <c r="AI101" s="50"/>
      <c r="AJ101" s="50"/>
      <c r="AK101" s="50"/>
      <c r="AL101" s="50"/>
      <c r="AM101" s="50"/>
      <c r="AN101" s="50"/>
      <c r="AO101" s="50"/>
      <c r="AP101" s="50"/>
      <c r="AQ101" s="50"/>
      <c r="AR101" s="50"/>
      <c r="AS101" s="50"/>
      <c r="AT101" s="50"/>
      <c r="AU101" s="50"/>
      <c r="AV101" s="50"/>
      <c r="AW101" s="50"/>
      <c r="AX101" s="50"/>
      <c r="AY101" s="50"/>
      <c r="AZ101" s="50"/>
      <c r="BA101" s="50"/>
      <c r="BB101" s="50"/>
      <c r="BC101" s="50"/>
      <c r="BD101" s="50"/>
      <c r="BE101" s="50"/>
      <c r="BF101" s="50"/>
      <c r="BG101" s="50"/>
    </row>
    <row r="102" spans="1:80" x14ac:dyDescent="0.25">
      <c r="A102" s="50">
        <v>9039416</v>
      </c>
      <c r="B102" t="s">
        <v>3350</v>
      </c>
      <c r="P102" s="50"/>
      <c r="Q102" s="50"/>
      <c r="R102" s="50"/>
      <c r="S102" s="50"/>
      <c r="T102" s="50"/>
      <c r="U102" s="50"/>
      <c r="V102" s="50"/>
      <c r="W102" s="50"/>
      <c r="X102" s="50"/>
      <c r="Y102" s="50"/>
      <c r="Z102" s="50"/>
      <c r="AA102" s="50"/>
      <c r="AB102" s="50">
        <v>87</v>
      </c>
      <c r="AC102" s="50"/>
      <c r="AD102" s="50"/>
      <c r="AE102" s="50"/>
      <c r="AF102" s="50"/>
      <c r="AG102" s="50"/>
      <c r="AH102" s="50"/>
      <c r="AI102" s="50"/>
      <c r="AJ102" s="50"/>
      <c r="AK102" s="50"/>
      <c r="AL102" s="50"/>
      <c r="AM102" s="50"/>
      <c r="AN102" s="50"/>
      <c r="AO102" s="50"/>
      <c r="AP102" s="50"/>
      <c r="AQ102" s="50"/>
      <c r="AR102" s="50"/>
      <c r="AS102" s="50"/>
      <c r="AT102" s="50"/>
      <c r="AU102" s="50"/>
      <c r="AV102" s="50"/>
      <c r="AW102" s="50"/>
      <c r="AX102" s="50"/>
      <c r="AY102" s="50"/>
      <c r="AZ102" s="50"/>
      <c r="BA102" s="50"/>
      <c r="BB102" s="50"/>
      <c r="BC102" s="50"/>
      <c r="BD102" s="50"/>
      <c r="BE102" s="50"/>
      <c r="BF102" s="50"/>
      <c r="BG102" s="50"/>
    </row>
    <row r="103" spans="1:80" x14ac:dyDescent="0.25">
      <c r="A103" s="50">
        <v>9042861</v>
      </c>
      <c r="B103" t="s">
        <v>3350</v>
      </c>
      <c r="P103" s="50"/>
      <c r="Q103" s="50"/>
      <c r="R103" s="50"/>
      <c r="S103" s="50"/>
      <c r="T103" s="50"/>
      <c r="U103" s="50"/>
      <c r="V103" s="50"/>
      <c r="W103" s="50"/>
      <c r="X103" s="50"/>
      <c r="Y103" s="50"/>
      <c r="Z103" s="50"/>
      <c r="AA103" s="50"/>
      <c r="AB103" s="50"/>
      <c r="AC103" s="50"/>
      <c r="AD103" s="50"/>
      <c r="AE103" s="50"/>
      <c r="AF103" s="50"/>
      <c r="AG103" s="50"/>
      <c r="AH103" s="50"/>
      <c r="AI103" s="50"/>
      <c r="AJ103" s="50"/>
      <c r="AK103" s="50"/>
      <c r="AL103" s="50"/>
      <c r="AM103" s="50"/>
      <c r="AN103" s="50"/>
      <c r="AO103" s="50">
        <v>123</v>
      </c>
      <c r="AP103" s="50"/>
      <c r="AQ103" s="50"/>
      <c r="AR103" s="50">
        <v>105.6</v>
      </c>
      <c r="AS103" s="50"/>
      <c r="AT103" s="50"/>
      <c r="AU103" s="50"/>
      <c r="AV103" s="50"/>
      <c r="AW103" s="50"/>
      <c r="AX103" s="50"/>
      <c r="AY103" s="50"/>
      <c r="AZ103" s="50"/>
      <c r="BA103" s="50"/>
      <c r="BB103" s="50"/>
      <c r="BC103" s="50"/>
      <c r="BD103" s="50"/>
      <c r="BE103" s="50"/>
      <c r="BF103" s="50"/>
      <c r="BG103" s="50"/>
    </row>
    <row r="104" spans="1:80" x14ac:dyDescent="0.25">
      <c r="A104" s="50">
        <v>9044899</v>
      </c>
      <c r="B104" t="s">
        <v>3350</v>
      </c>
      <c r="P104" s="50">
        <v>365</v>
      </c>
      <c r="Q104" s="50"/>
      <c r="R104" s="50"/>
      <c r="S104" s="50"/>
      <c r="T104" s="50"/>
      <c r="U104" s="50"/>
      <c r="V104" s="50"/>
      <c r="W104" s="50">
        <v>235</v>
      </c>
      <c r="X104" s="50"/>
      <c r="Y104" s="50">
        <v>327</v>
      </c>
      <c r="Z104" s="50"/>
      <c r="AA104" s="50">
        <v>362</v>
      </c>
      <c r="AB104" s="50"/>
      <c r="AC104" s="50"/>
      <c r="AD104" s="50">
        <v>318</v>
      </c>
      <c r="AE104" s="50"/>
      <c r="AF104" s="50"/>
      <c r="AG104" s="50">
        <v>288</v>
      </c>
      <c r="AH104" s="50"/>
      <c r="AI104" s="50"/>
      <c r="AJ104" s="50"/>
      <c r="AK104" s="50"/>
      <c r="AL104" s="50"/>
      <c r="AM104" s="50"/>
      <c r="AN104" s="50"/>
      <c r="AO104" s="50"/>
      <c r="AP104" s="50"/>
      <c r="AQ104" s="50"/>
      <c r="AR104" s="50"/>
      <c r="AS104" s="50"/>
      <c r="AT104" s="50"/>
      <c r="AU104" s="50"/>
      <c r="AV104" s="50"/>
      <c r="AW104" s="50"/>
      <c r="AX104" s="50"/>
      <c r="AY104" s="50"/>
      <c r="AZ104" s="50"/>
      <c r="BA104" s="50"/>
      <c r="BB104" s="50"/>
      <c r="BC104" s="50"/>
      <c r="BD104" s="50"/>
      <c r="BE104" s="50"/>
      <c r="BF104" s="50"/>
      <c r="BG104" s="50"/>
    </row>
    <row r="105" spans="1:80" x14ac:dyDescent="0.25">
      <c r="A105" s="50">
        <v>9052398</v>
      </c>
      <c r="B105" t="s">
        <v>3350</v>
      </c>
      <c r="P105" s="50"/>
      <c r="Q105" s="50"/>
      <c r="R105" s="50"/>
      <c r="S105" s="50"/>
      <c r="T105" s="50"/>
      <c r="U105" s="50"/>
      <c r="V105" s="50"/>
      <c r="W105" s="50"/>
      <c r="X105" s="50"/>
      <c r="Y105" s="50">
        <v>1198.2</v>
      </c>
      <c r="Z105" s="50"/>
      <c r="AA105" s="50">
        <v>1001.4</v>
      </c>
      <c r="AB105" s="50"/>
      <c r="AC105" s="50"/>
      <c r="AD105" s="50"/>
      <c r="AE105" s="50"/>
      <c r="AF105" s="50"/>
      <c r="AG105" s="50"/>
      <c r="AH105" s="50"/>
      <c r="AI105" s="50"/>
      <c r="AJ105" s="50"/>
      <c r="AK105" s="50"/>
      <c r="AL105" s="50"/>
      <c r="AM105" s="50"/>
      <c r="AN105" s="50"/>
      <c r="AO105" s="50"/>
      <c r="AP105" s="50"/>
      <c r="AQ105" s="50"/>
      <c r="AR105" s="50"/>
      <c r="AS105" s="50"/>
      <c r="AT105" s="50"/>
      <c r="AU105" s="50"/>
      <c r="AV105" s="50"/>
      <c r="AW105" s="50"/>
      <c r="AX105" s="50"/>
      <c r="AY105" s="50"/>
      <c r="AZ105" s="50"/>
      <c r="BA105" s="50"/>
      <c r="BB105" s="50"/>
      <c r="BC105" s="50"/>
      <c r="BD105" s="50"/>
      <c r="BE105" s="50"/>
      <c r="BF105" s="50"/>
      <c r="BG105" s="50"/>
    </row>
    <row r="106" spans="1:80" x14ac:dyDescent="0.25">
      <c r="A106" s="50">
        <v>9085204</v>
      </c>
      <c r="B106" t="s">
        <v>3350</v>
      </c>
      <c r="P106" s="50"/>
      <c r="Q106" s="50"/>
      <c r="R106" s="50"/>
      <c r="S106" s="50"/>
      <c r="T106" s="50"/>
      <c r="U106" s="50"/>
      <c r="V106" s="50"/>
      <c r="W106" s="50"/>
      <c r="X106" s="50"/>
      <c r="Y106" s="50"/>
      <c r="Z106" s="50"/>
      <c r="AA106" s="50">
        <v>283</v>
      </c>
      <c r="AB106" s="50"/>
      <c r="AC106" s="50"/>
      <c r="AD106" s="50"/>
      <c r="AE106" s="50"/>
      <c r="AF106" s="50"/>
      <c r="AG106" s="50"/>
      <c r="AH106" s="50"/>
      <c r="AI106" s="50"/>
      <c r="AJ106" s="50"/>
      <c r="AK106" s="50"/>
      <c r="AL106" s="50"/>
      <c r="AM106" s="50">
        <v>98</v>
      </c>
      <c r="AN106" s="50"/>
      <c r="AO106" s="50"/>
      <c r="AP106" s="50"/>
      <c r="AQ106" s="50"/>
      <c r="AR106" s="50"/>
      <c r="AS106" s="50"/>
      <c r="AT106" s="50"/>
      <c r="AU106" s="50"/>
      <c r="AV106" s="50"/>
      <c r="AW106" s="50"/>
      <c r="AX106" s="50"/>
      <c r="AY106" s="50"/>
      <c r="AZ106" s="50"/>
      <c r="BA106" s="50"/>
      <c r="BB106" s="50"/>
      <c r="BC106" s="50"/>
      <c r="BD106" s="50"/>
      <c r="BE106" s="50"/>
      <c r="BF106" s="50"/>
      <c r="BG106" s="50"/>
    </row>
    <row r="107" spans="1:80" x14ac:dyDescent="0.25">
      <c r="A107" s="50">
        <v>9090323</v>
      </c>
      <c r="B107" t="s">
        <v>3350</v>
      </c>
      <c r="P107" s="50"/>
      <c r="Q107" s="50"/>
      <c r="R107" s="50"/>
      <c r="S107" s="50"/>
      <c r="T107" s="50"/>
      <c r="U107" s="50"/>
      <c r="V107" s="50"/>
      <c r="W107" s="50"/>
      <c r="X107" s="50"/>
      <c r="Y107" s="50"/>
      <c r="Z107" s="50"/>
      <c r="AA107" s="50"/>
      <c r="AB107" s="50"/>
      <c r="AC107" s="50"/>
      <c r="AD107" s="50"/>
      <c r="AE107" s="50"/>
      <c r="AF107" s="50"/>
      <c r="AG107" s="50"/>
      <c r="AH107" s="50"/>
      <c r="AI107" s="50"/>
      <c r="AJ107" s="50"/>
      <c r="AK107" s="50"/>
      <c r="AL107" s="50"/>
      <c r="AM107" s="50"/>
      <c r="AN107" s="50"/>
      <c r="AO107" s="50"/>
      <c r="AP107" s="50"/>
      <c r="AQ107" s="50"/>
      <c r="AR107" s="50"/>
      <c r="AS107" s="50"/>
      <c r="AT107" s="50"/>
      <c r="AU107" s="50"/>
      <c r="AV107" s="50"/>
      <c r="AW107" s="50"/>
      <c r="AX107" s="50"/>
      <c r="AY107" s="50"/>
      <c r="AZ107" s="50"/>
      <c r="BA107" s="50"/>
      <c r="BB107" s="50"/>
      <c r="BC107" s="50"/>
      <c r="BD107" s="50"/>
      <c r="BE107" s="50"/>
      <c r="BF107" s="50"/>
      <c r="BG107" s="50"/>
    </row>
    <row r="108" spans="1:80" x14ac:dyDescent="0.25">
      <c r="A108" s="50">
        <v>9105492</v>
      </c>
      <c r="B108" t="s">
        <v>3350</v>
      </c>
      <c r="P108" s="50"/>
      <c r="Q108" s="50"/>
      <c r="R108" s="50"/>
      <c r="S108" s="50"/>
      <c r="T108" s="50"/>
      <c r="U108" s="50"/>
      <c r="V108" s="50"/>
      <c r="W108" s="50"/>
      <c r="X108" s="50"/>
      <c r="Y108" s="50"/>
      <c r="Z108" s="50"/>
      <c r="AA108" s="50"/>
      <c r="AB108" s="50"/>
      <c r="AC108" s="50"/>
      <c r="AD108" s="50"/>
      <c r="AE108" s="50"/>
      <c r="AF108" s="50"/>
      <c r="AG108" s="50"/>
      <c r="AH108" s="50"/>
      <c r="AI108" s="50"/>
      <c r="AJ108" s="50"/>
      <c r="AK108" s="50"/>
      <c r="AL108" s="50"/>
      <c r="AM108" s="50"/>
      <c r="AN108" s="50"/>
      <c r="AO108" s="50"/>
      <c r="AP108" s="50"/>
      <c r="AQ108" s="50"/>
      <c r="AR108" s="50"/>
      <c r="AS108" s="50"/>
      <c r="AT108" s="50"/>
      <c r="AU108" s="50"/>
      <c r="AV108" s="50"/>
      <c r="AW108" s="50"/>
      <c r="AX108" s="50"/>
      <c r="AY108" s="50"/>
      <c r="AZ108" s="50"/>
      <c r="BA108" s="50"/>
      <c r="BB108" s="50"/>
      <c r="BC108" s="50"/>
      <c r="BD108" s="50"/>
      <c r="BE108" s="50"/>
      <c r="BF108" s="50"/>
      <c r="BG108" s="50"/>
    </row>
    <row r="109" spans="1:80" x14ac:dyDescent="0.25">
      <c r="A109" s="50">
        <v>9138470</v>
      </c>
      <c r="B109" t="s">
        <v>3350</v>
      </c>
      <c r="P109" s="50"/>
      <c r="Q109" s="50"/>
      <c r="R109" s="50"/>
      <c r="S109" s="50"/>
      <c r="T109" s="50"/>
      <c r="U109" s="50"/>
      <c r="V109" s="50"/>
      <c r="W109" s="50"/>
      <c r="X109" s="50"/>
      <c r="Y109" s="50"/>
      <c r="Z109" s="50"/>
      <c r="AA109" s="50"/>
      <c r="AB109" s="50"/>
      <c r="AC109" s="50"/>
      <c r="AD109" s="50"/>
      <c r="AE109" s="50"/>
      <c r="AF109" s="50"/>
      <c r="AG109" s="50"/>
      <c r="AH109" s="50"/>
      <c r="AI109" s="50"/>
      <c r="AJ109" s="50"/>
      <c r="AK109" s="50"/>
      <c r="AL109" s="50"/>
      <c r="AM109" s="50"/>
      <c r="AN109" s="50"/>
      <c r="AO109" s="50"/>
      <c r="AP109" s="50"/>
      <c r="AQ109" s="50"/>
      <c r="AR109" s="50"/>
      <c r="AS109" s="50"/>
      <c r="AT109" s="50"/>
      <c r="AU109" s="50"/>
      <c r="AV109" s="50"/>
      <c r="AW109" s="50"/>
      <c r="AX109" s="50"/>
      <c r="AY109" s="50"/>
      <c r="AZ109" s="50"/>
      <c r="BA109" s="50"/>
      <c r="BB109" s="50"/>
      <c r="BC109" s="50"/>
      <c r="BD109" s="50"/>
      <c r="BE109" s="50"/>
      <c r="BF109" s="50"/>
      <c r="BG109" s="50"/>
    </row>
    <row r="110" spans="1:80" x14ac:dyDescent="0.25">
      <c r="A110" s="50">
        <v>9150676</v>
      </c>
      <c r="B110" t="s">
        <v>3350</v>
      </c>
      <c r="P110" s="50"/>
      <c r="Q110" s="50"/>
      <c r="R110" s="50"/>
      <c r="S110" s="50"/>
      <c r="T110" s="50"/>
      <c r="U110" s="50"/>
      <c r="V110" s="50"/>
      <c r="W110" s="50"/>
      <c r="X110" s="50"/>
      <c r="Y110" s="50">
        <v>47</v>
      </c>
      <c r="Z110" s="50"/>
      <c r="AA110" s="50"/>
      <c r="AB110" s="50"/>
      <c r="AC110" s="50"/>
      <c r="AD110" s="50"/>
      <c r="AE110" s="50"/>
      <c r="AF110" s="50"/>
      <c r="AG110" s="50"/>
      <c r="AH110" s="50"/>
      <c r="AI110" s="50"/>
      <c r="AJ110" s="50"/>
      <c r="AK110" s="50"/>
      <c r="AL110" s="50"/>
      <c r="AM110" s="50"/>
      <c r="AN110" s="50"/>
      <c r="AO110" s="50"/>
      <c r="AP110" s="50"/>
      <c r="AQ110" s="50"/>
      <c r="AR110" s="50"/>
      <c r="AS110" s="50"/>
      <c r="AT110" s="50"/>
      <c r="AU110" s="50"/>
      <c r="AV110" s="50"/>
      <c r="AW110" s="50"/>
      <c r="AX110" s="50"/>
      <c r="AY110" s="50"/>
      <c r="AZ110" s="50"/>
      <c r="BA110" s="50"/>
      <c r="BB110" s="50"/>
      <c r="BC110" s="50"/>
      <c r="BD110" s="50"/>
      <c r="BE110" s="50"/>
      <c r="BF110" s="50"/>
      <c r="BG110" s="50">
        <v>75</v>
      </c>
      <c r="BW110">
        <v>170</v>
      </c>
      <c r="CB110">
        <v>410</v>
      </c>
    </row>
    <row r="111" spans="1:80" x14ac:dyDescent="0.25">
      <c r="A111" s="50">
        <v>10010926</v>
      </c>
      <c r="B111" t="s">
        <v>3350</v>
      </c>
      <c r="P111" s="50"/>
      <c r="Q111" s="50"/>
      <c r="R111" s="50"/>
      <c r="S111" s="50"/>
      <c r="T111" s="50"/>
      <c r="U111" s="50"/>
      <c r="V111" s="50"/>
      <c r="W111" s="50"/>
      <c r="X111" s="50"/>
      <c r="Y111" s="50"/>
      <c r="Z111" s="50"/>
      <c r="AA111" s="50"/>
      <c r="AB111" s="50"/>
      <c r="AC111" s="50"/>
      <c r="AD111" s="50"/>
      <c r="AE111" s="50"/>
      <c r="AF111" s="50"/>
      <c r="AG111" s="50"/>
      <c r="AH111" s="50"/>
      <c r="AI111" s="50"/>
      <c r="AJ111" s="50"/>
      <c r="AK111" s="50"/>
      <c r="AL111" s="50"/>
      <c r="AM111" s="50"/>
      <c r="AN111" s="50"/>
      <c r="AO111" s="50"/>
      <c r="AP111" s="50"/>
      <c r="AQ111" s="50"/>
      <c r="AR111" s="50"/>
      <c r="AS111" s="50"/>
      <c r="AT111" s="50"/>
      <c r="AU111" s="50"/>
      <c r="AV111" s="50"/>
      <c r="AW111" s="50"/>
      <c r="AX111" s="50"/>
      <c r="AY111" s="50"/>
      <c r="AZ111" s="50"/>
      <c r="BA111" s="50"/>
      <c r="BB111" s="50"/>
      <c r="BC111" s="50"/>
      <c r="BD111" s="50"/>
      <c r="BE111" s="50"/>
      <c r="BF111" s="50"/>
      <c r="BG111" s="50"/>
    </row>
    <row r="112" spans="1:80" x14ac:dyDescent="0.25">
      <c r="A112" s="50">
        <v>10016588</v>
      </c>
      <c r="B112" t="s">
        <v>3350</v>
      </c>
      <c r="P112" s="50"/>
      <c r="Q112" s="50"/>
      <c r="R112" s="50"/>
      <c r="S112" s="50"/>
      <c r="T112" s="50"/>
      <c r="U112" s="50"/>
      <c r="V112" s="50"/>
      <c r="W112" s="50"/>
      <c r="X112" s="50"/>
      <c r="Y112" s="50"/>
      <c r="Z112" s="50"/>
      <c r="AA112" s="50"/>
      <c r="AB112" s="50"/>
      <c r="AC112" s="50"/>
      <c r="AD112" s="50"/>
      <c r="AE112" s="50"/>
      <c r="AF112" s="50"/>
      <c r="AG112" s="50"/>
      <c r="AH112" s="50"/>
      <c r="AI112" s="50"/>
      <c r="AJ112" s="50"/>
      <c r="AK112" s="50"/>
      <c r="AL112" s="50"/>
      <c r="AM112" s="50"/>
      <c r="AN112" s="50"/>
      <c r="AO112" s="50"/>
      <c r="AP112" s="50"/>
      <c r="AQ112" s="50"/>
      <c r="AR112" s="50"/>
      <c r="AS112" s="50"/>
      <c r="AT112" s="50"/>
      <c r="AU112" s="50"/>
      <c r="AV112" s="50"/>
      <c r="AW112" s="50"/>
      <c r="AX112" s="50"/>
      <c r="AY112" s="50"/>
      <c r="AZ112" s="50"/>
      <c r="BA112" s="50"/>
      <c r="BB112" s="50"/>
      <c r="BC112" s="50"/>
      <c r="BD112" s="50"/>
      <c r="BE112" s="50"/>
      <c r="BF112" s="50"/>
      <c r="BG112" s="50"/>
    </row>
    <row r="113" spans="1:71" x14ac:dyDescent="0.25">
      <c r="A113" s="50">
        <v>10030897</v>
      </c>
      <c r="B113" t="s">
        <v>3350</v>
      </c>
      <c r="J113">
        <v>282</v>
      </c>
      <c r="P113" s="50"/>
      <c r="Q113" s="50"/>
      <c r="R113" s="50"/>
      <c r="S113" s="50"/>
      <c r="T113" s="50"/>
      <c r="U113" s="50"/>
      <c r="V113" s="50"/>
      <c r="W113" s="50"/>
      <c r="X113" s="50"/>
      <c r="Y113" s="50">
        <v>869</v>
      </c>
      <c r="Z113" s="50"/>
      <c r="AA113" s="50"/>
      <c r="AB113" s="50"/>
      <c r="AC113" s="50"/>
      <c r="AD113" s="50">
        <v>1016</v>
      </c>
      <c r="AE113" s="50"/>
      <c r="AF113" s="50"/>
      <c r="AG113" s="50"/>
      <c r="AH113" s="50"/>
      <c r="AI113" s="50"/>
      <c r="AJ113" s="50"/>
      <c r="AK113" s="50"/>
      <c r="AL113" s="50">
        <v>606</v>
      </c>
      <c r="AM113" s="50"/>
      <c r="AN113" s="50"/>
      <c r="AO113" s="50"/>
      <c r="AP113" s="50"/>
      <c r="AQ113" s="50"/>
      <c r="AR113" s="50"/>
      <c r="AS113" s="50">
        <v>344</v>
      </c>
      <c r="AT113" s="50"/>
      <c r="AU113" s="50"/>
      <c r="AV113" s="50"/>
      <c r="AW113" s="50"/>
      <c r="AX113" s="50"/>
      <c r="AY113" s="50"/>
      <c r="AZ113" s="50"/>
      <c r="BA113" s="50"/>
      <c r="BB113" s="50"/>
      <c r="BC113" s="50"/>
      <c r="BD113" s="50">
        <v>193</v>
      </c>
      <c r="BE113" s="50"/>
      <c r="BF113" s="50"/>
      <c r="BG113" s="50"/>
    </row>
    <row r="114" spans="1:71" x14ac:dyDescent="0.25">
      <c r="A114" s="50">
        <v>324</v>
      </c>
      <c r="B114" t="s">
        <v>3350</v>
      </c>
      <c r="P114" s="50"/>
      <c r="Q114" s="50"/>
      <c r="R114" s="50"/>
      <c r="S114" s="50"/>
      <c r="T114" s="50"/>
      <c r="U114" s="50"/>
      <c r="V114" s="50"/>
      <c r="W114" s="50"/>
      <c r="X114" s="50"/>
      <c r="Y114" s="50"/>
      <c r="Z114" s="50"/>
      <c r="AA114" s="50"/>
      <c r="AB114" s="50"/>
      <c r="AC114" s="50"/>
      <c r="AD114" s="50"/>
      <c r="AE114" s="50"/>
      <c r="AF114" s="50"/>
      <c r="AG114" s="50"/>
      <c r="AH114" s="50"/>
      <c r="AI114" s="50"/>
      <c r="AJ114" s="50"/>
      <c r="AK114" s="50"/>
      <c r="AL114" s="50"/>
      <c r="AM114" s="50"/>
      <c r="AN114" s="50"/>
      <c r="AO114" s="50"/>
      <c r="AP114" s="50"/>
      <c r="AQ114" s="50"/>
      <c r="AR114" s="50"/>
      <c r="AS114" s="50"/>
      <c r="AT114" s="50"/>
      <c r="AU114" s="50"/>
      <c r="AV114" s="50"/>
      <c r="AW114" s="50"/>
      <c r="AX114" s="50">
        <v>10.3</v>
      </c>
      <c r="AY114" s="50"/>
      <c r="AZ114" s="50"/>
      <c r="BA114" s="50"/>
      <c r="BB114" s="50"/>
      <c r="BC114" s="50"/>
      <c r="BD114" s="50"/>
      <c r="BE114" s="50"/>
      <c r="BF114" s="50"/>
      <c r="BG114" s="50"/>
    </row>
    <row r="115" spans="1:71" x14ac:dyDescent="0.25">
      <c r="A115" s="50">
        <v>3909</v>
      </c>
      <c r="B115" t="s">
        <v>3350</v>
      </c>
      <c r="P115" s="50"/>
      <c r="Q115" s="50"/>
      <c r="R115" s="50"/>
      <c r="S115" s="50"/>
      <c r="T115" s="50"/>
      <c r="U115" s="50"/>
      <c r="V115" s="50"/>
      <c r="W115" s="50"/>
      <c r="X115" s="50"/>
      <c r="Y115" s="50"/>
      <c r="Z115" s="50"/>
      <c r="AA115" s="50"/>
      <c r="AB115" s="50"/>
      <c r="AC115" s="50"/>
      <c r="AD115" s="50"/>
      <c r="AE115" s="50"/>
      <c r="AF115" s="50"/>
      <c r="AG115" s="50"/>
      <c r="AH115" s="50"/>
      <c r="AI115" s="50"/>
      <c r="AJ115" s="50"/>
      <c r="AK115" s="50"/>
      <c r="AL115" s="50"/>
      <c r="AM115" s="50"/>
      <c r="AN115" s="50"/>
      <c r="AO115" s="50"/>
      <c r="AP115" s="50"/>
      <c r="AQ115" s="50"/>
      <c r="AR115" s="50"/>
      <c r="AS115" s="50"/>
      <c r="AT115" s="50"/>
      <c r="AU115" s="50"/>
      <c r="AV115" s="50"/>
      <c r="AW115" s="50"/>
      <c r="AX115" s="50"/>
      <c r="AY115" s="50"/>
      <c r="AZ115" s="50"/>
      <c r="BA115" s="50"/>
      <c r="BB115" s="50"/>
      <c r="BC115" s="50"/>
      <c r="BD115" s="50"/>
      <c r="BE115" s="50"/>
      <c r="BF115" s="50"/>
      <c r="BG115" s="50"/>
      <c r="BS115">
        <v>90</v>
      </c>
    </row>
    <row r="116" spans="1:71" x14ac:dyDescent="0.25">
      <c r="A116" s="50">
        <v>4663</v>
      </c>
      <c r="B116" t="s">
        <v>3350</v>
      </c>
      <c r="L116">
        <v>36</v>
      </c>
      <c r="P116" s="50"/>
      <c r="Q116" s="50"/>
      <c r="R116" s="50"/>
      <c r="S116" s="50"/>
      <c r="T116" s="50"/>
      <c r="U116" s="50"/>
      <c r="V116" s="50"/>
      <c r="W116" s="50"/>
      <c r="X116" s="50"/>
      <c r="Y116" s="50"/>
      <c r="Z116" s="50"/>
      <c r="AA116" s="50"/>
      <c r="AB116" s="50"/>
      <c r="AC116" s="50"/>
      <c r="AD116" s="50"/>
      <c r="AE116" s="50"/>
      <c r="AF116" s="50"/>
      <c r="AG116" s="50"/>
      <c r="AH116" s="50"/>
      <c r="AI116" s="50"/>
      <c r="AJ116" s="50"/>
      <c r="AK116" s="50"/>
      <c r="AL116" s="50"/>
      <c r="AM116" s="50"/>
      <c r="AN116" s="50"/>
      <c r="AO116" s="50"/>
      <c r="AP116" s="50"/>
      <c r="AQ116" s="50"/>
      <c r="AR116" s="50"/>
      <c r="AS116" s="50"/>
      <c r="AT116" s="50"/>
      <c r="AU116" s="50"/>
      <c r="AV116" s="50"/>
      <c r="AW116" s="50"/>
      <c r="AX116" s="50"/>
      <c r="AY116" s="50"/>
      <c r="AZ116" s="50"/>
      <c r="BA116" s="50"/>
      <c r="BB116" s="50"/>
      <c r="BC116" s="50"/>
      <c r="BD116" s="50"/>
      <c r="BE116" s="50"/>
      <c r="BF116" s="50"/>
      <c r="BG116" s="50"/>
    </row>
    <row r="117" spans="1:71" x14ac:dyDescent="0.25">
      <c r="A117" s="50">
        <v>1005522</v>
      </c>
      <c r="B117" t="s">
        <v>3350</v>
      </c>
      <c r="I117">
        <v>18</v>
      </c>
      <c r="K117">
        <v>21</v>
      </c>
      <c r="P117" s="50"/>
      <c r="Q117" s="50"/>
      <c r="R117" s="50"/>
      <c r="S117" s="50"/>
      <c r="T117" s="50"/>
      <c r="U117" s="50"/>
      <c r="V117" s="50"/>
      <c r="W117" s="50"/>
      <c r="X117" s="50"/>
      <c r="Y117" s="50">
        <v>244</v>
      </c>
      <c r="Z117" s="50"/>
      <c r="AA117" s="50"/>
      <c r="AB117" s="50"/>
      <c r="AC117" s="50"/>
      <c r="AD117" s="50"/>
      <c r="AE117" s="50"/>
      <c r="AF117" s="50"/>
      <c r="AG117" s="50">
        <v>100</v>
      </c>
      <c r="AH117" s="50"/>
      <c r="AI117" s="50"/>
      <c r="AJ117" s="50"/>
      <c r="AK117" s="50"/>
      <c r="AL117" s="50"/>
      <c r="AM117" s="50">
        <v>57</v>
      </c>
      <c r="AN117" s="50"/>
      <c r="AO117" s="50"/>
      <c r="AP117" s="50"/>
      <c r="AQ117" s="50"/>
      <c r="AR117" s="50"/>
      <c r="AS117" s="50"/>
      <c r="AT117" s="50"/>
      <c r="AU117" s="50"/>
      <c r="AV117" s="50"/>
      <c r="AW117" s="50"/>
      <c r="AX117" s="50"/>
      <c r="AY117" s="50"/>
      <c r="AZ117" s="50"/>
      <c r="BA117" s="50"/>
      <c r="BB117" s="50"/>
      <c r="BC117" s="50"/>
      <c r="BD117" s="50"/>
      <c r="BE117" s="50"/>
      <c r="BF117" s="50"/>
      <c r="BG117" s="50"/>
    </row>
    <row r="118" spans="1:71" x14ac:dyDescent="0.25">
      <c r="A118" s="50">
        <v>1007631</v>
      </c>
      <c r="B118" t="s">
        <v>3350</v>
      </c>
      <c r="P118" s="50"/>
      <c r="Q118" s="50"/>
      <c r="R118" s="50"/>
      <c r="S118" s="50"/>
      <c r="T118" s="50"/>
      <c r="U118" s="50"/>
      <c r="V118" s="50"/>
      <c r="W118" s="50"/>
      <c r="X118" s="50"/>
      <c r="Y118" s="50"/>
      <c r="Z118" s="50">
        <v>125</v>
      </c>
      <c r="AA118" s="50"/>
      <c r="AB118" s="50"/>
      <c r="AC118" s="50"/>
      <c r="AD118" s="50"/>
      <c r="AE118" s="50"/>
      <c r="AF118" s="50"/>
      <c r="AG118" s="50"/>
      <c r="AH118" s="50"/>
      <c r="AI118" s="50"/>
      <c r="AJ118" s="50"/>
      <c r="AK118" s="50"/>
      <c r="AL118" s="50"/>
      <c r="AM118" s="50"/>
      <c r="AN118" s="50"/>
      <c r="AO118" s="50"/>
      <c r="AP118" s="50"/>
      <c r="AQ118" s="50"/>
      <c r="AR118" s="50"/>
      <c r="AS118" s="50"/>
      <c r="AT118" s="50"/>
      <c r="AU118" s="50"/>
      <c r="AV118" s="50"/>
      <c r="AW118" s="50">
        <v>30</v>
      </c>
      <c r="AX118" s="50"/>
      <c r="AY118" s="50"/>
      <c r="AZ118" s="50"/>
      <c r="BA118" s="50"/>
      <c r="BB118" s="50"/>
      <c r="BC118" s="50"/>
      <c r="BD118" s="50"/>
      <c r="BE118" s="50"/>
      <c r="BF118" s="50"/>
      <c r="BG118" s="50"/>
    </row>
    <row r="119" spans="1:71" x14ac:dyDescent="0.25">
      <c r="A119" s="50">
        <v>1009760</v>
      </c>
      <c r="B119" t="s">
        <v>3350</v>
      </c>
      <c r="AB119">
        <v>68.099999999999994</v>
      </c>
      <c r="AD119">
        <v>66.2</v>
      </c>
      <c r="AH119">
        <v>69.8</v>
      </c>
      <c r="AJ119">
        <v>83.9</v>
      </c>
      <c r="AN119">
        <v>78.8</v>
      </c>
    </row>
    <row r="120" spans="1:71" x14ac:dyDescent="0.25">
      <c r="A120" s="50">
        <v>2000646</v>
      </c>
      <c r="B120" t="s">
        <v>3350</v>
      </c>
    </row>
    <row r="121" spans="1:71" x14ac:dyDescent="0.25">
      <c r="A121" s="50">
        <v>2003761</v>
      </c>
      <c r="B121" t="s">
        <v>3350</v>
      </c>
    </row>
    <row r="122" spans="1:71" x14ac:dyDescent="0.25">
      <c r="A122" s="50">
        <v>2004061</v>
      </c>
      <c r="B122" t="s">
        <v>3350</v>
      </c>
    </row>
    <row r="123" spans="1:71" x14ac:dyDescent="0.25">
      <c r="A123" s="50">
        <v>2006469</v>
      </c>
      <c r="B123" t="s">
        <v>3350</v>
      </c>
    </row>
    <row r="124" spans="1:71" x14ac:dyDescent="0.25">
      <c r="A124" s="50">
        <v>3005132</v>
      </c>
      <c r="B124" t="s">
        <v>3350</v>
      </c>
      <c r="Y124">
        <v>209</v>
      </c>
    </row>
    <row r="125" spans="1:71" x14ac:dyDescent="0.25">
      <c r="A125" s="50">
        <v>3009119</v>
      </c>
      <c r="B125" t="s">
        <v>3350</v>
      </c>
    </row>
    <row r="126" spans="1:71" x14ac:dyDescent="0.25">
      <c r="A126" s="50">
        <v>3009936</v>
      </c>
      <c r="B126" t="s">
        <v>3350</v>
      </c>
    </row>
    <row r="127" spans="1:71" x14ac:dyDescent="0.25">
      <c r="A127" s="50">
        <v>3011094</v>
      </c>
      <c r="B127" t="s">
        <v>3350</v>
      </c>
    </row>
    <row r="128" spans="1:71" x14ac:dyDescent="0.25">
      <c r="A128" s="50">
        <v>3014643</v>
      </c>
      <c r="B128" t="s">
        <v>3350</v>
      </c>
      <c r="Y128">
        <v>499</v>
      </c>
      <c r="AO128">
        <v>255</v>
      </c>
      <c r="BH128">
        <v>72.7</v>
      </c>
    </row>
    <row r="129" spans="1:79" x14ac:dyDescent="0.25">
      <c r="A129" s="50">
        <v>3016056</v>
      </c>
      <c r="B129" t="s">
        <v>3350</v>
      </c>
      <c r="Y129">
        <v>284</v>
      </c>
      <c r="BZ129">
        <v>405</v>
      </c>
      <c r="CA129">
        <v>406</v>
      </c>
    </row>
    <row r="130" spans="1:79" x14ac:dyDescent="0.25">
      <c r="A130" s="50">
        <v>3900219</v>
      </c>
      <c r="B130" t="s">
        <v>3350</v>
      </c>
      <c r="Q130">
        <v>73</v>
      </c>
      <c r="Y130">
        <v>116</v>
      </c>
      <c r="AN130">
        <v>244</v>
      </c>
    </row>
    <row r="131" spans="1:79" x14ac:dyDescent="0.25">
      <c r="A131" s="50">
        <v>4000158</v>
      </c>
      <c r="B131" t="s">
        <v>3350</v>
      </c>
      <c r="Z131" s="3">
        <v>79.8</v>
      </c>
    </row>
    <row r="132" spans="1:79" x14ac:dyDescent="0.25">
      <c r="A132" s="50">
        <v>4000304</v>
      </c>
      <c r="B132" t="s">
        <v>3350</v>
      </c>
      <c r="Y132">
        <v>1026</v>
      </c>
    </row>
    <row r="133" spans="1:79" x14ac:dyDescent="0.25">
      <c r="A133" s="50">
        <v>4001905</v>
      </c>
      <c r="B133" t="s">
        <v>3350</v>
      </c>
    </row>
    <row r="134" spans="1:79" x14ac:dyDescent="0.25">
      <c r="A134" s="50">
        <v>4002206</v>
      </c>
      <c r="B134" t="s">
        <v>3350</v>
      </c>
      <c r="Y134">
        <v>180.6</v>
      </c>
    </row>
    <row r="135" spans="1:79" x14ac:dyDescent="0.25">
      <c r="A135" s="50">
        <v>4002715</v>
      </c>
      <c r="B135" t="s">
        <v>3350</v>
      </c>
      <c r="AI135">
        <v>57</v>
      </c>
      <c r="AR135">
        <v>54</v>
      </c>
      <c r="AZ135">
        <v>27</v>
      </c>
    </row>
    <row r="136" spans="1:79" x14ac:dyDescent="0.25">
      <c r="A136" s="50">
        <v>4003924</v>
      </c>
      <c r="B136" t="s">
        <v>3350</v>
      </c>
      <c r="Z136">
        <v>220</v>
      </c>
    </row>
    <row r="137" spans="1:79" x14ac:dyDescent="0.25">
      <c r="A137" s="50">
        <v>4006051</v>
      </c>
      <c r="B137" t="s">
        <v>3350</v>
      </c>
    </row>
    <row r="138" spans="1:79" x14ac:dyDescent="0.25">
      <c r="A138" s="50">
        <v>4008140</v>
      </c>
      <c r="B138" t="s">
        <v>3350</v>
      </c>
      <c r="X138">
        <v>88</v>
      </c>
    </row>
    <row r="139" spans="1:79" x14ac:dyDescent="0.25">
      <c r="A139" s="50">
        <v>4009906</v>
      </c>
      <c r="B139" t="s">
        <v>3350</v>
      </c>
      <c r="Z139">
        <v>57</v>
      </c>
      <c r="AY139">
        <v>51</v>
      </c>
      <c r="BT139">
        <v>83</v>
      </c>
      <c r="BY139">
        <v>81</v>
      </c>
    </row>
    <row r="140" spans="1:79" x14ac:dyDescent="0.25">
      <c r="A140" s="50">
        <v>4011027</v>
      </c>
      <c r="B140" t="s">
        <v>3350</v>
      </c>
    </row>
    <row r="141" spans="1:79" x14ac:dyDescent="0.25">
      <c r="A141" s="50">
        <v>4011920</v>
      </c>
      <c r="B141" t="s">
        <v>3350</v>
      </c>
      <c r="Y141">
        <v>473</v>
      </c>
      <c r="AJ141">
        <v>234</v>
      </c>
      <c r="AT141">
        <v>16</v>
      </c>
    </row>
    <row r="142" spans="1:79" x14ac:dyDescent="0.25">
      <c r="A142" s="50">
        <v>4012248</v>
      </c>
      <c r="B142" t="s">
        <v>3350</v>
      </c>
      <c r="Y142">
        <v>380</v>
      </c>
      <c r="Z142">
        <v>392</v>
      </c>
      <c r="AB142">
        <v>390</v>
      </c>
      <c r="AG142">
        <v>417</v>
      </c>
      <c r="AL142">
        <v>403</v>
      </c>
      <c r="AS142">
        <v>331</v>
      </c>
      <c r="BB142">
        <v>220</v>
      </c>
    </row>
    <row r="143" spans="1:79" x14ac:dyDescent="0.25">
      <c r="A143" s="50">
        <v>4013603</v>
      </c>
      <c r="B143" t="s">
        <v>3350</v>
      </c>
      <c r="Y143">
        <v>558</v>
      </c>
    </row>
    <row r="144" spans="1:79" x14ac:dyDescent="0.25">
      <c r="A144" s="50">
        <v>5004654</v>
      </c>
      <c r="B144" t="s">
        <v>3350</v>
      </c>
      <c r="Z144">
        <v>317</v>
      </c>
      <c r="AA144">
        <v>441</v>
      </c>
      <c r="AB144">
        <v>411</v>
      </c>
      <c r="AC144">
        <v>439</v>
      </c>
      <c r="AD144">
        <v>529</v>
      </c>
      <c r="AE144">
        <v>547</v>
      </c>
      <c r="AG144">
        <v>672</v>
      </c>
      <c r="AI144">
        <v>634</v>
      </c>
      <c r="AM144">
        <v>607</v>
      </c>
      <c r="AO144">
        <v>546</v>
      </c>
    </row>
    <row r="145" spans="1:72" x14ac:dyDescent="0.25">
      <c r="A145" s="54"/>
      <c r="B145" s="65"/>
    </row>
    <row r="146" spans="1:72" x14ac:dyDescent="0.25">
      <c r="A146" s="52" t="s">
        <v>146</v>
      </c>
      <c r="B146" s="10"/>
    </row>
    <row r="147" spans="1:72" x14ac:dyDescent="0.25">
      <c r="A147" s="50">
        <v>4289</v>
      </c>
      <c r="B147" t="s">
        <v>3351</v>
      </c>
    </row>
    <row r="148" spans="1:72" x14ac:dyDescent="0.25">
      <c r="A148" s="50">
        <v>500245</v>
      </c>
      <c r="B148" t="s">
        <v>3351</v>
      </c>
      <c r="Y148">
        <v>170</v>
      </c>
      <c r="Z148">
        <v>148</v>
      </c>
      <c r="AA148">
        <v>194.5</v>
      </c>
      <c r="AB148">
        <v>240.6</v>
      </c>
      <c r="AD148">
        <v>202.4</v>
      </c>
      <c r="AH148">
        <v>160.30000000000001</v>
      </c>
    </row>
    <row r="149" spans="1:72" x14ac:dyDescent="0.25">
      <c r="A149" s="50">
        <v>2002573</v>
      </c>
      <c r="B149" t="s">
        <v>3351</v>
      </c>
      <c r="AF149">
        <v>204</v>
      </c>
      <c r="AK149">
        <v>201</v>
      </c>
      <c r="AO149">
        <v>142</v>
      </c>
    </row>
    <row r="150" spans="1:72" x14ac:dyDescent="0.25">
      <c r="A150" s="50">
        <v>2003539</v>
      </c>
      <c r="B150" t="s">
        <v>3351</v>
      </c>
      <c r="AF150">
        <v>277</v>
      </c>
    </row>
    <row r="151" spans="1:72" x14ac:dyDescent="0.25">
      <c r="A151" s="50">
        <v>2003649</v>
      </c>
      <c r="B151" t="s">
        <v>3351</v>
      </c>
      <c r="E151">
        <v>426.6</v>
      </c>
      <c r="F151">
        <v>1188</v>
      </c>
      <c r="Q151">
        <v>264.60000000000002</v>
      </c>
      <c r="Y151" s="50">
        <v>2326.1999999999998</v>
      </c>
      <c r="AF151">
        <v>1108.8</v>
      </c>
      <c r="AK151">
        <v>709.8</v>
      </c>
      <c r="BM151">
        <v>426.6</v>
      </c>
      <c r="BT151">
        <v>264.60000000000002</v>
      </c>
    </row>
    <row r="152" spans="1:72" x14ac:dyDescent="0.25">
      <c r="A152" s="50">
        <v>2005572</v>
      </c>
      <c r="B152" t="s">
        <v>3351</v>
      </c>
      <c r="Y152">
        <v>155</v>
      </c>
      <c r="AA152">
        <v>106</v>
      </c>
      <c r="AD152">
        <v>73</v>
      </c>
    </row>
    <row r="153" spans="1:72" x14ac:dyDescent="0.25">
      <c r="A153" s="50">
        <v>2013117</v>
      </c>
      <c r="B153" t="s">
        <v>3351</v>
      </c>
      <c r="X153">
        <v>176</v>
      </c>
    </row>
    <row r="154" spans="1:72" x14ac:dyDescent="0.25">
      <c r="A154" s="50">
        <v>3009633</v>
      </c>
      <c r="B154" t="s">
        <v>3351</v>
      </c>
      <c r="AM154">
        <v>229.8</v>
      </c>
      <c r="AQ154">
        <v>161.4</v>
      </c>
      <c r="AS154">
        <v>132</v>
      </c>
      <c r="AU154">
        <v>126</v>
      </c>
    </row>
    <row r="155" spans="1:72" x14ac:dyDescent="0.25">
      <c r="A155" s="50">
        <v>3010583</v>
      </c>
      <c r="B155" t="s">
        <v>3351</v>
      </c>
      <c r="X155" s="14">
        <v>547</v>
      </c>
      <c r="Y155">
        <v>599</v>
      </c>
      <c r="BA155">
        <v>599</v>
      </c>
    </row>
    <row r="156" spans="1:72" x14ac:dyDescent="0.25">
      <c r="A156" s="23">
        <v>3011892</v>
      </c>
      <c r="B156" t="s">
        <v>3351</v>
      </c>
    </row>
    <row r="157" spans="1:72" x14ac:dyDescent="0.25">
      <c r="A157">
        <v>4001382</v>
      </c>
      <c r="B157" t="s">
        <v>3351</v>
      </c>
      <c r="AM157" s="14">
        <v>35</v>
      </c>
      <c r="AN157" s="14">
        <v>41.5</v>
      </c>
    </row>
    <row r="158" spans="1:72" x14ac:dyDescent="0.25">
      <c r="A158" s="50">
        <v>5018675</v>
      </c>
      <c r="B158" t="s">
        <v>3351</v>
      </c>
      <c r="AE158">
        <v>120</v>
      </c>
    </row>
    <row r="159" spans="1:72" x14ac:dyDescent="0.25">
      <c r="A159" s="50">
        <v>6050168</v>
      </c>
      <c r="B159" t="s">
        <v>3351</v>
      </c>
      <c r="X159" s="50"/>
    </row>
    <row r="160" spans="1:72" x14ac:dyDescent="0.25">
      <c r="A160" s="50">
        <v>5006592</v>
      </c>
      <c r="B160" t="s">
        <v>3351</v>
      </c>
    </row>
    <row r="161" spans="1:81" x14ac:dyDescent="0.25">
      <c r="A161" s="50">
        <v>5007274</v>
      </c>
      <c r="B161" t="s">
        <v>3351</v>
      </c>
    </row>
    <row r="162" spans="1:81" x14ac:dyDescent="0.25">
      <c r="A162" s="50">
        <v>5015851</v>
      </c>
      <c r="B162" t="s">
        <v>3351</v>
      </c>
      <c r="Y162" s="14">
        <v>113.7</v>
      </c>
      <c r="BC162">
        <v>16.8</v>
      </c>
      <c r="BL162">
        <v>15</v>
      </c>
      <c r="BX162" s="3">
        <v>10.199999999999999</v>
      </c>
      <c r="CC162">
        <v>11.4</v>
      </c>
    </row>
    <row r="163" spans="1:81" x14ac:dyDescent="0.25">
      <c r="A163" s="50">
        <v>6015647</v>
      </c>
      <c r="B163" t="s">
        <v>3351</v>
      </c>
      <c r="Y163">
        <v>142</v>
      </c>
      <c r="Z163">
        <v>123</v>
      </c>
      <c r="AA163">
        <v>126</v>
      </c>
      <c r="AB163">
        <v>122</v>
      </c>
      <c r="AC163">
        <v>128</v>
      </c>
      <c r="AE163">
        <v>131</v>
      </c>
      <c r="AH163">
        <v>122</v>
      </c>
      <c r="AM163">
        <v>121</v>
      </c>
      <c r="AO163">
        <v>134</v>
      </c>
      <c r="BA163">
        <v>85</v>
      </c>
      <c r="BK163">
        <v>44</v>
      </c>
    </row>
    <row r="164" spans="1:81" x14ac:dyDescent="0.25">
      <c r="A164" s="50">
        <v>6056633</v>
      </c>
      <c r="B164" t="s">
        <v>3351</v>
      </c>
      <c r="V164">
        <v>211</v>
      </c>
      <c r="AB164">
        <v>271</v>
      </c>
      <c r="AP164">
        <v>40.5</v>
      </c>
    </row>
    <row r="165" spans="1:81" x14ac:dyDescent="0.25">
      <c r="A165" s="50">
        <v>7086224</v>
      </c>
      <c r="B165" t="s">
        <v>3351</v>
      </c>
      <c r="AI165">
        <v>378.6</v>
      </c>
      <c r="AN165" s="3">
        <v>454.2</v>
      </c>
      <c r="AV165" s="3">
        <v>247.2</v>
      </c>
      <c r="AY165">
        <v>181.2</v>
      </c>
    </row>
    <row r="166" spans="1:81" x14ac:dyDescent="0.25">
      <c r="A166" s="50">
        <v>8040959</v>
      </c>
      <c r="B166" t="s">
        <v>3351</v>
      </c>
      <c r="W166">
        <v>778.1</v>
      </c>
    </row>
    <row r="167" spans="1:81" x14ac:dyDescent="0.25">
      <c r="A167" s="50">
        <v>8107048</v>
      </c>
      <c r="B167" t="s">
        <v>3351</v>
      </c>
      <c r="Y167">
        <v>312</v>
      </c>
      <c r="AI167">
        <v>271.2</v>
      </c>
    </row>
    <row r="168" spans="1:81" x14ac:dyDescent="0.25">
      <c r="A168" s="50">
        <v>8124044</v>
      </c>
      <c r="B168" t="s">
        <v>3351</v>
      </c>
      <c r="BJ168">
        <v>766</v>
      </c>
      <c r="BL168">
        <v>741</v>
      </c>
      <c r="BP168">
        <v>390</v>
      </c>
    </row>
    <row r="169" spans="1:81" x14ac:dyDescent="0.25">
      <c r="A169" s="50">
        <v>8142949</v>
      </c>
      <c r="B169" t="s">
        <v>3351</v>
      </c>
    </row>
    <row r="170" spans="1:81" x14ac:dyDescent="0.25">
      <c r="A170" s="50">
        <v>9023306</v>
      </c>
      <c r="B170" t="s">
        <v>3351</v>
      </c>
      <c r="AB170">
        <v>402</v>
      </c>
      <c r="AC170">
        <v>318</v>
      </c>
      <c r="AD170">
        <v>258</v>
      </c>
      <c r="AG170">
        <v>239.4</v>
      </c>
    </row>
    <row r="171" spans="1:81" x14ac:dyDescent="0.25">
      <c r="A171" s="50">
        <v>9030615</v>
      </c>
      <c r="B171" t="s">
        <v>3351</v>
      </c>
      <c r="AB171">
        <v>80.400000000000006</v>
      </c>
      <c r="AH171">
        <v>55.2</v>
      </c>
      <c r="AN171">
        <v>105.6</v>
      </c>
      <c r="AP171" s="3">
        <v>124.8</v>
      </c>
    </row>
    <row r="172" spans="1:81" x14ac:dyDescent="0.25">
      <c r="A172" s="50">
        <v>9034464</v>
      </c>
      <c r="B172" t="s">
        <v>3351</v>
      </c>
    </row>
    <row r="173" spans="1:81" x14ac:dyDescent="0.25">
      <c r="A173" s="50">
        <v>9040167</v>
      </c>
      <c r="B173" t="s">
        <v>3351</v>
      </c>
    </row>
    <row r="174" spans="1:81" x14ac:dyDescent="0.25">
      <c r="A174" s="50">
        <v>9054567</v>
      </c>
      <c r="B174" t="s">
        <v>3351</v>
      </c>
      <c r="X174">
        <v>407</v>
      </c>
    </row>
    <row r="175" spans="1:81" x14ac:dyDescent="0.25">
      <c r="A175" s="50">
        <v>9083682</v>
      </c>
      <c r="B175" t="s">
        <v>3351</v>
      </c>
      <c r="Y175">
        <v>422</v>
      </c>
      <c r="AB175">
        <v>335</v>
      </c>
      <c r="AJ175">
        <v>124</v>
      </c>
    </row>
    <row r="176" spans="1:81" x14ac:dyDescent="0.25">
      <c r="A176" s="50">
        <v>9102044</v>
      </c>
      <c r="B176" t="s">
        <v>3351</v>
      </c>
    </row>
    <row r="177" spans="1:82" x14ac:dyDescent="0.25">
      <c r="A177" s="50">
        <v>9119854</v>
      </c>
      <c r="B177" t="s">
        <v>3351</v>
      </c>
    </row>
    <row r="178" spans="1:82" x14ac:dyDescent="0.25">
      <c r="A178" s="50">
        <v>9125126</v>
      </c>
      <c r="B178" t="s">
        <v>3351</v>
      </c>
    </row>
    <row r="179" spans="1:82" x14ac:dyDescent="0.25">
      <c r="A179" s="50">
        <v>9174811</v>
      </c>
      <c r="B179" t="s">
        <v>3351</v>
      </c>
      <c r="Y179">
        <v>63</v>
      </c>
      <c r="BF179">
        <v>44</v>
      </c>
      <c r="BR179">
        <v>30</v>
      </c>
    </row>
    <row r="180" spans="1:82" x14ac:dyDescent="0.25">
      <c r="A180" s="50">
        <v>10002875</v>
      </c>
      <c r="B180" t="s">
        <v>3351</v>
      </c>
      <c r="Z180">
        <v>699.6</v>
      </c>
      <c r="AA180" s="3">
        <v>583.79999999999995</v>
      </c>
      <c r="AD180">
        <v>363.6</v>
      </c>
      <c r="AE180" s="14">
        <v>370</v>
      </c>
      <c r="AM180">
        <v>243</v>
      </c>
      <c r="AU180">
        <v>268</v>
      </c>
      <c r="AX180">
        <v>272</v>
      </c>
    </row>
    <row r="181" spans="1:82" x14ac:dyDescent="0.25">
      <c r="A181" s="50">
        <v>10023080</v>
      </c>
      <c r="B181" t="s">
        <v>3351</v>
      </c>
      <c r="X181">
        <v>357</v>
      </c>
      <c r="BA181">
        <v>62</v>
      </c>
    </row>
    <row r="182" spans="1:82" x14ac:dyDescent="0.25">
      <c r="A182" s="50">
        <v>10025212</v>
      </c>
      <c r="B182" t="s">
        <v>3351</v>
      </c>
      <c r="AO182">
        <v>85</v>
      </c>
      <c r="BI182">
        <v>85</v>
      </c>
    </row>
    <row r="183" spans="1:82" x14ac:dyDescent="0.25">
      <c r="A183" s="50">
        <v>10069407</v>
      </c>
      <c r="B183" t="s">
        <v>3351</v>
      </c>
    </row>
    <row r="184" spans="1:82" x14ac:dyDescent="0.25">
      <c r="A184" s="50">
        <v>10071135</v>
      </c>
      <c r="B184" t="s">
        <v>3351</v>
      </c>
      <c r="AK184">
        <v>277.2</v>
      </c>
      <c r="AM184">
        <v>235.2</v>
      </c>
      <c r="AO184" s="3">
        <v>232.2</v>
      </c>
      <c r="AS184">
        <v>188.4</v>
      </c>
    </row>
    <row r="185" spans="1:82" x14ac:dyDescent="0.25">
      <c r="A185" s="50">
        <v>10083649</v>
      </c>
      <c r="B185" t="s">
        <v>3351</v>
      </c>
      <c r="Y185">
        <v>178</v>
      </c>
      <c r="Z185">
        <v>139</v>
      </c>
    </row>
    <row r="186" spans="1:82" x14ac:dyDescent="0.25">
      <c r="A186" s="50">
        <v>10102021</v>
      </c>
      <c r="B186" t="s">
        <v>3351</v>
      </c>
    </row>
    <row r="187" spans="1:82" x14ac:dyDescent="0.25">
      <c r="A187" s="50">
        <v>10123729</v>
      </c>
      <c r="B187" t="s">
        <v>3351</v>
      </c>
    </row>
    <row r="188" spans="1:82" x14ac:dyDescent="0.25">
      <c r="A188" s="50">
        <v>10144736</v>
      </c>
      <c r="B188" t="s">
        <v>3351</v>
      </c>
    </row>
    <row r="189" spans="1:82" x14ac:dyDescent="0.25">
      <c r="A189" s="50">
        <v>10157275</v>
      </c>
      <c r="B189" t="s">
        <v>3351</v>
      </c>
      <c r="X189">
        <v>168</v>
      </c>
      <c r="AF189">
        <v>173</v>
      </c>
      <c r="CD189">
        <v>53</v>
      </c>
    </row>
    <row r="190" spans="1:82" x14ac:dyDescent="0.25">
      <c r="A190" s="54"/>
      <c r="B190" s="65"/>
    </row>
    <row r="191" spans="1:82" x14ac:dyDescent="0.25">
      <c r="A191" s="52" t="s">
        <v>120</v>
      </c>
      <c r="B191" s="10"/>
    </row>
    <row r="192" spans="1:82" x14ac:dyDescent="0.25">
      <c r="A192" s="50">
        <v>5281</v>
      </c>
      <c r="B192" t="s">
        <v>3352</v>
      </c>
    </row>
    <row r="193" spans="1:56" x14ac:dyDescent="0.25">
      <c r="A193" s="50">
        <v>200085</v>
      </c>
      <c r="B193" t="s">
        <v>3352</v>
      </c>
      <c r="M193">
        <v>42</v>
      </c>
      <c r="R193">
        <v>38</v>
      </c>
      <c r="S193">
        <v>33</v>
      </c>
      <c r="X193">
        <v>240</v>
      </c>
      <c r="Y193">
        <v>82</v>
      </c>
      <c r="Z193">
        <v>174</v>
      </c>
      <c r="AA193">
        <v>216</v>
      </c>
      <c r="AB193">
        <v>242</v>
      </c>
      <c r="AC193">
        <v>221</v>
      </c>
      <c r="AD193">
        <v>215</v>
      </c>
      <c r="AE193">
        <v>216</v>
      </c>
      <c r="AF193">
        <v>191</v>
      </c>
      <c r="AH193">
        <v>192</v>
      </c>
      <c r="AJ193">
        <v>168</v>
      </c>
      <c r="AN193">
        <v>135</v>
      </c>
      <c r="AP193">
        <v>98</v>
      </c>
      <c r="AU193">
        <v>78</v>
      </c>
      <c r="AW193">
        <v>56</v>
      </c>
    </row>
    <row r="194" spans="1:56" x14ac:dyDescent="0.25">
      <c r="A194" s="50">
        <v>500129</v>
      </c>
      <c r="B194" t="s">
        <v>3352</v>
      </c>
      <c r="AD194">
        <v>10.73</v>
      </c>
      <c r="AF194">
        <v>9.1199999999999992</v>
      </c>
      <c r="AH194">
        <v>526</v>
      </c>
      <c r="AJ194">
        <v>399</v>
      </c>
      <c r="AK194">
        <v>362</v>
      </c>
      <c r="AR194">
        <v>399</v>
      </c>
      <c r="BB194">
        <v>619</v>
      </c>
      <c r="BC194">
        <v>900</v>
      </c>
    </row>
    <row r="195" spans="1:56" x14ac:dyDescent="0.25">
      <c r="A195" s="53">
        <v>1002033</v>
      </c>
      <c r="B195" t="s">
        <v>3352</v>
      </c>
      <c r="K195">
        <v>17</v>
      </c>
      <c r="O195">
        <v>20</v>
      </c>
      <c r="Y195">
        <v>57</v>
      </c>
      <c r="Z195" s="50"/>
      <c r="AA195" s="50"/>
      <c r="AB195" s="50"/>
      <c r="AC195" s="50"/>
      <c r="AD195" s="50">
        <v>45</v>
      </c>
      <c r="AE195" s="50"/>
      <c r="AF195" s="50"/>
      <c r="AG195" s="50"/>
      <c r="AH195" s="50"/>
      <c r="AI195" s="50"/>
      <c r="AJ195" s="50"/>
      <c r="AK195" s="50"/>
      <c r="AL195" s="50"/>
      <c r="AM195" s="50"/>
      <c r="AN195" s="50"/>
      <c r="AO195" s="50"/>
      <c r="AP195" s="50"/>
      <c r="AQ195" s="50"/>
      <c r="AR195" s="50">
        <v>20</v>
      </c>
      <c r="AS195" s="50"/>
      <c r="AT195" s="50"/>
      <c r="BD195">
        <v>30</v>
      </c>
    </row>
    <row r="196" spans="1:56" x14ac:dyDescent="0.25">
      <c r="A196" s="50">
        <v>1003457</v>
      </c>
      <c r="B196" t="s">
        <v>3352</v>
      </c>
      <c r="Z196" s="50"/>
      <c r="AA196" s="50">
        <v>158</v>
      </c>
      <c r="AB196" s="50"/>
      <c r="AC196" s="50"/>
      <c r="AD196" s="50"/>
      <c r="AE196" s="50"/>
      <c r="AF196" s="50"/>
      <c r="AG196" s="50"/>
      <c r="AH196" s="50"/>
      <c r="AI196" s="50"/>
      <c r="AJ196" s="50"/>
      <c r="AK196" s="50"/>
      <c r="AL196" s="50"/>
      <c r="AM196" s="50"/>
      <c r="AN196" s="50"/>
      <c r="AO196" s="50"/>
      <c r="AP196" s="50"/>
      <c r="AQ196" s="50"/>
      <c r="AR196" s="50"/>
      <c r="AS196" s="50"/>
      <c r="AT196" s="50"/>
    </row>
    <row r="197" spans="1:56" x14ac:dyDescent="0.25">
      <c r="A197" s="50">
        <v>2005223</v>
      </c>
      <c r="B197" t="s">
        <v>3352</v>
      </c>
      <c r="Z197" s="50"/>
      <c r="AA197" s="50"/>
      <c r="AB197" s="50"/>
      <c r="AC197" s="50"/>
      <c r="AD197" s="50"/>
      <c r="AE197" s="50"/>
      <c r="AF197" s="50"/>
      <c r="AG197" s="50"/>
      <c r="AH197" s="50"/>
      <c r="AI197" s="50"/>
      <c r="AJ197" s="50"/>
      <c r="AK197" s="50"/>
      <c r="AL197" s="50"/>
      <c r="AM197" s="50"/>
      <c r="AN197" s="50"/>
      <c r="AO197" s="50"/>
      <c r="AP197" s="50"/>
      <c r="AQ197" s="50"/>
      <c r="AR197" s="50"/>
      <c r="AS197" s="50"/>
      <c r="AT197" s="50"/>
    </row>
    <row r="198" spans="1:56" x14ac:dyDescent="0.25">
      <c r="A198" s="50">
        <v>2006107</v>
      </c>
      <c r="B198" t="s">
        <v>3352</v>
      </c>
      <c r="Y198">
        <v>128</v>
      </c>
      <c r="Z198" s="50"/>
      <c r="AA198" s="50"/>
      <c r="AB198" s="50"/>
      <c r="AC198" s="50"/>
      <c r="AD198" s="50"/>
      <c r="AE198" s="50"/>
      <c r="AF198" s="50"/>
      <c r="AG198" s="50"/>
      <c r="AH198" s="50"/>
      <c r="AI198" s="50"/>
      <c r="AJ198" s="50"/>
      <c r="AK198" s="50"/>
      <c r="AL198" s="50"/>
      <c r="AM198" s="50"/>
      <c r="AN198" s="50"/>
      <c r="AO198" s="50"/>
      <c r="AP198" s="50"/>
      <c r="AQ198" s="50"/>
      <c r="AR198" s="50"/>
      <c r="AS198" s="50"/>
      <c r="AT198" s="50"/>
    </row>
    <row r="199" spans="1:56" x14ac:dyDescent="0.25">
      <c r="A199" s="50">
        <v>2012014</v>
      </c>
      <c r="B199" t="s">
        <v>3352</v>
      </c>
      <c r="N199">
        <v>5</v>
      </c>
      <c r="Z199" s="50"/>
      <c r="AA199" s="50"/>
      <c r="AB199" s="50"/>
      <c r="AC199" s="50"/>
      <c r="AD199" s="50"/>
      <c r="AE199" s="50"/>
      <c r="AF199" s="50"/>
      <c r="AG199" s="50"/>
      <c r="AH199" s="50"/>
      <c r="AI199" s="50"/>
      <c r="AJ199" s="50"/>
      <c r="AK199" s="50"/>
      <c r="AL199" s="50"/>
      <c r="AM199" s="50"/>
      <c r="AN199" s="50"/>
      <c r="AO199" s="50"/>
      <c r="AP199" s="50"/>
      <c r="AQ199" s="50"/>
      <c r="AR199" s="50"/>
      <c r="AS199" s="50"/>
      <c r="AT199" s="50"/>
    </row>
    <row r="200" spans="1:56" x14ac:dyDescent="0.25">
      <c r="A200" s="50">
        <v>3000152</v>
      </c>
      <c r="B200" t="s">
        <v>3352</v>
      </c>
      <c r="X200" s="14">
        <v>9</v>
      </c>
      <c r="Z200" s="50"/>
      <c r="AA200" s="50"/>
      <c r="AB200" s="50"/>
      <c r="AC200" s="50"/>
      <c r="AD200" s="50"/>
      <c r="AE200" s="50"/>
      <c r="AF200" s="50"/>
      <c r="AG200" s="50"/>
      <c r="AH200" s="50"/>
      <c r="AI200" s="50"/>
      <c r="AJ200" s="50"/>
      <c r="AK200" s="50"/>
      <c r="AL200" s="50"/>
      <c r="AM200" s="50"/>
      <c r="AN200" s="50"/>
      <c r="AO200" s="50"/>
      <c r="AP200" s="50"/>
      <c r="AQ200" s="50"/>
      <c r="AR200" s="50"/>
      <c r="AS200" s="50"/>
      <c r="AT200" s="50"/>
    </row>
    <row r="201" spans="1:56" x14ac:dyDescent="0.25">
      <c r="A201" s="50">
        <v>3014566</v>
      </c>
      <c r="B201" t="s">
        <v>3352</v>
      </c>
      <c r="Z201" s="50"/>
      <c r="AA201" s="50"/>
      <c r="AB201" s="50"/>
      <c r="AC201" s="50"/>
      <c r="AD201" s="50"/>
      <c r="AE201" s="50"/>
      <c r="AF201" s="50"/>
      <c r="AG201" s="50"/>
      <c r="AH201" s="50"/>
      <c r="AI201" s="50"/>
      <c r="AJ201" s="50"/>
      <c r="AK201" s="50"/>
      <c r="AL201" s="50"/>
      <c r="AM201" s="50"/>
      <c r="AN201" s="50"/>
      <c r="AO201" s="50"/>
      <c r="AP201" s="50"/>
      <c r="AQ201" s="50"/>
      <c r="AR201" s="50"/>
      <c r="AS201" s="50"/>
      <c r="AT201" s="50"/>
    </row>
    <row r="202" spans="1:56" x14ac:dyDescent="0.25">
      <c r="A202" s="50">
        <v>3015058</v>
      </c>
      <c r="B202" t="s">
        <v>3352</v>
      </c>
      <c r="N202">
        <v>17</v>
      </c>
      <c r="Z202" s="50">
        <v>269</v>
      </c>
      <c r="AA202" s="50">
        <v>269</v>
      </c>
      <c r="AB202" s="50"/>
      <c r="AC202" s="50"/>
      <c r="AD202" s="50"/>
      <c r="AE202" s="50"/>
      <c r="AF202" s="50"/>
      <c r="AG202" s="50">
        <v>153</v>
      </c>
      <c r="AH202" s="50"/>
      <c r="AI202" s="50"/>
      <c r="AJ202" s="50"/>
      <c r="AK202" s="50"/>
      <c r="AL202" s="50"/>
      <c r="AM202" s="50"/>
      <c r="AN202" s="50"/>
      <c r="AO202" s="50"/>
      <c r="AP202" s="50"/>
      <c r="AQ202" s="50"/>
      <c r="AR202" s="50"/>
      <c r="AS202" s="50"/>
      <c r="AT202" s="50"/>
    </row>
    <row r="203" spans="1:56" x14ac:dyDescent="0.25">
      <c r="A203" s="53">
        <v>4000996</v>
      </c>
      <c r="B203" t="s">
        <v>3352</v>
      </c>
      <c r="Z203" s="50">
        <v>69</v>
      </c>
      <c r="AA203" s="50">
        <v>67.8</v>
      </c>
      <c r="AB203" s="50">
        <v>75</v>
      </c>
      <c r="AC203" s="50"/>
      <c r="AD203" s="50"/>
      <c r="AE203" s="50"/>
      <c r="AF203" s="50">
        <v>121.2</v>
      </c>
      <c r="AG203" s="50"/>
      <c r="AH203" s="50"/>
      <c r="AI203" s="50"/>
      <c r="AJ203" s="50"/>
      <c r="AK203" s="50"/>
      <c r="AL203" s="50"/>
      <c r="AM203" s="50">
        <v>83.4</v>
      </c>
      <c r="AN203" s="50"/>
      <c r="AO203" s="50"/>
      <c r="AP203" s="50"/>
      <c r="AQ203" s="50"/>
      <c r="AR203" s="50"/>
      <c r="AS203" s="50"/>
      <c r="AT203" s="50"/>
    </row>
    <row r="204" spans="1:56" x14ac:dyDescent="0.25">
      <c r="A204" s="50">
        <v>4003768</v>
      </c>
      <c r="B204" t="s">
        <v>3352</v>
      </c>
      <c r="S204">
        <v>12</v>
      </c>
      <c r="V204">
        <v>7</v>
      </c>
      <c r="Y204">
        <v>23</v>
      </c>
      <c r="Z204" s="50">
        <v>47</v>
      </c>
      <c r="AA204" s="50">
        <v>55</v>
      </c>
      <c r="AB204" s="50">
        <v>82</v>
      </c>
      <c r="AC204" s="50"/>
      <c r="AD204" s="50"/>
      <c r="AE204" s="50"/>
      <c r="AF204" s="50"/>
      <c r="AG204" s="50"/>
      <c r="AH204" s="50"/>
      <c r="AI204" s="50"/>
      <c r="AJ204" s="50"/>
      <c r="AK204" s="50"/>
      <c r="AL204" s="50"/>
      <c r="AM204" s="50"/>
      <c r="AN204" s="50"/>
      <c r="AO204" s="50"/>
      <c r="AP204" s="50"/>
      <c r="AQ204" s="50"/>
      <c r="AR204" s="50"/>
      <c r="AS204" s="50"/>
      <c r="AT204" s="50"/>
    </row>
    <row r="205" spans="1:56" x14ac:dyDescent="0.25">
      <c r="A205" s="50">
        <v>4006540</v>
      </c>
      <c r="B205" t="s">
        <v>3352</v>
      </c>
      <c r="Z205" s="50"/>
      <c r="AA205" s="50"/>
      <c r="AB205" s="50"/>
      <c r="AC205" s="50"/>
      <c r="AD205" s="50"/>
      <c r="AE205" s="50"/>
      <c r="AF205" s="50"/>
      <c r="AG205" s="50"/>
      <c r="AH205" s="50"/>
      <c r="AI205" s="50">
        <v>243</v>
      </c>
      <c r="AJ205" s="50"/>
      <c r="AK205" s="50"/>
      <c r="AL205" s="50"/>
      <c r="AM205" s="50"/>
      <c r="AN205" s="50"/>
      <c r="AO205" s="50"/>
      <c r="AP205" s="50"/>
      <c r="AQ205" s="50"/>
      <c r="AR205" s="50"/>
      <c r="AS205" s="50"/>
      <c r="AT205" s="50"/>
    </row>
    <row r="206" spans="1:56" x14ac:dyDescent="0.25">
      <c r="A206" s="50">
        <v>4007054</v>
      </c>
      <c r="B206" t="s">
        <v>3352</v>
      </c>
      <c r="Z206" s="50"/>
      <c r="AA206" s="50"/>
      <c r="AB206" s="50"/>
      <c r="AC206" s="50"/>
      <c r="AD206" s="50"/>
      <c r="AE206" s="50"/>
      <c r="AF206" s="50"/>
      <c r="AG206" s="50"/>
      <c r="AH206" s="50"/>
      <c r="AI206" s="50"/>
      <c r="AJ206" s="50"/>
      <c r="AK206" s="50"/>
      <c r="AL206" s="50"/>
      <c r="AM206" s="50"/>
      <c r="AN206" s="50"/>
      <c r="AO206" s="50"/>
      <c r="AP206" s="50"/>
      <c r="AQ206" s="50"/>
      <c r="AR206" s="50"/>
      <c r="AS206" s="50"/>
      <c r="AT206" s="50"/>
    </row>
    <row r="207" spans="1:56" x14ac:dyDescent="0.25">
      <c r="A207" s="50">
        <v>4011002</v>
      </c>
      <c r="B207" t="s">
        <v>3352</v>
      </c>
      <c r="Y207" s="3">
        <v>109.8</v>
      </c>
      <c r="Z207" s="57">
        <v>109.8</v>
      </c>
      <c r="AA207" s="50"/>
      <c r="AB207" s="50"/>
      <c r="AC207" s="50"/>
      <c r="AD207" s="50">
        <v>205.8</v>
      </c>
      <c r="AE207" s="50"/>
      <c r="AF207" s="50"/>
      <c r="AG207" s="50">
        <v>218.4</v>
      </c>
      <c r="AH207" s="50"/>
      <c r="AI207" s="50"/>
      <c r="AJ207" s="50"/>
      <c r="AK207" s="50"/>
      <c r="AL207" s="50"/>
      <c r="AM207" s="50"/>
      <c r="AN207" s="50"/>
      <c r="AO207" s="50"/>
      <c r="AP207" s="50"/>
      <c r="AQ207" s="50"/>
      <c r="AR207" s="50"/>
      <c r="AS207" s="50"/>
      <c r="AT207" s="50"/>
    </row>
    <row r="208" spans="1:56" x14ac:dyDescent="0.25">
      <c r="A208" s="50">
        <v>4900268</v>
      </c>
      <c r="B208" t="s">
        <v>3352</v>
      </c>
      <c r="Z208" s="50"/>
      <c r="AA208" s="50"/>
      <c r="AB208" s="50"/>
      <c r="AC208" s="50"/>
      <c r="AD208" s="50"/>
      <c r="AE208" s="50"/>
      <c r="AF208" s="50"/>
      <c r="AG208" s="50"/>
      <c r="AH208" s="50"/>
      <c r="AI208" s="50"/>
      <c r="AJ208" s="50"/>
      <c r="AK208" s="50"/>
      <c r="AL208" s="50"/>
      <c r="AM208" s="50"/>
      <c r="AN208" s="50"/>
      <c r="AO208" s="50"/>
      <c r="AP208" s="50"/>
      <c r="AQ208" s="50"/>
      <c r="AR208" s="50"/>
      <c r="AS208" s="50"/>
      <c r="AT208" s="50"/>
    </row>
    <row r="209" spans="1:46" x14ac:dyDescent="0.25">
      <c r="A209" s="50">
        <v>5001097</v>
      </c>
      <c r="B209" t="s">
        <v>3352</v>
      </c>
      <c r="Q209">
        <v>95</v>
      </c>
      <c r="R209">
        <v>90</v>
      </c>
      <c r="U209">
        <v>91</v>
      </c>
      <c r="Y209">
        <v>159</v>
      </c>
      <c r="Z209" s="50"/>
      <c r="AA209" s="50"/>
      <c r="AB209" s="50"/>
      <c r="AC209" s="50"/>
      <c r="AD209" s="50"/>
      <c r="AE209" s="50">
        <v>136</v>
      </c>
      <c r="AF209" s="50"/>
      <c r="AG209" s="50">
        <v>116</v>
      </c>
      <c r="AH209" s="50"/>
      <c r="AI209" s="50"/>
      <c r="AJ209" s="50"/>
      <c r="AK209" s="50"/>
      <c r="AL209" s="50"/>
      <c r="AM209" s="50"/>
      <c r="AN209" s="50"/>
      <c r="AO209" s="50"/>
      <c r="AP209" s="50"/>
      <c r="AQ209" s="50"/>
      <c r="AR209" s="50"/>
      <c r="AS209" s="50"/>
      <c r="AT209" s="50"/>
    </row>
    <row r="210" spans="1:46" x14ac:dyDescent="0.25">
      <c r="A210" s="50">
        <v>5001098</v>
      </c>
      <c r="B210" t="s">
        <v>3352</v>
      </c>
      <c r="M210">
        <v>224</v>
      </c>
      <c r="P210">
        <v>231</v>
      </c>
      <c r="Q210">
        <v>249</v>
      </c>
      <c r="T210">
        <v>301</v>
      </c>
      <c r="Y210">
        <v>378</v>
      </c>
      <c r="Z210" s="50"/>
      <c r="AA210" s="50"/>
      <c r="AB210" s="50"/>
      <c r="AC210" s="50"/>
      <c r="AD210" s="50"/>
      <c r="AE210" s="50"/>
      <c r="AF210" s="50"/>
      <c r="AG210" s="50"/>
      <c r="AH210" s="50"/>
      <c r="AI210" s="50"/>
      <c r="AJ210" s="50"/>
      <c r="AK210" s="50"/>
      <c r="AL210" s="50"/>
      <c r="AM210" s="50"/>
      <c r="AN210" s="50"/>
      <c r="AO210" s="50"/>
      <c r="AP210" s="50"/>
      <c r="AQ210" s="50"/>
      <c r="AR210" s="50"/>
      <c r="AS210" s="50"/>
      <c r="AT210" s="50"/>
    </row>
    <row r="211" spans="1:46" x14ac:dyDescent="0.25">
      <c r="A211" s="50">
        <v>5006152</v>
      </c>
      <c r="B211" t="s">
        <v>3352</v>
      </c>
      <c r="Z211" s="50"/>
      <c r="AA211" s="50"/>
      <c r="AB211" s="50"/>
      <c r="AC211" s="50"/>
      <c r="AD211" s="50"/>
      <c r="AE211" s="50"/>
      <c r="AF211" s="50"/>
      <c r="AG211" s="50"/>
      <c r="AH211" s="50"/>
      <c r="AI211" s="50"/>
      <c r="AJ211" s="50"/>
      <c r="AK211" s="50"/>
      <c r="AL211" s="50"/>
      <c r="AM211" s="50"/>
      <c r="AN211" s="50"/>
      <c r="AO211" s="50"/>
      <c r="AP211" s="50"/>
      <c r="AQ211" s="50"/>
      <c r="AR211" s="50"/>
      <c r="AS211" s="50"/>
      <c r="AT211" s="50"/>
    </row>
    <row r="212" spans="1:46" x14ac:dyDescent="0.25">
      <c r="A212" s="50">
        <v>6012361</v>
      </c>
      <c r="B212" t="s">
        <v>3352</v>
      </c>
      <c r="Z212" s="50"/>
      <c r="AA212" s="50">
        <v>1051.2</v>
      </c>
      <c r="AB212" s="50">
        <v>936.6</v>
      </c>
      <c r="AC212" s="50"/>
      <c r="AD212" s="50"/>
      <c r="AE212" s="50"/>
      <c r="AF212" s="50"/>
      <c r="AG212" s="50"/>
      <c r="AH212" s="50"/>
      <c r="AI212" s="50"/>
      <c r="AJ212" s="50"/>
      <c r="AK212" s="50"/>
      <c r="AL212" s="50"/>
      <c r="AM212" s="50"/>
      <c r="AN212" s="50"/>
      <c r="AO212" s="50"/>
      <c r="AP212" s="50">
        <v>96</v>
      </c>
      <c r="AQ212" s="50"/>
      <c r="AR212" s="50"/>
      <c r="AS212" s="50"/>
      <c r="AT212" s="50"/>
    </row>
    <row r="213" spans="1:46" x14ac:dyDescent="0.25">
      <c r="A213" s="50">
        <v>6015793</v>
      </c>
      <c r="B213" t="s">
        <v>3352</v>
      </c>
      <c r="Y213">
        <v>363</v>
      </c>
      <c r="Z213" s="50">
        <v>415</v>
      </c>
      <c r="AA213" s="50"/>
      <c r="AB213" s="50"/>
      <c r="AC213" s="50">
        <v>438</v>
      </c>
      <c r="AD213" s="50"/>
      <c r="AE213" s="50"/>
      <c r="AF213" s="50"/>
      <c r="AG213" s="50"/>
      <c r="AH213" s="50"/>
      <c r="AI213" s="50"/>
      <c r="AJ213" s="50"/>
      <c r="AK213" s="50"/>
      <c r="AL213" s="50"/>
      <c r="AM213" s="50"/>
      <c r="AN213" s="50"/>
      <c r="AO213" s="50"/>
      <c r="AP213" s="50"/>
      <c r="AQ213" s="50"/>
      <c r="AR213" s="50"/>
      <c r="AS213" s="50"/>
      <c r="AT213" s="50"/>
    </row>
    <row r="214" spans="1:46" x14ac:dyDescent="0.25">
      <c r="A214" s="50">
        <v>6043619</v>
      </c>
      <c r="B214" t="s">
        <v>3352</v>
      </c>
      <c r="Y214">
        <v>274.8</v>
      </c>
      <c r="Z214" s="50"/>
      <c r="AA214" s="50"/>
      <c r="AB214" s="50"/>
      <c r="AC214" s="50"/>
      <c r="AD214" s="50"/>
      <c r="AE214" s="50"/>
      <c r="AF214" s="50"/>
      <c r="AG214" s="50"/>
      <c r="AH214" s="50"/>
      <c r="AI214" s="50"/>
      <c r="AJ214" s="50"/>
      <c r="AK214" s="50"/>
      <c r="AL214" s="50"/>
      <c r="AM214" s="50"/>
      <c r="AN214" s="50"/>
      <c r="AO214" s="50"/>
      <c r="AP214" s="50"/>
      <c r="AQ214" s="50"/>
      <c r="AR214" s="50"/>
      <c r="AS214" s="50"/>
      <c r="AT214" s="50"/>
    </row>
    <row r="215" spans="1:46" x14ac:dyDescent="0.25">
      <c r="A215" s="50">
        <v>7001097</v>
      </c>
      <c r="B215" t="s">
        <v>3352</v>
      </c>
      <c r="Z215" s="50"/>
      <c r="AA215" s="50"/>
      <c r="AB215" s="50"/>
      <c r="AC215" s="50"/>
      <c r="AD215" s="50"/>
      <c r="AE215" s="50"/>
      <c r="AF215" s="50"/>
      <c r="AG215" s="50"/>
      <c r="AH215" s="50"/>
      <c r="AI215" s="50"/>
      <c r="AJ215" s="50"/>
      <c r="AK215" s="50"/>
      <c r="AL215" s="50"/>
      <c r="AM215" s="50"/>
      <c r="AN215" s="50"/>
      <c r="AO215" s="50"/>
      <c r="AP215" s="50"/>
      <c r="AQ215" s="50"/>
      <c r="AR215" s="50"/>
      <c r="AS215" s="50"/>
      <c r="AT215" s="50"/>
    </row>
    <row r="216" spans="1:46" x14ac:dyDescent="0.25">
      <c r="A216" s="50">
        <v>7011435</v>
      </c>
      <c r="B216" t="s">
        <v>3352</v>
      </c>
      <c r="Y216">
        <v>533</v>
      </c>
      <c r="Z216" s="50"/>
      <c r="AA216" s="50">
        <v>651</v>
      </c>
      <c r="AB216" s="50"/>
      <c r="AC216" s="50"/>
      <c r="AD216" s="50"/>
      <c r="AE216" s="50">
        <v>666</v>
      </c>
      <c r="AF216" s="50"/>
      <c r="AG216" s="50"/>
      <c r="AH216" s="50"/>
      <c r="AI216" s="50"/>
      <c r="AJ216" s="50"/>
      <c r="AK216" s="50"/>
      <c r="AL216" s="50"/>
      <c r="AM216" s="50"/>
      <c r="AN216" s="50"/>
      <c r="AO216" s="50"/>
      <c r="AP216" s="50"/>
      <c r="AQ216" s="50"/>
      <c r="AR216" s="50"/>
      <c r="AS216" s="50"/>
      <c r="AT216" s="50"/>
    </row>
    <row r="217" spans="1:46" x14ac:dyDescent="0.25">
      <c r="A217" s="50">
        <v>7045811</v>
      </c>
      <c r="B217" t="s">
        <v>3352</v>
      </c>
      <c r="Z217" s="50"/>
      <c r="AA217" s="50"/>
      <c r="AB217" s="50"/>
      <c r="AC217" s="50"/>
      <c r="AD217" s="50"/>
      <c r="AE217" s="50"/>
      <c r="AF217" s="50"/>
      <c r="AG217" s="50"/>
      <c r="AH217" s="50"/>
      <c r="AI217" s="50"/>
      <c r="AJ217" s="50">
        <v>225</v>
      </c>
      <c r="AK217" s="50"/>
      <c r="AL217" s="50"/>
      <c r="AM217" s="50"/>
      <c r="AN217" s="50"/>
      <c r="AO217" s="50"/>
      <c r="AP217" s="50"/>
      <c r="AQ217" s="50"/>
      <c r="AR217" s="50"/>
      <c r="AS217" s="50"/>
      <c r="AT217" s="50"/>
    </row>
    <row r="218" spans="1:46" x14ac:dyDescent="0.25">
      <c r="A218" s="50">
        <v>7071198</v>
      </c>
      <c r="B218" t="s">
        <v>3352</v>
      </c>
    </row>
    <row r="219" spans="1:46" x14ac:dyDescent="0.25">
      <c r="A219" s="50">
        <v>7101143</v>
      </c>
      <c r="B219" t="s">
        <v>3352</v>
      </c>
      <c r="Y219">
        <v>21.44</v>
      </c>
      <c r="AA219">
        <v>21.63</v>
      </c>
      <c r="AB219">
        <v>24.25</v>
      </c>
      <c r="AF219">
        <v>22.4</v>
      </c>
      <c r="AI219">
        <v>23.58</v>
      </c>
      <c r="AK219">
        <v>24.02</v>
      </c>
    </row>
    <row r="220" spans="1:46" x14ac:dyDescent="0.25">
      <c r="A220" s="50">
        <v>8073350</v>
      </c>
      <c r="B220" t="s">
        <v>3352</v>
      </c>
    </row>
    <row r="221" spans="1:46" x14ac:dyDescent="0.25">
      <c r="A221" s="50">
        <v>8073645</v>
      </c>
      <c r="B221" t="s">
        <v>3352</v>
      </c>
    </row>
    <row r="222" spans="1:46" x14ac:dyDescent="0.25">
      <c r="A222" s="53">
        <v>8089666</v>
      </c>
      <c r="B222" t="s">
        <v>3352</v>
      </c>
      <c r="U222">
        <v>118</v>
      </c>
      <c r="V222">
        <v>26</v>
      </c>
      <c r="W222">
        <v>24</v>
      </c>
      <c r="Y222" s="14">
        <v>31</v>
      </c>
      <c r="Z222">
        <v>43</v>
      </c>
    </row>
    <row r="223" spans="1:46" x14ac:dyDescent="0.25">
      <c r="A223" s="50">
        <v>8103536</v>
      </c>
      <c r="B223" t="s">
        <v>3352</v>
      </c>
    </row>
    <row r="224" spans="1:46" x14ac:dyDescent="0.25">
      <c r="A224" s="50">
        <v>8124816</v>
      </c>
      <c r="B224" t="s">
        <v>3352</v>
      </c>
      <c r="Y224">
        <v>207</v>
      </c>
      <c r="AB224">
        <v>317</v>
      </c>
      <c r="AF224">
        <v>257</v>
      </c>
      <c r="AL224">
        <v>141</v>
      </c>
    </row>
    <row r="225" spans="1:57" x14ac:dyDescent="0.25">
      <c r="A225" s="50">
        <v>9003267</v>
      </c>
      <c r="B225" t="s">
        <v>3352</v>
      </c>
      <c r="Z225">
        <v>272.39999999999998</v>
      </c>
      <c r="AE225">
        <v>352.2</v>
      </c>
      <c r="AI225">
        <v>258</v>
      </c>
      <c r="AJ225" s="3">
        <v>266.39999999999998</v>
      </c>
      <c r="BE225">
        <v>40.200000000000003</v>
      </c>
    </row>
    <row r="226" spans="1:57" x14ac:dyDescent="0.25">
      <c r="A226" s="50">
        <v>9036964</v>
      </c>
      <c r="B226" t="s">
        <v>3352</v>
      </c>
      <c r="D226">
        <v>120.6</v>
      </c>
      <c r="Y226">
        <v>317</v>
      </c>
      <c r="Z226">
        <v>281</v>
      </c>
    </row>
    <row r="227" spans="1:57" x14ac:dyDescent="0.25">
      <c r="A227" s="50">
        <v>9090287</v>
      </c>
      <c r="B227" t="s">
        <v>3352</v>
      </c>
      <c r="AB227">
        <v>207</v>
      </c>
    </row>
    <row r="228" spans="1:57" x14ac:dyDescent="0.25">
      <c r="A228" s="50">
        <v>9095148</v>
      </c>
      <c r="B228" t="s">
        <v>3352</v>
      </c>
      <c r="X228" s="50"/>
      <c r="Y228" s="50"/>
      <c r="Z228" s="50">
        <v>213</v>
      </c>
      <c r="AA228" s="50"/>
      <c r="AB228" s="50"/>
      <c r="AC228" s="50"/>
      <c r="AD228" s="50"/>
    </row>
    <row r="229" spans="1:57" x14ac:dyDescent="0.25">
      <c r="A229" s="50">
        <v>9104979</v>
      </c>
      <c r="B229" t="s">
        <v>3352</v>
      </c>
      <c r="X229" s="50"/>
      <c r="Y229" s="50"/>
      <c r="Z229" s="50"/>
      <c r="AA229" s="50"/>
      <c r="AB229" s="50"/>
      <c r="AC229" s="50"/>
      <c r="AD229" s="50"/>
    </row>
    <row r="230" spans="1:57" x14ac:dyDescent="0.25">
      <c r="A230" s="50">
        <v>9139514</v>
      </c>
      <c r="B230" t="s">
        <v>3352</v>
      </c>
      <c r="X230" s="50"/>
      <c r="Y230" s="50"/>
      <c r="Z230" s="50"/>
      <c r="AA230" s="50"/>
      <c r="AB230" s="50"/>
      <c r="AC230" s="50"/>
      <c r="AD230" s="50"/>
    </row>
    <row r="231" spans="1:57" x14ac:dyDescent="0.25">
      <c r="A231" s="50">
        <v>10020659</v>
      </c>
      <c r="B231" t="s">
        <v>3352</v>
      </c>
      <c r="C231">
        <v>183.6</v>
      </c>
      <c r="H231">
        <v>322.8</v>
      </c>
      <c r="X231" s="50"/>
      <c r="Y231" s="50">
        <v>1350</v>
      </c>
      <c r="Z231" s="50">
        <v>1064.4000000000001</v>
      </c>
      <c r="AA231" s="50"/>
      <c r="AB231" s="50">
        <v>1000.8</v>
      </c>
      <c r="AC231" s="50"/>
      <c r="AD231" s="50"/>
      <c r="AG231">
        <v>447</v>
      </c>
    </row>
    <row r="232" spans="1:57" x14ac:dyDescent="0.25">
      <c r="A232" s="50">
        <v>10025902</v>
      </c>
      <c r="B232" t="s">
        <v>3352</v>
      </c>
      <c r="X232" s="50"/>
      <c r="Y232" s="50">
        <v>678</v>
      </c>
      <c r="Z232" s="50">
        <v>546.6</v>
      </c>
      <c r="AA232" s="50"/>
      <c r="AB232" s="50"/>
      <c r="AC232" s="50"/>
      <c r="AD232" s="50"/>
      <c r="AE232">
        <v>414.6</v>
      </c>
      <c r="AF232">
        <v>362.4</v>
      </c>
      <c r="AI232">
        <v>285</v>
      </c>
      <c r="AL232">
        <v>233.4</v>
      </c>
      <c r="AR232">
        <v>351</v>
      </c>
    </row>
    <row r="233" spans="1:57" x14ac:dyDescent="0.25">
      <c r="A233" s="50">
        <v>10027654</v>
      </c>
      <c r="B233" t="s">
        <v>3352</v>
      </c>
    </row>
    <row r="234" spans="1:57" x14ac:dyDescent="0.25">
      <c r="A234" s="50">
        <v>10084485</v>
      </c>
      <c r="B234" t="s">
        <v>3352</v>
      </c>
      <c r="Y234">
        <v>110</v>
      </c>
    </row>
    <row r="235" spans="1:57" x14ac:dyDescent="0.25">
      <c r="A235" s="50">
        <v>10098420</v>
      </c>
      <c r="B235" t="s">
        <v>3352</v>
      </c>
      <c r="Y235">
        <v>73</v>
      </c>
      <c r="Z235">
        <v>75</v>
      </c>
      <c r="AA235">
        <v>84</v>
      </c>
      <c r="AB235">
        <v>111</v>
      </c>
    </row>
    <row r="236" spans="1:57" x14ac:dyDescent="0.25">
      <c r="A236" s="50">
        <v>10129565</v>
      </c>
      <c r="B236" t="s">
        <v>3352</v>
      </c>
      <c r="Z236">
        <v>435.6</v>
      </c>
      <c r="AC236" s="3">
        <v>503.4</v>
      </c>
      <c r="AJ236">
        <v>201.6</v>
      </c>
    </row>
    <row r="237" spans="1:57" x14ac:dyDescent="0.25">
      <c r="A237" s="50">
        <v>10146828</v>
      </c>
      <c r="B237" t="s">
        <v>3352</v>
      </c>
    </row>
    <row r="238" spans="1:57" x14ac:dyDescent="0.25">
      <c r="A238">
        <v>10163776</v>
      </c>
      <c r="B238" t="s">
        <v>3352</v>
      </c>
      <c r="G238">
        <v>66</v>
      </c>
      <c r="Y238">
        <v>1027</v>
      </c>
    </row>
    <row r="239" spans="1:57" x14ac:dyDescent="0.25">
      <c r="A239">
        <v>10173664</v>
      </c>
      <c r="B239" t="s">
        <v>3352</v>
      </c>
      <c r="AB239">
        <v>193.8</v>
      </c>
      <c r="AD239">
        <v>191.4</v>
      </c>
      <c r="AI239">
        <v>227.4</v>
      </c>
    </row>
  </sheetData>
  <conditionalFormatting sqref="A19">
    <cfRule type="duplicateValues" dxfId="27" priority="1"/>
  </conditionalFormatting>
  <pageMargins left="0.7" right="0.7" top="0.78740157499999996" bottom="0.78740157499999996" header="0.3" footer="0.3"/>
  <tableParts count="1">
    <tablePart r:id="rId1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34"/>
  <sheetViews>
    <sheetView topLeftCell="C1" zoomScaleNormal="100" workbookViewId="0">
      <selection activeCell="D9" sqref="D9"/>
    </sheetView>
  </sheetViews>
  <sheetFormatPr defaultColWidth="11.42578125" defaultRowHeight="15" x14ac:dyDescent="0.25"/>
  <cols>
    <col min="1" max="1" width="20.42578125" bestFit="1" customWidth="1"/>
    <col min="2" max="2" width="9.85546875" bestFit="1" customWidth="1"/>
    <col min="3" max="3" width="78.28515625" customWidth="1"/>
    <col min="4" max="4" width="33.85546875" bestFit="1" customWidth="1"/>
    <col min="5" max="5" width="15.85546875" bestFit="1" customWidth="1"/>
  </cols>
  <sheetData>
    <row r="1" spans="1:5" x14ac:dyDescent="0.25">
      <c r="A1" s="66" t="s">
        <v>59</v>
      </c>
      <c r="B1" s="66" t="s">
        <v>2900</v>
      </c>
      <c r="C1" s="66" t="s">
        <v>2564</v>
      </c>
      <c r="D1" s="66" t="s">
        <v>2523</v>
      </c>
      <c r="E1" s="66" t="s">
        <v>3346</v>
      </c>
    </row>
    <row r="2" spans="1:5" x14ac:dyDescent="0.25">
      <c r="A2" s="66">
        <v>95005911</v>
      </c>
      <c r="B2" s="66" t="s">
        <v>2900</v>
      </c>
      <c r="C2" s="66" t="s">
        <v>1406</v>
      </c>
      <c r="D2" s="66">
        <v>1</v>
      </c>
      <c r="E2" s="66" t="s">
        <v>3398</v>
      </c>
    </row>
    <row r="3" spans="1:5" x14ac:dyDescent="0.25">
      <c r="A3" s="66">
        <v>99001908</v>
      </c>
      <c r="B3" s="66" t="s">
        <v>2900</v>
      </c>
      <c r="C3" s="66" t="s">
        <v>1406</v>
      </c>
      <c r="D3" s="66">
        <v>1</v>
      </c>
      <c r="E3" s="66" t="s">
        <v>3398</v>
      </c>
    </row>
    <row r="4" spans="1:5" x14ac:dyDescent="0.25">
      <c r="A4" s="66">
        <v>99004067</v>
      </c>
      <c r="B4" s="66" t="s">
        <v>2900</v>
      </c>
      <c r="C4" s="66" t="s">
        <v>1406</v>
      </c>
      <c r="D4" s="66">
        <v>1</v>
      </c>
      <c r="E4" s="66" t="s">
        <v>3398</v>
      </c>
    </row>
    <row r="5" spans="1:5" x14ac:dyDescent="0.25">
      <c r="A5" s="66">
        <v>97002136</v>
      </c>
      <c r="B5" s="66" t="s">
        <v>2900</v>
      </c>
      <c r="C5" s="66" t="s">
        <v>1406</v>
      </c>
      <c r="D5" s="66">
        <v>1</v>
      </c>
      <c r="E5" s="66" t="s">
        <v>3398</v>
      </c>
    </row>
    <row r="6" spans="1:5" x14ac:dyDescent="0.25">
      <c r="A6" s="66">
        <v>1502</v>
      </c>
      <c r="B6" s="66" t="s">
        <v>2900</v>
      </c>
      <c r="C6" s="66" t="s">
        <v>1407</v>
      </c>
      <c r="D6" s="66">
        <v>1</v>
      </c>
      <c r="E6" s="66" t="s">
        <v>3398</v>
      </c>
    </row>
    <row r="7" spans="1:5" x14ac:dyDescent="0.25">
      <c r="A7" s="66">
        <v>99001183</v>
      </c>
      <c r="B7" s="66" t="s">
        <v>2900</v>
      </c>
      <c r="C7" s="66" t="s">
        <v>1408</v>
      </c>
      <c r="D7" s="66">
        <v>1</v>
      </c>
      <c r="E7" s="66" t="s">
        <v>3399</v>
      </c>
    </row>
    <row r="8" spans="1:5" x14ac:dyDescent="0.25">
      <c r="A8" s="66">
        <v>3000983</v>
      </c>
      <c r="B8" s="66" t="s">
        <v>2900</v>
      </c>
      <c r="C8" s="66" t="s">
        <v>2901</v>
      </c>
      <c r="D8" s="66">
        <v>3</v>
      </c>
      <c r="E8" s="66" t="s">
        <v>3399</v>
      </c>
    </row>
    <row r="9" spans="1:5" x14ac:dyDescent="0.25">
      <c r="A9" s="66">
        <v>10064335</v>
      </c>
      <c r="B9" s="66" t="s">
        <v>2900</v>
      </c>
      <c r="C9" s="66" t="s">
        <v>2902</v>
      </c>
      <c r="D9" s="66">
        <v>4</v>
      </c>
      <c r="E9" s="66" t="s">
        <v>3399</v>
      </c>
    </row>
    <row r="10" spans="1:5" x14ac:dyDescent="0.25">
      <c r="A10" s="66">
        <v>1480</v>
      </c>
      <c r="B10" s="66" t="s">
        <v>2900</v>
      </c>
      <c r="C10" s="66" t="s">
        <v>26</v>
      </c>
      <c r="D10" s="66">
        <v>1</v>
      </c>
      <c r="E10" s="66" t="s">
        <v>3400</v>
      </c>
    </row>
    <row r="11" spans="1:5" x14ac:dyDescent="0.25">
      <c r="A11" s="66">
        <v>99000802</v>
      </c>
      <c r="B11" s="66" t="s">
        <v>2900</v>
      </c>
      <c r="C11" s="66" t="s">
        <v>665</v>
      </c>
      <c r="D11" s="66">
        <v>1</v>
      </c>
      <c r="E11" s="66" t="s">
        <v>3400</v>
      </c>
    </row>
    <row r="12" spans="1:5" x14ac:dyDescent="0.25">
      <c r="A12" s="66">
        <v>99000892</v>
      </c>
      <c r="B12" s="66" t="s">
        <v>2900</v>
      </c>
      <c r="C12" s="66" t="s">
        <v>665</v>
      </c>
      <c r="D12" s="66">
        <v>1</v>
      </c>
      <c r="E12" s="66" t="s">
        <v>3400</v>
      </c>
    </row>
    <row r="13" spans="1:5" x14ac:dyDescent="0.25">
      <c r="A13" s="66">
        <v>1000192</v>
      </c>
      <c r="B13" s="66" t="s">
        <v>2900</v>
      </c>
      <c r="C13" s="66" t="s">
        <v>25</v>
      </c>
      <c r="D13" s="66">
        <v>1</v>
      </c>
      <c r="E13" s="66" t="s">
        <v>3400</v>
      </c>
    </row>
    <row r="14" spans="1:5" x14ac:dyDescent="0.25">
      <c r="A14" s="66">
        <v>1506</v>
      </c>
      <c r="B14" s="66" t="s">
        <v>2900</v>
      </c>
      <c r="C14" s="66" t="s">
        <v>26</v>
      </c>
      <c r="D14" s="66">
        <v>1</v>
      </c>
      <c r="E14" s="66" t="s">
        <v>3400</v>
      </c>
    </row>
    <row r="15" spans="1:5" x14ac:dyDescent="0.25">
      <c r="A15" s="66">
        <v>99000894</v>
      </c>
      <c r="B15" s="66" t="s">
        <v>2900</v>
      </c>
      <c r="C15" s="66" t="s">
        <v>23</v>
      </c>
      <c r="D15" s="66">
        <v>1</v>
      </c>
      <c r="E15" s="66" t="s">
        <v>3400</v>
      </c>
    </row>
    <row r="16" spans="1:5" x14ac:dyDescent="0.25">
      <c r="A16" s="66">
        <v>99001902</v>
      </c>
      <c r="B16" s="66" t="s">
        <v>2900</v>
      </c>
      <c r="C16" s="66" t="s">
        <v>24</v>
      </c>
      <c r="D16" s="66">
        <v>1</v>
      </c>
      <c r="E16" s="66" t="s">
        <v>3400</v>
      </c>
    </row>
    <row r="17" spans="1:5" x14ac:dyDescent="0.25">
      <c r="A17" s="66">
        <v>99001912</v>
      </c>
      <c r="B17" s="66" t="s">
        <v>2900</v>
      </c>
      <c r="C17" s="66" t="s">
        <v>26</v>
      </c>
      <c r="D17" s="66">
        <v>1</v>
      </c>
      <c r="E17" s="66" t="s">
        <v>3400</v>
      </c>
    </row>
    <row r="18" spans="1:5" x14ac:dyDescent="0.25">
      <c r="A18" s="66">
        <v>99001913</v>
      </c>
      <c r="B18" s="66" t="s">
        <v>2900</v>
      </c>
      <c r="C18" s="66" t="s">
        <v>24</v>
      </c>
      <c r="D18" s="66">
        <v>1</v>
      </c>
      <c r="E18" s="66" t="s">
        <v>3400</v>
      </c>
    </row>
    <row r="19" spans="1:5" x14ac:dyDescent="0.25">
      <c r="A19" s="66">
        <v>99001937</v>
      </c>
      <c r="B19" s="66" t="s">
        <v>2900</v>
      </c>
      <c r="C19" s="66" t="s">
        <v>1408</v>
      </c>
      <c r="D19" s="66">
        <v>1</v>
      </c>
      <c r="E19" s="66" t="s">
        <v>3400</v>
      </c>
    </row>
    <row r="20" spans="1:5" x14ac:dyDescent="0.25">
      <c r="A20" s="66">
        <v>99001943</v>
      </c>
      <c r="B20" s="66" t="s">
        <v>2900</v>
      </c>
      <c r="C20" s="66" t="s">
        <v>56</v>
      </c>
      <c r="D20" s="66">
        <v>1</v>
      </c>
      <c r="E20" s="66" t="s">
        <v>3400</v>
      </c>
    </row>
    <row r="21" spans="1:5" x14ac:dyDescent="0.25">
      <c r="A21" s="66">
        <v>99001927</v>
      </c>
      <c r="B21" s="66" t="s">
        <v>2900</v>
      </c>
      <c r="C21" s="66" t="s">
        <v>1406</v>
      </c>
      <c r="D21" s="66">
        <v>1</v>
      </c>
      <c r="E21" s="66" t="s">
        <v>3400</v>
      </c>
    </row>
    <row r="22" spans="1:5" x14ac:dyDescent="0.25">
      <c r="A22" s="66">
        <v>1000197</v>
      </c>
      <c r="B22" s="66" t="s">
        <v>2900</v>
      </c>
      <c r="C22" s="66" t="s">
        <v>87</v>
      </c>
      <c r="D22" s="66">
        <v>1</v>
      </c>
      <c r="E22" s="66" t="s">
        <v>3400</v>
      </c>
    </row>
    <row r="23" spans="1:5" x14ac:dyDescent="0.25">
      <c r="A23" s="66">
        <v>96018835</v>
      </c>
      <c r="B23" s="66" t="s">
        <v>2900</v>
      </c>
      <c r="C23" s="66" t="s">
        <v>2903</v>
      </c>
      <c r="D23" s="66">
        <v>7</v>
      </c>
      <c r="E23" s="66" t="s">
        <v>3400</v>
      </c>
    </row>
    <row r="24" spans="1:5" x14ac:dyDescent="0.25">
      <c r="A24" s="66">
        <v>98008326</v>
      </c>
      <c r="B24" s="66" t="s">
        <v>2900</v>
      </c>
      <c r="C24" s="66" t="s">
        <v>111</v>
      </c>
      <c r="D24" s="66">
        <v>1</v>
      </c>
      <c r="E24" s="66" t="s">
        <v>3400</v>
      </c>
    </row>
    <row r="25" spans="1:5" x14ac:dyDescent="0.25">
      <c r="A25" s="66">
        <v>99000717</v>
      </c>
      <c r="B25" s="66" t="s">
        <v>2900</v>
      </c>
      <c r="C25" s="66" t="s">
        <v>115</v>
      </c>
      <c r="D25" s="66">
        <v>1</v>
      </c>
      <c r="E25" s="66" t="s">
        <v>3400</v>
      </c>
    </row>
    <row r="26" spans="1:5" x14ac:dyDescent="0.25">
      <c r="A26" s="66">
        <v>1006143</v>
      </c>
      <c r="B26" s="66" t="s">
        <v>2900</v>
      </c>
      <c r="C26" s="66" t="s">
        <v>1406</v>
      </c>
      <c r="D26" s="66">
        <v>1</v>
      </c>
      <c r="E26" s="66" t="s">
        <v>3347</v>
      </c>
    </row>
    <row r="27" spans="1:5" x14ac:dyDescent="0.25">
      <c r="A27" s="66">
        <v>6006917</v>
      </c>
      <c r="B27" s="66" t="s">
        <v>2900</v>
      </c>
      <c r="C27" s="66" t="s">
        <v>1406</v>
      </c>
      <c r="D27" s="66">
        <v>1</v>
      </c>
      <c r="E27" s="66" t="s">
        <v>3347</v>
      </c>
    </row>
    <row r="28" spans="1:5" x14ac:dyDescent="0.25">
      <c r="A28" s="66">
        <v>8057159</v>
      </c>
      <c r="B28" s="66" t="s">
        <v>2900</v>
      </c>
      <c r="C28" s="66" t="s">
        <v>2904</v>
      </c>
      <c r="D28" s="66">
        <v>2</v>
      </c>
      <c r="E28" s="66" t="s">
        <v>3348</v>
      </c>
    </row>
    <row r="29" spans="1:5" x14ac:dyDescent="0.25">
      <c r="A29" s="66">
        <v>98004910</v>
      </c>
      <c r="B29" s="66" t="s">
        <v>2900</v>
      </c>
      <c r="C29" s="66" t="s">
        <v>1406</v>
      </c>
      <c r="D29" s="66">
        <v>1</v>
      </c>
      <c r="E29" s="66" t="s">
        <v>3349</v>
      </c>
    </row>
    <row r="30" spans="1:5" x14ac:dyDescent="0.25">
      <c r="A30" s="66">
        <v>7103068</v>
      </c>
      <c r="B30" s="66" t="s">
        <v>2900</v>
      </c>
      <c r="C30" s="66" t="s">
        <v>2905</v>
      </c>
      <c r="D30" s="66">
        <v>2</v>
      </c>
      <c r="E30" s="66" t="s">
        <v>3349</v>
      </c>
    </row>
    <row r="31" spans="1:5" x14ac:dyDescent="0.25">
      <c r="A31" s="66">
        <v>11240728</v>
      </c>
      <c r="B31" s="66" t="s">
        <v>2900</v>
      </c>
      <c r="C31" s="66" t="s">
        <v>2906</v>
      </c>
      <c r="D31" s="66">
        <v>4</v>
      </c>
      <c r="E31" s="66" t="s">
        <v>3349</v>
      </c>
    </row>
    <row r="32" spans="1:5" x14ac:dyDescent="0.25">
      <c r="A32" s="66">
        <v>5015869</v>
      </c>
      <c r="B32" s="66" t="s">
        <v>2900</v>
      </c>
      <c r="C32" s="66" t="s">
        <v>2907</v>
      </c>
      <c r="D32" s="66">
        <v>2</v>
      </c>
      <c r="E32" s="66" t="s">
        <v>3350</v>
      </c>
    </row>
    <row r="33" spans="1:5" x14ac:dyDescent="0.25">
      <c r="A33" s="66">
        <v>7000458</v>
      </c>
      <c r="B33" s="66" t="s">
        <v>2900</v>
      </c>
      <c r="C33" s="66" t="s">
        <v>26</v>
      </c>
      <c r="D33" s="66">
        <v>1</v>
      </c>
      <c r="E33" s="66" t="s">
        <v>3350</v>
      </c>
    </row>
    <row r="34" spans="1:5" x14ac:dyDescent="0.25">
      <c r="A34" s="66">
        <v>7015502</v>
      </c>
      <c r="B34" s="66" t="s">
        <v>2900</v>
      </c>
      <c r="C34" s="66" t="s">
        <v>664</v>
      </c>
      <c r="D34" s="66">
        <v>1</v>
      </c>
      <c r="E34" s="66" t="s">
        <v>3350</v>
      </c>
    </row>
    <row r="35" spans="1:5" x14ac:dyDescent="0.25">
      <c r="A35" s="66">
        <v>7082707</v>
      </c>
      <c r="B35" s="66" t="s">
        <v>2900</v>
      </c>
      <c r="C35" s="66" t="s">
        <v>794</v>
      </c>
      <c r="D35" s="66">
        <v>1</v>
      </c>
      <c r="E35" s="66" t="s">
        <v>3350</v>
      </c>
    </row>
    <row r="36" spans="1:5" x14ac:dyDescent="0.25">
      <c r="A36" s="66">
        <v>7083159</v>
      </c>
      <c r="B36" s="66" t="s">
        <v>2900</v>
      </c>
      <c r="C36" s="66" t="s">
        <v>796</v>
      </c>
      <c r="D36" s="66">
        <v>1</v>
      </c>
      <c r="E36" s="66" t="s">
        <v>3350</v>
      </c>
    </row>
    <row r="37" spans="1:5" x14ac:dyDescent="0.25">
      <c r="A37" s="66">
        <v>7089231</v>
      </c>
      <c r="B37" s="66" t="s">
        <v>2900</v>
      </c>
      <c r="C37" s="66" t="s">
        <v>1406</v>
      </c>
      <c r="D37" s="66">
        <v>1</v>
      </c>
      <c r="E37" s="66" t="s">
        <v>3350</v>
      </c>
    </row>
    <row r="38" spans="1:5" x14ac:dyDescent="0.25">
      <c r="A38" s="66">
        <v>7116004</v>
      </c>
      <c r="B38" s="66" t="s">
        <v>2900</v>
      </c>
      <c r="C38" s="66" t="s">
        <v>1406</v>
      </c>
      <c r="D38" s="66">
        <v>1</v>
      </c>
      <c r="E38" s="66" t="s">
        <v>3350</v>
      </c>
    </row>
    <row r="39" spans="1:5" x14ac:dyDescent="0.25">
      <c r="A39" s="66">
        <v>8003819</v>
      </c>
      <c r="B39" s="66" t="s">
        <v>2900</v>
      </c>
      <c r="C39" s="66" t="s">
        <v>1406</v>
      </c>
      <c r="D39" s="66">
        <v>1</v>
      </c>
      <c r="E39" s="66" t="s">
        <v>3350</v>
      </c>
    </row>
    <row r="40" spans="1:5" x14ac:dyDescent="0.25">
      <c r="A40" s="66">
        <v>8130998</v>
      </c>
      <c r="B40" s="66" t="s">
        <v>2900</v>
      </c>
      <c r="C40" s="66" t="s">
        <v>2908</v>
      </c>
      <c r="D40" s="66">
        <v>3</v>
      </c>
      <c r="E40" s="66" t="s">
        <v>3350</v>
      </c>
    </row>
    <row r="41" spans="1:5" x14ac:dyDescent="0.25">
      <c r="A41" s="66">
        <v>9003370</v>
      </c>
      <c r="B41" s="66" t="s">
        <v>2900</v>
      </c>
      <c r="C41" s="66" t="s">
        <v>664</v>
      </c>
      <c r="D41" s="66">
        <v>1</v>
      </c>
      <c r="E41" s="66" t="s">
        <v>3350</v>
      </c>
    </row>
    <row r="42" spans="1:5" x14ac:dyDescent="0.25">
      <c r="A42" s="66">
        <v>9016278</v>
      </c>
      <c r="B42" s="66" t="s">
        <v>2900</v>
      </c>
      <c r="C42" s="66" t="s">
        <v>2909</v>
      </c>
      <c r="D42" s="66">
        <v>4</v>
      </c>
      <c r="E42" s="66" t="s">
        <v>3350</v>
      </c>
    </row>
    <row r="43" spans="1:5" x14ac:dyDescent="0.25">
      <c r="A43" s="66">
        <v>9030684</v>
      </c>
      <c r="B43" s="66" t="s">
        <v>2900</v>
      </c>
      <c r="C43" s="66" t="s">
        <v>1410</v>
      </c>
      <c r="D43" s="66">
        <v>1</v>
      </c>
      <c r="E43" s="66" t="s">
        <v>3350</v>
      </c>
    </row>
    <row r="44" spans="1:5" x14ac:dyDescent="0.25">
      <c r="A44" s="66">
        <v>9031387</v>
      </c>
      <c r="B44" s="66" t="s">
        <v>2900</v>
      </c>
      <c r="C44" s="66" t="s">
        <v>814</v>
      </c>
      <c r="D44" s="66">
        <v>1</v>
      </c>
      <c r="E44" s="66" t="s">
        <v>3350</v>
      </c>
    </row>
    <row r="45" spans="1:5" x14ac:dyDescent="0.25">
      <c r="A45" s="66">
        <v>9038676</v>
      </c>
      <c r="B45" s="66" t="s">
        <v>2900</v>
      </c>
      <c r="C45" s="66" t="s">
        <v>664</v>
      </c>
      <c r="D45" s="66">
        <v>1</v>
      </c>
      <c r="E45" s="66" t="s">
        <v>3350</v>
      </c>
    </row>
    <row r="46" spans="1:5" x14ac:dyDescent="0.25">
      <c r="A46" s="66">
        <v>9039416</v>
      </c>
      <c r="B46" s="66" t="s">
        <v>2900</v>
      </c>
      <c r="C46" s="66" t="s">
        <v>25</v>
      </c>
      <c r="D46" s="66">
        <v>1</v>
      </c>
      <c r="E46" s="66" t="s">
        <v>3350</v>
      </c>
    </row>
    <row r="47" spans="1:5" x14ac:dyDescent="0.25">
      <c r="A47" s="66">
        <v>9042861</v>
      </c>
      <c r="B47" s="66" t="s">
        <v>2900</v>
      </c>
      <c r="C47" s="66" t="s">
        <v>2910</v>
      </c>
      <c r="D47" s="66">
        <v>2</v>
      </c>
      <c r="E47" s="66" t="s">
        <v>3350</v>
      </c>
    </row>
    <row r="48" spans="1:5" x14ac:dyDescent="0.25">
      <c r="A48" s="66">
        <v>9044899</v>
      </c>
      <c r="B48" s="66" t="s">
        <v>2900</v>
      </c>
      <c r="C48" s="66" t="s">
        <v>2911</v>
      </c>
      <c r="D48" s="66">
        <v>6</v>
      </c>
      <c r="E48" s="66" t="s">
        <v>3350</v>
      </c>
    </row>
    <row r="49" spans="1:5" x14ac:dyDescent="0.25">
      <c r="A49" s="66">
        <v>9052398</v>
      </c>
      <c r="B49" s="66" t="s">
        <v>2900</v>
      </c>
      <c r="C49" s="66" t="s">
        <v>2912</v>
      </c>
      <c r="D49" s="66">
        <v>2</v>
      </c>
      <c r="E49" s="66" t="s">
        <v>3350</v>
      </c>
    </row>
    <row r="50" spans="1:5" x14ac:dyDescent="0.25">
      <c r="A50" s="66">
        <v>9085204</v>
      </c>
      <c r="B50" s="66" t="s">
        <v>2900</v>
      </c>
      <c r="C50" s="66" t="s">
        <v>2913</v>
      </c>
      <c r="D50" s="66">
        <v>2</v>
      </c>
      <c r="E50" s="66" t="s">
        <v>3350</v>
      </c>
    </row>
    <row r="51" spans="1:5" x14ac:dyDescent="0.25">
      <c r="A51" s="66">
        <v>9150676</v>
      </c>
      <c r="B51" s="66" t="s">
        <v>2900</v>
      </c>
      <c r="C51" s="66" t="s">
        <v>2914</v>
      </c>
      <c r="D51" s="66">
        <v>4</v>
      </c>
      <c r="E51" s="66" t="s">
        <v>3350</v>
      </c>
    </row>
    <row r="52" spans="1:5" x14ac:dyDescent="0.25">
      <c r="A52" s="66">
        <v>10030897</v>
      </c>
      <c r="B52" s="66" t="s">
        <v>2900</v>
      </c>
      <c r="C52" s="66" t="s">
        <v>2915</v>
      </c>
      <c r="D52" s="66">
        <v>6</v>
      </c>
      <c r="E52" s="66" t="s">
        <v>3350</v>
      </c>
    </row>
    <row r="53" spans="1:5" x14ac:dyDescent="0.25">
      <c r="A53" s="66">
        <v>324</v>
      </c>
      <c r="B53" s="66" t="s">
        <v>2900</v>
      </c>
      <c r="C53" s="66" t="s">
        <v>1055</v>
      </c>
      <c r="D53" s="66">
        <v>1</v>
      </c>
      <c r="E53" s="66" t="s">
        <v>3350</v>
      </c>
    </row>
    <row r="54" spans="1:5" x14ac:dyDescent="0.25">
      <c r="A54" s="66">
        <v>3909</v>
      </c>
      <c r="B54" s="66" t="s">
        <v>2900</v>
      </c>
      <c r="C54" s="66" t="s">
        <v>1064</v>
      </c>
      <c r="D54" s="66">
        <v>1</v>
      </c>
      <c r="E54" s="66" t="s">
        <v>3350</v>
      </c>
    </row>
    <row r="55" spans="1:5" x14ac:dyDescent="0.25">
      <c r="A55" s="66">
        <v>4663</v>
      </c>
      <c r="B55" s="66" t="s">
        <v>2900</v>
      </c>
      <c r="C55" s="66" t="s">
        <v>1072</v>
      </c>
      <c r="D55" s="66">
        <v>1</v>
      </c>
      <c r="E55" s="66" t="s">
        <v>3350</v>
      </c>
    </row>
    <row r="56" spans="1:5" x14ac:dyDescent="0.25">
      <c r="A56" s="66">
        <v>1005522</v>
      </c>
      <c r="B56" s="66" t="s">
        <v>2900</v>
      </c>
      <c r="C56" s="66" t="s">
        <v>2916</v>
      </c>
      <c r="D56" s="66">
        <v>5</v>
      </c>
      <c r="E56" s="66" t="s">
        <v>3350</v>
      </c>
    </row>
    <row r="57" spans="1:5" x14ac:dyDescent="0.25">
      <c r="A57" s="66">
        <v>1007631</v>
      </c>
      <c r="B57" s="66" t="s">
        <v>2900</v>
      </c>
      <c r="C57" s="66" t="s">
        <v>2917</v>
      </c>
      <c r="D57" s="66">
        <v>2</v>
      </c>
      <c r="E57" s="66" t="s">
        <v>3350</v>
      </c>
    </row>
    <row r="58" spans="1:5" x14ac:dyDescent="0.25">
      <c r="A58" s="66">
        <v>1009760</v>
      </c>
      <c r="B58" s="66" t="s">
        <v>2900</v>
      </c>
      <c r="C58" s="66" t="s">
        <v>2918</v>
      </c>
      <c r="D58" s="66">
        <v>5</v>
      </c>
      <c r="E58" s="66" t="s">
        <v>3350</v>
      </c>
    </row>
    <row r="59" spans="1:5" x14ac:dyDescent="0.25">
      <c r="A59" s="66">
        <v>3005132</v>
      </c>
      <c r="B59" s="66" t="s">
        <v>2900</v>
      </c>
      <c r="C59" s="66" t="s">
        <v>664</v>
      </c>
      <c r="D59" s="66">
        <v>1</v>
      </c>
      <c r="E59" s="66" t="s">
        <v>3350</v>
      </c>
    </row>
    <row r="60" spans="1:5" x14ac:dyDescent="0.25">
      <c r="A60" s="66">
        <v>3014643</v>
      </c>
      <c r="B60" s="66" t="s">
        <v>2900</v>
      </c>
      <c r="C60" s="66" t="s">
        <v>2919</v>
      </c>
      <c r="D60" s="66">
        <v>3</v>
      </c>
      <c r="E60" s="66" t="s">
        <v>3350</v>
      </c>
    </row>
    <row r="61" spans="1:5" x14ac:dyDescent="0.25">
      <c r="A61" s="66">
        <v>3016056</v>
      </c>
      <c r="B61" s="66" t="s">
        <v>2900</v>
      </c>
      <c r="C61" s="66" t="s">
        <v>2920</v>
      </c>
      <c r="D61" s="66">
        <v>3</v>
      </c>
      <c r="E61" s="66" t="s">
        <v>3350</v>
      </c>
    </row>
    <row r="62" spans="1:5" x14ac:dyDescent="0.25">
      <c r="A62" s="66">
        <v>3900219</v>
      </c>
      <c r="B62" s="66" t="s">
        <v>2900</v>
      </c>
      <c r="C62" s="66" t="s">
        <v>2921</v>
      </c>
      <c r="D62" s="66">
        <v>3</v>
      </c>
      <c r="E62" s="66" t="s">
        <v>3350</v>
      </c>
    </row>
    <row r="63" spans="1:5" x14ac:dyDescent="0.25">
      <c r="A63" s="66">
        <v>4000158</v>
      </c>
      <c r="B63" s="66" t="s">
        <v>2900</v>
      </c>
      <c r="C63" s="66" t="s">
        <v>665</v>
      </c>
      <c r="D63" s="66">
        <v>1</v>
      </c>
      <c r="E63" s="66" t="s">
        <v>3350</v>
      </c>
    </row>
    <row r="64" spans="1:5" x14ac:dyDescent="0.25">
      <c r="A64" s="66">
        <v>4000304</v>
      </c>
      <c r="B64" s="66" t="s">
        <v>2900</v>
      </c>
      <c r="C64" s="66" t="s">
        <v>664</v>
      </c>
      <c r="D64" s="66">
        <v>1</v>
      </c>
      <c r="E64" s="66" t="s">
        <v>3350</v>
      </c>
    </row>
    <row r="65" spans="1:5" x14ac:dyDescent="0.25">
      <c r="A65" s="66">
        <v>4002206</v>
      </c>
      <c r="B65" s="66" t="s">
        <v>2900</v>
      </c>
      <c r="C65" s="66" t="s">
        <v>664</v>
      </c>
      <c r="D65" s="66">
        <v>1</v>
      </c>
      <c r="E65" s="66" t="s">
        <v>3350</v>
      </c>
    </row>
    <row r="66" spans="1:5" x14ac:dyDescent="0.25">
      <c r="A66" s="66">
        <v>4002715</v>
      </c>
      <c r="B66" s="66" t="s">
        <v>2900</v>
      </c>
      <c r="C66" s="66" t="s">
        <v>2922</v>
      </c>
      <c r="D66" s="66">
        <v>3</v>
      </c>
      <c r="E66" s="66" t="s">
        <v>3350</v>
      </c>
    </row>
    <row r="67" spans="1:5" x14ac:dyDescent="0.25">
      <c r="A67" s="66">
        <v>4003924</v>
      </c>
      <c r="B67" s="66" t="s">
        <v>2900</v>
      </c>
      <c r="C67" s="66" t="s">
        <v>665</v>
      </c>
      <c r="D67" s="66">
        <v>1</v>
      </c>
      <c r="E67" s="66" t="s">
        <v>3350</v>
      </c>
    </row>
    <row r="68" spans="1:5" x14ac:dyDescent="0.25">
      <c r="A68" s="66">
        <v>4008140</v>
      </c>
      <c r="B68" s="66" t="s">
        <v>2900</v>
      </c>
      <c r="C68" s="66" t="s">
        <v>1406</v>
      </c>
      <c r="D68" s="66">
        <v>1</v>
      </c>
      <c r="E68" s="66" t="s">
        <v>3350</v>
      </c>
    </row>
    <row r="69" spans="1:5" x14ac:dyDescent="0.25">
      <c r="A69" s="66">
        <v>4009906</v>
      </c>
      <c r="B69" s="66" t="s">
        <v>2900</v>
      </c>
      <c r="C69" s="66" t="s">
        <v>2923</v>
      </c>
      <c r="D69" s="66">
        <v>4</v>
      </c>
      <c r="E69" s="66" t="s">
        <v>3350</v>
      </c>
    </row>
    <row r="70" spans="1:5" x14ac:dyDescent="0.25">
      <c r="A70" s="66">
        <v>4011920</v>
      </c>
      <c r="B70" s="66" t="s">
        <v>2900</v>
      </c>
      <c r="C70" s="66" t="s">
        <v>2924</v>
      </c>
      <c r="D70" s="66">
        <v>3</v>
      </c>
      <c r="E70" s="66" t="s">
        <v>3350</v>
      </c>
    </row>
    <row r="71" spans="1:5" x14ac:dyDescent="0.25">
      <c r="A71" s="66">
        <v>4012248</v>
      </c>
      <c r="B71" s="66" t="s">
        <v>2900</v>
      </c>
      <c r="C71" s="66" t="s">
        <v>2925</v>
      </c>
      <c r="D71" s="66">
        <v>7</v>
      </c>
      <c r="E71" s="66" t="s">
        <v>3350</v>
      </c>
    </row>
    <row r="72" spans="1:5" x14ac:dyDescent="0.25">
      <c r="A72" s="66">
        <v>4013603</v>
      </c>
      <c r="B72" s="66" t="s">
        <v>2900</v>
      </c>
      <c r="C72" s="66" t="s">
        <v>664</v>
      </c>
      <c r="D72" s="66">
        <v>1</v>
      </c>
      <c r="E72" s="66" t="s">
        <v>3350</v>
      </c>
    </row>
    <row r="73" spans="1:5" x14ac:dyDescent="0.25">
      <c r="A73" s="66">
        <v>5004654</v>
      </c>
      <c r="B73" s="66" t="s">
        <v>2900</v>
      </c>
      <c r="C73" s="66" t="s">
        <v>2926</v>
      </c>
      <c r="D73" s="66">
        <v>10</v>
      </c>
      <c r="E73" s="66" t="s">
        <v>3350</v>
      </c>
    </row>
    <row r="74" spans="1:5" x14ac:dyDescent="0.25">
      <c r="A74" s="66">
        <v>500245</v>
      </c>
      <c r="B74" s="66" t="s">
        <v>2900</v>
      </c>
      <c r="C74" s="66" t="s">
        <v>2927</v>
      </c>
      <c r="D74" s="66">
        <v>6</v>
      </c>
      <c r="E74" s="66" t="s">
        <v>3351</v>
      </c>
    </row>
    <row r="75" spans="1:5" x14ac:dyDescent="0.25">
      <c r="A75" s="66">
        <v>2002573</v>
      </c>
      <c r="B75" s="66" t="s">
        <v>2900</v>
      </c>
      <c r="C75" s="66" t="s">
        <v>2928</v>
      </c>
      <c r="D75" s="66">
        <v>3</v>
      </c>
      <c r="E75" s="66" t="s">
        <v>3351</v>
      </c>
    </row>
    <row r="76" spans="1:5" x14ac:dyDescent="0.25">
      <c r="A76" s="66">
        <v>2003539</v>
      </c>
      <c r="B76" s="66" t="s">
        <v>2900</v>
      </c>
      <c r="C76" s="66" t="s">
        <v>1408</v>
      </c>
      <c r="D76" s="66">
        <v>1</v>
      </c>
      <c r="E76" s="66" t="s">
        <v>3351</v>
      </c>
    </row>
    <row r="77" spans="1:5" x14ac:dyDescent="0.25">
      <c r="A77" s="66">
        <v>2003649</v>
      </c>
      <c r="B77" s="66" t="s">
        <v>2900</v>
      </c>
      <c r="C77" s="66" t="s">
        <v>2929</v>
      </c>
      <c r="D77" s="66">
        <v>8</v>
      </c>
      <c r="E77" s="66" t="s">
        <v>3351</v>
      </c>
    </row>
    <row r="78" spans="1:5" x14ac:dyDescent="0.25">
      <c r="A78" s="66">
        <v>2005572</v>
      </c>
      <c r="B78" s="66" t="s">
        <v>2900</v>
      </c>
      <c r="C78" s="66" t="s">
        <v>2930</v>
      </c>
      <c r="D78" s="66">
        <v>3</v>
      </c>
      <c r="E78" s="66" t="s">
        <v>3351</v>
      </c>
    </row>
    <row r="79" spans="1:5" x14ac:dyDescent="0.25">
      <c r="A79" s="66">
        <v>2013117</v>
      </c>
      <c r="B79" s="66" t="s">
        <v>2900</v>
      </c>
      <c r="C79" s="66" t="s">
        <v>1406</v>
      </c>
      <c r="D79" s="66">
        <v>1</v>
      </c>
      <c r="E79" s="66" t="s">
        <v>3351</v>
      </c>
    </row>
    <row r="80" spans="1:5" x14ac:dyDescent="0.25">
      <c r="A80" s="66">
        <v>3009633</v>
      </c>
      <c r="B80" s="66" t="s">
        <v>2900</v>
      </c>
      <c r="C80" s="66" t="s">
        <v>2931</v>
      </c>
      <c r="D80" s="66">
        <v>4</v>
      </c>
      <c r="E80" s="66" t="s">
        <v>3351</v>
      </c>
    </row>
    <row r="81" spans="1:5" x14ac:dyDescent="0.25">
      <c r="A81" s="66">
        <v>3010583</v>
      </c>
      <c r="B81" s="66" t="s">
        <v>2900</v>
      </c>
      <c r="C81" s="66" t="s">
        <v>2932</v>
      </c>
      <c r="D81" s="66">
        <v>3</v>
      </c>
      <c r="E81" s="66" t="s">
        <v>3351</v>
      </c>
    </row>
    <row r="82" spans="1:5" x14ac:dyDescent="0.25">
      <c r="A82" s="66">
        <v>4001382</v>
      </c>
      <c r="B82" s="66" t="s">
        <v>2900</v>
      </c>
      <c r="C82" s="66" t="s">
        <v>2933</v>
      </c>
      <c r="D82" s="66">
        <v>2</v>
      </c>
      <c r="E82" s="66" t="s">
        <v>3351</v>
      </c>
    </row>
    <row r="83" spans="1:5" x14ac:dyDescent="0.25">
      <c r="A83" s="66">
        <v>5018675</v>
      </c>
      <c r="B83" s="66" t="s">
        <v>2900</v>
      </c>
      <c r="C83" s="66" t="s">
        <v>582</v>
      </c>
      <c r="D83" s="66">
        <v>1</v>
      </c>
      <c r="E83" s="66" t="s">
        <v>3351</v>
      </c>
    </row>
    <row r="84" spans="1:5" x14ac:dyDescent="0.25">
      <c r="A84" s="66">
        <v>5015851</v>
      </c>
      <c r="B84" s="66" t="s">
        <v>2900</v>
      </c>
      <c r="C84" s="66" t="s">
        <v>2934</v>
      </c>
      <c r="D84" s="66">
        <v>5</v>
      </c>
      <c r="E84" s="66" t="s">
        <v>3351</v>
      </c>
    </row>
    <row r="85" spans="1:5" x14ac:dyDescent="0.25">
      <c r="A85" s="66">
        <v>6015647</v>
      </c>
      <c r="B85" s="66" t="s">
        <v>2900</v>
      </c>
      <c r="C85" s="66" t="s">
        <v>2935</v>
      </c>
      <c r="D85" s="66">
        <v>11</v>
      </c>
      <c r="E85" s="66" t="s">
        <v>3351</v>
      </c>
    </row>
    <row r="86" spans="1:5" x14ac:dyDescent="0.25">
      <c r="A86" s="66">
        <v>6056633</v>
      </c>
      <c r="B86" s="66" t="s">
        <v>2900</v>
      </c>
      <c r="C86" s="66" t="s">
        <v>2936</v>
      </c>
      <c r="D86" s="66">
        <v>3</v>
      </c>
      <c r="E86" s="66" t="s">
        <v>3351</v>
      </c>
    </row>
    <row r="87" spans="1:5" x14ac:dyDescent="0.25">
      <c r="A87" s="66">
        <v>7086224</v>
      </c>
      <c r="B87" s="66" t="s">
        <v>2900</v>
      </c>
      <c r="C87" s="66" t="s">
        <v>2937</v>
      </c>
      <c r="D87" s="66">
        <v>4</v>
      </c>
      <c r="E87" s="66" t="s">
        <v>3351</v>
      </c>
    </row>
    <row r="88" spans="1:5" x14ac:dyDescent="0.25">
      <c r="A88" s="66">
        <v>8040959</v>
      </c>
      <c r="B88" s="66" t="s">
        <v>2900</v>
      </c>
      <c r="C88" s="66" t="s">
        <v>160</v>
      </c>
      <c r="D88" s="66">
        <v>1</v>
      </c>
      <c r="E88" s="66" t="s">
        <v>3351</v>
      </c>
    </row>
    <row r="89" spans="1:5" x14ac:dyDescent="0.25">
      <c r="A89" s="66">
        <v>8107048</v>
      </c>
      <c r="B89" s="66" t="s">
        <v>2900</v>
      </c>
      <c r="C89" s="66" t="s">
        <v>2938</v>
      </c>
      <c r="D89" s="66">
        <v>2</v>
      </c>
      <c r="E89" s="66" t="s">
        <v>3351</v>
      </c>
    </row>
    <row r="90" spans="1:5" x14ac:dyDescent="0.25">
      <c r="A90" s="66">
        <v>8124044</v>
      </c>
      <c r="B90" s="66" t="s">
        <v>2900</v>
      </c>
      <c r="C90" s="66" t="s">
        <v>2939</v>
      </c>
      <c r="D90" s="66">
        <v>3</v>
      </c>
      <c r="E90" s="66" t="s">
        <v>3351</v>
      </c>
    </row>
    <row r="91" spans="1:5" x14ac:dyDescent="0.25">
      <c r="A91" s="66">
        <v>9023306</v>
      </c>
      <c r="B91" s="66" t="s">
        <v>2900</v>
      </c>
      <c r="C91" s="66" t="s">
        <v>2940</v>
      </c>
      <c r="D91" s="66">
        <v>4</v>
      </c>
      <c r="E91" s="66" t="s">
        <v>3351</v>
      </c>
    </row>
    <row r="92" spans="1:5" x14ac:dyDescent="0.25">
      <c r="A92" s="66">
        <v>9030615</v>
      </c>
      <c r="B92" s="66" t="s">
        <v>2900</v>
      </c>
      <c r="C92" s="66" t="s">
        <v>2941</v>
      </c>
      <c r="D92" s="66">
        <v>4</v>
      </c>
      <c r="E92" s="66" t="s">
        <v>3351</v>
      </c>
    </row>
    <row r="93" spans="1:5" x14ac:dyDescent="0.25">
      <c r="A93" s="66">
        <v>9054567</v>
      </c>
      <c r="B93" s="66" t="s">
        <v>2900</v>
      </c>
      <c r="C93" s="66" t="s">
        <v>1406</v>
      </c>
      <c r="D93" s="66">
        <v>1</v>
      </c>
      <c r="E93" s="66" t="s">
        <v>3351</v>
      </c>
    </row>
    <row r="94" spans="1:5" x14ac:dyDescent="0.25">
      <c r="A94" s="66">
        <v>9083682</v>
      </c>
      <c r="B94" s="66" t="s">
        <v>2900</v>
      </c>
      <c r="C94" s="66" t="s">
        <v>2942</v>
      </c>
      <c r="D94" s="66">
        <v>3</v>
      </c>
      <c r="E94" s="66" t="s">
        <v>3351</v>
      </c>
    </row>
    <row r="95" spans="1:5" x14ac:dyDescent="0.25">
      <c r="A95" s="66">
        <v>9174811</v>
      </c>
      <c r="B95" s="66" t="s">
        <v>2900</v>
      </c>
      <c r="C95" s="66" t="s">
        <v>2943</v>
      </c>
      <c r="D95" s="66">
        <v>3</v>
      </c>
      <c r="E95" s="66" t="s">
        <v>3351</v>
      </c>
    </row>
    <row r="96" spans="1:5" x14ac:dyDescent="0.25">
      <c r="A96" s="66">
        <v>10002875</v>
      </c>
      <c r="B96" s="66" t="s">
        <v>2900</v>
      </c>
      <c r="C96" s="66" t="s">
        <v>2944</v>
      </c>
      <c r="D96" s="66">
        <v>7</v>
      </c>
      <c r="E96" s="66" t="s">
        <v>3351</v>
      </c>
    </row>
    <row r="97" spans="1:5" x14ac:dyDescent="0.25">
      <c r="A97" s="66">
        <v>10023080</v>
      </c>
      <c r="B97" s="66" t="s">
        <v>2900</v>
      </c>
      <c r="C97" s="66" t="s">
        <v>2945</v>
      </c>
      <c r="D97" s="66">
        <v>2</v>
      </c>
      <c r="E97" s="66" t="s">
        <v>3351</v>
      </c>
    </row>
    <row r="98" spans="1:5" x14ac:dyDescent="0.25">
      <c r="A98" s="66">
        <v>10025212</v>
      </c>
      <c r="B98" s="66" t="s">
        <v>2900</v>
      </c>
      <c r="C98" s="66" t="s">
        <v>2946</v>
      </c>
      <c r="D98" s="66">
        <v>2</v>
      </c>
      <c r="E98" s="66" t="s">
        <v>3351</v>
      </c>
    </row>
    <row r="99" spans="1:5" x14ac:dyDescent="0.25">
      <c r="A99" s="66">
        <v>10071135</v>
      </c>
      <c r="B99" s="66" t="s">
        <v>2900</v>
      </c>
      <c r="C99" s="66" t="s">
        <v>2947</v>
      </c>
      <c r="D99" s="66">
        <v>4</v>
      </c>
      <c r="E99" s="66" t="s">
        <v>3351</v>
      </c>
    </row>
    <row r="100" spans="1:5" x14ac:dyDescent="0.25">
      <c r="A100" s="66">
        <v>10083649</v>
      </c>
      <c r="B100" s="66" t="s">
        <v>2900</v>
      </c>
      <c r="C100" s="66" t="s">
        <v>2948</v>
      </c>
      <c r="D100" s="66">
        <v>2</v>
      </c>
      <c r="E100" s="66" t="s">
        <v>3351</v>
      </c>
    </row>
    <row r="101" spans="1:5" x14ac:dyDescent="0.25">
      <c r="A101" s="66">
        <v>10157275</v>
      </c>
      <c r="B101" s="66" t="s">
        <v>2900</v>
      </c>
      <c r="C101" s="66" t="s">
        <v>2949</v>
      </c>
      <c r="D101" s="66">
        <v>3</v>
      </c>
      <c r="E101" s="66" t="s">
        <v>3351</v>
      </c>
    </row>
    <row r="102" spans="1:5" x14ac:dyDescent="0.25">
      <c r="A102" s="66">
        <v>200085</v>
      </c>
      <c r="B102" s="66" t="s">
        <v>2900</v>
      </c>
      <c r="C102" s="66" t="s">
        <v>2950</v>
      </c>
      <c r="D102" s="66">
        <v>18</v>
      </c>
      <c r="E102" s="66" t="s">
        <v>3352</v>
      </c>
    </row>
    <row r="103" spans="1:5" x14ac:dyDescent="0.25">
      <c r="A103" s="66">
        <v>500129</v>
      </c>
      <c r="B103" s="66" t="s">
        <v>2900</v>
      </c>
      <c r="C103" s="66" t="s">
        <v>2951</v>
      </c>
      <c r="D103" s="66">
        <v>8</v>
      </c>
      <c r="E103" s="66" t="s">
        <v>3352</v>
      </c>
    </row>
    <row r="104" spans="1:5" x14ac:dyDescent="0.25">
      <c r="A104" s="66">
        <v>1002033</v>
      </c>
      <c r="B104" s="66" t="s">
        <v>2900</v>
      </c>
      <c r="C104" s="66" t="s">
        <v>2952</v>
      </c>
      <c r="D104" s="66">
        <v>6</v>
      </c>
      <c r="E104" s="66" t="s">
        <v>3352</v>
      </c>
    </row>
    <row r="105" spans="1:5" x14ac:dyDescent="0.25">
      <c r="A105" s="66">
        <v>1003457</v>
      </c>
      <c r="B105" s="66" t="s">
        <v>2900</v>
      </c>
      <c r="C105" s="66" t="s">
        <v>24</v>
      </c>
      <c r="D105" s="66">
        <v>1</v>
      </c>
      <c r="E105" s="66" t="s">
        <v>3352</v>
      </c>
    </row>
    <row r="106" spans="1:5" x14ac:dyDescent="0.25">
      <c r="A106" s="66">
        <v>2006107</v>
      </c>
      <c r="B106" s="66" t="s">
        <v>2900</v>
      </c>
      <c r="C106" s="66" t="s">
        <v>664</v>
      </c>
      <c r="D106" s="66">
        <v>1</v>
      </c>
      <c r="E106" s="66" t="s">
        <v>3352</v>
      </c>
    </row>
    <row r="107" spans="1:5" x14ac:dyDescent="0.25">
      <c r="A107" s="66">
        <v>2012014</v>
      </c>
      <c r="B107" s="66" t="s">
        <v>2900</v>
      </c>
      <c r="C107" s="66" t="s">
        <v>1860</v>
      </c>
      <c r="D107" s="66">
        <v>1</v>
      </c>
      <c r="E107" s="66" t="s">
        <v>3352</v>
      </c>
    </row>
    <row r="108" spans="1:5" x14ac:dyDescent="0.25">
      <c r="A108" s="66">
        <v>3000152</v>
      </c>
      <c r="B108" s="66" t="s">
        <v>2900</v>
      </c>
      <c r="C108" s="66" t="s">
        <v>1406</v>
      </c>
      <c r="D108" s="66">
        <v>1</v>
      </c>
      <c r="E108" s="66" t="s">
        <v>3352</v>
      </c>
    </row>
    <row r="109" spans="1:5" x14ac:dyDescent="0.25">
      <c r="A109" s="66">
        <v>3015058</v>
      </c>
      <c r="B109" s="66" t="s">
        <v>2900</v>
      </c>
      <c r="C109" s="66" t="s">
        <v>2953</v>
      </c>
      <c r="D109" s="66">
        <v>4</v>
      </c>
      <c r="E109" s="66" t="s">
        <v>3352</v>
      </c>
    </row>
    <row r="110" spans="1:5" x14ac:dyDescent="0.25">
      <c r="A110" s="66">
        <v>4000996</v>
      </c>
      <c r="B110" s="66" t="s">
        <v>2900</v>
      </c>
      <c r="C110" s="66" t="s">
        <v>2954</v>
      </c>
      <c r="D110" s="66">
        <v>5</v>
      </c>
      <c r="E110" s="66" t="s">
        <v>3352</v>
      </c>
    </row>
    <row r="111" spans="1:5" x14ac:dyDescent="0.25">
      <c r="A111" s="66">
        <v>4003768</v>
      </c>
      <c r="B111" s="66" t="s">
        <v>2900</v>
      </c>
      <c r="C111" s="66" t="s">
        <v>2955</v>
      </c>
      <c r="D111" s="66">
        <v>6</v>
      </c>
      <c r="E111" s="66" t="s">
        <v>3352</v>
      </c>
    </row>
    <row r="112" spans="1:5" x14ac:dyDescent="0.25">
      <c r="A112" s="66">
        <v>4006540</v>
      </c>
      <c r="B112" s="66" t="s">
        <v>2900</v>
      </c>
      <c r="C112" s="66" t="s">
        <v>71</v>
      </c>
      <c r="D112" s="66">
        <v>1</v>
      </c>
      <c r="E112" s="66" t="s">
        <v>3352</v>
      </c>
    </row>
    <row r="113" spans="1:5" x14ac:dyDescent="0.25">
      <c r="A113" s="66">
        <v>4011002</v>
      </c>
      <c r="B113" s="66" t="s">
        <v>2900</v>
      </c>
      <c r="C113" s="66" t="s">
        <v>2956</v>
      </c>
      <c r="D113" s="66">
        <v>4</v>
      </c>
      <c r="E113" s="66" t="s">
        <v>3352</v>
      </c>
    </row>
    <row r="114" spans="1:5" x14ac:dyDescent="0.25">
      <c r="A114" s="66">
        <v>5001097</v>
      </c>
      <c r="B114" s="66" t="s">
        <v>2900</v>
      </c>
      <c r="C114" s="66" t="s">
        <v>2957</v>
      </c>
      <c r="D114" s="66">
        <v>6</v>
      </c>
      <c r="E114" s="66" t="s">
        <v>3352</v>
      </c>
    </row>
    <row r="115" spans="1:5" x14ac:dyDescent="0.25">
      <c r="A115" s="66">
        <v>5001098</v>
      </c>
      <c r="B115" s="66" t="s">
        <v>2900</v>
      </c>
      <c r="C115" s="66" t="s">
        <v>2958</v>
      </c>
      <c r="D115" s="66">
        <v>5</v>
      </c>
      <c r="E115" s="66" t="s">
        <v>3352</v>
      </c>
    </row>
    <row r="116" spans="1:5" x14ac:dyDescent="0.25">
      <c r="A116" s="66">
        <v>6012361</v>
      </c>
      <c r="B116" s="66" t="s">
        <v>2900</v>
      </c>
      <c r="C116" s="66" t="s">
        <v>2959</v>
      </c>
      <c r="D116" s="66">
        <v>3</v>
      </c>
      <c r="E116" s="66" t="s">
        <v>3352</v>
      </c>
    </row>
    <row r="117" spans="1:5" x14ac:dyDescent="0.25">
      <c r="A117" s="66">
        <v>6015793</v>
      </c>
      <c r="B117" s="66" t="s">
        <v>2900</v>
      </c>
      <c r="C117" s="66" t="s">
        <v>2960</v>
      </c>
      <c r="D117" s="66">
        <v>3</v>
      </c>
      <c r="E117" s="66" t="s">
        <v>3352</v>
      </c>
    </row>
    <row r="118" spans="1:5" x14ac:dyDescent="0.25">
      <c r="A118" s="66">
        <v>6043619</v>
      </c>
      <c r="B118" s="66" t="s">
        <v>2900</v>
      </c>
      <c r="C118" s="66" t="s">
        <v>664</v>
      </c>
      <c r="D118" s="66">
        <v>1</v>
      </c>
      <c r="E118" s="66" t="s">
        <v>3352</v>
      </c>
    </row>
    <row r="119" spans="1:5" x14ac:dyDescent="0.25">
      <c r="A119" s="66">
        <v>7011435</v>
      </c>
      <c r="B119" s="66" t="s">
        <v>2900</v>
      </c>
      <c r="C119" s="66" t="s">
        <v>2961</v>
      </c>
      <c r="D119" s="66">
        <v>3</v>
      </c>
      <c r="E119" s="66" t="s">
        <v>3352</v>
      </c>
    </row>
    <row r="120" spans="1:5" x14ac:dyDescent="0.25">
      <c r="A120" s="66">
        <v>7045811</v>
      </c>
      <c r="B120" s="66" t="s">
        <v>2900</v>
      </c>
      <c r="C120" s="66" t="s">
        <v>1409</v>
      </c>
      <c r="D120" s="66">
        <v>1</v>
      </c>
      <c r="E120" s="66" t="s">
        <v>3352</v>
      </c>
    </row>
    <row r="121" spans="1:5" x14ac:dyDescent="0.25">
      <c r="A121" s="66">
        <v>7101143</v>
      </c>
      <c r="B121" s="66" t="s">
        <v>2900</v>
      </c>
      <c r="C121" s="66" t="s">
        <v>2962</v>
      </c>
      <c r="D121" s="66">
        <v>6</v>
      </c>
      <c r="E121" s="66" t="s">
        <v>3352</v>
      </c>
    </row>
    <row r="122" spans="1:5" x14ac:dyDescent="0.25">
      <c r="A122" s="66">
        <v>8089666</v>
      </c>
      <c r="B122" s="66" t="s">
        <v>2900</v>
      </c>
      <c r="C122" s="66" t="s">
        <v>2963</v>
      </c>
      <c r="D122" s="66">
        <v>5</v>
      </c>
      <c r="E122" s="66" t="s">
        <v>3352</v>
      </c>
    </row>
    <row r="123" spans="1:5" x14ac:dyDescent="0.25">
      <c r="A123" s="66">
        <v>8124816</v>
      </c>
      <c r="B123" s="66" t="s">
        <v>2900</v>
      </c>
      <c r="C123" s="66" t="s">
        <v>2964</v>
      </c>
      <c r="D123" s="66">
        <v>4</v>
      </c>
      <c r="E123" s="66" t="s">
        <v>3352</v>
      </c>
    </row>
    <row r="124" spans="1:5" x14ac:dyDescent="0.25">
      <c r="A124" s="66">
        <v>9003267</v>
      </c>
      <c r="B124" s="66" t="s">
        <v>2900</v>
      </c>
      <c r="C124" s="66" t="s">
        <v>2965</v>
      </c>
      <c r="D124" s="66">
        <v>5</v>
      </c>
      <c r="E124" s="66" t="s">
        <v>3352</v>
      </c>
    </row>
    <row r="125" spans="1:5" x14ac:dyDescent="0.25">
      <c r="A125" s="66">
        <v>9036964</v>
      </c>
      <c r="B125" s="66" t="s">
        <v>2900</v>
      </c>
      <c r="C125" s="66" t="s">
        <v>2966</v>
      </c>
      <c r="D125" s="66">
        <v>3</v>
      </c>
      <c r="E125" s="66" t="s">
        <v>3352</v>
      </c>
    </row>
    <row r="126" spans="1:5" x14ac:dyDescent="0.25">
      <c r="A126" s="66">
        <v>9090287</v>
      </c>
      <c r="B126" s="66" t="s">
        <v>2900</v>
      </c>
      <c r="C126" s="66" t="s">
        <v>25</v>
      </c>
      <c r="D126" s="66">
        <v>1</v>
      </c>
      <c r="E126" s="66" t="s">
        <v>3352</v>
      </c>
    </row>
    <row r="127" spans="1:5" x14ac:dyDescent="0.25">
      <c r="A127" s="66">
        <v>9095148</v>
      </c>
      <c r="B127" s="66" t="s">
        <v>2900</v>
      </c>
      <c r="C127" s="66" t="s">
        <v>665</v>
      </c>
      <c r="D127" s="66">
        <v>1</v>
      </c>
      <c r="E127" s="66" t="s">
        <v>3352</v>
      </c>
    </row>
    <row r="128" spans="1:5" x14ac:dyDescent="0.25">
      <c r="A128" s="66">
        <v>10020659</v>
      </c>
      <c r="B128" s="66" t="s">
        <v>2900</v>
      </c>
      <c r="C128" s="66" t="s">
        <v>2967</v>
      </c>
      <c r="D128" s="66">
        <v>6</v>
      </c>
      <c r="E128" s="66" t="s">
        <v>3352</v>
      </c>
    </row>
    <row r="129" spans="1:5" x14ac:dyDescent="0.25">
      <c r="A129" s="66">
        <v>10025902</v>
      </c>
      <c r="B129" s="66" t="s">
        <v>2900</v>
      </c>
      <c r="C129" s="66" t="s">
        <v>2968</v>
      </c>
      <c r="D129" s="66">
        <v>7</v>
      </c>
      <c r="E129" s="66" t="s">
        <v>3352</v>
      </c>
    </row>
    <row r="130" spans="1:5" x14ac:dyDescent="0.25">
      <c r="A130" s="66">
        <v>10084485</v>
      </c>
      <c r="B130" s="66" t="s">
        <v>2900</v>
      </c>
      <c r="C130" s="66" t="s">
        <v>664</v>
      </c>
      <c r="D130" s="66">
        <v>1</v>
      </c>
      <c r="E130" s="66" t="s">
        <v>3352</v>
      </c>
    </row>
    <row r="131" spans="1:5" x14ac:dyDescent="0.25">
      <c r="A131" s="66">
        <v>10098420</v>
      </c>
      <c r="B131" s="66" t="s">
        <v>2900</v>
      </c>
      <c r="C131" s="66" t="s">
        <v>2969</v>
      </c>
      <c r="D131" s="66">
        <v>4</v>
      </c>
      <c r="E131" s="66" t="s">
        <v>3352</v>
      </c>
    </row>
    <row r="132" spans="1:5" x14ac:dyDescent="0.25">
      <c r="A132" s="66">
        <v>10129565</v>
      </c>
      <c r="B132" s="66" t="s">
        <v>2900</v>
      </c>
      <c r="C132" s="66" t="s">
        <v>2970</v>
      </c>
      <c r="D132" s="66">
        <v>3</v>
      </c>
      <c r="E132" s="66" t="s">
        <v>3352</v>
      </c>
    </row>
    <row r="133" spans="1:5" x14ac:dyDescent="0.25">
      <c r="A133" s="66">
        <v>10163776</v>
      </c>
      <c r="B133" s="66" t="s">
        <v>2900</v>
      </c>
      <c r="C133" s="66" t="s">
        <v>2971</v>
      </c>
      <c r="D133" s="66">
        <v>2</v>
      </c>
      <c r="E133" s="66" t="s">
        <v>3352</v>
      </c>
    </row>
    <row r="134" spans="1:5" x14ac:dyDescent="0.25">
      <c r="A134" s="66">
        <v>10173664</v>
      </c>
      <c r="B134" s="66" t="s">
        <v>2900</v>
      </c>
      <c r="C134" s="66" t="s">
        <v>2972</v>
      </c>
      <c r="D134" s="66">
        <v>3</v>
      </c>
      <c r="E134" s="66" t="s">
        <v>3352</v>
      </c>
    </row>
  </sheetData>
  <phoneticPr fontId="6" type="noConversion"/>
  <pageMargins left="0.7" right="0.7" top="0.78740157499999996" bottom="0.78740157499999996" header="0.3" footer="0.3"/>
  <tableParts count="1">
    <tablePart r:id="rId1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239"/>
  <sheetViews>
    <sheetView workbookViewId="0">
      <selection activeCell="F5" sqref="F5"/>
    </sheetView>
  </sheetViews>
  <sheetFormatPr defaultColWidth="11.42578125" defaultRowHeight="15" x14ac:dyDescent="0.25"/>
  <cols>
    <col min="1" max="1" width="17.140625" customWidth="1"/>
    <col min="2" max="5" width="37.5703125" customWidth="1"/>
    <col min="6" max="9" width="32.140625" customWidth="1"/>
    <col min="10" max="10" width="36.5703125" customWidth="1"/>
    <col min="11" max="11" width="32.140625" customWidth="1"/>
    <col min="12" max="12" width="31" customWidth="1"/>
    <col min="13" max="13" width="27.5703125" customWidth="1"/>
    <col min="14" max="14" width="13.85546875" customWidth="1"/>
    <col min="18" max="18" width="14.28515625" customWidth="1"/>
    <col min="21" max="21" width="17.28515625" customWidth="1"/>
    <col min="22" max="22" width="12.42578125" customWidth="1"/>
    <col min="23" max="23" width="12" customWidth="1"/>
    <col min="24" max="24" width="16.85546875" customWidth="1"/>
    <col min="25" max="27" width="12" customWidth="1"/>
    <col min="28" max="28" width="16.85546875" customWidth="1"/>
    <col min="29" max="30" width="12" customWidth="1"/>
    <col min="31" max="31" width="16.85546875" customWidth="1"/>
    <col min="32" max="33" width="12" customWidth="1"/>
    <col min="34" max="34" width="19.5703125" customWidth="1"/>
    <col min="35" max="35" width="14.7109375" customWidth="1"/>
    <col min="36" max="39" width="19.5703125" customWidth="1"/>
  </cols>
  <sheetData>
    <row r="1" spans="1:39" ht="75" x14ac:dyDescent="0.25">
      <c r="A1" s="61" t="s">
        <v>59</v>
      </c>
      <c r="B1" s="70" t="s">
        <v>2359</v>
      </c>
      <c r="C1" s="70" t="s">
        <v>1780</v>
      </c>
      <c r="D1" s="70" t="s">
        <v>1989</v>
      </c>
      <c r="E1" s="70" t="s">
        <v>1420</v>
      </c>
      <c r="F1" s="70" t="s">
        <v>112</v>
      </c>
      <c r="G1" s="70" t="s">
        <v>1960</v>
      </c>
      <c r="H1" s="70" t="s">
        <v>1920</v>
      </c>
      <c r="I1" s="70" t="s">
        <v>498</v>
      </c>
      <c r="J1" s="70" t="s">
        <v>1421</v>
      </c>
      <c r="K1" s="70" t="s">
        <v>499</v>
      </c>
      <c r="L1" s="70" t="s">
        <v>2377</v>
      </c>
      <c r="M1" s="70" t="s">
        <v>1422</v>
      </c>
      <c r="N1" s="63" t="s">
        <v>500</v>
      </c>
      <c r="O1" s="62" t="s">
        <v>1419</v>
      </c>
      <c r="P1" s="62" t="s">
        <v>28</v>
      </c>
      <c r="Q1" s="62" t="s">
        <v>29</v>
      </c>
      <c r="R1" s="62" t="s">
        <v>1423</v>
      </c>
      <c r="S1" s="62" t="s">
        <v>30</v>
      </c>
      <c r="T1" s="62" t="s">
        <v>31</v>
      </c>
      <c r="U1" s="62" t="s">
        <v>1424</v>
      </c>
      <c r="V1" s="62" t="s">
        <v>1147</v>
      </c>
      <c r="W1" s="62" t="s">
        <v>1130</v>
      </c>
      <c r="X1" s="62" t="s">
        <v>1425</v>
      </c>
      <c r="Y1" s="62" t="s">
        <v>1779</v>
      </c>
      <c r="Z1" s="62" t="s">
        <v>81</v>
      </c>
      <c r="AA1" s="62" t="s">
        <v>27</v>
      </c>
      <c r="AB1" s="62" t="s">
        <v>1426</v>
      </c>
      <c r="AC1" s="62" t="s">
        <v>72</v>
      </c>
      <c r="AD1" s="62" t="s">
        <v>501</v>
      </c>
      <c r="AE1" s="62" t="s">
        <v>1427</v>
      </c>
      <c r="AF1" s="62" t="s">
        <v>82</v>
      </c>
      <c r="AG1" s="62" t="s">
        <v>1061</v>
      </c>
      <c r="AH1" s="62" t="s">
        <v>1428</v>
      </c>
      <c r="AI1" s="62" t="s">
        <v>1309</v>
      </c>
      <c r="AJ1" s="62" t="s">
        <v>1429</v>
      </c>
      <c r="AK1" s="62" t="s">
        <v>2348</v>
      </c>
      <c r="AL1" s="62" t="s">
        <v>2338</v>
      </c>
      <c r="AM1" s="62" t="s">
        <v>2346</v>
      </c>
    </row>
    <row r="2" spans="1:39" x14ac:dyDescent="0.25">
      <c r="A2" s="40" t="s">
        <v>561</v>
      </c>
    </row>
    <row r="3" spans="1:39" x14ac:dyDescent="0.25">
      <c r="A3" s="10" t="s">
        <v>2519</v>
      </c>
      <c r="B3" s="6"/>
      <c r="C3" s="6"/>
      <c r="D3" s="6"/>
      <c r="E3" s="8"/>
      <c r="F3" s="8"/>
      <c r="G3" s="8"/>
      <c r="H3" s="8"/>
      <c r="I3" s="8"/>
      <c r="J3" s="8"/>
      <c r="K3" s="8"/>
      <c r="L3" s="8"/>
      <c r="M3" s="8"/>
      <c r="N3" s="8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</row>
    <row r="4" spans="1:39" x14ac:dyDescent="0.25">
      <c r="A4" s="50">
        <v>7072184</v>
      </c>
      <c r="B4" s="6"/>
      <c r="C4" s="6"/>
      <c r="D4" s="6"/>
      <c r="M4" s="49">
        <v>5.423</v>
      </c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</row>
    <row r="5" spans="1:39" x14ac:dyDescent="0.25">
      <c r="A5" s="50">
        <v>9108231</v>
      </c>
      <c r="B5" s="6"/>
      <c r="C5" s="6"/>
      <c r="D5" s="6"/>
      <c r="E5" s="8"/>
      <c r="F5" s="8"/>
      <c r="G5" s="8"/>
      <c r="H5" s="8"/>
      <c r="I5" s="8"/>
      <c r="J5" s="8"/>
      <c r="K5" s="8"/>
      <c r="L5" s="8"/>
      <c r="M5" s="8"/>
      <c r="N5" s="8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</row>
    <row r="6" spans="1:39" x14ac:dyDescent="0.25">
      <c r="A6" s="50">
        <v>12061933</v>
      </c>
      <c r="B6" s="6"/>
      <c r="C6" s="6"/>
      <c r="D6" s="6"/>
      <c r="E6" s="8"/>
      <c r="F6" s="8"/>
      <c r="G6" s="8"/>
      <c r="H6" s="8"/>
      <c r="I6" s="8"/>
      <c r="J6" s="8"/>
      <c r="K6" s="8"/>
      <c r="L6" s="8"/>
      <c r="M6" s="8"/>
      <c r="N6" s="8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</row>
    <row r="7" spans="1:39" x14ac:dyDescent="0.25">
      <c r="A7" s="50">
        <v>95005911</v>
      </c>
    </row>
    <row r="8" spans="1:39" x14ac:dyDescent="0.25">
      <c r="A8" s="50">
        <v>99001908</v>
      </c>
      <c r="M8">
        <v>253</v>
      </c>
    </row>
    <row r="9" spans="1:39" x14ac:dyDescent="0.25">
      <c r="A9" s="50">
        <v>99004067</v>
      </c>
    </row>
    <row r="10" spans="1:39" x14ac:dyDescent="0.25">
      <c r="A10" s="50">
        <v>97002136</v>
      </c>
      <c r="M10">
        <v>462</v>
      </c>
    </row>
    <row r="11" spans="1:39" x14ac:dyDescent="0.25">
      <c r="A11" s="50">
        <v>1502</v>
      </c>
      <c r="B11" s="6"/>
      <c r="C11" s="6"/>
      <c r="D11" s="6"/>
      <c r="E11" s="8"/>
      <c r="F11" s="8"/>
      <c r="G11" s="8"/>
      <c r="H11" s="8"/>
      <c r="I11" s="8"/>
      <c r="J11" s="8"/>
      <c r="K11" s="8"/>
      <c r="L11" s="8"/>
      <c r="M11" s="8"/>
      <c r="N11" s="8"/>
      <c r="O11" s="6"/>
      <c r="P11" s="6"/>
      <c r="Q11" s="6"/>
      <c r="R11">
        <v>351</v>
      </c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</row>
    <row r="12" spans="1:39" x14ac:dyDescent="0.25">
      <c r="A12" s="50">
        <v>4003543</v>
      </c>
      <c r="B12" s="6"/>
      <c r="C12" s="6"/>
      <c r="D12" s="6"/>
      <c r="E12" s="8"/>
      <c r="F12" s="8"/>
      <c r="G12" s="8"/>
      <c r="H12" s="8"/>
      <c r="I12" s="8"/>
      <c r="J12" s="8"/>
      <c r="K12" s="8"/>
      <c r="L12" s="8"/>
      <c r="M12" s="8"/>
      <c r="N12" s="8"/>
      <c r="O12" s="6"/>
      <c r="P12" s="6"/>
      <c r="Q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</row>
    <row r="13" spans="1:39" x14ac:dyDescent="0.25">
      <c r="A13" s="50">
        <v>4900261</v>
      </c>
      <c r="B13" s="6"/>
      <c r="C13" s="6"/>
      <c r="D13" s="6"/>
      <c r="E13" s="8"/>
      <c r="F13" s="8"/>
      <c r="G13" s="8"/>
      <c r="H13" s="8"/>
      <c r="I13">
        <v>1151</v>
      </c>
      <c r="J13">
        <v>804</v>
      </c>
      <c r="K13">
        <v>847</v>
      </c>
      <c r="M13" s="8"/>
      <c r="N13">
        <v>772</v>
      </c>
      <c r="O13" s="6"/>
      <c r="S13" s="6"/>
      <c r="T13" s="6"/>
      <c r="U13">
        <v>577</v>
      </c>
      <c r="AA13" s="6"/>
      <c r="AB13" s="6"/>
      <c r="AC13" s="6"/>
      <c r="AD13">
        <v>365</v>
      </c>
      <c r="AH13" s="6"/>
      <c r="AI13" s="6"/>
      <c r="AJ13" s="6"/>
      <c r="AK13" s="6"/>
      <c r="AL13" s="6"/>
      <c r="AM13" s="6"/>
    </row>
    <row r="14" spans="1:39" x14ac:dyDescent="0.25">
      <c r="A14" s="50"/>
    </row>
    <row r="15" spans="1:39" x14ac:dyDescent="0.25">
      <c r="A15" s="52" t="s">
        <v>2520</v>
      </c>
      <c r="B15" s="6"/>
      <c r="C15" s="6"/>
      <c r="D15" s="6"/>
      <c r="E15" s="8"/>
      <c r="F15" s="8"/>
      <c r="G15" s="8"/>
      <c r="H15" s="8"/>
      <c r="I15" s="8"/>
      <c r="J15" s="8"/>
      <c r="K15" s="8"/>
      <c r="L15" s="8"/>
      <c r="M15" s="8"/>
      <c r="N15" s="8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</row>
    <row r="16" spans="1:39" x14ac:dyDescent="0.25">
      <c r="A16" s="50">
        <v>14242856</v>
      </c>
      <c r="B16" s="6"/>
      <c r="C16" s="6"/>
      <c r="D16" s="6"/>
      <c r="E16" s="8"/>
      <c r="F16" s="8"/>
      <c r="G16" s="8"/>
      <c r="H16" s="8"/>
      <c r="I16" s="8"/>
      <c r="J16" s="8"/>
      <c r="K16" s="8"/>
      <c r="L16" s="8"/>
      <c r="M16" s="8"/>
      <c r="N16" s="8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</row>
    <row r="17" spans="1:39" x14ac:dyDescent="0.25">
      <c r="A17" s="50">
        <v>99001183</v>
      </c>
      <c r="B17" s="6"/>
      <c r="C17" s="6"/>
      <c r="D17" s="6"/>
      <c r="E17" s="8"/>
      <c r="F17" s="8"/>
      <c r="G17" s="8"/>
      <c r="H17" s="8"/>
      <c r="I17" s="8"/>
      <c r="J17" s="8"/>
      <c r="K17" s="8"/>
      <c r="L17" s="8"/>
      <c r="M17" s="8"/>
      <c r="N17" s="8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</row>
    <row r="18" spans="1:39" x14ac:dyDescent="0.25">
      <c r="A18" s="50">
        <v>3000983</v>
      </c>
      <c r="E18" s="8"/>
      <c r="F18" s="8"/>
      <c r="G18" s="8"/>
      <c r="H18" s="8"/>
      <c r="I18" s="8"/>
      <c r="J18" s="8"/>
      <c r="K18" s="8"/>
      <c r="L18" s="8"/>
      <c r="M18" s="8"/>
      <c r="N18" s="8"/>
      <c r="O18" s="6"/>
      <c r="P18" s="6"/>
      <c r="Q18" s="6"/>
      <c r="R18">
        <v>511</v>
      </c>
      <c r="S18">
        <v>511</v>
      </c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</row>
    <row r="19" spans="1:39" x14ac:dyDescent="0.25">
      <c r="A19" s="50">
        <v>10064335</v>
      </c>
      <c r="E19" s="8"/>
      <c r="F19" s="8"/>
      <c r="G19" s="8"/>
      <c r="H19" s="8"/>
      <c r="I19" s="8"/>
      <c r="J19" s="8"/>
      <c r="K19" s="8"/>
      <c r="L19" s="8"/>
      <c r="M19" s="8"/>
      <c r="N19" s="8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>
        <v>433</v>
      </c>
      <c r="AC19">
        <v>384</v>
      </c>
      <c r="AF19" s="6"/>
      <c r="AG19" s="6"/>
      <c r="AH19">
        <v>263</v>
      </c>
    </row>
    <row r="20" spans="1:39" x14ac:dyDescent="0.25">
      <c r="A20" s="51"/>
      <c r="B20" s="6"/>
      <c r="C20" s="6"/>
      <c r="D20" s="6"/>
      <c r="E20" s="8"/>
      <c r="F20" s="8"/>
      <c r="G20" s="8"/>
      <c r="H20" s="8"/>
      <c r="I20" s="8"/>
      <c r="J20" s="8"/>
      <c r="K20" s="8"/>
      <c r="L20" s="8"/>
      <c r="M20" s="8"/>
      <c r="N20" s="8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</row>
    <row r="21" spans="1:39" x14ac:dyDescent="0.25">
      <c r="A21" s="52" t="s">
        <v>2521</v>
      </c>
      <c r="B21" s="6"/>
      <c r="C21" s="6"/>
      <c r="D21" s="6"/>
      <c r="E21" s="8"/>
      <c r="F21" s="8"/>
      <c r="G21" s="8"/>
      <c r="H21" s="8"/>
      <c r="I21" s="8"/>
      <c r="J21" s="8"/>
      <c r="K21" s="8"/>
      <c r="L21" s="8"/>
      <c r="M21" s="8"/>
      <c r="N21" s="8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</row>
    <row r="22" spans="1:39" x14ac:dyDescent="0.25">
      <c r="A22" s="50">
        <v>1480</v>
      </c>
      <c r="S22">
        <v>222</v>
      </c>
    </row>
    <row r="23" spans="1:39" x14ac:dyDescent="0.25">
      <c r="A23" s="50">
        <v>7063959</v>
      </c>
      <c r="B23" s="6"/>
      <c r="C23" s="6"/>
      <c r="D23" s="6"/>
      <c r="E23" s="8"/>
      <c r="F23" s="8"/>
      <c r="G23" s="8"/>
      <c r="H23" s="8"/>
      <c r="I23" s="8"/>
      <c r="J23" s="8"/>
      <c r="K23" s="8"/>
      <c r="L23" s="8"/>
      <c r="M23" s="8"/>
      <c r="N23" s="8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</row>
    <row r="24" spans="1:39" x14ac:dyDescent="0.25">
      <c r="A24" s="50">
        <v>1003215</v>
      </c>
      <c r="B24" s="6"/>
      <c r="C24" s="6"/>
      <c r="D24" s="6"/>
      <c r="E24" s="8"/>
      <c r="F24" s="8"/>
      <c r="G24" s="8"/>
      <c r="H24" s="8"/>
      <c r="I24" s="8"/>
      <c r="J24" s="8"/>
      <c r="K24" s="8"/>
      <c r="L24" s="8"/>
      <c r="M24" s="8">
        <v>248</v>
      </c>
      <c r="N24" s="8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</row>
    <row r="25" spans="1:39" x14ac:dyDescent="0.25">
      <c r="A25" s="50">
        <v>99000802</v>
      </c>
      <c r="B25" s="6"/>
      <c r="C25" s="6"/>
      <c r="D25" s="6"/>
      <c r="E25" s="8"/>
      <c r="F25" s="8"/>
      <c r="G25" s="8"/>
      <c r="H25" s="8"/>
      <c r="I25" s="8"/>
      <c r="J25" s="8"/>
      <c r="K25" s="8"/>
      <c r="L25" s="8"/>
      <c r="M25" s="8"/>
      <c r="N25" s="8"/>
      <c r="O25">
        <v>299</v>
      </c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</row>
    <row r="26" spans="1:39" x14ac:dyDescent="0.25">
      <c r="A26" s="50">
        <v>99000892</v>
      </c>
      <c r="B26" s="6"/>
      <c r="C26" s="6"/>
      <c r="D26" s="6"/>
      <c r="E26" s="8"/>
      <c r="F26" s="8"/>
      <c r="G26" s="8"/>
      <c r="H26" s="8"/>
      <c r="I26" s="8"/>
      <c r="J26" s="8"/>
      <c r="K26" s="8"/>
      <c r="L26" s="8"/>
      <c r="M26" s="8"/>
      <c r="N26" s="8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</row>
    <row r="27" spans="1:39" x14ac:dyDescent="0.25">
      <c r="A27" s="50">
        <v>1000192</v>
      </c>
      <c r="B27" s="6"/>
      <c r="C27" s="6"/>
      <c r="D27" s="6"/>
      <c r="E27" s="8"/>
      <c r="F27" s="8"/>
      <c r="G27" s="8"/>
      <c r="H27" s="8"/>
      <c r="I27" s="8"/>
      <c r="J27" s="8"/>
      <c r="K27" s="8"/>
      <c r="L27" s="8"/>
      <c r="M27" s="8"/>
      <c r="N27" s="8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</row>
    <row r="28" spans="1:39" x14ac:dyDescent="0.25">
      <c r="A28" s="50">
        <v>1506</v>
      </c>
      <c r="B28" s="6"/>
      <c r="C28" s="6"/>
      <c r="D28" s="6"/>
      <c r="E28" s="8"/>
      <c r="F28" s="8"/>
      <c r="G28" s="8"/>
      <c r="H28" s="8"/>
      <c r="I28" s="8"/>
      <c r="J28" s="8"/>
      <c r="K28" s="8"/>
      <c r="L28" s="8"/>
      <c r="M28" s="8"/>
      <c r="N28" s="8"/>
      <c r="O28" s="6"/>
      <c r="P28" s="6"/>
      <c r="Q28" s="6"/>
      <c r="R28" s="6"/>
      <c r="S28">
        <v>144</v>
      </c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</row>
    <row r="29" spans="1:39" x14ac:dyDescent="0.25">
      <c r="A29" s="50">
        <v>99000894</v>
      </c>
      <c r="B29" s="6"/>
      <c r="C29" s="6"/>
      <c r="D29" s="6"/>
      <c r="E29" s="8"/>
      <c r="M29" s="8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</row>
    <row r="30" spans="1:39" x14ac:dyDescent="0.25">
      <c r="A30" s="50">
        <v>99000897</v>
      </c>
      <c r="M30">
        <v>284</v>
      </c>
    </row>
    <row r="31" spans="1:39" x14ac:dyDescent="0.25">
      <c r="A31" s="50">
        <v>99001245</v>
      </c>
      <c r="P31">
        <v>681</v>
      </c>
    </row>
    <row r="32" spans="1:39" x14ac:dyDescent="0.25">
      <c r="A32" s="50">
        <v>99001902</v>
      </c>
    </row>
    <row r="33" spans="1:39" x14ac:dyDescent="0.25">
      <c r="A33" s="50">
        <v>99001912</v>
      </c>
      <c r="S33">
        <v>131</v>
      </c>
    </row>
    <row r="34" spans="1:39" x14ac:dyDescent="0.25">
      <c r="A34" s="50">
        <v>99001913</v>
      </c>
    </row>
    <row r="35" spans="1:39" x14ac:dyDescent="0.25">
      <c r="A35" s="50">
        <v>99001937</v>
      </c>
      <c r="T35">
        <v>226</v>
      </c>
    </row>
    <row r="36" spans="1:39" x14ac:dyDescent="0.25">
      <c r="A36" s="50">
        <v>99001943</v>
      </c>
    </row>
    <row r="37" spans="1:39" x14ac:dyDescent="0.25">
      <c r="A37" s="50">
        <v>99001927</v>
      </c>
      <c r="M37">
        <v>2013</v>
      </c>
    </row>
    <row r="38" spans="1:39" x14ac:dyDescent="0.25">
      <c r="A38" s="50">
        <v>1505</v>
      </c>
      <c r="B38" s="6"/>
      <c r="C38" s="6"/>
      <c r="D38" s="6"/>
      <c r="E38" s="8"/>
      <c r="F38" s="8"/>
      <c r="G38" s="8"/>
      <c r="H38" s="8"/>
      <c r="I38" s="8"/>
      <c r="J38" s="8"/>
      <c r="K38" s="8"/>
      <c r="L38" s="8"/>
      <c r="M38" s="8"/>
      <c r="N38" s="8"/>
      <c r="O38" s="6"/>
      <c r="P38" s="6"/>
      <c r="Q38" s="6"/>
      <c r="R38" s="6"/>
      <c r="S38" s="6"/>
      <c r="T38">
        <v>249</v>
      </c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</row>
    <row r="39" spans="1:39" x14ac:dyDescent="0.25">
      <c r="A39" s="50">
        <v>1000197</v>
      </c>
      <c r="B39" s="6"/>
      <c r="C39" s="6"/>
      <c r="D39" s="6"/>
      <c r="E39" s="8"/>
      <c r="F39" s="8"/>
      <c r="G39" s="8"/>
      <c r="H39" s="8"/>
      <c r="I39" s="8"/>
      <c r="J39" s="8"/>
      <c r="K39" s="8"/>
      <c r="L39" s="8"/>
      <c r="M39" s="8"/>
      <c r="N39" s="8"/>
      <c r="O39" s="6"/>
      <c r="P39" s="6"/>
      <c r="Q39" s="6"/>
      <c r="R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</row>
    <row r="40" spans="1:39" x14ac:dyDescent="0.25">
      <c r="A40" s="50">
        <v>96018835</v>
      </c>
      <c r="B40" s="6"/>
      <c r="C40" s="6"/>
      <c r="D40" s="6"/>
      <c r="E40" s="8"/>
      <c r="F40" s="8"/>
      <c r="G40" s="8"/>
      <c r="H40" s="8"/>
      <c r="I40" s="8"/>
      <c r="J40" s="8"/>
      <c r="K40" s="8"/>
      <c r="L40" s="8"/>
      <c r="M40" s="8"/>
      <c r="N40" s="8"/>
      <c r="O40">
        <v>1694</v>
      </c>
      <c r="P40">
        <v>617</v>
      </c>
      <c r="Q40" s="6"/>
      <c r="R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</row>
    <row r="41" spans="1:39" x14ac:dyDescent="0.25">
      <c r="A41" s="50">
        <v>98008326</v>
      </c>
      <c r="B41" s="6"/>
      <c r="C41" s="6"/>
      <c r="D41" s="6"/>
      <c r="E41" s="8"/>
      <c r="F41">
        <v>249</v>
      </c>
      <c r="M41" s="8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</row>
    <row r="42" spans="1:39" x14ac:dyDescent="0.25">
      <c r="A42" s="50">
        <v>99000717</v>
      </c>
      <c r="B42" s="6"/>
      <c r="C42" s="6"/>
      <c r="D42" s="6"/>
      <c r="E42" s="8"/>
      <c r="M42" s="8"/>
      <c r="O42" s="6"/>
      <c r="P42" s="6"/>
      <c r="Q42" s="6"/>
      <c r="R42" s="6"/>
      <c r="S42">
        <v>487</v>
      </c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</row>
    <row r="43" spans="1:39" x14ac:dyDescent="0.25">
      <c r="A43" s="50"/>
      <c r="B43" s="6"/>
      <c r="C43" s="6"/>
      <c r="D43" s="6"/>
      <c r="E43" s="8"/>
      <c r="M43" s="8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</row>
    <row r="44" spans="1:39" x14ac:dyDescent="0.25">
      <c r="A44" s="25" t="s">
        <v>169</v>
      </c>
    </row>
    <row r="45" spans="1:39" x14ac:dyDescent="0.25">
      <c r="A45" s="52" t="s">
        <v>143</v>
      </c>
    </row>
    <row r="46" spans="1:39" x14ac:dyDescent="0.25">
      <c r="A46" s="50">
        <v>6016435</v>
      </c>
    </row>
    <row r="47" spans="1:39" x14ac:dyDescent="0.25">
      <c r="A47" s="50">
        <v>8045149</v>
      </c>
    </row>
    <row r="48" spans="1:39" x14ac:dyDescent="0.25">
      <c r="A48" s="50">
        <v>10023001</v>
      </c>
    </row>
    <row r="49" spans="1:17" x14ac:dyDescent="0.25">
      <c r="A49" s="50">
        <v>10027526</v>
      </c>
    </row>
    <row r="50" spans="1:17" x14ac:dyDescent="0.25">
      <c r="A50" s="50">
        <v>14222171</v>
      </c>
    </row>
    <row r="51" spans="1:17" x14ac:dyDescent="0.25">
      <c r="A51" s="50">
        <v>1006143</v>
      </c>
    </row>
    <row r="52" spans="1:17" x14ac:dyDescent="0.25">
      <c r="A52" s="50">
        <v>6006917</v>
      </c>
    </row>
    <row r="53" spans="1:17" x14ac:dyDescent="0.25">
      <c r="A53" s="50"/>
    </row>
    <row r="54" spans="1:17" x14ac:dyDescent="0.25">
      <c r="A54" s="52" t="s">
        <v>146</v>
      </c>
    </row>
    <row r="55" spans="1:17" x14ac:dyDescent="0.25">
      <c r="A55" s="50">
        <v>8057159</v>
      </c>
    </row>
    <row r="56" spans="1:17" x14ac:dyDescent="0.25">
      <c r="A56" s="50">
        <v>9140312</v>
      </c>
    </row>
    <row r="57" spans="1:17" x14ac:dyDescent="0.25">
      <c r="A57" s="50">
        <v>12008230</v>
      </c>
    </row>
    <row r="58" spans="1:17" x14ac:dyDescent="0.25">
      <c r="A58" s="50">
        <v>12088444</v>
      </c>
      <c r="Q58">
        <v>910</v>
      </c>
    </row>
    <row r="59" spans="1:17" x14ac:dyDescent="0.25">
      <c r="A59" s="50">
        <v>13118872</v>
      </c>
    </row>
    <row r="60" spans="1:17" x14ac:dyDescent="0.25">
      <c r="A60" s="50">
        <v>12012030</v>
      </c>
    </row>
    <row r="61" spans="1:17" x14ac:dyDescent="0.25">
      <c r="A61" s="50"/>
    </row>
    <row r="62" spans="1:17" x14ac:dyDescent="0.25">
      <c r="A62" s="52" t="s">
        <v>120</v>
      </c>
    </row>
    <row r="63" spans="1:17" x14ac:dyDescent="0.25">
      <c r="A63" s="50">
        <v>9074418</v>
      </c>
    </row>
    <row r="64" spans="1:17" x14ac:dyDescent="0.25">
      <c r="A64" s="50">
        <v>1263</v>
      </c>
    </row>
    <row r="65" spans="1:39" x14ac:dyDescent="0.25">
      <c r="A65" s="50">
        <v>98004910</v>
      </c>
      <c r="M65">
        <v>340</v>
      </c>
    </row>
    <row r="66" spans="1:39" x14ac:dyDescent="0.25">
      <c r="A66" s="50">
        <v>7103068</v>
      </c>
      <c r="M66">
        <v>748.8</v>
      </c>
      <c r="S66">
        <v>487</v>
      </c>
    </row>
    <row r="67" spans="1:39" x14ac:dyDescent="0.25">
      <c r="A67" s="50">
        <v>11240728</v>
      </c>
    </row>
    <row r="68" spans="1:39" x14ac:dyDescent="0.25">
      <c r="B68" s="6"/>
      <c r="C68" s="6"/>
      <c r="D68" s="6"/>
      <c r="E68" s="8"/>
      <c r="M68" s="8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</row>
    <row r="69" spans="1:39" x14ac:dyDescent="0.25">
      <c r="A69" s="26" t="s">
        <v>170</v>
      </c>
    </row>
    <row r="70" spans="1:39" x14ac:dyDescent="0.25">
      <c r="A70" s="10" t="s">
        <v>143</v>
      </c>
    </row>
    <row r="71" spans="1:39" x14ac:dyDescent="0.25">
      <c r="A71" s="50">
        <v>5015869</v>
      </c>
      <c r="N71">
        <v>337</v>
      </c>
      <c r="Q71">
        <v>802</v>
      </c>
    </row>
    <row r="72" spans="1:39" x14ac:dyDescent="0.25">
      <c r="A72" s="50">
        <v>5016969</v>
      </c>
    </row>
    <row r="73" spans="1:39" x14ac:dyDescent="0.25">
      <c r="A73" s="50">
        <v>6023231</v>
      </c>
    </row>
    <row r="74" spans="1:39" x14ac:dyDescent="0.25">
      <c r="A74" s="50">
        <v>6010712</v>
      </c>
    </row>
    <row r="75" spans="1:39" x14ac:dyDescent="0.25">
      <c r="A75" s="50">
        <v>6011198</v>
      </c>
    </row>
    <row r="76" spans="1:39" x14ac:dyDescent="0.25">
      <c r="A76" s="50">
        <v>6012681</v>
      </c>
      <c r="O76">
        <v>715</v>
      </c>
    </row>
    <row r="77" spans="1:39" x14ac:dyDescent="0.25">
      <c r="A77" s="50">
        <v>6014511</v>
      </c>
    </row>
    <row r="78" spans="1:39" x14ac:dyDescent="0.25">
      <c r="A78" s="50">
        <v>6045127</v>
      </c>
    </row>
    <row r="79" spans="1:39" x14ac:dyDescent="0.25">
      <c r="A79" s="50">
        <v>7000458</v>
      </c>
      <c r="S79">
        <v>112</v>
      </c>
    </row>
    <row r="80" spans="1:39" x14ac:dyDescent="0.25">
      <c r="A80" s="50">
        <v>7015502</v>
      </c>
    </row>
    <row r="81" spans="1:34" x14ac:dyDescent="0.25">
      <c r="A81" s="50">
        <v>7025847</v>
      </c>
    </row>
    <row r="82" spans="1:34" x14ac:dyDescent="0.25">
      <c r="A82" s="50">
        <v>7082707</v>
      </c>
    </row>
    <row r="83" spans="1:34" x14ac:dyDescent="0.25">
      <c r="A83" s="50">
        <v>7083159</v>
      </c>
    </row>
    <row r="84" spans="1:34" x14ac:dyDescent="0.25">
      <c r="A84" s="50">
        <v>7084659</v>
      </c>
    </row>
    <row r="85" spans="1:34" x14ac:dyDescent="0.25">
      <c r="A85" s="50">
        <v>7076814</v>
      </c>
      <c r="N85">
        <v>1046</v>
      </c>
    </row>
    <row r="86" spans="1:34" x14ac:dyDescent="0.25">
      <c r="A86" s="50">
        <v>7076815</v>
      </c>
      <c r="N86">
        <v>292.8</v>
      </c>
    </row>
    <row r="87" spans="1:34" x14ac:dyDescent="0.25">
      <c r="A87" s="50">
        <v>7089231</v>
      </c>
      <c r="M87">
        <v>507</v>
      </c>
    </row>
    <row r="88" spans="1:34" x14ac:dyDescent="0.25">
      <c r="A88" s="50">
        <v>7116004</v>
      </c>
      <c r="M88">
        <v>255</v>
      </c>
      <c r="N88">
        <v>252</v>
      </c>
    </row>
    <row r="89" spans="1:34" x14ac:dyDescent="0.25">
      <c r="A89" s="50">
        <v>8003819</v>
      </c>
    </row>
    <row r="90" spans="1:34" x14ac:dyDescent="0.25">
      <c r="A90" s="50">
        <v>8091779</v>
      </c>
      <c r="M90">
        <v>402</v>
      </c>
    </row>
    <row r="91" spans="1:34" x14ac:dyDescent="0.25">
      <c r="A91" s="50">
        <v>8097989</v>
      </c>
    </row>
    <row r="92" spans="1:34" x14ac:dyDescent="0.25">
      <c r="A92" s="50">
        <v>8112522</v>
      </c>
    </row>
    <row r="93" spans="1:34" x14ac:dyDescent="0.25">
      <c r="A93" s="50">
        <v>8127397</v>
      </c>
      <c r="M93">
        <v>753</v>
      </c>
    </row>
    <row r="94" spans="1:34" x14ac:dyDescent="0.25">
      <c r="A94" s="50">
        <v>8130998</v>
      </c>
      <c r="O94" s="50"/>
      <c r="P94" s="50"/>
      <c r="Q94" s="50"/>
      <c r="R94" s="50"/>
      <c r="S94" s="50"/>
      <c r="T94" s="50"/>
      <c r="U94" s="50"/>
      <c r="V94" s="50"/>
      <c r="W94" s="50"/>
      <c r="X94" s="50"/>
      <c r="Y94" s="50"/>
      <c r="Z94" s="50"/>
      <c r="AA94" s="50"/>
      <c r="AB94" s="50"/>
      <c r="AC94" s="50"/>
      <c r="AD94" s="50"/>
      <c r="AE94" s="50"/>
      <c r="AF94" s="50"/>
      <c r="AG94" s="50"/>
      <c r="AH94" s="50"/>
    </row>
    <row r="95" spans="1:34" x14ac:dyDescent="0.25">
      <c r="A95" s="50">
        <v>9002836</v>
      </c>
      <c r="O95" s="50"/>
      <c r="P95" s="50"/>
      <c r="Q95" s="50"/>
      <c r="R95" s="50"/>
      <c r="S95" s="50"/>
      <c r="T95" s="50"/>
      <c r="U95" s="50"/>
      <c r="V95" s="50"/>
      <c r="W95" s="50"/>
      <c r="X95" s="50"/>
      <c r="Y95" s="50"/>
      <c r="Z95" s="50"/>
      <c r="AA95" s="50"/>
      <c r="AB95" s="50"/>
      <c r="AC95" s="50"/>
      <c r="AD95" s="50"/>
      <c r="AE95" s="50"/>
      <c r="AF95" s="50"/>
      <c r="AG95" s="50"/>
      <c r="AH95" s="50"/>
    </row>
    <row r="96" spans="1:34" x14ac:dyDescent="0.25">
      <c r="A96" s="50">
        <v>9003331</v>
      </c>
      <c r="O96" s="50"/>
      <c r="P96" s="50"/>
      <c r="Q96" s="50"/>
      <c r="R96" s="50"/>
      <c r="S96" s="50"/>
      <c r="T96" s="50"/>
      <c r="U96" s="50"/>
      <c r="V96" s="50"/>
      <c r="W96" s="50"/>
      <c r="X96" s="50"/>
      <c r="Y96" s="50"/>
      <c r="Z96" s="50"/>
      <c r="AA96" s="50"/>
      <c r="AB96" s="50"/>
      <c r="AC96" s="50"/>
      <c r="AD96" s="50"/>
      <c r="AE96" s="50"/>
      <c r="AF96" s="50"/>
      <c r="AG96" s="50"/>
      <c r="AH96" s="50"/>
    </row>
    <row r="97" spans="1:34" x14ac:dyDescent="0.25">
      <c r="A97" s="50">
        <v>9003370</v>
      </c>
      <c r="O97" s="50"/>
      <c r="P97" s="50"/>
      <c r="Q97" s="50"/>
      <c r="R97" s="50"/>
      <c r="S97" s="50"/>
      <c r="T97" s="50"/>
      <c r="U97" s="50"/>
      <c r="V97" s="50"/>
      <c r="W97" s="50"/>
      <c r="X97" s="50"/>
      <c r="Y97" s="50"/>
      <c r="Z97" s="50"/>
      <c r="AA97" s="50"/>
      <c r="AB97" s="50"/>
      <c r="AC97" s="50"/>
      <c r="AD97" s="50"/>
      <c r="AE97" s="50"/>
      <c r="AF97" s="50"/>
      <c r="AG97" s="50"/>
      <c r="AH97" s="50"/>
    </row>
    <row r="98" spans="1:34" x14ac:dyDescent="0.25">
      <c r="A98" s="50">
        <v>9016278</v>
      </c>
      <c r="O98" s="50"/>
      <c r="P98" s="50"/>
      <c r="Q98" s="50"/>
      <c r="R98" s="50"/>
      <c r="S98" s="50"/>
      <c r="T98" s="50"/>
      <c r="U98" s="50"/>
      <c r="V98" s="50"/>
      <c r="W98" s="50"/>
      <c r="X98" s="50"/>
      <c r="Y98" s="50"/>
      <c r="Z98" s="50"/>
      <c r="AA98" s="50"/>
      <c r="AB98" s="50"/>
      <c r="AC98" s="50"/>
      <c r="AD98" s="50"/>
      <c r="AE98" s="50"/>
      <c r="AF98" s="50"/>
      <c r="AG98" s="50"/>
      <c r="AH98" s="50"/>
    </row>
    <row r="99" spans="1:34" x14ac:dyDescent="0.25">
      <c r="A99" s="50">
        <v>9030684</v>
      </c>
      <c r="O99" s="50"/>
      <c r="P99" s="50"/>
      <c r="Q99" s="50"/>
      <c r="R99" s="50"/>
      <c r="S99" s="50"/>
      <c r="T99" s="50"/>
      <c r="U99" s="50"/>
      <c r="V99" s="50"/>
      <c r="W99" s="50"/>
      <c r="X99" s="50"/>
      <c r="Y99" s="50"/>
      <c r="Z99" s="50"/>
      <c r="AA99" s="50"/>
      <c r="AB99" s="50"/>
      <c r="AC99" s="50"/>
      <c r="AD99" s="50"/>
      <c r="AE99" s="50"/>
      <c r="AF99" s="50"/>
      <c r="AG99" s="50"/>
      <c r="AH99" s="50"/>
    </row>
    <row r="100" spans="1:34" x14ac:dyDescent="0.25">
      <c r="A100" s="50">
        <v>9031387</v>
      </c>
      <c r="O100" s="50"/>
      <c r="P100" s="50"/>
      <c r="Q100" s="50"/>
      <c r="R100" s="50"/>
      <c r="S100" s="50"/>
      <c r="T100" s="50"/>
      <c r="U100" s="50"/>
      <c r="V100" s="50"/>
      <c r="W100" s="50"/>
      <c r="X100" s="50"/>
      <c r="Y100" s="50"/>
      <c r="Z100" s="50"/>
      <c r="AA100" s="50"/>
      <c r="AB100" s="50"/>
      <c r="AC100" s="50"/>
      <c r="AD100" s="50"/>
      <c r="AE100" s="50"/>
      <c r="AF100" s="50"/>
      <c r="AG100" s="50"/>
      <c r="AH100" s="50"/>
    </row>
    <row r="101" spans="1:34" x14ac:dyDescent="0.25">
      <c r="A101" s="50">
        <v>9038676</v>
      </c>
      <c r="O101" s="50"/>
      <c r="P101" s="50"/>
      <c r="Q101" s="50"/>
      <c r="R101" s="50"/>
      <c r="S101" s="50"/>
      <c r="T101" s="50"/>
      <c r="U101" s="50"/>
      <c r="V101" s="50"/>
      <c r="W101" s="50"/>
      <c r="X101" s="50"/>
      <c r="Y101" s="50"/>
      <c r="Z101" s="50"/>
      <c r="AA101" s="50"/>
      <c r="AB101" s="50"/>
      <c r="AC101" s="50"/>
      <c r="AD101" s="50"/>
      <c r="AE101" s="50"/>
      <c r="AF101" s="50"/>
      <c r="AG101" s="50"/>
      <c r="AH101" s="50"/>
    </row>
    <row r="102" spans="1:34" x14ac:dyDescent="0.25">
      <c r="A102" s="50">
        <v>9039416</v>
      </c>
      <c r="O102" s="50"/>
      <c r="P102" s="50"/>
      <c r="Q102" s="50"/>
      <c r="R102" s="50"/>
      <c r="S102" s="50"/>
      <c r="T102" s="50"/>
      <c r="U102" s="50"/>
      <c r="V102" s="50"/>
      <c r="W102" s="50"/>
      <c r="X102" s="50"/>
      <c r="Y102" s="50"/>
      <c r="Z102" s="50"/>
      <c r="AA102" s="50"/>
      <c r="AB102" s="50"/>
      <c r="AC102" s="50"/>
      <c r="AD102" s="50"/>
      <c r="AE102" s="50"/>
      <c r="AF102" s="50"/>
      <c r="AG102" s="50"/>
      <c r="AH102" s="50"/>
    </row>
    <row r="103" spans="1:34" x14ac:dyDescent="0.25">
      <c r="A103" s="50">
        <v>9042861</v>
      </c>
      <c r="O103" s="50"/>
      <c r="P103" s="50"/>
      <c r="Q103" s="50"/>
      <c r="R103" s="50"/>
      <c r="S103" s="50"/>
      <c r="T103" s="50"/>
      <c r="U103" s="50"/>
      <c r="V103" s="50"/>
      <c r="W103" s="50"/>
      <c r="X103" s="50"/>
      <c r="Y103" s="50"/>
      <c r="Z103" s="50"/>
      <c r="AA103" s="50"/>
      <c r="AB103" s="50"/>
      <c r="AC103" s="50"/>
      <c r="AD103" s="50"/>
      <c r="AE103" s="50"/>
      <c r="AF103" s="50"/>
      <c r="AG103" s="50"/>
      <c r="AH103" s="50"/>
    </row>
    <row r="104" spans="1:34" x14ac:dyDescent="0.25">
      <c r="A104" s="50">
        <v>9044899</v>
      </c>
      <c r="O104" s="50"/>
      <c r="P104" s="50"/>
      <c r="Q104" s="50"/>
      <c r="R104" s="50"/>
      <c r="S104" s="50"/>
      <c r="T104" s="50"/>
      <c r="U104" s="50"/>
      <c r="V104" s="50"/>
      <c r="W104" s="50"/>
      <c r="X104" s="50"/>
      <c r="Y104" s="50"/>
      <c r="Z104" s="50"/>
      <c r="AA104" s="50"/>
      <c r="AB104" s="50"/>
      <c r="AC104" s="50"/>
      <c r="AD104" s="50"/>
      <c r="AE104" s="50"/>
      <c r="AF104" s="50"/>
      <c r="AG104" s="50"/>
      <c r="AH104" s="50"/>
    </row>
    <row r="105" spans="1:34" x14ac:dyDescent="0.25">
      <c r="A105" s="50">
        <v>9052398</v>
      </c>
      <c r="O105" s="50"/>
      <c r="P105" s="50"/>
      <c r="Q105" s="50"/>
      <c r="R105" s="50"/>
      <c r="S105" s="50"/>
      <c r="T105" s="50"/>
      <c r="U105" s="50"/>
      <c r="V105" s="50"/>
      <c r="W105" s="50"/>
      <c r="X105" s="50"/>
      <c r="Y105" s="50"/>
      <c r="Z105" s="50"/>
      <c r="AA105" s="50"/>
      <c r="AB105" s="50"/>
      <c r="AC105" s="50"/>
      <c r="AD105" s="50"/>
      <c r="AE105" s="50"/>
      <c r="AF105" s="50"/>
      <c r="AG105" s="50"/>
      <c r="AH105" s="50"/>
    </row>
    <row r="106" spans="1:34" x14ac:dyDescent="0.25">
      <c r="A106" s="50">
        <v>9085204</v>
      </c>
      <c r="O106" s="50"/>
      <c r="P106" s="50"/>
      <c r="Q106" s="50"/>
      <c r="R106" s="50"/>
      <c r="S106" s="50"/>
      <c r="T106" s="50"/>
      <c r="U106" s="50"/>
      <c r="V106" s="50"/>
      <c r="W106" s="50"/>
      <c r="X106" s="50"/>
      <c r="Y106" s="50"/>
      <c r="Z106" s="50"/>
      <c r="AA106" s="50"/>
      <c r="AB106" s="50"/>
      <c r="AC106" s="50"/>
      <c r="AD106" s="50"/>
      <c r="AE106" s="50"/>
      <c r="AF106" s="50"/>
      <c r="AG106" s="50"/>
      <c r="AH106" s="50"/>
    </row>
    <row r="107" spans="1:34" x14ac:dyDescent="0.25">
      <c r="A107" s="50">
        <v>9090323</v>
      </c>
      <c r="O107" s="50"/>
      <c r="P107" s="50"/>
      <c r="Q107" s="50"/>
      <c r="R107" s="50"/>
      <c r="S107" s="50"/>
      <c r="T107" s="50"/>
      <c r="U107" s="50"/>
      <c r="V107" s="50"/>
      <c r="W107" s="50"/>
      <c r="X107" s="50"/>
      <c r="Y107" s="50"/>
      <c r="Z107" s="50"/>
      <c r="AA107" s="50"/>
      <c r="AB107" s="50"/>
      <c r="AC107" s="50"/>
      <c r="AD107" s="50"/>
      <c r="AE107" s="50"/>
      <c r="AF107" s="50"/>
      <c r="AG107" s="50"/>
      <c r="AH107" s="50"/>
    </row>
    <row r="108" spans="1:34" x14ac:dyDescent="0.25">
      <c r="A108" s="50">
        <v>9105492</v>
      </c>
      <c r="O108" s="50"/>
      <c r="P108" s="50"/>
      <c r="Q108" s="50"/>
      <c r="R108" s="50"/>
      <c r="S108" s="50"/>
      <c r="T108" s="50"/>
      <c r="U108" s="50"/>
      <c r="V108" s="50"/>
      <c r="W108" s="50"/>
      <c r="X108" s="50"/>
      <c r="Y108" s="50"/>
      <c r="Z108" s="50"/>
      <c r="AA108" s="50"/>
      <c r="AB108" s="50"/>
      <c r="AC108" s="50"/>
      <c r="AD108" s="50"/>
      <c r="AE108" s="50"/>
      <c r="AF108" s="50"/>
      <c r="AG108" s="50"/>
      <c r="AH108" s="50"/>
    </row>
    <row r="109" spans="1:34" x14ac:dyDescent="0.25">
      <c r="A109" s="50">
        <v>9138470</v>
      </c>
      <c r="O109" s="50"/>
      <c r="P109" s="50"/>
      <c r="Q109" s="50"/>
      <c r="R109" s="50"/>
      <c r="S109" s="50"/>
      <c r="T109" s="50"/>
      <c r="U109" s="50"/>
      <c r="V109" s="50"/>
      <c r="W109" s="50"/>
      <c r="X109" s="50"/>
      <c r="Y109" s="50"/>
      <c r="Z109" s="50"/>
      <c r="AA109" s="50"/>
      <c r="AB109" s="50"/>
      <c r="AC109" s="50"/>
      <c r="AD109" s="50"/>
      <c r="AE109" s="50"/>
      <c r="AF109" s="50"/>
      <c r="AG109" s="50"/>
      <c r="AH109" s="50"/>
    </row>
    <row r="110" spans="1:34" x14ac:dyDescent="0.25">
      <c r="A110" s="50">
        <v>9150676</v>
      </c>
      <c r="O110" s="50"/>
      <c r="P110" s="50"/>
      <c r="Q110" s="50"/>
      <c r="R110" s="50"/>
      <c r="S110" s="50"/>
      <c r="T110" s="50"/>
      <c r="U110" s="50"/>
      <c r="V110" s="50"/>
      <c r="W110" s="50"/>
      <c r="X110" s="50"/>
      <c r="Y110" s="50"/>
      <c r="Z110" s="50"/>
      <c r="AA110" s="50"/>
      <c r="AB110" s="50"/>
      <c r="AC110" s="50"/>
      <c r="AD110" s="50"/>
      <c r="AE110" s="50"/>
      <c r="AF110" s="50"/>
      <c r="AG110" s="50"/>
      <c r="AH110" s="50"/>
    </row>
    <row r="111" spans="1:34" x14ac:dyDescent="0.25">
      <c r="A111" s="50">
        <v>10010926</v>
      </c>
      <c r="N111">
        <v>181</v>
      </c>
      <c r="O111" s="50"/>
      <c r="P111" s="50"/>
      <c r="Q111" s="50"/>
      <c r="R111" s="50">
        <v>361</v>
      </c>
      <c r="S111" s="50"/>
      <c r="T111" s="50"/>
      <c r="U111" s="50"/>
      <c r="V111" s="50"/>
      <c r="W111" s="50"/>
      <c r="X111" s="50"/>
      <c r="Y111" s="50"/>
      <c r="Z111" s="50"/>
      <c r="AA111" s="50"/>
      <c r="AB111" s="50"/>
      <c r="AC111" s="50"/>
      <c r="AD111" s="50"/>
      <c r="AE111" s="50"/>
      <c r="AF111" s="50"/>
      <c r="AG111" s="50"/>
      <c r="AH111" s="50"/>
    </row>
    <row r="112" spans="1:34" x14ac:dyDescent="0.25">
      <c r="A112" s="50">
        <v>10016588</v>
      </c>
      <c r="O112" s="50"/>
      <c r="P112" s="50"/>
      <c r="Q112" s="50"/>
      <c r="R112" s="50"/>
      <c r="S112" s="50"/>
      <c r="T112" s="50"/>
      <c r="U112" s="50"/>
      <c r="V112" s="50"/>
      <c r="W112" s="50"/>
      <c r="X112" s="50"/>
      <c r="Y112" s="50"/>
      <c r="Z112" s="50"/>
      <c r="AA112" s="50"/>
      <c r="AB112" s="50"/>
      <c r="AC112" s="50"/>
      <c r="AD112" s="50"/>
      <c r="AE112" s="50"/>
      <c r="AF112" s="50"/>
      <c r="AG112" s="50"/>
      <c r="AH112" s="50"/>
    </row>
    <row r="113" spans="1:34" x14ac:dyDescent="0.25">
      <c r="A113" s="50">
        <v>10030897</v>
      </c>
      <c r="O113" s="50"/>
      <c r="P113" s="50"/>
      <c r="Q113" s="50"/>
      <c r="R113" s="50"/>
      <c r="S113" s="50"/>
      <c r="T113" s="50"/>
      <c r="U113" s="50"/>
      <c r="V113" s="50"/>
      <c r="W113" s="50"/>
      <c r="X113" s="50"/>
      <c r="Y113" s="50"/>
      <c r="Z113" s="50"/>
      <c r="AA113" s="50"/>
      <c r="AB113" s="50"/>
      <c r="AC113" s="50"/>
      <c r="AD113" s="50"/>
      <c r="AE113" s="50"/>
      <c r="AF113" s="50"/>
      <c r="AG113" s="50"/>
      <c r="AH113" s="50"/>
    </row>
    <row r="114" spans="1:34" x14ac:dyDescent="0.25">
      <c r="A114" s="50">
        <v>324</v>
      </c>
      <c r="O114" s="50"/>
      <c r="P114" s="50"/>
      <c r="Q114" s="50"/>
      <c r="R114" s="50"/>
      <c r="S114" s="50"/>
      <c r="T114" s="50"/>
      <c r="U114" s="50"/>
      <c r="V114" s="50"/>
      <c r="W114" s="50"/>
      <c r="X114" s="50"/>
      <c r="Y114" s="50"/>
      <c r="Z114" s="50"/>
      <c r="AA114" s="50"/>
      <c r="AB114" s="50"/>
      <c r="AC114" s="50"/>
      <c r="AD114" s="50"/>
      <c r="AE114" s="50"/>
      <c r="AF114" s="50"/>
      <c r="AG114" s="50">
        <v>198</v>
      </c>
      <c r="AH114" s="50"/>
    </row>
    <row r="115" spans="1:34" x14ac:dyDescent="0.25">
      <c r="A115" s="50">
        <v>3909</v>
      </c>
      <c r="O115" s="50"/>
      <c r="P115" s="50"/>
      <c r="Q115" s="50"/>
      <c r="R115" s="50"/>
      <c r="S115" s="50"/>
      <c r="T115" s="50"/>
      <c r="U115" s="50"/>
      <c r="V115" s="50"/>
      <c r="W115" s="50"/>
      <c r="X115" s="50"/>
      <c r="Y115" s="50"/>
      <c r="Z115" s="50"/>
      <c r="AA115" s="50"/>
      <c r="AB115" s="50"/>
      <c r="AC115" s="50"/>
      <c r="AD115" s="50"/>
      <c r="AE115" s="50"/>
      <c r="AF115" s="50"/>
      <c r="AG115" s="50"/>
      <c r="AH115" s="50"/>
    </row>
    <row r="116" spans="1:34" x14ac:dyDescent="0.25">
      <c r="A116" s="50">
        <v>4663</v>
      </c>
      <c r="E116" s="50"/>
      <c r="O116" s="50"/>
      <c r="P116" s="50"/>
      <c r="Q116" s="50"/>
      <c r="R116" s="50"/>
      <c r="S116" s="50"/>
      <c r="T116" s="50"/>
      <c r="U116" s="50"/>
      <c r="V116" s="50"/>
      <c r="W116" s="50"/>
      <c r="X116" s="50"/>
      <c r="Y116" s="50"/>
      <c r="Z116" s="50"/>
      <c r="AA116" s="50"/>
      <c r="AB116" s="50"/>
      <c r="AC116" s="50"/>
      <c r="AD116" s="50"/>
      <c r="AE116" s="50"/>
      <c r="AF116" s="50"/>
      <c r="AG116" s="50"/>
      <c r="AH116" s="50"/>
    </row>
    <row r="117" spans="1:34" x14ac:dyDescent="0.25">
      <c r="A117" s="50">
        <v>1005522</v>
      </c>
      <c r="O117" s="50"/>
      <c r="P117" s="50"/>
      <c r="Q117" s="50"/>
      <c r="R117" s="50"/>
      <c r="S117" s="50"/>
      <c r="T117" s="50"/>
      <c r="U117" s="50"/>
      <c r="V117" s="50"/>
      <c r="W117" s="50"/>
      <c r="X117" s="50"/>
      <c r="Y117" s="50"/>
      <c r="Z117" s="50"/>
      <c r="AA117" s="50"/>
      <c r="AB117" s="50"/>
      <c r="AC117" s="50"/>
      <c r="AD117" s="50"/>
      <c r="AE117" s="50"/>
      <c r="AF117" s="50"/>
      <c r="AG117" s="50"/>
      <c r="AH117" s="50"/>
    </row>
    <row r="118" spans="1:34" x14ac:dyDescent="0.25">
      <c r="A118" s="50">
        <v>1007631</v>
      </c>
      <c r="O118" s="50"/>
      <c r="P118" s="50"/>
      <c r="Q118" s="50"/>
      <c r="R118" s="50"/>
      <c r="S118" s="50"/>
      <c r="T118" s="50"/>
      <c r="U118" s="50"/>
      <c r="V118" s="50"/>
      <c r="W118" s="50"/>
      <c r="X118" s="50"/>
      <c r="Y118" s="50"/>
      <c r="Z118" s="50"/>
      <c r="AA118" s="50"/>
      <c r="AB118" s="50"/>
      <c r="AC118" s="50"/>
      <c r="AD118" s="50"/>
      <c r="AE118" s="50"/>
      <c r="AF118" s="50"/>
      <c r="AG118" s="50"/>
      <c r="AH118" s="50"/>
    </row>
    <row r="119" spans="1:34" x14ac:dyDescent="0.25">
      <c r="A119" s="50">
        <v>1009760</v>
      </c>
      <c r="O119" s="50"/>
      <c r="P119" s="50"/>
      <c r="Q119" s="50">
        <v>330</v>
      </c>
      <c r="R119" s="50"/>
      <c r="S119" s="50">
        <v>296</v>
      </c>
      <c r="T119" s="50"/>
      <c r="U119" s="50"/>
      <c r="V119" s="50"/>
      <c r="W119" s="50">
        <v>327</v>
      </c>
      <c r="X119" s="50"/>
      <c r="Y119" s="50"/>
      <c r="Z119" s="50"/>
      <c r="AA119" s="50"/>
      <c r="AB119" s="50"/>
      <c r="AC119" s="50"/>
      <c r="AD119" s="50"/>
      <c r="AE119" s="50"/>
      <c r="AF119" s="50"/>
      <c r="AG119" s="50"/>
      <c r="AH119" s="50"/>
    </row>
    <row r="120" spans="1:34" x14ac:dyDescent="0.25">
      <c r="A120" s="50">
        <v>2000646</v>
      </c>
      <c r="N120">
        <v>648</v>
      </c>
      <c r="O120">
        <v>741</v>
      </c>
      <c r="U120">
        <v>589</v>
      </c>
      <c r="V120">
        <v>589</v>
      </c>
      <c r="W120">
        <v>530</v>
      </c>
      <c r="X120">
        <v>541</v>
      </c>
    </row>
    <row r="121" spans="1:34" x14ac:dyDescent="0.25">
      <c r="A121" s="50">
        <v>2003761</v>
      </c>
    </row>
    <row r="122" spans="1:34" x14ac:dyDescent="0.25">
      <c r="A122" s="50">
        <v>2004061</v>
      </c>
    </row>
    <row r="123" spans="1:34" x14ac:dyDescent="0.25">
      <c r="A123" s="50">
        <v>2006469</v>
      </c>
    </row>
    <row r="124" spans="1:34" x14ac:dyDescent="0.25">
      <c r="A124" s="50">
        <v>3005132</v>
      </c>
      <c r="N124">
        <v>537</v>
      </c>
    </row>
    <row r="125" spans="1:34" x14ac:dyDescent="0.25">
      <c r="A125" s="50">
        <v>3009119</v>
      </c>
    </row>
    <row r="126" spans="1:34" x14ac:dyDescent="0.25">
      <c r="A126" s="50">
        <v>3009936</v>
      </c>
    </row>
    <row r="127" spans="1:34" x14ac:dyDescent="0.25">
      <c r="A127" s="50">
        <v>3011094</v>
      </c>
    </row>
    <row r="128" spans="1:34" x14ac:dyDescent="0.25">
      <c r="A128" s="50">
        <v>3014643</v>
      </c>
    </row>
    <row r="129" spans="1:14" x14ac:dyDescent="0.25">
      <c r="A129" s="50">
        <v>3016056</v>
      </c>
    </row>
    <row r="130" spans="1:14" x14ac:dyDescent="0.25">
      <c r="A130" s="50">
        <v>3900219</v>
      </c>
    </row>
    <row r="131" spans="1:14" x14ac:dyDescent="0.25">
      <c r="A131" s="50">
        <v>4000158</v>
      </c>
    </row>
    <row r="132" spans="1:14" x14ac:dyDescent="0.25">
      <c r="A132" s="50">
        <v>4000304</v>
      </c>
    </row>
    <row r="133" spans="1:14" x14ac:dyDescent="0.25">
      <c r="A133" s="50">
        <v>4001905</v>
      </c>
    </row>
    <row r="134" spans="1:14" x14ac:dyDescent="0.25">
      <c r="A134" s="50">
        <v>4002206</v>
      </c>
    </row>
    <row r="135" spans="1:14" x14ac:dyDescent="0.25">
      <c r="A135" s="50">
        <v>4002715</v>
      </c>
    </row>
    <row r="136" spans="1:14" x14ac:dyDescent="0.25">
      <c r="A136" s="50">
        <v>4003924</v>
      </c>
    </row>
    <row r="137" spans="1:14" x14ac:dyDescent="0.25">
      <c r="A137" s="50">
        <v>4006051</v>
      </c>
      <c r="N137">
        <v>2028</v>
      </c>
    </row>
    <row r="138" spans="1:14" x14ac:dyDescent="0.25">
      <c r="A138" s="50">
        <v>4008140</v>
      </c>
      <c r="M138">
        <v>302</v>
      </c>
    </row>
    <row r="139" spans="1:14" x14ac:dyDescent="0.25">
      <c r="A139" s="50">
        <v>4009906</v>
      </c>
    </row>
    <row r="140" spans="1:14" x14ac:dyDescent="0.25">
      <c r="A140" s="50">
        <v>4011027</v>
      </c>
    </row>
    <row r="141" spans="1:14" x14ac:dyDescent="0.25">
      <c r="A141" s="50">
        <v>4011920</v>
      </c>
    </row>
    <row r="142" spans="1:14" x14ac:dyDescent="0.25">
      <c r="A142" s="50">
        <v>4012248</v>
      </c>
    </row>
    <row r="143" spans="1:14" x14ac:dyDescent="0.25">
      <c r="A143" s="50">
        <v>4013603</v>
      </c>
    </row>
    <row r="144" spans="1:14" x14ac:dyDescent="0.25">
      <c r="A144" s="50">
        <v>5004654</v>
      </c>
    </row>
    <row r="145" spans="1:35" x14ac:dyDescent="0.25">
      <c r="A145" s="54"/>
    </row>
    <row r="146" spans="1:35" x14ac:dyDescent="0.25">
      <c r="A146" s="52" t="s">
        <v>146</v>
      </c>
    </row>
    <row r="147" spans="1:35" x14ac:dyDescent="0.25">
      <c r="A147" s="50">
        <v>4289</v>
      </c>
    </row>
    <row r="148" spans="1:35" x14ac:dyDescent="0.25">
      <c r="A148" s="50">
        <v>500245</v>
      </c>
      <c r="N148">
        <v>851</v>
      </c>
      <c r="O148">
        <v>137</v>
      </c>
      <c r="Q148">
        <v>1123</v>
      </c>
      <c r="S148">
        <v>742</v>
      </c>
    </row>
    <row r="149" spans="1:35" x14ac:dyDescent="0.25">
      <c r="A149" s="50">
        <v>2002573</v>
      </c>
      <c r="U149">
        <v>368</v>
      </c>
    </row>
    <row r="150" spans="1:35" x14ac:dyDescent="0.25">
      <c r="A150" s="50">
        <v>2003539</v>
      </c>
      <c r="U150">
        <v>458</v>
      </c>
    </row>
    <row r="151" spans="1:35" x14ac:dyDescent="0.25">
      <c r="A151" s="50">
        <v>2003649</v>
      </c>
    </row>
    <row r="152" spans="1:35" x14ac:dyDescent="0.25">
      <c r="A152" s="50">
        <v>2005572</v>
      </c>
    </row>
    <row r="153" spans="1:35" x14ac:dyDescent="0.25">
      <c r="A153" s="50">
        <v>2013117</v>
      </c>
    </row>
    <row r="154" spans="1:35" x14ac:dyDescent="0.25">
      <c r="A154" s="50">
        <v>3009633</v>
      </c>
    </row>
    <row r="155" spans="1:35" x14ac:dyDescent="0.25">
      <c r="A155" s="50">
        <v>3010583</v>
      </c>
      <c r="M155" s="14">
        <v>350</v>
      </c>
      <c r="N155">
        <v>892</v>
      </c>
      <c r="AI155">
        <v>501</v>
      </c>
    </row>
    <row r="156" spans="1:35" x14ac:dyDescent="0.25">
      <c r="A156" s="23">
        <v>3011892</v>
      </c>
      <c r="V156">
        <v>765</v>
      </c>
      <c r="AF156">
        <v>299</v>
      </c>
    </row>
    <row r="157" spans="1:35" x14ac:dyDescent="0.25">
      <c r="A157">
        <v>4001382</v>
      </c>
      <c r="AA157">
        <v>319</v>
      </c>
      <c r="AB157" s="14">
        <v>634.25</v>
      </c>
    </row>
    <row r="158" spans="1:35" x14ac:dyDescent="0.25">
      <c r="A158" s="50">
        <v>5018675</v>
      </c>
    </row>
    <row r="159" spans="1:35" x14ac:dyDescent="0.25">
      <c r="A159" s="50">
        <v>6050168</v>
      </c>
    </row>
    <row r="160" spans="1:35" x14ac:dyDescent="0.25">
      <c r="A160" s="50">
        <v>5006592</v>
      </c>
    </row>
    <row r="161" spans="1:30" x14ac:dyDescent="0.25">
      <c r="A161" s="50">
        <v>5007274</v>
      </c>
    </row>
    <row r="162" spans="1:30" x14ac:dyDescent="0.25">
      <c r="A162" s="50">
        <v>5015851</v>
      </c>
    </row>
    <row r="163" spans="1:30" x14ac:dyDescent="0.25">
      <c r="A163" s="50">
        <v>6015647</v>
      </c>
      <c r="N163">
        <v>465</v>
      </c>
      <c r="O163">
        <v>320</v>
      </c>
      <c r="P163">
        <v>335</v>
      </c>
      <c r="R163">
        <v>316</v>
      </c>
      <c r="W163">
        <v>360</v>
      </c>
    </row>
    <row r="164" spans="1:30" x14ac:dyDescent="0.25">
      <c r="A164" s="50">
        <v>6056633</v>
      </c>
      <c r="Q164">
        <v>226</v>
      </c>
      <c r="AD164">
        <v>383</v>
      </c>
    </row>
    <row r="165" spans="1:30" x14ac:dyDescent="0.25">
      <c r="A165" s="50">
        <v>7086224</v>
      </c>
    </row>
    <row r="166" spans="1:30" x14ac:dyDescent="0.25">
      <c r="A166" s="50">
        <v>8040959</v>
      </c>
    </row>
    <row r="167" spans="1:30" x14ac:dyDescent="0.25">
      <c r="A167" s="50">
        <v>8107048</v>
      </c>
      <c r="N167">
        <v>292.8</v>
      </c>
    </row>
    <row r="168" spans="1:30" x14ac:dyDescent="0.25">
      <c r="A168" s="50">
        <v>8124044</v>
      </c>
    </row>
    <row r="169" spans="1:30" x14ac:dyDescent="0.25">
      <c r="A169" s="50">
        <v>8142949</v>
      </c>
    </row>
    <row r="170" spans="1:30" x14ac:dyDescent="0.25">
      <c r="A170" s="50">
        <v>9023306</v>
      </c>
      <c r="Q170">
        <v>408</v>
      </c>
    </row>
    <row r="171" spans="1:30" x14ac:dyDescent="0.25">
      <c r="A171" s="50">
        <v>9030615</v>
      </c>
    </row>
    <row r="172" spans="1:30" x14ac:dyDescent="0.25">
      <c r="A172" s="50">
        <v>9034464</v>
      </c>
    </row>
    <row r="173" spans="1:30" x14ac:dyDescent="0.25">
      <c r="A173" s="50">
        <v>9040167</v>
      </c>
    </row>
    <row r="174" spans="1:30" x14ac:dyDescent="0.25">
      <c r="A174" s="50">
        <v>9054567</v>
      </c>
    </row>
    <row r="175" spans="1:30" x14ac:dyDescent="0.25">
      <c r="A175" s="50">
        <v>9083682</v>
      </c>
    </row>
    <row r="176" spans="1:30" x14ac:dyDescent="0.25">
      <c r="A176" s="50">
        <v>9102044</v>
      </c>
    </row>
    <row r="177" spans="1:20" x14ac:dyDescent="0.25">
      <c r="A177" s="50">
        <v>9119854</v>
      </c>
    </row>
    <row r="178" spans="1:20" x14ac:dyDescent="0.25">
      <c r="A178" s="50">
        <v>9125126</v>
      </c>
    </row>
    <row r="179" spans="1:20" x14ac:dyDescent="0.25">
      <c r="A179" s="50">
        <v>9174811</v>
      </c>
    </row>
    <row r="180" spans="1:20" x14ac:dyDescent="0.25">
      <c r="A180" s="50">
        <v>10002875</v>
      </c>
      <c r="T180">
        <v>282</v>
      </c>
    </row>
    <row r="181" spans="1:20" x14ac:dyDescent="0.25">
      <c r="A181" s="50">
        <v>10023080</v>
      </c>
    </row>
    <row r="182" spans="1:20" x14ac:dyDescent="0.25">
      <c r="A182" s="50">
        <v>10025212</v>
      </c>
    </row>
    <row r="183" spans="1:20" x14ac:dyDescent="0.25">
      <c r="A183" s="50">
        <v>10069407</v>
      </c>
    </row>
    <row r="184" spans="1:20" x14ac:dyDescent="0.25">
      <c r="A184" s="50">
        <v>10071135</v>
      </c>
    </row>
    <row r="185" spans="1:20" x14ac:dyDescent="0.25">
      <c r="A185" s="50">
        <v>10083649</v>
      </c>
    </row>
    <row r="186" spans="1:20" x14ac:dyDescent="0.25">
      <c r="A186" s="50">
        <v>10102021</v>
      </c>
    </row>
    <row r="187" spans="1:20" x14ac:dyDescent="0.25">
      <c r="A187" s="50">
        <v>10123729</v>
      </c>
    </row>
    <row r="188" spans="1:20" x14ac:dyDescent="0.25">
      <c r="A188" s="50">
        <v>10144736</v>
      </c>
    </row>
    <row r="189" spans="1:20" x14ac:dyDescent="0.25">
      <c r="A189" s="50">
        <v>10157275</v>
      </c>
    </row>
    <row r="190" spans="1:20" x14ac:dyDescent="0.25">
      <c r="A190" s="54"/>
    </row>
    <row r="191" spans="1:20" x14ac:dyDescent="0.25">
      <c r="A191" s="52" t="s">
        <v>120</v>
      </c>
    </row>
    <row r="192" spans="1:20" x14ac:dyDescent="0.25">
      <c r="A192" s="50">
        <v>5281</v>
      </c>
    </row>
    <row r="193" spans="1:39" x14ac:dyDescent="0.25">
      <c r="A193" s="50">
        <v>200085</v>
      </c>
      <c r="C193">
        <v>166</v>
      </c>
      <c r="N193">
        <v>170</v>
      </c>
      <c r="O193">
        <v>222</v>
      </c>
      <c r="P193">
        <v>248</v>
      </c>
      <c r="Q193">
        <v>257</v>
      </c>
      <c r="R193">
        <v>254</v>
      </c>
      <c r="S193">
        <v>193</v>
      </c>
      <c r="T193">
        <v>182</v>
      </c>
      <c r="U193">
        <v>169</v>
      </c>
      <c r="W193">
        <v>157</v>
      </c>
      <c r="Y193">
        <v>147</v>
      </c>
      <c r="AB193">
        <v>156</v>
      </c>
    </row>
    <row r="194" spans="1:39" x14ac:dyDescent="0.25">
      <c r="A194" s="50">
        <v>500129</v>
      </c>
    </row>
    <row r="195" spans="1:39" x14ac:dyDescent="0.25">
      <c r="A195" s="53">
        <v>1002033</v>
      </c>
    </row>
    <row r="196" spans="1:39" x14ac:dyDescent="0.25">
      <c r="A196" s="50">
        <v>1003457</v>
      </c>
    </row>
    <row r="197" spans="1:39" x14ac:dyDescent="0.25">
      <c r="A197" s="50">
        <v>2005223</v>
      </c>
    </row>
    <row r="198" spans="1:39" x14ac:dyDescent="0.25">
      <c r="A198" s="50">
        <v>2006107</v>
      </c>
      <c r="N198">
        <v>346</v>
      </c>
    </row>
    <row r="199" spans="1:39" x14ac:dyDescent="0.25">
      <c r="A199" s="50">
        <v>2012014</v>
      </c>
      <c r="E199">
        <v>153</v>
      </c>
    </row>
    <row r="200" spans="1:39" x14ac:dyDescent="0.25">
      <c r="A200" s="50">
        <v>3000152</v>
      </c>
    </row>
    <row r="201" spans="1:39" x14ac:dyDescent="0.25">
      <c r="A201" s="50">
        <v>3014566</v>
      </c>
      <c r="AM201" s="50"/>
    </row>
    <row r="202" spans="1:39" x14ac:dyDescent="0.25">
      <c r="A202" s="50">
        <v>3015058</v>
      </c>
      <c r="E202">
        <v>193</v>
      </c>
      <c r="O202">
        <v>269</v>
      </c>
      <c r="P202">
        <v>188</v>
      </c>
      <c r="V202">
        <v>203</v>
      </c>
      <c r="AM202" s="50"/>
    </row>
    <row r="203" spans="1:39" x14ac:dyDescent="0.25">
      <c r="A203" s="53">
        <v>4000996</v>
      </c>
      <c r="O203">
        <v>319.8</v>
      </c>
      <c r="P203" s="3">
        <v>266.39999999999998</v>
      </c>
      <c r="Q203">
        <v>270.60000000000002</v>
      </c>
      <c r="U203">
        <v>238.8</v>
      </c>
      <c r="AM203" s="50"/>
    </row>
    <row r="204" spans="1:39" x14ac:dyDescent="0.25">
      <c r="A204" s="50">
        <v>4003768</v>
      </c>
      <c r="H204">
        <v>110</v>
      </c>
      <c r="O204">
        <v>6331</v>
      </c>
      <c r="P204">
        <v>6636</v>
      </c>
      <c r="Q204">
        <v>3323</v>
      </c>
      <c r="AM204" s="50"/>
    </row>
    <row r="205" spans="1:39" x14ac:dyDescent="0.25">
      <c r="A205" s="50">
        <v>4006540</v>
      </c>
      <c r="Y205">
        <v>414</v>
      </c>
      <c r="AA205">
        <v>288</v>
      </c>
      <c r="AD205">
        <v>258</v>
      </c>
      <c r="AM205" s="50"/>
    </row>
    <row r="206" spans="1:39" x14ac:dyDescent="0.25">
      <c r="A206" s="50">
        <v>4007054</v>
      </c>
      <c r="R206">
        <v>255</v>
      </c>
      <c r="AM206" s="50"/>
    </row>
    <row r="207" spans="1:39" x14ac:dyDescent="0.25">
      <c r="A207" s="50">
        <v>4011002</v>
      </c>
      <c r="AM207" s="50"/>
    </row>
    <row r="208" spans="1:39" x14ac:dyDescent="0.25">
      <c r="A208" s="50">
        <v>4900268</v>
      </c>
      <c r="AM208" s="50"/>
    </row>
    <row r="209" spans="1:39" x14ac:dyDescent="0.25">
      <c r="A209" s="50">
        <v>5001097</v>
      </c>
      <c r="F209">
        <v>236</v>
      </c>
      <c r="G209">
        <v>235</v>
      </c>
      <c r="AM209" s="50"/>
    </row>
    <row r="210" spans="1:39" x14ac:dyDescent="0.25">
      <c r="A210" s="50">
        <v>5001098</v>
      </c>
      <c r="D210">
        <v>195</v>
      </c>
      <c r="F210">
        <v>152</v>
      </c>
      <c r="N210">
        <v>171</v>
      </c>
      <c r="AM210" s="50"/>
    </row>
    <row r="211" spans="1:39" x14ac:dyDescent="0.25">
      <c r="A211" s="50">
        <v>5006152</v>
      </c>
      <c r="O211" s="50">
        <v>8397.6</v>
      </c>
      <c r="AM211" s="50"/>
    </row>
    <row r="212" spans="1:39" x14ac:dyDescent="0.25">
      <c r="A212" s="50">
        <v>6012361</v>
      </c>
      <c r="AM212" s="50"/>
    </row>
    <row r="213" spans="1:39" x14ac:dyDescent="0.25">
      <c r="A213" s="50">
        <v>6015793</v>
      </c>
      <c r="AM213" s="50"/>
    </row>
    <row r="214" spans="1:39" x14ac:dyDescent="0.25">
      <c r="A214" s="50">
        <v>6043619</v>
      </c>
      <c r="AM214" s="50"/>
    </row>
    <row r="215" spans="1:39" x14ac:dyDescent="0.25">
      <c r="A215" s="50">
        <v>7001097</v>
      </c>
      <c r="AM215" s="50"/>
    </row>
    <row r="216" spans="1:39" x14ac:dyDescent="0.25">
      <c r="A216" s="50">
        <v>7011435</v>
      </c>
      <c r="AM216" s="50"/>
    </row>
    <row r="217" spans="1:39" x14ac:dyDescent="0.25">
      <c r="A217" s="50">
        <v>7045811</v>
      </c>
      <c r="R217">
        <v>942.6</v>
      </c>
      <c r="T217">
        <v>435.6</v>
      </c>
      <c r="AM217" s="50"/>
    </row>
    <row r="218" spans="1:39" x14ac:dyDescent="0.25">
      <c r="A218" s="50">
        <v>7071198</v>
      </c>
      <c r="B218">
        <v>372</v>
      </c>
      <c r="N218">
        <v>507</v>
      </c>
      <c r="AM218" s="50"/>
    </row>
    <row r="219" spans="1:39" x14ac:dyDescent="0.25">
      <c r="A219" s="50">
        <v>7101143</v>
      </c>
      <c r="AM219" s="50"/>
    </row>
    <row r="220" spans="1:39" x14ac:dyDescent="0.25">
      <c r="A220" s="50">
        <v>8073350</v>
      </c>
      <c r="AM220" s="50"/>
    </row>
    <row r="221" spans="1:39" x14ac:dyDescent="0.25">
      <c r="A221" s="50">
        <v>8073645</v>
      </c>
      <c r="O221" s="14">
        <v>3234</v>
      </c>
      <c r="AM221" s="50"/>
    </row>
    <row r="222" spans="1:39" x14ac:dyDescent="0.25">
      <c r="A222" s="53">
        <v>8089666</v>
      </c>
      <c r="J222">
        <v>203</v>
      </c>
      <c r="K222">
        <v>150</v>
      </c>
      <c r="L222">
        <v>110</v>
      </c>
      <c r="N222" s="14">
        <v>6678.25</v>
      </c>
      <c r="O222" s="50">
        <v>7839</v>
      </c>
      <c r="AM222" s="50"/>
    </row>
    <row r="223" spans="1:39" x14ac:dyDescent="0.25">
      <c r="A223" s="50">
        <v>8103536</v>
      </c>
      <c r="AM223" s="50"/>
    </row>
    <row r="224" spans="1:39" x14ac:dyDescent="0.25">
      <c r="A224" s="50">
        <v>8124816</v>
      </c>
      <c r="AM224" s="50"/>
    </row>
    <row r="225" spans="1:39" x14ac:dyDescent="0.25">
      <c r="A225" s="50">
        <v>9003267</v>
      </c>
      <c r="O225">
        <v>540</v>
      </c>
      <c r="X225">
        <v>516</v>
      </c>
      <c r="AM225" s="50"/>
    </row>
    <row r="226" spans="1:39" x14ac:dyDescent="0.25">
      <c r="A226" s="50">
        <v>9036964</v>
      </c>
      <c r="N226">
        <v>486</v>
      </c>
      <c r="O226">
        <v>463</v>
      </c>
      <c r="P226">
        <v>395</v>
      </c>
      <c r="T226">
        <v>232</v>
      </c>
      <c r="AM226" s="50"/>
    </row>
    <row r="227" spans="1:39" x14ac:dyDescent="0.25">
      <c r="A227" s="50">
        <v>9090287</v>
      </c>
      <c r="P227">
        <v>4314</v>
      </c>
      <c r="AM227" s="50"/>
    </row>
    <row r="228" spans="1:39" x14ac:dyDescent="0.25">
      <c r="A228" s="50">
        <v>9095148</v>
      </c>
      <c r="O228">
        <v>446</v>
      </c>
      <c r="AM228" s="50"/>
    </row>
    <row r="229" spans="1:39" x14ac:dyDescent="0.25">
      <c r="A229" s="50">
        <v>9104979</v>
      </c>
      <c r="AM229" s="50"/>
    </row>
    <row r="230" spans="1:39" x14ac:dyDescent="0.25">
      <c r="A230" s="50">
        <v>9139514</v>
      </c>
      <c r="AM230" s="50"/>
    </row>
    <row r="231" spans="1:39" x14ac:dyDescent="0.25">
      <c r="A231" s="50">
        <v>10020659</v>
      </c>
      <c r="AM231" s="50"/>
    </row>
    <row r="232" spans="1:39" x14ac:dyDescent="0.25">
      <c r="A232" s="50">
        <v>10025902</v>
      </c>
      <c r="AM232" s="50"/>
    </row>
    <row r="233" spans="1:39" x14ac:dyDescent="0.25">
      <c r="A233" s="50">
        <v>10027654</v>
      </c>
      <c r="AM233" s="50"/>
    </row>
    <row r="234" spans="1:39" x14ac:dyDescent="0.25">
      <c r="A234" s="50">
        <v>10084485</v>
      </c>
      <c r="AM234" s="50"/>
    </row>
    <row r="235" spans="1:39" x14ac:dyDescent="0.25">
      <c r="A235" s="50">
        <v>10098420</v>
      </c>
    </row>
    <row r="236" spans="1:39" x14ac:dyDescent="0.25">
      <c r="A236" s="50">
        <v>10129565</v>
      </c>
    </row>
    <row r="237" spans="1:39" x14ac:dyDescent="0.25">
      <c r="A237" s="50">
        <v>10146828</v>
      </c>
    </row>
    <row r="238" spans="1:39" x14ac:dyDescent="0.25">
      <c r="A238">
        <v>10163776</v>
      </c>
    </row>
    <row r="239" spans="1:39" x14ac:dyDescent="0.25">
      <c r="A239">
        <v>10173664</v>
      </c>
    </row>
  </sheetData>
  <conditionalFormatting sqref="A19">
    <cfRule type="duplicateValues" dxfId="26" priority="1"/>
  </conditionalFormatting>
  <pageMargins left="0.7" right="0.7" top="0.78740157499999996" bottom="0.78740157499999996" header="0.3" footer="0.3"/>
  <tableParts count="1">
    <tablePart r:id="rId1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0"/>
  <sheetViews>
    <sheetView workbookViewId="0">
      <selection activeCell="C12" sqref="C12"/>
    </sheetView>
  </sheetViews>
  <sheetFormatPr defaultColWidth="11.42578125" defaultRowHeight="15" x14ac:dyDescent="0.25"/>
  <cols>
    <col min="1" max="1" width="17.28515625" bestFit="1" customWidth="1"/>
    <col min="2" max="2" width="6.7109375" bestFit="1" customWidth="1"/>
    <col min="3" max="3" width="81.140625" bestFit="1" customWidth="1"/>
    <col min="4" max="4" width="30.28515625" bestFit="1" customWidth="1"/>
  </cols>
  <sheetData>
    <row r="1" spans="1:4" x14ac:dyDescent="0.25">
      <c r="A1" s="66" t="s">
        <v>59</v>
      </c>
      <c r="B1" s="66" t="s">
        <v>2973</v>
      </c>
      <c r="C1" s="66" t="s">
        <v>2564</v>
      </c>
      <c r="D1" s="66" t="s">
        <v>2523</v>
      </c>
    </row>
    <row r="2" spans="1:4" x14ac:dyDescent="0.25">
      <c r="A2" s="66">
        <v>7072184</v>
      </c>
      <c r="B2" s="66" t="s">
        <v>2973</v>
      </c>
      <c r="C2" s="66" t="s">
        <v>1422</v>
      </c>
      <c r="D2" s="66">
        <v>1</v>
      </c>
    </row>
    <row r="3" spans="1:4" x14ac:dyDescent="0.25">
      <c r="A3" s="66">
        <v>99001908</v>
      </c>
      <c r="B3" s="66" t="s">
        <v>2973</v>
      </c>
      <c r="C3" s="66" t="s">
        <v>1422</v>
      </c>
      <c r="D3" s="66">
        <v>1</v>
      </c>
    </row>
    <row r="4" spans="1:4" x14ac:dyDescent="0.25">
      <c r="A4" s="66">
        <v>97002136</v>
      </c>
      <c r="B4" s="66" t="s">
        <v>2973</v>
      </c>
      <c r="C4" s="66" t="s">
        <v>1422</v>
      </c>
      <c r="D4" s="66">
        <v>1</v>
      </c>
    </row>
    <row r="5" spans="1:4" x14ac:dyDescent="0.25">
      <c r="A5" s="66">
        <v>1502</v>
      </c>
      <c r="B5" s="66" t="s">
        <v>2973</v>
      </c>
      <c r="C5" s="66" t="s">
        <v>1423</v>
      </c>
      <c r="D5" s="66">
        <v>1</v>
      </c>
    </row>
    <row r="6" spans="1:4" x14ac:dyDescent="0.25">
      <c r="A6" s="66">
        <v>4900261</v>
      </c>
      <c r="B6" s="66" t="s">
        <v>2973</v>
      </c>
      <c r="C6" s="66" t="s">
        <v>2974</v>
      </c>
      <c r="D6" s="66">
        <v>6</v>
      </c>
    </row>
    <row r="7" spans="1:4" x14ac:dyDescent="0.25">
      <c r="A7" s="66">
        <v>3000983</v>
      </c>
      <c r="B7" s="66" t="s">
        <v>2973</v>
      </c>
      <c r="C7" s="66" t="s">
        <v>2975</v>
      </c>
      <c r="D7" s="66">
        <v>2</v>
      </c>
    </row>
    <row r="8" spans="1:4" x14ac:dyDescent="0.25">
      <c r="A8" s="66">
        <v>10064335</v>
      </c>
      <c r="B8" s="66" t="s">
        <v>2973</v>
      </c>
      <c r="C8" s="66" t="s">
        <v>2976</v>
      </c>
      <c r="D8" s="66">
        <v>3</v>
      </c>
    </row>
    <row r="9" spans="1:4" x14ac:dyDescent="0.25">
      <c r="A9" s="66">
        <v>1480</v>
      </c>
      <c r="B9" s="66" t="s">
        <v>2973</v>
      </c>
      <c r="C9" s="66" t="s">
        <v>30</v>
      </c>
      <c r="D9" s="66">
        <v>1</v>
      </c>
    </row>
    <row r="10" spans="1:4" x14ac:dyDescent="0.25">
      <c r="A10" s="66">
        <v>1003215</v>
      </c>
      <c r="B10" s="66" t="s">
        <v>2973</v>
      </c>
      <c r="C10" s="66" t="s">
        <v>1422</v>
      </c>
      <c r="D10" s="66">
        <v>1</v>
      </c>
    </row>
    <row r="11" spans="1:4" x14ac:dyDescent="0.25">
      <c r="A11" s="66">
        <v>99000802</v>
      </c>
      <c r="B11" s="66" t="s">
        <v>2973</v>
      </c>
      <c r="C11" s="66" t="s">
        <v>1419</v>
      </c>
      <c r="D11" s="66">
        <v>1</v>
      </c>
    </row>
    <row r="12" spans="1:4" x14ac:dyDescent="0.25">
      <c r="A12" s="66">
        <v>1506</v>
      </c>
      <c r="B12" s="66" t="s">
        <v>2973</v>
      </c>
      <c r="C12" s="66" t="s">
        <v>30</v>
      </c>
      <c r="D12" s="66">
        <v>1</v>
      </c>
    </row>
    <row r="13" spans="1:4" x14ac:dyDescent="0.25">
      <c r="A13" s="66">
        <v>99000897</v>
      </c>
      <c r="B13" s="66" t="s">
        <v>2973</v>
      </c>
      <c r="C13" s="66" t="s">
        <v>1422</v>
      </c>
      <c r="D13" s="66">
        <v>1</v>
      </c>
    </row>
    <row r="14" spans="1:4" x14ac:dyDescent="0.25">
      <c r="A14" s="66">
        <v>99001245</v>
      </c>
      <c r="B14" s="66" t="s">
        <v>2973</v>
      </c>
      <c r="C14" s="66" t="s">
        <v>28</v>
      </c>
      <c r="D14" s="66">
        <v>1</v>
      </c>
    </row>
    <row r="15" spans="1:4" x14ac:dyDescent="0.25">
      <c r="A15" s="66">
        <v>99001912</v>
      </c>
      <c r="B15" s="66" t="s">
        <v>2973</v>
      </c>
      <c r="C15" s="66" t="s">
        <v>30</v>
      </c>
      <c r="D15" s="66">
        <v>1</v>
      </c>
    </row>
    <row r="16" spans="1:4" x14ac:dyDescent="0.25">
      <c r="A16" s="66">
        <v>99001937</v>
      </c>
      <c r="B16" s="66" t="s">
        <v>2973</v>
      </c>
      <c r="C16" s="66" t="s">
        <v>31</v>
      </c>
      <c r="D16" s="66">
        <v>1</v>
      </c>
    </row>
    <row r="17" spans="1:4" x14ac:dyDescent="0.25">
      <c r="A17" s="66">
        <v>99001927</v>
      </c>
      <c r="B17" s="66" t="s">
        <v>2973</v>
      </c>
      <c r="C17" s="66" t="s">
        <v>1422</v>
      </c>
      <c r="D17" s="66">
        <v>1</v>
      </c>
    </row>
    <row r="18" spans="1:4" x14ac:dyDescent="0.25">
      <c r="A18" s="66">
        <v>1505</v>
      </c>
      <c r="B18" s="66" t="s">
        <v>2973</v>
      </c>
      <c r="C18" s="66" t="s">
        <v>31</v>
      </c>
      <c r="D18" s="66">
        <v>1</v>
      </c>
    </row>
    <row r="19" spans="1:4" x14ac:dyDescent="0.25">
      <c r="A19" s="66">
        <v>96018835</v>
      </c>
      <c r="B19" s="66" t="s">
        <v>2973</v>
      </c>
      <c r="C19" s="66" t="s">
        <v>2977</v>
      </c>
      <c r="D19" s="66">
        <v>2</v>
      </c>
    </row>
    <row r="20" spans="1:4" x14ac:dyDescent="0.25">
      <c r="A20" s="66">
        <v>98008326</v>
      </c>
      <c r="B20" s="66" t="s">
        <v>2973</v>
      </c>
      <c r="C20" s="66" t="s">
        <v>112</v>
      </c>
      <c r="D20" s="66">
        <v>1</v>
      </c>
    </row>
    <row r="21" spans="1:4" x14ac:dyDescent="0.25">
      <c r="A21" s="66">
        <v>99000717</v>
      </c>
      <c r="B21" s="66" t="s">
        <v>2973</v>
      </c>
      <c r="C21" s="66" t="s">
        <v>30</v>
      </c>
      <c r="D21" s="66">
        <v>1</v>
      </c>
    </row>
    <row r="22" spans="1:4" x14ac:dyDescent="0.25">
      <c r="A22" s="66">
        <v>12088444</v>
      </c>
      <c r="B22" s="66" t="s">
        <v>2973</v>
      </c>
      <c r="C22" s="66" t="s">
        <v>29</v>
      </c>
      <c r="D22" s="66">
        <v>1</v>
      </c>
    </row>
    <row r="23" spans="1:4" x14ac:dyDescent="0.25">
      <c r="A23" s="66">
        <v>98004910</v>
      </c>
      <c r="B23" s="66" t="s">
        <v>2973</v>
      </c>
      <c r="C23" s="66" t="s">
        <v>1422</v>
      </c>
      <c r="D23" s="66">
        <v>1</v>
      </c>
    </row>
    <row r="24" spans="1:4" x14ac:dyDescent="0.25">
      <c r="A24" s="66">
        <v>7103068</v>
      </c>
      <c r="B24" s="66" t="s">
        <v>2973</v>
      </c>
      <c r="C24" s="66" t="s">
        <v>2978</v>
      </c>
      <c r="D24" s="66">
        <v>2</v>
      </c>
    </row>
    <row r="25" spans="1:4" x14ac:dyDescent="0.25">
      <c r="A25" s="66">
        <v>5015869</v>
      </c>
      <c r="B25" s="66" t="s">
        <v>2973</v>
      </c>
      <c r="C25" s="66" t="s">
        <v>2979</v>
      </c>
      <c r="D25" s="66">
        <v>2</v>
      </c>
    </row>
    <row r="26" spans="1:4" x14ac:dyDescent="0.25">
      <c r="A26" s="66">
        <v>6012681</v>
      </c>
      <c r="B26" s="66" t="s">
        <v>2973</v>
      </c>
      <c r="C26" s="66" t="s">
        <v>1419</v>
      </c>
      <c r="D26" s="66">
        <v>1</v>
      </c>
    </row>
    <row r="27" spans="1:4" x14ac:dyDescent="0.25">
      <c r="A27" s="66">
        <v>7000458</v>
      </c>
      <c r="B27" s="66" t="s">
        <v>2973</v>
      </c>
      <c r="C27" s="66" t="s">
        <v>30</v>
      </c>
      <c r="D27" s="66">
        <v>1</v>
      </c>
    </row>
    <row r="28" spans="1:4" x14ac:dyDescent="0.25">
      <c r="A28" s="66">
        <v>7076814</v>
      </c>
      <c r="B28" s="66" t="s">
        <v>2973</v>
      </c>
      <c r="C28" s="66" t="s">
        <v>500</v>
      </c>
      <c r="D28" s="66">
        <v>1</v>
      </c>
    </row>
    <row r="29" spans="1:4" x14ac:dyDescent="0.25">
      <c r="A29" s="66">
        <v>7076815</v>
      </c>
      <c r="B29" s="66" t="s">
        <v>2973</v>
      </c>
      <c r="C29" s="66" t="s">
        <v>500</v>
      </c>
      <c r="D29" s="66">
        <v>1</v>
      </c>
    </row>
    <row r="30" spans="1:4" x14ac:dyDescent="0.25">
      <c r="A30" s="66">
        <v>7089231</v>
      </c>
      <c r="B30" s="66" t="s">
        <v>2973</v>
      </c>
      <c r="C30" s="66" t="s">
        <v>1422</v>
      </c>
      <c r="D30" s="66">
        <v>1</v>
      </c>
    </row>
    <row r="31" spans="1:4" x14ac:dyDescent="0.25">
      <c r="A31" s="66">
        <v>7116004</v>
      </c>
      <c r="B31" s="66" t="s">
        <v>2973</v>
      </c>
      <c r="C31" s="66" t="s">
        <v>2980</v>
      </c>
      <c r="D31" s="66">
        <v>2</v>
      </c>
    </row>
    <row r="32" spans="1:4" x14ac:dyDescent="0.25">
      <c r="A32" s="66">
        <v>8091779</v>
      </c>
      <c r="B32" s="66" t="s">
        <v>2973</v>
      </c>
      <c r="C32" s="66" t="s">
        <v>1422</v>
      </c>
      <c r="D32" s="66">
        <v>1</v>
      </c>
    </row>
    <row r="33" spans="1:4" x14ac:dyDescent="0.25">
      <c r="A33" s="66">
        <v>8127397</v>
      </c>
      <c r="B33" s="66" t="s">
        <v>2973</v>
      </c>
      <c r="C33" s="66" t="s">
        <v>1422</v>
      </c>
      <c r="D33" s="66">
        <v>1</v>
      </c>
    </row>
    <row r="34" spans="1:4" x14ac:dyDescent="0.25">
      <c r="A34" s="66">
        <v>10010926</v>
      </c>
      <c r="B34" s="66" t="s">
        <v>2973</v>
      </c>
      <c r="C34" s="66" t="s">
        <v>2981</v>
      </c>
      <c r="D34" s="66">
        <v>2</v>
      </c>
    </row>
    <row r="35" spans="1:4" x14ac:dyDescent="0.25">
      <c r="A35" s="66">
        <v>324</v>
      </c>
      <c r="B35" s="66" t="s">
        <v>2973</v>
      </c>
      <c r="C35" s="66" t="s">
        <v>1061</v>
      </c>
      <c r="D35" s="66">
        <v>1</v>
      </c>
    </row>
    <row r="36" spans="1:4" x14ac:dyDescent="0.25">
      <c r="A36" s="66">
        <v>1009760</v>
      </c>
      <c r="B36" s="66" t="s">
        <v>2973</v>
      </c>
      <c r="C36" s="66" t="s">
        <v>2982</v>
      </c>
      <c r="D36" s="66">
        <v>3</v>
      </c>
    </row>
    <row r="37" spans="1:4" x14ac:dyDescent="0.25">
      <c r="A37" s="66">
        <v>2000646</v>
      </c>
      <c r="B37" s="66" t="s">
        <v>2973</v>
      </c>
      <c r="C37" s="66" t="s">
        <v>2983</v>
      </c>
      <c r="D37" s="66">
        <v>6</v>
      </c>
    </row>
    <row r="38" spans="1:4" x14ac:dyDescent="0.25">
      <c r="A38" s="66">
        <v>3005132</v>
      </c>
      <c r="B38" s="66" t="s">
        <v>2973</v>
      </c>
      <c r="C38" s="66" t="s">
        <v>500</v>
      </c>
      <c r="D38" s="66">
        <v>1</v>
      </c>
    </row>
    <row r="39" spans="1:4" x14ac:dyDescent="0.25">
      <c r="A39" s="66">
        <v>4006051</v>
      </c>
      <c r="B39" s="66" t="s">
        <v>2973</v>
      </c>
      <c r="C39" s="66" t="s">
        <v>500</v>
      </c>
      <c r="D39" s="66">
        <v>1</v>
      </c>
    </row>
    <row r="40" spans="1:4" x14ac:dyDescent="0.25">
      <c r="A40" s="66">
        <v>4008140</v>
      </c>
      <c r="B40" s="66" t="s">
        <v>2973</v>
      </c>
      <c r="C40" s="66" t="s">
        <v>1422</v>
      </c>
      <c r="D40" s="66">
        <v>1</v>
      </c>
    </row>
    <row r="41" spans="1:4" x14ac:dyDescent="0.25">
      <c r="A41" s="66">
        <v>500245</v>
      </c>
      <c r="B41" s="66" t="s">
        <v>2973</v>
      </c>
      <c r="C41" s="66" t="s">
        <v>2984</v>
      </c>
      <c r="D41" s="66">
        <v>4</v>
      </c>
    </row>
    <row r="42" spans="1:4" x14ac:dyDescent="0.25">
      <c r="A42" s="66">
        <v>2002573</v>
      </c>
      <c r="B42" s="66" t="s">
        <v>2973</v>
      </c>
      <c r="C42" s="66" t="s">
        <v>1424</v>
      </c>
      <c r="D42" s="66">
        <v>1</v>
      </c>
    </row>
    <row r="43" spans="1:4" x14ac:dyDescent="0.25">
      <c r="A43" s="66">
        <v>2003539</v>
      </c>
      <c r="B43" s="66" t="s">
        <v>2973</v>
      </c>
      <c r="C43" s="66" t="s">
        <v>1424</v>
      </c>
      <c r="D43" s="66">
        <v>1</v>
      </c>
    </row>
    <row r="44" spans="1:4" x14ac:dyDescent="0.25">
      <c r="A44" s="66">
        <v>3010583</v>
      </c>
      <c r="B44" s="66" t="s">
        <v>2973</v>
      </c>
      <c r="C44" s="66" t="s">
        <v>2985</v>
      </c>
      <c r="D44" s="66">
        <v>3</v>
      </c>
    </row>
    <row r="45" spans="1:4" x14ac:dyDescent="0.25">
      <c r="A45" s="66">
        <v>3011892</v>
      </c>
      <c r="B45" s="66" t="s">
        <v>2973</v>
      </c>
      <c r="C45" s="66" t="s">
        <v>2986</v>
      </c>
      <c r="D45" s="66">
        <v>2</v>
      </c>
    </row>
    <row r="46" spans="1:4" x14ac:dyDescent="0.25">
      <c r="A46" s="66">
        <v>4001382</v>
      </c>
      <c r="B46" s="66" t="s">
        <v>2973</v>
      </c>
      <c r="C46" s="66" t="s">
        <v>2987</v>
      </c>
      <c r="D46" s="66">
        <v>2</v>
      </c>
    </row>
    <row r="47" spans="1:4" x14ac:dyDescent="0.25">
      <c r="A47" s="66">
        <v>6015647</v>
      </c>
      <c r="B47" s="66" t="s">
        <v>2973</v>
      </c>
      <c r="C47" s="66" t="s">
        <v>2988</v>
      </c>
      <c r="D47" s="66">
        <v>5</v>
      </c>
    </row>
    <row r="48" spans="1:4" x14ac:dyDescent="0.25">
      <c r="A48" s="66">
        <v>6056633</v>
      </c>
      <c r="B48" s="66" t="s">
        <v>2973</v>
      </c>
      <c r="C48" s="66" t="s">
        <v>2989</v>
      </c>
      <c r="D48" s="66">
        <v>2</v>
      </c>
    </row>
    <row r="49" spans="1:4" x14ac:dyDescent="0.25">
      <c r="A49" s="66">
        <v>8107048</v>
      </c>
      <c r="B49" s="66" t="s">
        <v>2973</v>
      </c>
      <c r="C49" s="66" t="s">
        <v>500</v>
      </c>
      <c r="D49" s="66">
        <v>1</v>
      </c>
    </row>
    <row r="50" spans="1:4" x14ac:dyDescent="0.25">
      <c r="A50" s="66">
        <v>9023306</v>
      </c>
      <c r="B50" s="66" t="s">
        <v>2973</v>
      </c>
      <c r="C50" s="66" t="s">
        <v>29</v>
      </c>
      <c r="D50" s="66">
        <v>1</v>
      </c>
    </row>
    <row r="51" spans="1:4" x14ac:dyDescent="0.25">
      <c r="A51">
        <v>10002875</v>
      </c>
      <c r="B51" s="66" t="s">
        <v>2973</v>
      </c>
      <c r="C51" t="s">
        <v>31</v>
      </c>
      <c r="D51">
        <v>1</v>
      </c>
    </row>
    <row r="52" spans="1:4" x14ac:dyDescent="0.25">
      <c r="A52">
        <v>200085</v>
      </c>
      <c r="B52" s="66" t="s">
        <v>2973</v>
      </c>
      <c r="C52" t="s">
        <v>2990</v>
      </c>
      <c r="D52">
        <v>12</v>
      </c>
    </row>
    <row r="53" spans="1:4" x14ac:dyDescent="0.25">
      <c r="A53">
        <v>2006107</v>
      </c>
      <c r="B53" s="66" t="s">
        <v>2973</v>
      </c>
      <c r="C53" t="s">
        <v>500</v>
      </c>
      <c r="D53">
        <v>1</v>
      </c>
    </row>
    <row r="54" spans="1:4" x14ac:dyDescent="0.25">
      <c r="A54">
        <v>2012014</v>
      </c>
      <c r="B54" s="66" t="s">
        <v>2973</v>
      </c>
      <c r="C54" t="s">
        <v>1420</v>
      </c>
      <c r="D54">
        <v>1</v>
      </c>
    </row>
    <row r="55" spans="1:4" x14ac:dyDescent="0.25">
      <c r="A55">
        <v>3015058</v>
      </c>
      <c r="B55" s="66" t="s">
        <v>2973</v>
      </c>
      <c r="C55" t="s">
        <v>2991</v>
      </c>
      <c r="D55">
        <v>4</v>
      </c>
    </row>
    <row r="56" spans="1:4" x14ac:dyDescent="0.25">
      <c r="A56">
        <v>4000996</v>
      </c>
      <c r="B56" s="66" t="s">
        <v>2973</v>
      </c>
      <c r="C56" t="s">
        <v>2992</v>
      </c>
      <c r="D56">
        <v>4</v>
      </c>
    </row>
    <row r="57" spans="1:4" x14ac:dyDescent="0.25">
      <c r="A57">
        <v>4003768</v>
      </c>
      <c r="B57" s="66" t="s">
        <v>2973</v>
      </c>
      <c r="C57" t="s">
        <v>2993</v>
      </c>
      <c r="D57">
        <v>4</v>
      </c>
    </row>
    <row r="58" spans="1:4" x14ac:dyDescent="0.25">
      <c r="A58">
        <v>4006540</v>
      </c>
      <c r="B58" s="66" t="s">
        <v>2973</v>
      </c>
      <c r="C58" t="s">
        <v>2994</v>
      </c>
      <c r="D58">
        <v>3</v>
      </c>
    </row>
    <row r="59" spans="1:4" x14ac:dyDescent="0.25">
      <c r="A59">
        <v>4007054</v>
      </c>
      <c r="B59" s="66" t="s">
        <v>2973</v>
      </c>
      <c r="C59" t="s">
        <v>1423</v>
      </c>
      <c r="D59">
        <v>1</v>
      </c>
    </row>
    <row r="60" spans="1:4" x14ac:dyDescent="0.25">
      <c r="A60">
        <v>5001097</v>
      </c>
      <c r="B60" s="66" t="s">
        <v>2973</v>
      </c>
      <c r="C60" t="s">
        <v>2995</v>
      </c>
      <c r="D60">
        <v>2</v>
      </c>
    </row>
    <row r="61" spans="1:4" x14ac:dyDescent="0.25">
      <c r="A61">
        <v>5001098</v>
      </c>
      <c r="B61" s="66" t="s">
        <v>2973</v>
      </c>
      <c r="C61" t="s">
        <v>2996</v>
      </c>
      <c r="D61">
        <v>3</v>
      </c>
    </row>
    <row r="62" spans="1:4" x14ac:dyDescent="0.25">
      <c r="A62">
        <v>5006152</v>
      </c>
      <c r="B62" s="66" t="s">
        <v>2973</v>
      </c>
      <c r="C62" t="s">
        <v>1419</v>
      </c>
      <c r="D62">
        <v>1</v>
      </c>
    </row>
    <row r="63" spans="1:4" x14ac:dyDescent="0.25">
      <c r="A63">
        <v>7045811</v>
      </c>
      <c r="B63" s="66" t="s">
        <v>2973</v>
      </c>
      <c r="C63" t="s">
        <v>2997</v>
      </c>
      <c r="D63">
        <v>2</v>
      </c>
    </row>
    <row r="64" spans="1:4" x14ac:dyDescent="0.25">
      <c r="A64">
        <v>7071198</v>
      </c>
      <c r="B64" s="66" t="s">
        <v>2973</v>
      </c>
      <c r="C64" t="s">
        <v>2998</v>
      </c>
      <c r="D64">
        <v>2</v>
      </c>
    </row>
    <row r="65" spans="1:4" x14ac:dyDescent="0.25">
      <c r="A65">
        <v>8073645</v>
      </c>
      <c r="B65" s="66" t="s">
        <v>2973</v>
      </c>
      <c r="C65" t="s">
        <v>1419</v>
      </c>
      <c r="D65">
        <v>1</v>
      </c>
    </row>
    <row r="66" spans="1:4" x14ac:dyDescent="0.25">
      <c r="A66">
        <v>8089666</v>
      </c>
      <c r="B66" s="66" t="s">
        <v>2973</v>
      </c>
      <c r="C66" t="s">
        <v>2999</v>
      </c>
      <c r="D66">
        <v>5</v>
      </c>
    </row>
    <row r="67" spans="1:4" x14ac:dyDescent="0.25">
      <c r="A67">
        <v>9003267</v>
      </c>
      <c r="B67" s="66" t="s">
        <v>2973</v>
      </c>
      <c r="C67" t="s">
        <v>3000</v>
      </c>
      <c r="D67">
        <v>2</v>
      </c>
    </row>
    <row r="68" spans="1:4" x14ac:dyDescent="0.25">
      <c r="A68">
        <v>9036964</v>
      </c>
      <c r="B68" s="66" t="s">
        <v>2973</v>
      </c>
      <c r="C68" t="s">
        <v>3001</v>
      </c>
      <c r="D68">
        <v>4</v>
      </c>
    </row>
    <row r="69" spans="1:4" x14ac:dyDescent="0.25">
      <c r="A69">
        <v>9090287</v>
      </c>
      <c r="B69" s="66" t="s">
        <v>2973</v>
      </c>
      <c r="C69" t="s">
        <v>28</v>
      </c>
      <c r="D69">
        <v>1</v>
      </c>
    </row>
    <row r="70" spans="1:4" x14ac:dyDescent="0.25">
      <c r="A70">
        <v>9095148</v>
      </c>
      <c r="B70" s="66" t="s">
        <v>2973</v>
      </c>
      <c r="C70" t="s">
        <v>1419</v>
      </c>
      <c r="D70">
        <v>1</v>
      </c>
    </row>
  </sheetData>
  <phoneticPr fontId="6" type="noConversion"/>
  <pageMargins left="0.7" right="0.7" top="0.78740157499999996" bottom="0.78740157499999996" header="0.3" footer="0.3"/>
  <tableParts count="1">
    <tablePart r:id="rId1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239"/>
  <sheetViews>
    <sheetView workbookViewId="0">
      <selection activeCell="B32" sqref="B32"/>
    </sheetView>
  </sheetViews>
  <sheetFormatPr defaultColWidth="11.42578125" defaultRowHeight="15" x14ac:dyDescent="0.25"/>
  <cols>
    <col min="1" max="1" width="17.140625" customWidth="1"/>
    <col min="2" max="2" width="45" customWidth="1"/>
    <col min="3" max="6" width="41.5703125" customWidth="1"/>
    <col min="7" max="9" width="44" customWidth="1"/>
    <col min="10" max="10" width="35" customWidth="1"/>
    <col min="11" max="11" width="21.28515625" customWidth="1"/>
    <col min="12" max="14" width="17.85546875" customWidth="1"/>
    <col min="15" max="15" width="21.7109375" customWidth="1"/>
    <col min="16" max="16" width="17.85546875" customWidth="1"/>
    <col min="17" max="18" width="20.42578125" customWidth="1"/>
    <col min="19" max="19" width="24.28515625" customWidth="1"/>
    <col min="20" max="22" width="20.42578125" customWidth="1"/>
    <col min="23" max="23" width="24.28515625" customWidth="1"/>
    <col min="24" max="26" width="23.140625" customWidth="1"/>
    <col min="27" max="27" width="27" customWidth="1"/>
    <col min="28" max="28" width="23.140625" customWidth="1"/>
    <col min="29" max="29" width="27" customWidth="1"/>
    <col min="30" max="30" width="23.140625" customWidth="1"/>
  </cols>
  <sheetData>
    <row r="1" spans="1:30" ht="75" x14ac:dyDescent="0.25">
      <c r="A1" s="61" t="s">
        <v>59</v>
      </c>
      <c r="B1" s="62" t="s">
        <v>1430</v>
      </c>
      <c r="C1" s="62" t="s">
        <v>1039</v>
      </c>
      <c r="D1" s="62" t="s">
        <v>1092</v>
      </c>
      <c r="E1" s="62" t="s">
        <v>1972</v>
      </c>
      <c r="F1" s="62" t="s">
        <v>1837</v>
      </c>
      <c r="G1" s="62" t="s">
        <v>1943</v>
      </c>
      <c r="H1" s="62" t="s">
        <v>1944</v>
      </c>
      <c r="I1" s="62" t="s">
        <v>1431</v>
      </c>
      <c r="J1" s="62" t="s">
        <v>1432</v>
      </c>
      <c r="K1" s="63" t="s">
        <v>32</v>
      </c>
      <c r="L1" s="62" t="s">
        <v>33</v>
      </c>
      <c r="M1" s="62" t="s">
        <v>54</v>
      </c>
      <c r="N1" s="62" t="s">
        <v>85</v>
      </c>
      <c r="O1" s="62" t="s">
        <v>1433</v>
      </c>
      <c r="P1" s="62" t="s">
        <v>84</v>
      </c>
      <c r="Q1" s="62" t="s">
        <v>1288</v>
      </c>
      <c r="R1" s="62" t="s">
        <v>1093</v>
      </c>
      <c r="S1" s="62" t="s">
        <v>1434</v>
      </c>
      <c r="T1" s="62" t="s">
        <v>114</v>
      </c>
      <c r="U1" s="62" t="s">
        <v>1040</v>
      </c>
      <c r="V1" s="62" t="s">
        <v>66</v>
      </c>
      <c r="W1" s="62" t="s">
        <v>1435</v>
      </c>
      <c r="X1" s="62" t="s">
        <v>1220</v>
      </c>
      <c r="Y1" s="62" t="s">
        <v>1312</v>
      </c>
      <c r="Z1" s="62" t="s">
        <v>1041</v>
      </c>
      <c r="AA1" s="62" t="s">
        <v>1436</v>
      </c>
      <c r="AB1" s="62" t="s">
        <v>1221</v>
      </c>
      <c r="AC1" s="62" t="s">
        <v>1437</v>
      </c>
      <c r="AD1" s="62" t="s">
        <v>1167</v>
      </c>
    </row>
    <row r="2" spans="1:30" x14ac:dyDescent="0.25">
      <c r="A2" s="40" t="s">
        <v>561</v>
      </c>
    </row>
    <row r="3" spans="1:30" x14ac:dyDescent="0.25">
      <c r="A3" s="10" t="s">
        <v>2519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</row>
    <row r="4" spans="1:30" x14ac:dyDescent="0.25">
      <c r="A4" s="50">
        <v>7072184</v>
      </c>
      <c r="B4" s="6"/>
      <c r="J4">
        <v>11</v>
      </c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</row>
    <row r="5" spans="1:30" x14ac:dyDescent="0.25">
      <c r="A5" s="50">
        <v>9108231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</row>
    <row r="6" spans="1:30" x14ac:dyDescent="0.25">
      <c r="A6" s="50">
        <v>12061933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</row>
    <row r="7" spans="1:30" x14ac:dyDescent="0.25">
      <c r="A7" s="50">
        <v>95005911</v>
      </c>
      <c r="O7">
        <v>16</v>
      </c>
    </row>
    <row r="8" spans="1:30" x14ac:dyDescent="0.25">
      <c r="A8" s="50">
        <v>99001908</v>
      </c>
    </row>
    <row r="9" spans="1:30" x14ac:dyDescent="0.25">
      <c r="A9" s="50">
        <v>99004067</v>
      </c>
      <c r="J9">
        <v>21.5</v>
      </c>
    </row>
    <row r="10" spans="1:30" x14ac:dyDescent="0.25">
      <c r="A10" s="50">
        <v>97002136</v>
      </c>
    </row>
    <row r="11" spans="1:30" x14ac:dyDescent="0.25">
      <c r="A11" s="50">
        <v>1502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>
        <v>12.6</v>
      </c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</row>
    <row r="12" spans="1:30" x14ac:dyDescent="0.25">
      <c r="A12" s="50">
        <v>4003543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</row>
    <row r="13" spans="1:30" x14ac:dyDescent="0.25">
      <c r="A13" s="50">
        <v>4900261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</row>
    <row r="14" spans="1:30" x14ac:dyDescent="0.25">
      <c r="A14" s="50"/>
    </row>
    <row r="15" spans="1:30" x14ac:dyDescent="0.25">
      <c r="A15" s="52" t="s">
        <v>2520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</row>
    <row r="16" spans="1:30" x14ac:dyDescent="0.25">
      <c r="A16" s="50">
        <v>14242856</v>
      </c>
      <c r="B16" s="6"/>
      <c r="J16">
        <v>25</v>
      </c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</row>
    <row r="17" spans="1:30" x14ac:dyDescent="0.25">
      <c r="A17" s="50">
        <v>99001183</v>
      </c>
      <c r="B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</row>
    <row r="18" spans="1:30" x14ac:dyDescent="0.25">
      <c r="A18" s="50">
        <v>3000983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</row>
    <row r="19" spans="1:30" x14ac:dyDescent="0.25">
      <c r="A19" s="50">
        <v>10064335</v>
      </c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>
        <v>7</v>
      </c>
      <c r="T19" s="6"/>
      <c r="U19" s="6"/>
      <c r="V19" s="6">
        <v>7</v>
      </c>
      <c r="W19" s="6"/>
      <c r="X19" s="6"/>
      <c r="Y19" s="6"/>
      <c r="Z19" s="6"/>
      <c r="AA19" s="6"/>
      <c r="AB19" s="6"/>
      <c r="AC19" s="6"/>
      <c r="AD19" s="6"/>
    </row>
    <row r="20" spans="1:30" x14ac:dyDescent="0.25">
      <c r="A20" s="51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</row>
    <row r="21" spans="1:30" x14ac:dyDescent="0.25">
      <c r="A21" s="52" t="s">
        <v>2521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</row>
    <row r="22" spans="1:30" x14ac:dyDescent="0.25">
      <c r="A22" s="50">
        <v>1480</v>
      </c>
    </row>
    <row r="23" spans="1:30" x14ac:dyDescent="0.25">
      <c r="A23" s="50">
        <v>7063959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</row>
    <row r="24" spans="1:30" x14ac:dyDescent="0.25">
      <c r="A24" s="50">
        <v>1003215</v>
      </c>
      <c r="B24" s="6"/>
      <c r="C24" s="6"/>
      <c r="D24" s="6"/>
      <c r="E24" s="6"/>
      <c r="F24" s="6"/>
      <c r="G24" s="6"/>
      <c r="H24" s="6"/>
      <c r="I24" s="6"/>
      <c r="J24" s="6">
        <v>30</v>
      </c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</row>
    <row r="25" spans="1:30" x14ac:dyDescent="0.25">
      <c r="A25" s="50">
        <v>99000802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</row>
    <row r="26" spans="1:30" x14ac:dyDescent="0.25">
      <c r="A26" s="50">
        <v>99000892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</row>
    <row r="27" spans="1:30" x14ac:dyDescent="0.25">
      <c r="A27" s="50">
        <v>1000192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27">
        <v>55</v>
      </c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</row>
    <row r="28" spans="1:30" x14ac:dyDescent="0.25">
      <c r="A28" s="50">
        <v>1506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>
        <v>6.8</v>
      </c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</row>
    <row r="29" spans="1:30" x14ac:dyDescent="0.25">
      <c r="A29" s="50">
        <v>99000894</v>
      </c>
      <c r="B29" s="6"/>
      <c r="C29" s="6"/>
      <c r="D29" s="6"/>
      <c r="E29" s="6"/>
      <c r="F29" s="6"/>
      <c r="G29" s="6"/>
      <c r="H29" s="6"/>
      <c r="I29" s="6"/>
      <c r="J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</row>
    <row r="30" spans="1:30" x14ac:dyDescent="0.25">
      <c r="A30" s="50">
        <v>99000897</v>
      </c>
      <c r="L30">
        <v>9</v>
      </c>
    </row>
    <row r="31" spans="1:30" x14ac:dyDescent="0.25">
      <c r="A31" s="50">
        <v>99001245</v>
      </c>
      <c r="M31">
        <v>24.7</v>
      </c>
    </row>
    <row r="32" spans="1:30" x14ac:dyDescent="0.25">
      <c r="A32" s="50">
        <v>99001902</v>
      </c>
      <c r="M32">
        <v>29</v>
      </c>
    </row>
    <row r="33" spans="1:30" x14ac:dyDescent="0.25">
      <c r="A33" s="50">
        <v>99001912</v>
      </c>
      <c r="M33">
        <v>15</v>
      </c>
    </row>
    <row r="34" spans="1:30" x14ac:dyDescent="0.25">
      <c r="A34" s="50">
        <v>99001913</v>
      </c>
      <c r="M34">
        <v>9</v>
      </c>
    </row>
    <row r="35" spans="1:30" x14ac:dyDescent="0.25">
      <c r="A35" s="50">
        <v>99001937</v>
      </c>
    </row>
    <row r="36" spans="1:30" x14ac:dyDescent="0.25">
      <c r="A36" s="50">
        <v>99001943</v>
      </c>
      <c r="I36">
        <v>9</v>
      </c>
      <c r="M36">
        <v>9</v>
      </c>
    </row>
    <row r="37" spans="1:30" x14ac:dyDescent="0.25">
      <c r="A37" s="50">
        <v>99001927</v>
      </c>
    </row>
    <row r="38" spans="1:30" x14ac:dyDescent="0.25">
      <c r="A38" s="50">
        <v>1505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>
        <v>9.9</v>
      </c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</row>
    <row r="39" spans="1:30" x14ac:dyDescent="0.25">
      <c r="A39" s="50">
        <v>1000197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O39" s="27">
        <v>50</v>
      </c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</row>
    <row r="40" spans="1:30" x14ac:dyDescent="0.25">
      <c r="A40" s="50">
        <v>96018835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P40">
        <v>5</v>
      </c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</row>
    <row r="41" spans="1:30" x14ac:dyDescent="0.25">
      <c r="A41" s="50">
        <v>98008326</v>
      </c>
      <c r="B41" s="6"/>
      <c r="C41" s="6"/>
      <c r="D41" s="6"/>
      <c r="E41" s="6"/>
      <c r="F41" s="6"/>
      <c r="G41" s="6"/>
      <c r="H41" s="6"/>
      <c r="I41" s="6"/>
      <c r="J41" s="6"/>
      <c r="K41">
        <v>10</v>
      </c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</row>
    <row r="42" spans="1:30" x14ac:dyDescent="0.25">
      <c r="A42" s="50">
        <v>99000717</v>
      </c>
      <c r="B42" s="6"/>
      <c r="C42" s="6"/>
      <c r="D42" s="6"/>
      <c r="E42" s="6"/>
      <c r="F42" s="6"/>
      <c r="G42" s="6"/>
      <c r="H42" s="6"/>
      <c r="I42" s="6"/>
      <c r="J42" s="6"/>
      <c r="L42" s="6"/>
      <c r="M42" s="6"/>
      <c r="N42" s="6"/>
      <c r="O42" s="6"/>
      <c r="P42" s="6"/>
      <c r="Q42" s="6"/>
      <c r="R42" s="6"/>
      <c r="S42" s="6"/>
      <c r="T42">
        <v>11</v>
      </c>
      <c r="V42" s="6"/>
      <c r="W42" s="6"/>
      <c r="X42" s="6"/>
      <c r="Y42" s="6"/>
      <c r="Z42" s="6"/>
      <c r="AA42" s="6"/>
      <c r="AB42" s="6"/>
      <c r="AC42" s="6"/>
      <c r="AD42" s="6"/>
    </row>
    <row r="43" spans="1:30" x14ac:dyDescent="0.25">
      <c r="A43" s="50"/>
      <c r="B43" s="6"/>
      <c r="C43" s="6"/>
      <c r="D43" s="6"/>
      <c r="E43" s="6"/>
      <c r="F43" s="6"/>
      <c r="G43" s="6"/>
      <c r="H43" s="6"/>
      <c r="I43" s="6"/>
      <c r="J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</row>
    <row r="44" spans="1:30" x14ac:dyDescent="0.25">
      <c r="A44" s="25" t="s">
        <v>169</v>
      </c>
    </row>
    <row r="45" spans="1:30" x14ac:dyDescent="0.25">
      <c r="A45" s="52" t="s">
        <v>143</v>
      </c>
    </row>
    <row r="46" spans="1:30" x14ac:dyDescent="0.25">
      <c r="A46" s="50">
        <v>6016435</v>
      </c>
    </row>
    <row r="47" spans="1:30" x14ac:dyDescent="0.25">
      <c r="A47" s="50">
        <v>8045149</v>
      </c>
    </row>
    <row r="48" spans="1:30" x14ac:dyDescent="0.25">
      <c r="A48" s="50">
        <v>10023001</v>
      </c>
      <c r="J48">
        <v>30</v>
      </c>
    </row>
    <row r="49" spans="1:13" x14ac:dyDescent="0.25">
      <c r="A49" s="50">
        <v>10027526</v>
      </c>
    </row>
    <row r="50" spans="1:13" x14ac:dyDescent="0.25">
      <c r="A50" s="50">
        <v>14222171</v>
      </c>
      <c r="J50" s="27">
        <v>10</v>
      </c>
    </row>
    <row r="51" spans="1:13" x14ac:dyDescent="0.25">
      <c r="A51" s="50">
        <v>1006143</v>
      </c>
    </row>
    <row r="52" spans="1:13" x14ac:dyDescent="0.25">
      <c r="A52" s="50">
        <v>6006917</v>
      </c>
    </row>
    <row r="53" spans="1:13" x14ac:dyDescent="0.25">
      <c r="A53" s="50"/>
      <c r="J53" s="27"/>
    </row>
    <row r="54" spans="1:13" x14ac:dyDescent="0.25">
      <c r="A54" s="52" t="s">
        <v>146</v>
      </c>
    </row>
    <row r="55" spans="1:13" x14ac:dyDescent="0.25">
      <c r="A55" s="50">
        <v>8057159</v>
      </c>
    </row>
    <row r="56" spans="1:13" x14ac:dyDescent="0.25">
      <c r="A56" s="50">
        <v>9140312</v>
      </c>
      <c r="M56">
        <v>12.2</v>
      </c>
    </row>
    <row r="57" spans="1:13" x14ac:dyDescent="0.25">
      <c r="A57" s="50">
        <v>12008230</v>
      </c>
    </row>
    <row r="58" spans="1:13" x14ac:dyDescent="0.25">
      <c r="A58" s="50">
        <v>12088444</v>
      </c>
    </row>
    <row r="59" spans="1:13" x14ac:dyDescent="0.25">
      <c r="A59" s="50">
        <v>13118872</v>
      </c>
    </row>
    <row r="60" spans="1:13" x14ac:dyDescent="0.25">
      <c r="A60" s="50">
        <v>12012030</v>
      </c>
    </row>
    <row r="61" spans="1:13" x14ac:dyDescent="0.25">
      <c r="A61" s="50"/>
    </row>
    <row r="62" spans="1:13" x14ac:dyDescent="0.25">
      <c r="A62" s="52" t="s">
        <v>120</v>
      </c>
    </row>
    <row r="63" spans="1:13" x14ac:dyDescent="0.25">
      <c r="A63" s="50">
        <v>9074418</v>
      </c>
    </row>
    <row r="64" spans="1:13" x14ac:dyDescent="0.25">
      <c r="A64" s="50">
        <v>1263</v>
      </c>
    </row>
    <row r="65" spans="1:30" x14ac:dyDescent="0.25">
      <c r="A65" s="50">
        <v>98004910</v>
      </c>
    </row>
    <row r="66" spans="1:30" x14ac:dyDescent="0.25">
      <c r="A66" s="50">
        <v>7103068</v>
      </c>
      <c r="V66">
        <v>11</v>
      </c>
    </row>
    <row r="67" spans="1:30" x14ac:dyDescent="0.25">
      <c r="A67" s="50">
        <v>11240728</v>
      </c>
    </row>
    <row r="68" spans="1:30" x14ac:dyDescent="0.25">
      <c r="B68" s="6"/>
      <c r="C68" s="6"/>
      <c r="D68" s="6"/>
      <c r="E68" s="6"/>
      <c r="F68" s="6"/>
      <c r="G68" s="6"/>
      <c r="H68" s="6"/>
      <c r="I68" s="6"/>
      <c r="J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</row>
    <row r="69" spans="1:30" x14ac:dyDescent="0.25">
      <c r="A69" s="26" t="s">
        <v>170</v>
      </c>
    </row>
    <row r="70" spans="1:30" x14ac:dyDescent="0.25">
      <c r="A70" s="10" t="s">
        <v>143</v>
      </c>
    </row>
    <row r="71" spans="1:30" x14ac:dyDescent="0.25">
      <c r="A71" s="50">
        <v>5015869</v>
      </c>
    </row>
    <row r="72" spans="1:30" x14ac:dyDescent="0.25">
      <c r="A72" s="50">
        <v>5016969</v>
      </c>
    </row>
    <row r="73" spans="1:30" x14ac:dyDescent="0.25">
      <c r="A73" s="50">
        <v>6023231</v>
      </c>
    </row>
    <row r="74" spans="1:30" x14ac:dyDescent="0.25">
      <c r="A74" s="50">
        <v>6010712</v>
      </c>
    </row>
    <row r="75" spans="1:30" x14ac:dyDescent="0.25">
      <c r="A75" s="50">
        <v>6011198</v>
      </c>
    </row>
    <row r="76" spans="1:30" x14ac:dyDescent="0.25">
      <c r="A76" s="50">
        <v>6012681</v>
      </c>
    </row>
    <row r="77" spans="1:30" x14ac:dyDescent="0.25">
      <c r="A77" s="50">
        <v>6014511</v>
      </c>
    </row>
    <row r="78" spans="1:30" x14ac:dyDescent="0.25">
      <c r="A78" s="50">
        <v>6045127</v>
      </c>
    </row>
    <row r="79" spans="1:30" x14ac:dyDescent="0.25">
      <c r="A79" s="50">
        <v>7000458</v>
      </c>
    </row>
    <row r="80" spans="1:30" x14ac:dyDescent="0.25">
      <c r="A80" s="50">
        <v>7015502</v>
      </c>
    </row>
    <row r="81" spans="1:1" x14ac:dyDescent="0.25">
      <c r="A81" s="50">
        <v>7025847</v>
      </c>
    </row>
    <row r="82" spans="1:1" x14ac:dyDescent="0.25">
      <c r="A82" s="50">
        <v>7082707</v>
      </c>
    </row>
    <row r="83" spans="1:1" x14ac:dyDescent="0.25">
      <c r="A83" s="50">
        <v>7083159</v>
      </c>
    </row>
    <row r="84" spans="1:1" x14ac:dyDescent="0.25">
      <c r="A84" s="50">
        <v>7084659</v>
      </c>
    </row>
    <row r="85" spans="1:1" x14ac:dyDescent="0.25">
      <c r="A85" s="50">
        <v>7076814</v>
      </c>
    </row>
    <row r="86" spans="1:1" x14ac:dyDescent="0.25">
      <c r="A86" s="50">
        <v>7076815</v>
      </c>
    </row>
    <row r="87" spans="1:1" x14ac:dyDescent="0.25">
      <c r="A87" s="50">
        <v>7089231</v>
      </c>
    </row>
    <row r="88" spans="1:1" x14ac:dyDescent="0.25">
      <c r="A88" s="50">
        <v>7116004</v>
      </c>
    </row>
    <row r="89" spans="1:1" x14ac:dyDescent="0.25">
      <c r="A89" s="50">
        <v>8003819</v>
      </c>
    </row>
    <row r="90" spans="1:1" x14ac:dyDescent="0.25">
      <c r="A90" s="50">
        <v>8091779</v>
      </c>
    </row>
    <row r="91" spans="1:1" x14ac:dyDescent="0.25">
      <c r="A91" s="50">
        <v>8097989</v>
      </c>
    </row>
    <row r="92" spans="1:1" x14ac:dyDescent="0.25">
      <c r="A92" s="50">
        <v>8112522</v>
      </c>
    </row>
    <row r="93" spans="1:1" x14ac:dyDescent="0.25">
      <c r="A93" s="50">
        <v>8127397</v>
      </c>
    </row>
    <row r="94" spans="1:1" x14ac:dyDescent="0.25">
      <c r="A94" s="50">
        <v>8130998</v>
      </c>
    </row>
    <row r="95" spans="1:1" x14ac:dyDescent="0.25">
      <c r="A95" s="50">
        <v>9002836</v>
      </c>
    </row>
    <row r="96" spans="1:1" x14ac:dyDescent="0.25">
      <c r="A96" s="50">
        <v>9003331</v>
      </c>
    </row>
    <row r="97" spans="1:1" x14ac:dyDescent="0.25">
      <c r="A97" s="50">
        <v>9003370</v>
      </c>
    </row>
    <row r="98" spans="1:1" x14ac:dyDescent="0.25">
      <c r="A98" s="50">
        <v>9016278</v>
      </c>
    </row>
    <row r="99" spans="1:1" x14ac:dyDescent="0.25">
      <c r="A99" s="50">
        <v>9030684</v>
      </c>
    </row>
    <row r="100" spans="1:1" x14ac:dyDescent="0.25">
      <c r="A100" s="50">
        <v>9031387</v>
      </c>
    </row>
    <row r="101" spans="1:1" x14ac:dyDescent="0.25">
      <c r="A101" s="50">
        <v>9038676</v>
      </c>
    </row>
    <row r="102" spans="1:1" x14ac:dyDescent="0.25">
      <c r="A102" s="50">
        <v>9039416</v>
      </c>
    </row>
    <row r="103" spans="1:1" x14ac:dyDescent="0.25">
      <c r="A103" s="50">
        <v>9042861</v>
      </c>
    </row>
    <row r="104" spans="1:1" x14ac:dyDescent="0.25">
      <c r="A104" s="50">
        <v>9044899</v>
      </c>
    </row>
    <row r="105" spans="1:1" x14ac:dyDescent="0.25">
      <c r="A105" s="50">
        <v>9052398</v>
      </c>
    </row>
    <row r="106" spans="1:1" x14ac:dyDescent="0.25">
      <c r="A106" s="50">
        <v>9085204</v>
      </c>
    </row>
    <row r="107" spans="1:1" x14ac:dyDescent="0.25">
      <c r="A107" s="50">
        <v>9090323</v>
      </c>
    </row>
    <row r="108" spans="1:1" x14ac:dyDescent="0.25">
      <c r="A108" s="50">
        <v>9105492</v>
      </c>
    </row>
    <row r="109" spans="1:1" x14ac:dyDescent="0.25">
      <c r="A109" s="50">
        <v>9138470</v>
      </c>
    </row>
    <row r="110" spans="1:1" x14ac:dyDescent="0.25">
      <c r="A110" s="50">
        <v>9150676</v>
      </c>
    </row>
    <row r="111" spans="1:1" x14ac:dyDescent="0.25">
      <c r="A111" s="50">
        <v>10010926</v>
      </c>
    </row>
    <row r="112" spans="1:1" x14ac:dyDescent="0.25">
      <c r="A112" s="50">
        <v>10016588</v>
      </c>
    </row>
    <row r="113" spans="1:27" x14ac:dyDescent="0.25">
      <c r="A113" s="50">
        <v>10030897</v>
      </c>
      <c r="C113">
        <v>43.8</v>
      </c>
      <c r="K113">
        <v>11.4</v>
      </c>
      <c r="P113">
        <v>31.6</v>
      </c>
      <c r="U113">
        <v>45.2</v>
      </c>
      <c r="W113">
        <v>47.1</v>
      </c>
      <c r="Z113">
        <v>41.7</v>
      </c>
    </row>
    <row r="114" spans="1:27" x14ac:dyDescent="0.25">
      <c r="A114" s="50">
        <v>324</v>
      </c>
      <c r="K114">
        <v>19.3</v>
      </c>
    </row>
    <row r="115" spans="1:27" x14ac:dyDescent="0.25">
      <c r="A115" s="50">
        <v>3909</v>
      </c>
      <c r="AA115">
        <v>4.3</v>
      </c>
    </row>
    <row r="116" spans="1:27" x14ac:dyDescent="0.25">
      <c r="A116" s="50">
        <v>4663</v>
      </c>
    </row>
    <row r="117" spans="1:27" x14ac:dyDescent="0.25">
      <c r="A117" s="50">
        <v>1005522</v>
      </c>
      <c r="B117">
        <v>16.399999999999999</v>
      </c>
      <c r="D117">
        <v>12.8</v>
      </c>
      <c r="K117">
        <v>19</v>
      </c>
      <c r="R117">
        <v>18</v>
      </c>
      <c r="V117">
        <v>13</v>
      </c>
    </row>
    <row r="118" spans="1:27" x14ac:dyDescent="0.25">
      <c r="A118" s="50">
        <v>1007631</v>
      </c>
    </row>
    <row r="119" spans="1:27" x14ac:dyDescent="0.25">
      <c r="A119" s="50">
        <v>1009760</v>
      </c>
    </row>
    <row r="120" spans="1:27" x14ac:dyDescent="0.25">
      <c r="A120" s="50">
        <v>2000646</v>
      </c>
    </row>
    <row r="121" spans="1:27" x14ac:dyDescent="0.25">
      <c r="A121" s="50">
        <v>2003761</v>
      </c>
    </row>
    <row r="122" spans="1:27" x14ac:dyDescent="0.25">
      <c r="A122" s="50">
        <v>2004061</v>
      </c>
    </row>
    <row r="123" spans="1:27" x14ac:dyDescent="0.25">
      <c r="A123" s="50">
        <v>2006469</v>
      </c>
    </row>
    <row r="124" spans="1:27" x14ac:dyDescent="0.25">
      <c r="A124" s="50">
        <v>3005132</v>
      </c>
    </row>
    <row r="125" spans="1:27" x14ac:dyDescent="0.25">
      <c r="A125" s="50">
        <v>3009119</v>
      </c>
    </row>
    <row r="126" spans="1:27" x14ac:dyDescent="0.25">
      <c r="A126" s="50">
        <v>3009936</v>
      </c>
    </row>
    <row r="127" spans="1:27" x14ac:dyDescent="0.25">
      <c r="A127" s="50">
        <v>3011094</v>
      </c>
    </row>
    <row r="128" spans="1:27" x14ac:dyDescent="0.25">
      <c r="A128" s="50">
        <v>3014643</v>
      </c>
    </row>
    <row r="129" spans="1:30" x14ac:dyDescent="0.25">
      <c r="A129" s="50">
        <v>3016056</v>
      </c>
      <c r="K129">
        <v>39.799999999999997</v>
      </c>
      <c r="AD129">
        <v>39.9</v>
      </c>
    </row>
    <row r="130" spans="1:30" x14ac:dyDescent="0.25">
      <c r="A130" s="50">
        <v>3900219</v>
      </c>
    </row>
    <row r="131" spans="1:30" x14ac:dyDescent="0.25">
      <c r="A131" s="50">
        <v>4000158</v>
      </c>
    </row>
    <row r="132" spans="1:30" x14ac:dyDescent="0.25">
      <c r="A132" s="50">
        <v>4000304</v>
      </c>
    </row>
    <row r="133" spans="1:30" x14ac:dyDescent="0.25">
      <c r="A133" s="50">
        <v>4001905</v>
      </c>
    </row>
    <row r="134" spans="1:30" x14ac:dyDescent="0.25">
      <c r="A134" s="50">
        <v>4002206</v>
      </c>
    </row>
    <row r="135" spans="1:30" x14ac:dyDescent="0.25">
      <c r="A135" s="50">
        <v>4002715</v>
      </c>
    </row>
    <row r="136" spans="1:30" x14ac:dyDescent="0.25">
      <c r="A136" s="50">
        <v>4003924</v>
      </c>
    </row>
    <row r="137" spans="1:30" x14ac:dyDescent="0.25">
      <c r="A137" s="50">
        <v>4006051</v>
      </c>
    </row>
    <row r="138" spans="1:30" x14ac:dyDescent="0.25">
      <c r="A138" s="50">
        <v>4008140</v>
      </c>
    </row>
    <row r="139" spans="1:30" x14ac:dyDescent="0.25">
      <c r="A139" s="50">
        <v>4009906</v>
      </c>
      <c r="L139">
        <v>34.5</v>
      </c>
      <c r="X139">
        <v>21</v>
      </c>
      <c r="AB139">
        <v>37.9</v>
      </c>
      <c r="AC139">
        <v>31.4</v>
      </c>
    </row>
    <row r="140" spans="1:30" x14ac:dyDescent="0.25">
      <c r="A140" s="50">
        <v>4011027</v>
      </c>
    </row>
    <row r="141" spans="1:30" x14ac:dyDescent="0.25">
      <c r="A141" s="50">
        <v>4011920</v>
      </c>
    </row>
    <row r="142" spans="1:30" x14ac:dyDescent="0.25">
      <c r="A142" s="50">
        <v>4012248</v>
      </c>
    </row>
    <row r="143" spans="1:30" x14ac:dyDescent="0.25">
      <c r="A143" s="50">
        <v>4013603</v>
      </c>
    </row>
    <row r="144" spans="1:30" x14ac:dyDescent="0.25">
      <c r="A144" s="50">
        <v>5004654</v>
      </c>
      <c r="L144">
        <v>22.8</v>
      </c>
    </row>
    <row r="145" spans="1:25" x14ac:dyDescent="0.25">
      <c r="A145" s="54"/>
    </row>
    <row r="146" spans="1:25" x14ac:dyDescent="0.25">
      <c r="A146" s="52" t="s">
        <v>146</v>
      </c>
    </row>
    <row r="147" spans="1:25" x14ac:dyDescent="0.25">
      <c r="A147" s="50">
        <v>4289</v>
      </c>
    </row>
    <row r="148" spans="1:25" x14ac:dyDescent="0.25">
      <c r="A148" s="50">
        <v>500245</v>
      </c>
    </row>
    <row r="149" spans="1:25" x14ac:dyDescent="0.25">
      <c r="A149" s="50">
        <v>2002573</v>
      </c>
    </row>
    <row r="150" spans="1:25" x14ac:dyDescent="0.25">
      <c r="A150" s="50">
        <v>2003539</v>
      </c>
      <c r="Q150">
        <v>71</v>
      </c>
    </row>
    <row r="151" spans="1:25" x14ac:dyDescent="0.25">
      <c r="A151" s="50">
        <v>2003649</v>
      </c>
    </row>
    <row r="152" spans="1:25" x14ac:dyDescent="0.25">
      <c r="A152" s="50">
        <v>2005572</v>
      </c>
    </row>
    <row r="153" spans="1:25" x14ac:dyDescent="0.25">
      <c r="A153" s="50">
        <v>2013117</v>
      </c>
    </row>
    <row r="154" spans="1:25" x14ac:dyDescent="0.25">
      <c r="A154" s="50">
        <v>3009633</v>
      </c>
    </row>
    <row r="155" spans="1:25" x14ac:dyDescent="0.25">
      <c r="A155" s="50">
        <v>3010583</v>
      </c>
      <c r="Y155">
        <v>24</v>
      </c>
    </row>
    <row r="156" spans="1:25" x14ac:dyDescent="0.25">
      <c r="A156" s="23">
        <v>3011892</v>
      </c>
    </row>
    <row r="157" spans="1:25" x14ac:dyDescent="0.25">
      <c r="A157">
        <v>4001382</v>
      </c>
    </row>
    <row r="158" spans="1:25" x14ac:dyDescent="0.25">
      <c r="A158" s="50">
        <v>5018675</v>
      </c>
    </row>
    <row r="159" spans="1:25" x14ac:dyDescent="0.25">
      <c r="A159" s="50">
        <v>6050168</v>
      </c>
    </row>
    <row r="160" spans="1:25" x14ac:dyDescent="0.25">
      <c r="A160" s="50">
        <v>5006592</v>
      </c>
    </row>
    <row r="161" spans="1:11" x14ac:dyDescent="0.25">
      <c r="A161" s="50">
        <v>5007274</v>
      </c>
    </row>
    <row r="162" spans="1:11" x14ac:dyDescent="0.25">
      <c r="A162" s="50">
        <v>5015851</v>
      </c>
    </row>
    <row r="163" spans="1:11" x14ac:dyDescent="0.25">
      <c r="A163" s="50">
        <v>6015647</v>
      </c>
      <c r="K163">
        <v>23</v>
      </c>
    </row>
    <row r="164" spans="1:11" x14ac:dyDescent="0.25">
      <c r="A164" s="50">
        <v>6056633</v>
      </c>
    </row>
    <row r="165" spans="1:11" x14ac:dyDescent="0.25">
      <c r="A165" s="50">
        <v>7086224</v>
      </c>
    </row>
    <row r="166" spans="1:11" x14ac:dyDescent="0.25">
      <c r="A166" s="50">
        <v>8040959</v>
      </c>
    </row>
    <row r="167" spans="1:11" x14ac:dyDescent="0.25">
      <c r="A167" s="50">
        <v>8107048</v>
      </c>
    </row>
    <row r="168" spans="1:11" x14ac:dyDescent="0.25">
      <c r="A168" s="50">
        <v>8124044</v>
      </c>
    </row>
    <row r="169" spans="1:11" x14ac:dyDescent="0.25">
      <c r="A169" s="50">
        <v>8142949</v>
      </c>
    </row>
    <row r="170" spans="1:11" x14ac:dyDescent="0.25">
      <c r="A170" s="50">
        <v>9023306</v>
      </c>
    </row>
    <row r="171" spans="1:11" x14ac:dyDescent="0.25">
      <c r="A171" s="50">
        <v>9030615</v>
      </c>
    </row>
    <row r="172" spans="1:11" x14ac:dyDescent="0.25">
      <c r="A172" s="50">
        <v>9034464</v>
      </c>
    </row>
    <row r="173" spans="1:11" x14ac:dyDescent="0.25">
      <c r="A173" s="50">
        <v>9040167</v>
      </c>
    </row>
    <row r="174" spans="1:11" x14ac:dyDescent="0.25">
      <c r="A174" s="50">
        <v>9054567</v>
      </c>
    </row>
    <row r="175" spans="1:11" x14ac:dyDescent="0.25">
      <c r="A175" s="50">
        <v>9083682</v>
      </c>
    </row>
    <row r="176" spans="1:11" x14ac:dyDescent="0.25">
      <c r="A176" s="50">
        <v>9102044</v>
      </c>
    </row>
    <row r="177" spans="1:14" x14ac:dyDescent="0.25">
      <c r="A177" s="50">
        <v>9119854</v>
      </c>
    </row>
    <row r="178" spans="1:14" x14ac:dyDescent="0.25">
      <c r="A178" s="50">
        <v>9125126</v>
      </c>
    </row>
    <row r="179" spans="1:14" x14ac:dyDescent="0.25">
      <c r="A179" s="50">
        <v>9174811</v>
      </c>
    </row>
    <row r="180" spans="1:14" x14ac:dyDescent="0.25">
      <c r="A180" s="50">
        <v>10002875</v>
      </c>
    </row>
    <row r="181" spans="1:14" x14ac:dyDescent="0.25">
      <c r="A181" s="50">
        <v>10023080</v>
      </c>
    </row>
    <row r="182" spans="1:14" x14ac:dyDescent="0.25">
      <c r="A182" s="50">
        <v>10025212</v>
      </c>
    </row>
    <row r="183" spans="1:14" x14ac:dyDescent="0.25">
      <c r="A183" s="50">
        <v>10069407</v>
      </c>
    </row>
    <row r="184" spans="1:14" x14ac:dyDescent="0.25">
      <c r="A184" s="50">
        <v>10071135</v>
      </c>
    </row>
    <row r="185" spans="1:14" x14ac:dyDescent="0.25">
      <c r="A185" s="50">
        <v>10083649</v>
      </c>
    </row>
    <row r="186" spans="1:14" x14ac:dyDescent="0.25">
      <c r="A186" s="50">
        <v>10102021</v>
      </c>
      <c r="N186">
        <v>66</v>
      </c>
    </row>
    <row r="187" spans="1:14" x14ac:dyDescent="0.25">
      <c r="A187" s="50">
        <v>10123729</v>
      </c>
    </row>
    <row r="188" spans="1:14" x14ac:dyDescent="0.25">
      <c r="A188" s="50">
        <v>10144736</v>
      </c>
    </row>
    <row r="189" spans="1:14" x14ac:dyDescent="0.25">
      <c r="A189" s="50">
        <v>10157275</v>
      </c>
    </row>
    <row r="190" spans="1:14" x14ac:dyDescent="0.25">
      <c r="A190" s="54"/>
    </row>
    <row r="191" spans="1:14" x14ac:dyDescent="0.25">
      <c r="A191" s="52" t="s">
        <v>120</v>
      </c>
    </row>
    <row r="192" spans="1:14" x14ac:dyDescent="0.25">
      <c r="A192" s="50">
        <v>5281</v>
      </c>
    </row>
    <row r="193" spans="1:13" x14ac:dyDescent="0.25">
      <c r="A193" s="50">
        <v>200085</v>
      </c>
    </row>
    <row r="194" spans="1:13" x14ac:dyDescent="0.25">
      <c r="A194" s="50">
        <v>500129</v>
      </c>
    </row>
    <row r="195" spans="1:13" x14ac:dyDescent="0.25">
      <c r="A195" s="53">
        <v>1002033</v>
      </c>
    </row>
    <row r="196" spans="1:13" x14ac:dyDescent="0.25">
      <c r="A196" s="50">
        <v>1003457</v>
      </c>
    </row>
    <row r="197" spans="1:13" x14ac:dyDescent="0.25">
      <c r="A197" s="50">
        <v>2005223</v>
      </c>
    </row>
    <row r="198" spans="1:13" x14ac:dyDescent="0.25">
      <c r="A198" s="50">
        <v>2006107</v>
      </c>
    </row>
    <row r="199" spans="1:13" x14ac:dyDescent="0.25">
      <c r="A199" s="50">
        <v>2012014</v>
      </c>
      <c r="F199">
        <v>20.7</v>
      </c>
      <c r="M199">
        <v>2</v>
      </c>
    </row>
    <row r="200" spans="1:13" x14ac:dyDescent="0.25">
      <c r="A200" s="50">
        <v>3000152</v>
      </c>
    </row>
    <row r="201" spans="1:13" x14ac:dyDescent="0.25">
      <c r="A201" s="50">
        <v>3014566</v>
      </c>
    </row>
    <row r="202" spans="1:13" x14ac:dyDescent="0.25">
      <c r="A202" s="50">
        <v>3015058</v>
      </c>
    </row>
    <row r="203" spans="1:13" x14ac:dyDescent="0.25">
      <c r="A203" s="53">
        <v>4000996</v>
      </c>
    </row>
    <row r="204" spans="1:13" x14ac:dyDescent="0.25">
      <c r="A204" s="50">
        <v>4003768</v>
      </c>
    </row>
    <row r="205" spans="1:13" x14ac:dyDescent="0.25">
      <c r="A205" s="50">
        <v>4006540</v>
      </c>
    </row>
    <row r="206" spans="1:13" x14ac:dyDescent="0.25">
      <c r="A206" s="50">
        <v>4007054</v>
      </c>
    </row>
    <row r="207" spans="1:13" x14ac:dyDescent="0.25">
      <c r="A207" s="50">
        <v>4011002</v>
      </c>
    </row>
    <row r="208" spans="1:13" x14ac:dyDescent="0.25">
      <c r="A208" s="50">
        <v>4900268</v>
      </c>
    </row>
    <row r="209" spans="1:18" x14ac:dyDescent="0.25">
      <c r="A209" s="50">
        <v>5001097</v>
      </c>
      <c r="G209">
        <v>18.7</v>
      </c>
      <c r="H209">
        <v>18.5</v>
      </c>
      <c r="R209">
        <v>24.8</v>
      </c>
    </row>
    <row r="210" spans="1:18" x14ac:dyDescent="0.25">
      <c r="A210" s="50">
        <v>5001098</v>
      </c>
      <c r="E210">
        <v>12.5</v>
      </c>
      <c r="G210">
        <v>22</v>
      </c>
    </row>
    <row r="211" spans="1:18" x14ac:dyDescent="0.25">
      <c r="A211" s="50">
        <v>5006152</v>
      </c>
    </row>
    <row r="212" spans="1:18" x14ac:dyDescent="0.25">
      <c r="A212" s="50">
        <v>6012361</v>
      </c>
    </row>
    <row r="213" spans="1:18" x14ac:dyDescent="0.25">
      <c r="A213" s="50">
        <v>6015793</v>
      </c>
    </row>
    <row r="214" spans="1:18" x14ac:dyDescent="0.25">
      <c r="A214" s="50">
        <v>6043619</v>
      </c>
    </row>
    <row r="215" spans="1:18" x14ac:dyDescent="0.25">
      <c r="A215" s="50">
        <v>7001097</v>
      </c>
    </row>
    <row r="216" spans="1:18" x14ac:dyDescent="0.25">
      <c r="A216" s="50">
        <v>7011435</v>
      </c>
    </row>
    <row r="217" spans="1:18" x14ac:dyDescent="0.25">
      <c r="A217" s="50">
        <v>7045811</v>
      </c>
    </row>
    <row r="218" spans="1:18" x14ac:dyDescent="0.25">
      <c r="A218" s="50">
        <v>7071198</v>
      </c>
      <c r="O218">
        <v>30.8</v>
      </c>
    </row>
    <row r="219" spans="1:18" x14ac:dyDescent="0.25">
      <c r="A219" s="50">
        <v>7101143</v>
      </c>
    </row>
    <row r="220" spans="1:18" x14ac:dyDescent="0.25">
      <c r="A220" s="50">
        <v>8073350</v>
      </c>
    </row>
    <row r="221" spans="1:18" x14ac:dyDescent="0.25">
      <c r="A221" s="50">
        <v>8073645</v>
      </c>
    </row>
    <row r="222" spans="1:18" x14ac:dyDescent="0.25">
      <c r="A222" s="53">
        <v>8089666</v>
      </c>
    </row>
    <row r="223" spans="1:18" x14ac:dyDescent="0.25">
      <c r="A223" s="50">
        <v>8103536</v>
      </c>
    </row>
    <row r="224" spans="1:18" x14ac:dyDescent="0.25">
      <c r="A224" s="50">
        <v>8124816</v>
      </c>
    </row>
    <row r="225" spans="1:1" x14ac:dyDescent="0.25">
      <c r="A225" s="50">
        <v>9003267</v>
      </c>
    </row>
    <row r="226" spans="1:1" x14ac:dyDescent="0.25">
      <c r="A226" s="50">
        <v>9036964</v>
      </c>
    </row>
    <row r="227" spans="1:1" x14ac:dyDescent="0.25">
      <c r="A227" s="50">
        <v>9090287</v>
      </c>
    </row>
    <row r="228" spans="1:1" x14ac:dyDescent="0.25">
      <c r="A228" s="50">
        <v>9095148</v>
      </c>
    </row>
    <row r="229" spans="1:1" x14ac:dyDescent="0.25">
      <c r="A229" s="50">
        <v>9104979</v>
      </c>
    </row>
    <row r="230" spans="1:1" x14ac:dyDescent="0.25">
      <c r="A230" s="50">
        <v>9139514</v>
      </c>
    </row>
    <row r="231" spans="1:1" x14ac:dyDescent="0.25">
      <c r="A231" s="50">
        <v>10020659</v>
      </c>
    </row>
    <row r="232" spans="1:1" x14ac:dyDescent="0.25">
      <c r="A232" s="50">
        <v>10025902</v>
      </c>
    </row>
    <row r="233" spans="1:1" x14ac:dyDescent="0.25">
      <c r="A233" s="50">
        <v>10027654</v>
      </c>
    </row>
    <row r="234" spans="1:1" x14ac:dyDescent="0.25">
      <c r="A234" s="50">
        <v>10084485</v>
      </c>
    </row>
    <row r="235" spans="1:1" x14ac:dyDescent="0.25">
      <c r="A235" s="50">
        <v>10098420</v>
      </c>
    </row>
    <row r="236" spans="1:1" x14ac:dyDescent="0.25">
      <c r="A236" s="50">
        <v>10129565</v>
      </c>
    </row>
    <row r="237" spans="1:1" x14ac:dyDescent="0.25">
      <c r="A237" s="50">
        <v>10146828</v>
      </c>
    </row>
    <row r="238" spans="1:1" x14ac:dyDescent="0.25">
      <c r="A238">
        <v>10163776</v>
      </c>
    </row>
    <row r="239" spans="1:1" x14ac:dyDescent="0.25">
      <c r="A239">
        <v>10173664</v>
      </c>
    </row>
  </sheetData>
  <conditionalFormatting sqref="A19">
    <cfRule type="duplicateValues" dxfId="25" priority="1"/>
  </conditionalFormatting>
  <pageMargins left="0.7" right="0.7" top="0.78740157499999996" bottom="0.78740157499999996" header="0.3" footer="0.3"/>
  <tableParts count="1">
    <tablePart r:id="rId1"/>
  </tablePart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0"/>
  <sheetViews>
    <sheetView workbookViewId="0">
      <selection activeCell="F17" sqref="F17"/>
    </sheetView>
  </sheetViews>
  <sheetFormatPr defaultColWidth="11.42578125" defaultRowHeight="15" x14ac:dyDescent="0.25"/>
  <cols>
    <col min="1" max="1" width="17.28515625" bestFit="1" customWidth="1"/>
    <col min="2" max="2" width="15.140625" bestFit="1" customWidth="1"/>
    <col min="3" max="3" width="81.140625" bestFit="1" customWidth="1"/>
    <col min="4" max="4" width="30.28515625" bestFit="1" customWidth="1"/>
  </cols>
  <sheetData>
    <row r="1" spans="1:4" x14ac:dyDescent="0.25">
      <c r="A1" s="66" t="s">
        <v>59</v>
      </c>
      <c r="B1" s="66" t="s">
        <v>3002</v>
      </c>
      <c r="C1" s="66" t="s">
        <v>2564</v>
      </c>
      <c r="D1" s="66" t="s">
        <v>2523</v>
      </c>
    </row>
    <row r="2" spans="1:4" x14ac:dyDescent="0.25">
      <c r="A2" s="66">
        <v>7072184</v>
      </c>
      <c r="B2" s="66" t="s">
        <v>3002</v>
      </c>
      <c r="C2" s="66" t="s">
        <v>1432</v>
      </c>
      <c r="D2" s="66">
        <v>1</v>
      </c>
    </row>
    <row r="3" spans="1:4" x14ac:dyDescent="0.25">
      <c r="A3" s="66">
        <v>95005911</v>
      </c>
      <c r="B3" s="66" t="s">
        <v>3002</v>
      </c>
      <c r="C3" s="66" t="s">
        <v>1433</v>
      </c>
      <c r="D3" s="66">
        <v>1</v>
      </c>
    </row>
    <row r="4" spans="1:4" x14ac:dyDescent="0.25">
      <c r="A4" s="66">
        <v>99004067</v>
      </c>
      <c r="B4" s="66" t="s">
        <v>3002</v>
      </c>
      <c r="C4" s="66" t="s">
        <v>1432</v>
      </c>
      <c r="D4" s="66">
        <v>1</v>
      </c>
    </row>
    <row r="5" spans="1:4" x14ac:dyDescent="0.25">
      <c r="A5" s="66">
        <v>1502</v>
      </c>
      <c r="B5" s="66" t="s">
        <v>3002</v>
      </c>
      <c r="C5" s="66" t="s">
        <v>1433</v>
      </c>
      <c r="D5" s="66">
        <v>1</v>
      </c>
    </row>
    <row r="6" spans="1:4" x14ac:dyDescent="0.25">
      <c r="A6" s="66">
        <v>14242856</v>
      </c>
      <c r="B6" s="66" t="s">
        <v>3002</v>
      </c>
      <c r="C6" s="66" t="s">
        <v>1432</v>
      </c>
      <c r="D6" s="66">
        <v>1</v>
      </c>
    </row>
    <row r="7" spans="1:4" x14ac:dyDescent="0.25">
      <c r="A7" s="66">
        <v>10064335</v>
      </c>
      <c r="B7" s="66" t="s">
        <v>3002</v>
      </c>
      <c r="C7" s="66" t="s">
        <v>3003</v>
      </c>
      <c r="D7" s="66">
        <v>2</v>
      </c>
    </row>
    <row r="8" spans="1:4" x14ac:dyDescent="0.25">
      <c r="A8" s="66">
        <v>1003215</v>
      </c>
      <c r="B8" s="66" t="s">
        <v>3002</v>
      </c>
      <c r="C8" s="66" t="s">
        <v>1432</v>
      </c>
      <c r="D8" s="66">
        <v>1</v>
      </c>
    </row>
    <row r="9" spans="1:4" x14ac:dyDescent="0.25">
      <c r="A9" s="66">
        <v>1000192</v>
      </c>
      <c r="B9" s="66" t="s">
        <v>3002</v>
      </c>
      <c r="C9" s="66" t="s">
        <v>85</v>
      </c>
      <c r="D9" s="66">
        <v>1</v>
      </c>
    </row>
    <row r="10" spans="1:4" x14ac:dyDescent="0.25">
      <c r="A10" s="66">
        <v>1506</v>
      </c>
      <c r="B10" s="66" t="s">
        <v>3002</v>
      </c>
      <c r="C10" s="66" t="s">
        <v>54</v>
      </c>
      <c r="D10" s="66">
        <v>1</v>
      </c>
    </row>
    <row r="11" spans="1:4" x14ac:dyDescent="0.25">
      <c r="A11" s="66">
        <v>99000897</v>
      </c>
      <c r="B11" s="66" t="s">
        <v>3002</v>
      </c>
      <c r="C11" s="66" t="s">
        <v>33</v>
      </c>
      <c r="D11" s="66">
        <v>1</v>
      </c>
    </row>
    <row r="12" spans="1:4" x14ac:dyDescent="0.25">
      <c r="A12" s="66">
        <v>99001245</v>
      </c>
      <c r="B12" s="66" t="s">
        <v>3002</v>
      </c>
      <c r="C12" s="66" t="s">
        <v>54</v>
      </c>
      <c r="D12" s="66">
        <v>1</v>
      </c>
    </row>
    <row r="13" spans="1:4" x14ac:dyDescent="0.25">
      <c r="A13" s="66">
        <v>99001902</v>
      </c>
      <c r="B13" s="66" t="s">
        <v>3002</v>
      </c>
      <c r="C13" s="66" t="s">
        <v>54</v>
      </c>
      <c r="D13" s="66">
        <v>1</v>
      </c>
    </row>
    <row r="14" spans="1:4" x14ac:dyDescent="0.25">
      <c r="A14" s="66">
        <v>99001912</v>
      </c>
      <c r="B14" s="66" t="s">
        <v>3002</v>
      </c>
      <c r="C14" s="66" t="s">
        <v>54</v>
      </c>
      <c r="D14" s="66">
        <v>1</v>
      </c>
    </row>
    <row r="15" spans="1:4" x14ac:dyDescent="0.25">
      <c r="A15" s="66">
        <v>99001913</v>
      </c>
      <c r="B15" s="66" t="s">
        <v>3002</v>
      </c>
      <c r="C15" s="66" t="s">
        <v>54</v>
      </c>
      <c r="D15" s="66">
        <v>1</v>
      </c>
    </row>
    <row r="16" spans="1:4" x14ac:dyDescent="0.25">
      <c r="A16" s="66">
        <v>99001943</v>
      </c>
      <c r="B16" s="66" t="s">
        <v>3002</v>
      </c>
      <c r="C16" s="66" t="s">
        <v>3004</v>
      </c>
      <c r="D16" s="66">
        <v>2</v>
      </c>
    </row>
    <row r="17" spans="1:4" x14ac:dyDescent="0.25">
      <c r="A17" s="66">
        <v>1505</v>
      </c>
      <c r="B17" s="66" t="s">
        <v>3002</v>
      </c>
      <c r="C17" s="66" t="s">
        <v>84</v>
      </c>
      <c r="D17" s="66">
        <v>1</v>
      </c>
    </row>
    <row r="18" spans="1:4" x14ac:dyDescent="0.25">
      <c r="A18" s="66">
        <v>1000197</v>
      </c>
      <c r="B18" s="66" t="s">
        <v>3002</v>
      </c>
      <c r="C18" s="66" t="s">
        <v>1433</v>
      </c>
      <c r="D18" s="66">
        <v>1</v>
      </c>
    </row>
    <row r="19" spans="1:4" x14ac:dyDescent="0.25">
      <c r="A19" s="66">
        <v>96018835</v>
      </c>
      <c r="B19" s="66" t="s">
        <v>3002</v>
      </c>
      <c r="C19" s="66" t="s">
        <v>84</v>
      </c>
      <c r="D19" s="66">
        <v>1</v>
      </c>
    </row>
    <row r="20" spans="1:4" x14ac:dyDescent="0.25">
      <c r="A20" s="66">
        <v>98008326</v>
      </c>
      <c r="B20" s="66" t="s">
        <v>3002</v>
      </c>
      <c r="C20" s="66" t="s">
        <v>32</v>
      </c>
      <c r="D20" s="66">
        <v>1</v>
      </c>
    </row>
    <row r="21" spans="1:4" x14ac:dyDescent="0.25">
      <c r="A21" s="66">
        <v>99000717</v>
      </c>
      <c r="B21" s="66" t="s">
        <v>3002</v>
      </c>
      <c r="C21" s="66" t="s">
        <v>114</v>
      </c>
      <c r="D21" s="66">
        <v>1</v>
      </c>
    </row>
    <row r="22" spans="1:4" x14ac:dyDescent="0.25">
      <c r="A22" s="66">
        <v>10023001</v>
      </c>
      <c r="B22" s="66" t="s">
        <v>3002</v>
      </c>
      <c r="C22" s="66" t="s">
        <v>1432</v>
      </c>
      <c r="D22" s="66">
        <v>1</v>
      </c>
    </row>
    <row r="23" spans="1:4" x14ac:dyDescent="0.25">
      <c r="A23" s="66">
        <v>14222171</v>
      </c>
      <c r="B23" s="66" t="s">
        <v>3002</v>
      </c>
      <c r="C23" s="66" t="s">
        <v>1432</v>
      </c>
      <c r="D23" s="66">
        <v>1</v>
      </c>
    </row>
    <row r="24" spans="1:4" x14ac:dyDescent="0.25">
      <c r="A24" s="66">
        <v>9140312</v>
      </c>
      <c r="B24" s="66" t="s">
        <v>3002</v>
      </c>
      <c r="C24" s="66" t="s">
        <v>54</v>
      </c>
      <c r="D24" s="66">
        <v>1</v>
      </c>
    </row>
    <row r="25" spans="1:4" x14ac:dyDescent="0.25">
      <c r="A25" s="66">
        <v>7103068</v>
      </c>
      <c r="B25" s="66" t="s">
        <v>3002</v>
      </c>
      <c r="C25" s="66" t="s">
        <v>66</v>
      </c>
      <c r="D25" s="66">
        <v>1</v>
      </c>
    </row>
    <row r="26" spans="1:4" x14ac:dyDescent="0.25">
      <c r="A26" s="66">
        <v>10030897</v>
      </c>
      <c r="B26" s="66" t="s">
        <v>3002</v>
      </c>
      <c r="C26" s="66" t="s">
        <v>3005</v>
      </c>
      <c r="D26" s="66">
        <v>6</v>
      </c>
    </row>
    <row r="27" spans="1:4" x14ac:dyDescent="0.25">
      <c r="A27" s="66">
        <v>324</v>
      </c>
      <c r="B27" s="66" t="s">
        <v>3002</v>
      </c>
      <c r="C27" s="66" t="s">
        <v>32</v>
      </c>
      <c r="D27" s="66">
        <v>1</v>
      </c>
    </row>
    <row r="28" spans="1:4" x14ac:dyDescent="0.25">
      <c r="A28" s="66">
        <v>3909</v>
      </c>
      <c r="B28" s="66" t="s">
        <v>3002</v>
      </c>
      <c r="C28" s="66" t="s">
        <v>1436</v>
      </c>
      <c r="D28" s="66">
        <v>1</v>
      </c>
    </row>
    <row r="29" spans="1:4" x14ac:dyDescent="0.25">
      <c r="A29" s="66">
        <v>1005522</v>
      </c>
      <c r="B29" s="66" t="s">
        <v>3002</v>
      </c>
      <c r="C29" s="66" t="s">
        <v>3006</v>
      </c>
      <c r="D29" s="66">
        <v>5</v>
      </c>
    </row>
    <row r="30" spans="1:4" x14ac:dyDescent="0.25">
      <c r="A30" s="66">
        <v>3016056</v>
      </c>
      <c r="B30" s="66" t="s">
        <v>3002</v>
      </c>
      <c r="C30" s="66" t="s">
        <v>3007</v>
      </c>
      <c r="D30" s="66">
        <v>2</v>
      </c>
    </row>
    <row r="31" spans="1:4" x14ac:dyDescent="0.25">
      <c r="A31" s="66">
        <v>4009906</v>
      </c>
      <c r="B31" s="66" t="s">
        <v>3002</v>
      </c>
      <c r="C31" s="66" t="s">
        <v>3008</v>
      </c>
      <c r="D31" s="66">
        <v>4</v>
      </c>
    </row>
    <row r="32" spans="1:4" x14ac:dyDescent="0.25">
      <c r="A32" s="66">
        <v>5004654</v>
      </c>
      <c r="B32" s="66" t="s">
        <v>3002</v>
      </c>
      <c r="C32" s="66" t="s">
        <v>33</v>
      </c>
      <c r="D32" s="66">
        <v>1</v>
      </c>
    </row>
    <row r="33" spans="1:4" x14ac:dyDescent="0.25">
      <c r="A33" s="66">
        <v>2003539</v>
      </c>
      <c r="B33" s="66" t="s">
        <v>3002</v>
      </c>
      <c r="C33" s="66" t="s">
        <v>1288</v>
      </c>
      <c r="D33" s="66">
        <v>1</v>
      </c>
    </row>
    <row r="34" spans="1:4" x14ac:dyDescent="0.25">
      <c r="A34" s="66">
        <v>3010583</v>
      </c>
      <c r="B34" s="66" t="s">
        <v>3002</v>
      </c>
      <c r="C34" s="66" t="s">
        <v>1312</v>
      </c>
      <c r="D34" s="66">
        <v>1</v>
      </c>
    </row>
    <row r="35" spans="1:4" x14ac:dyDescent="0.25">
      <c r="A35" s="66">
        <v>6015647</v>
      </c>
      <c r="B35" s="66" t="s">
        <v>3002</v>
      </c>
      <c r="C35" s="66" t="s">
        <v>32</v>
      </c>
      <c r="D35" s="66">
        <v>1</v>
      </c>
    </row>
    <row r="36" spans="1:4" x14ac:dyDescent="0.25">
      <c r="A36" s="66">
        <v>10102021</v>
      </c>
      <c r="B36" s="66" t="s">
        <v>3002</v>
      </c>
      <c r="C36" s="66" t="s">
        <v>85</v>
      </c>
      <c r="D36" s="66">
        <v>1</v>
      </c>
    </row>
    <row r="37" spans="1:4" x14ac:dyDescent="0.25">
      <c r="A37" s="66">
        <v>2012014</v>
      </c>
      <c r="B37" s="66" t="s">
        <v>3002</v>
      </c>
      <c r="C37" s="66" t="s">
        <v>3009</v>
      </c>
      <c r="D37" s="66">
        <v>2</v>
      </c>
    </row>
    <row r="38" spans="1:4" x14ac:dyDescent="0.25">
      <c r="A38" s="66">
        <v>5001097</v>
      </c>
      <c r="B38" s="66" t="s">
        <v>3002</v>
      </c>
      <c r="C38" s="66" t="s">
        <v>3010</v>
      </c>
      <c r="D38" s="66">
        <v>3</v>
      </c>
    </row>
    <row r="39" spans="1:4" x14ac:dyDescent="0.25">
      <c r="A39" s="66">
        <v>5001098</v>
      </c>
      <c r="B39" s="66" t="s">
        <v>3002</v>
      </c>
      <c r="C39" s="66" t="s">
        <v>3011</v>
      </c>
      <c r="D39" s="66">
        <v>2</v>
      </c>
    </row>
    <row r="40" spans="1:4" x14ac:dyDescent="0.25">
      <c r="A40" s="66">
        <v>7071198</v>
      </c>
      <c r="B40" s="66" t="s">
        <v>3002</v>
      </c>
      <c r="C40" s="66" t="s">
        <v>1433</v>
      </c>
      <c r="D40" s="66">
        <v>1</v>
      </c>
    </row>
  </sheetData>
  <phoneticPr fontId="6" type="noConversion"/>
  <pageMargins left="0.7" right="0.7" top="0.78740157499999996" bottom="0.78740157499999996" header="0.3" footer="0.3"/>
  <tableParts count="1">
    <tablePart r:id="rId1"/>
  </tablePart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A239"/>
  <sheetViews>
    <sheetView workbookViewId="0">
      <selection activeCell="C22" sqref="C22"/>
    </sheetView>
  </sheetViews>
  <sheetFormatPr defaultColWidth="11.42578125" defaultRowHeight="15" x14ac:dyDescent="0.25"/>
  <cols>
    <col min="1" max="1" width="17.140625" customWidth="1"/>
    <col min="2" max="2" width="31.7109375" customWidth="1"/>
    <col min="3" max="4" width="37.5703125" customWidth="1"/>
    <col min="5" max="6" width="32.140625" customWidth="1"/>
    <col min="7" max="7" width="37.5703125" customWidth="1"/>
    <col min="8" max="9" width="32.140625" customWidth="1"/>
    <col min="10" max="10" width="37.5703125" customWidth="1"/>
    <col min="11" max="14" width="32.140625" customWidth="1"/>
    <col min="15" max="15" width="31.140625" customWidth="1"/>
    <col min="16" max="16" width="36.5703125" customWidth="1"/>
    <col min="17" max="20" width="31.140625" customWidth="1"/>
    <col min="21" max="21" width="35.42578125" customWidth="1"/>
    <col min="22" max="22" width="27.5703125" customWidth="1"/>
    <col min="23" max="23" width="26.42578125" customWidth="1"/>
    <col min="27" max="27" width="14.28515625" customWidth="1"/>
    <col min="31" max="31" width="16.85546875" customWidth="1"/>
    <col min="35" max="35" width="16.85546875" customWidth="1"/>
    <col min="39" max="39" width="16.85546875" customWidth="1"/>
    <col min="44" max="44" width="16.85546875" customWidth="1"/>
    <col min="45" max="45" width="13.7109375" customWidth="1"/>
    <col min="46" max="47" width="19.5703125" customWidth="1"/>
    <col min="48" max="51" width="13.7109375" customWidth="1"/>
    <col min="52" max="52" width="19.5703125" customWidth="1"/>
    <col min="53" max="53" width="13.7109375" customWidth="1"/>
  </cols>
  <sheetData>
    <row r="1" spans="1:53" x14ac:dyDescent="0.25">
      <c r="A1" s="61" t="s">
        <v>59</v>
      </c>
      <c r="B1" s="62" t="s">
        <v>847</v>
      </c>
      <c r="C1" s="62" t="s">
        <v>2365</v>
      </c>
      <c r="D1" s="62" t="s">
        <v>1438</v>
      </c>
      <c r="E1" s="62" t="s">
        <v>797</v>
      </c>
      <c r="F1" s="62" t="s">
        <v>801</v>
      </c>
      <c r="G1" s="62" t="s">
        <v>1439</v>
      </c>
      <c r="H1" s="62" t="s">
        <v>1160</v>
      </c>
      <c r="I1" s="62" t="s">
        <v>1038</v>
      </c>
      <c r="J1" s="62" t="s">
        <v>1440</v>
      </c>
      <c r="K1" s="62" t="s">
        <v>1080</v>
      </c>
      <c r="L1" s="62" t="s">
        <v>2171</v>
      </c>
      <c r="M1" s="62" t="s">
        <v>1965</v>
      </c>
      <c r="N1" s="62" t="s">
        <v>1842</v>
      </c>
      <c r="O1" s="62" t="s">
        <v>897</v>
      </c>
      <c r="P1" s="62" t="s">
        <v>1441</v>
      </c>
      <c r="Q1" s="62" t="s">
        <v>1931</v>
      </c>
      <c r="R1" s="62" t="s">
        <v>1932</v>
      </c>
      <c r="S1" s="62" t="s">
        <v>1272</v>
      </c>
      <c r="T1" s="62" t="s">
        <v>1998</v>
      </c>
      <c r="U1" s="62" t="s">
        <v>1442</v>
      </c>
      <c r="V1" s="62" t="s">
        <v>1457</v>
      </c>
      <c r="W1" s="63" t="s">
        <v>1458</v>
      </c>
      <c r="X1" s="62" t="s">
        <v>1443</v>
      </c>
      <c r="Y1" s="62" t="s">
        <v>91</v>
      </c>
      <c r="Z1" s="62" t="s">
        <v>92</v>
      </c>
      <c r="AA1" s="62" t="s">
        <v>1444</v>
      </c>
      <c r="AB1" s="62" t="s">
        <v>64</v>
      </c>
      <c r="AC1" s="62" t="s">
        <v>1196</v>
      </c>
      <c r="AD1" s="62" t="s">
        <v>1237</v>
      </c>
      <c r="AE1" s="62" t="s">
        <v>1445</v>
      </c>
      <c r="AF1" s="62" t="s">
        <v>607</v>
      </c>
      <c r="AG1" s="62" t="s">
        <v>1243</v>
      </c>
      <c r="AH1" s="62" t="s">
        <v>93</v>
      </c>
      <c r="AI1" s="62" t="s">
        <v>1446</v>
      </c>
      <c r="AJ1" s="62" t="s">
        <v>164</v>
      </c>
      <c r="AK1" s="62" t="s">
        <v>922</v>
      </c>
      <c r="AL1" s="62" t="s">
        <v>802</v>
      </c>
      <c r="AM1" s="62" t="s">
        <v>1447</v>
      </c>
      <c r="AN1" s="62" t="s">
        <v>1827</v>
      </c>
      <c r="AO1" s="62" t="s">
        <v>798</v>
      </c>
      <c r="AP1" s="62" t="s">
        <v>815</v>
      </c>
      <c r="AQ1" s="62" t="s">
        <v>1298</v>
      </c>
      <c r="AR1" s="62" t="s">
        <v>1448</v>
      </c>
      <c r="AS1" s="62" t="s">
        <v>1217</v>
      </c>
      <c r="AT1" s="62" t="s">
        <v>2335</v>
      </c>
      <c r="AU1" s="62" t="s">
        <v>1449</v>
      </c>
      <c r="AV1" s="62" t="s">
        <v>1071</v>
      </c>
      <c r="AW1" s="62" t="s">
        <v>1218</v>
      </c>
      <c r="AX1" s="62" t="s">
        <v>2350</v>
      </c>
      <c r="AY1" s="62" t="s">
        <v>1451</v>
      </c>
      <c r="AZ1" s="62" t="s">
        <v>1450</v>
      </c>
      <c r="BA1" s="62" t="s">
        <v>1452</v>
      </c>
    </row>
    <row r="2" spans="1:53" x14ac:dyDescent="0.25">
      <c r="A2" s="40" t="s">
        <v>561</v>
      </c>
    </row>
    <row r="3" spans="1:53" x14ac:dyDescent="0.25">
      <c r="A3" s="10" t="s">
        <v>2519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  <c r="AY3" s="7"/>
      <c r="AZ3" s="7"/>
      <c r="BA3" s="7"/>
    </row>
    <row r="4" spans="1:53" x14ac:dyDescent="0.25">
      <c r="A4" s="50">
        <v>7072184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>
        <v>8</v>
      </c>
    </row>
    <row r="5" spans="1:53" x14ac:dyDescent="0.25">
      <c r="A5" s="50">
        <v>9108231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</row>
    <row r="6" spans="1:53" x14ac:dyDescent="0.25">
      <c r="A6" s="50">
        <v>12061933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</row>
    <row r="7" spans="1:53" x14ac:dyDescent="0.25">
      <c r="A7" s="50">
        <v>95005911</v>
      </c>
    </row>
    <row r="8" spans="1:53" x14ac:dyDescent="0.25">
      <c r="A8" s="50">
        <v>99001908</v>
      </c>
    </row>
    <row r="9" spans="1:53" x14ac:dyDescent="0.25">
      <c r="A9" s="50">
        <v>99004067</v>
      </c>
    </row>
    <row r="10" spans="1:53" x14ac:dyDescent="0.25">
      <c r="A10" s="50">
        <v>97002136</v>
      </c>
    </row>
    <row r="11" spans="1:53" x14ac:dyDescent="0.25">
      <c r="A11" s="50">
        <v>1502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7"/>
      <c r="AZ11" s="7"/>
      <c r="BA11" s="7"/>
    </row>
    <row r="12" spans="1:53" x14ac:dyDescent="0.25">
      <c r="A12" s="50">
        <v>4003543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</row>
    <row r="13" spans="1:53" x14ac:dyDescent="0.25">
      <c r="A13" s="50">
        <v>4900261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</row>
    <row r="14" spans="1:53" x14ac:dyDescent="0.25">
      <c r="A14" s="50"/>
    </row>
    <row r="15" spans="1:53" x14ac:dyDescent="0.25">
      <c r="A15" s="52" t="s">
        <v>2520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7"/>
      <c r="BA15" s="7"/>
    </row>
    <row r="16" spans="1:53" x14ac:dyDescent="0.25">
      <c r="A16" s="50">
        <v>14242856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>
        <v>12.1</v>
      </c>
    </row>
    <row r="17" spans="1:53" x14ac:dyDescent="0.25">
      <c r="A17" s="50">
        <v>99001183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</row>
    <row r="18" spans="1:53" x14ac:dyDescent="0.25">
      <c r="A18" s="50">
        <v>3000983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7"/>
      <c r="W18" s="7"/>
      <c r="X18" s="7"/>
      <c r="Y18" s="7"/>
      <c r="Z18" s="7"/>
      <c r="AA18">
        <v>14.1</v>
      </c>
      <c r="AB18">
        <v>8</v>
      </c>
      <c r="AS18">
        <v>12.3</v>
      </c>
    </row>
    <row r="19" spans="1:53" x14ac:dyDescent="0.25">
      <c r="A19" s="50">
        <v>10064335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</row>
    <row r="20" spans="1:53" x14ac:dyDescent="0.25">
      <c r="A20" s="51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7"/>
      <c r="AV20" s="7"/>
      <c r="AW20" s="7"/>
      <c r="AX20" s="7"/>
      <c r="AY20" s="7"/>
      <c r="AZ20" s="7"/>
      <c r="BA20" s="7"/>
    </row>
    <row r="21" spans="1:53" x14ac:dyDescent="0.25">
      <c r="A21" s="52" t="s">
        <v>2521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7"/>
      <c r="BA21" s="7"/>
    </row>
    <row r="22" spans="1:53" x14ac:dyDescent="0.25">
      <c r="A22" s="50">
        <v>1480</v>
      </c>
    </row>
    <row r="23" spans="1:53" x14ac:dyDescent="0.25">
      <c r="A23" s="50">
        <v>7063959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  <c r="AX23" s="7"/>
      <c r="AY23" s="7"/>
      <c r="AZ23" s="7"/>
      <c r="BA23" s="7"/>
    </row>
    <row r="24" spans="1:53" x14ac:dyDescent="0.25">
      <c r="A24" s="50">
        <v>1003215</v>
      </c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8">
        <v>14</v>
      </c>
      <c r="W24" s="8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7"/>
      <c r="AT24" s="7"/>
      <c r="AU24" s="7"/>
      <c r="AV24" s="7"/>
      <c r="AW24" s="7"/>
      <c r="AX24" s="7"/>
      <c r="AY24" s="7"/>
      <c r="AZ24" s="7"/>
      <c r="BA24" s="7"/>
    </row>
    <row r="25" spans="1:53" x14ac:dyDescent="0.25">
      <c r="A25" s="50">
        <v>99000802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  <c r="AX25" s="7"/>
      <c r="AY25" s="7"/>
      <c r="AZ25" s="7"/>
      <c r="BA25" s="7"/>
    </row>
    <row r="26" spans="1:53" x14ac:dyDescent="0.25">
      <c r="A26" s="50">
        <v>99000892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7"/>
      <c r="AY26" s="7"/>
      <c r="AZ26" s="7"/>
      <c r="BA26" s="7"/>
    </row>
    <row r="27" spans="1:53" x14ac:dyDescent="0.25">
      <c r="A27" s="50">
        <v>1000192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7"/>
      <c r="AY27" s="7"/>
      <c r="AZ27" s="7"/>
      <c r="BA27" s="7"/>
    </row>
    <row r="28" spans="1:53" x14ac:dyDescent="0.25">
      <c r="A28" s="50">
        <v>1506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7"/>
      <c r="AN28" s="7"/>
      <c r="AO28" s="7"/>
      <c r="AP28" s="7"/>
      <c r="AQ28" s="7"/>
      <c r="AR28" s="7"/>
      <c r="AS28" s="7"/>
      <c r="AT28" s="7"/>
      <c r="AU28" s="7"/>
      <c r="AV28" s="7"/>
      <c r="AW28" s="7"/>
      <c r="AX28" s="7"/>
      <c r="AY28" s="7"/>
      <c r="AZ28" s="7"/>
      <c r="BA28" s="7"/>
    </row>
    <row r="29" spans="1:53" x14ac:dyDescent="0.25">
      <c r="A29" s="50">
        <v>99000894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7"/>
      <c r="AN29" s="7"/>
      <c r="AO29" s="7"/>
      <c r="AP29" s="7"/>
      <c r="AQ29" s="7"/>
      <c r="AR29" s="7"/>
      <c r="AS29" s="7"/>
      <c r="AT29" s="7"/>
      <c r="AU29" s="7"/>
      <c r="AV29" s="7"/>
      <c r="AW29" s="7"/>
      <c r="AX29" s="7"/>
      <c r="AY29" s="7"/>
      <c r="AZ29" s="7"/>
      <c r="BA29" s="7"/>
    </row>
    <row r="30" spans="1:53" x14ac:dyDescent="0.25">
      <c r="A30" s="50">
        <v>99000897</v>
      </c>
    </row>
    <row r="31" spans="1:53" x14ac:dyDescent="0.25">
      <c r="A31" s="50">
        <v>99001245</v>
      </c>
    </row>
    <row r="32" spans="1:53" x14ac:dyDescent="0.25">
      <c r="A32" s="50">
        <v>99001902</v>
      </c>
    </row>
    <row r="33" spans="1:53" x14ac:dyDescent="0.25">
      <c r="A33" s="50">
        <v>99001912</v>
      </c>
    </row>
    <row r="34" spans="1:53" x14ac:dyDescent="0.25">
      <c r="A34" s="50">
        <v>99001913</v>
      </c>
    </row>
    <row r="35" spans="1:53" x14ac:dyDescent="0.25">
      <c r="A35" s="50">
        <v>99001937</v>
      </c>
    </row>
    <row r="36" spans="1:53" x14ac:dyDescent="0.25">
      <c r="A36" s="50">
        <v>99001943</v>
      </c>
    </row>
    <row r="37" spans="1:53" x14ac:dyDescent="0.25">
      <c r="A37" s="50">
        <v>99001927</v>
      </c>
    </row>
    <row r="38" spans="1:53" x14ac:dyDescent="0.25">
      <c r="A38" s="50">
        <v>1505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7"/>
      <c r="AM38" s="7"/>
      <c r="AN38" s="7"/>
      <c r="AO38" s="7"/>
      <c r="AP38" s="7"/>
      <c r="AQ38" s="7"/>
      <c r="AR38" s="7"/>
      <c r="AS38" s="7"/>
      <c r="AT38" s="7"/>
      <c r="AU38" s="7"/>
      <c r="AV38" s="7"/>
      <c r="AW38" s="7"/>
      <c r="AX38" s="7"/>
      <c r="AY38" s="7"/>
      <c r="AZ38" s="7"/>
      <c r="BA38" s="7"/>
    </row>
    <row r="39" spans="1:53" x14ac:dyDescent="0.25">
      <c r="A39" s="50">
        <v>1000197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7"/>
      <c r="AM39" s="7"/>
      <c r="AN39" s="7"/>
      <c r="AO39" s="7"/>
      <c r="AP39" s="7"/>
      <c r="AQ39" s="7"/>
      <c r="AR39" s="7"/>
      <c r="AS39" s="7"/>
      <c r="AT39" s="7"/>
      <c r="AU39" s="7"/>
      <c r="AV39" s="7"/>
      <c r="AW39" s="7"/>
      <c r="AX39" s="7"/>
      <c r="AY39" s="7"/>
      <c r="AZ39" s="7"/>
      <c r="BA39" s="7"/>
    </row>
    <row r="40" spans="1:53" x14ac:dyDescent="0.25">
      <c r="A40" s="50">
        <v>96018835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7"/>
      <c r="W40" s="7"/>
      <c r="X40">
        <v>15.2</v>
      </c>
      <c r="Y40">
        <v>14.4</v>
      </c>
      <c r="Z40">
        <v>13.4</v>
      </c>
      <c r="AA40" s="6"/>
      <c r="AB40">
        <v>11.8</v>
      </c>
      <c r="AE40">
        <v>10.7</v>
      </c>
      <c r="AH40">
        <v>8.6</v>
      </c>
      <c r="AJ40">
        <v>10.5</v>
      </c>
      <c r="AM40">
        <v>10</v>
      </c>
      <c r="AS40" s="7"/>
      <c r="AT40" s="7"/>
      <c r="AU40" s="7"/>
      <c r="AV40" s="7"/>
      <c r="AW40" s="7"/>
      <c r="AX40" s="7"/>
      <c r="AY40" s="7"/>
      <c r="AZ40" s="7"/>
      <c r="BA40" s="7"/>
    </row>
    <row r="41" spans="1:53" x14ac:dyDescent="0.25">
      <c r="A41" s="50">
        <v>98008326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  <c r="AL41" s="7"/>
      <c r="AM41" s="7"/>
      <c r="AN41" s="7"/>
      <c r="AO41" s="7"/>
      <c r="AP41" s="7"/>
      <c r="AQ41" s="7"/>
      <c r="AR41" s="7"/>
      <c r="AS41" s="7"/>
      <c r="AT41" s="7"/>
      <c r="AU41" s="7"/>
      <c r="AV41" s="7"/>
      <c r="AW41" s="7"/>
      <c r="AX41" s="7"/>
      <c r="AY41" s="7"/>
      <c r="AZ41" s="7"/>
      <c r="BA41" s="7"/>
    </row>
    <row r="42" spans="1:53" x14ac:dyDescent="0.25">
      <c r="A42" s="50">
        <v>99000717</v>
      </c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7"/>
      <c r="AM42" s="7"/>
      <c r="AN42" s="7"/>
      <c r="AO42" s="7"/>
      <c r="AP42" s="7"/>
      <c r="AQ42" s="7"/>
      <c r="AR42" s="7"/>
      <c r="AS42" s="7"/>
      <c r="AT42" s="7"/>
      <c r="AU42" s="7"/>
      <c r="AV42" s="7"/>
      <c r="AW42" s="7"/>
      <c r="AX42" s="7"/>
      <c r="AY42" s="7"/>
      <c r="AZ42" s="7"/>
      <c r="BA42" s="7"/>
    </row>
    <row r="43" spans="1:53" x14ac:dyDescent="0.25">
      <c r="A43" s="50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7"/>
      <c r="AM43" s="7"/>
      <c r="AN43" s="7"/>
      <c r="AO43" s="7"/>
      <c r="AP43" s="7"/>
      <c r="AQ43" s="7"/>
      <c r="AR43" s="7"/>
      <c r="AS43" s="7"/>
      <c r="AT43" s="7"/>
      <c r="AU43" s="7"/>
      <c r="AV43" s="7"/>
      <c r="AW43" s="7"/>
      <c r="AX43" s="7"/>
      <c r="AY43" s="7"/>
      <c r="AZ43" s="7"/>
      <c r="BA43" s="7"/>
    </row>
    <row r="44" spans="1:53" x14ac:dyDescent="0.25">
      <c r="A44" s="25" t="s">
        <v>169</v>
      </c>
    </row>
    <row r="45" spans="1:53" x14ac:dyDescent="0.25">
      <c r="A45" s="52" t="s">
        <v>143</v>
      </c>
    </row>
    <row r="46" spans="1:53" x14ac:dyDescent="0.25">
      <c r="A46" s="50">
        <v>6016435</v>
      </c>
      <c r="X46">
        <v>9.3000000000000007</v>
      </c>
    </row>
    <row r="47" spans="1:53" x14ac:dyDescent="0.25">
      <c r="A47" s="50">
        <v>8045149</v>
      </c>
    </row>
    <row r="48" spans="1:53" x14ac:dyDescent="0.25">
      <c r="A48" s="50">
        <v>10023001</v>
      </c>
      <c r="V48">
        <v>14</v>
      </c>
    </row>
    <row r="49" spans="1:53" x14ac:dyDescent="0.25">
      <c r="A49" s="50">
        <v>10027526</v>
      </c>
    </row>
    <row r="50" spans="1:53" x14ac:dyDescent="0.25">
      <c r="A50" s="50">
        <v>14222171</v>
      </c>
      <c r="V50">
        <v>13</v>
      </c>
    </row>
    <row r="51" spans="1:53" x14ac:dyDescent="0.25">
      <c r="A51" s="50">
        <v>1006143</v>
      </c>
      <c r="V51">
        <v>17.7</v>
      </c>
    </row>
    <row r="52" spans="1:53" x14ac:dyDescent="0.25">
      <c r="A52" s="50">
        <v>6006917</v>
      </c>
    </row>
    <row r="53" spans="1:53" x14ac:dyDescent="0.25">
      <c r="A53" s="50"/>
    </row>
    <row r="54" spans="1:53" x14ac:dyDescent="0.25">
      <c r="A54" s="52" t="s">
        <v>146</v>
      </c>
    </row>
    <row r="55" spans="1:53" x14ac:dyDescent="0.25">
      <c r="A55" s="50">
        <v>8057159</v>
      </c>
    </row>
    <row r="56" spans="1:53" x14ac:dyDescent="0.25">
      <c r="A56" s="50">
        <v>9140312</v>
      </c>
      <c r="Y56">
        <v>11.6</v>
      </c>
    </row>
    <row r="57" spans="1:53" x14ac:dyDescent="0.25">
      <c r="A57" s="50">
        <v>12008230</v>
      </c>
    </row>
    <row r="58" spans="1:53" x14ac:dyDescent="0.25">
      <c r="A58" s="50">
        <v>12088444</v>
      </c>
      <c r="Z58">
        <v>13.1</v>
      </c>
      <c r="AF58">
        <v>12.5</v>
      </c>
      <c r="AY58">
        <v>12.3</v>
      </c>
      <c r="BA58">
        <v>12.7</v>
      </c>
    </row>
    <row r="59" spans="1:53" x14ac:dyDescent="0.25">
      <c r="A59" s="50">
        <v>13118872</v>
      </c>
    </row>
    <row r="60" spans="1:53" x14ac:dyDescent="0.25">
      <c r="A60" s="50">
        <v>12012030</v>
      </c>
    </row>
    <row r="61" spans="1:53" x14ac:dyDescent="0.25">
      <c r="A61" s="50"/>
    </row>
    <row r="62" spans="1:53" x14ac:dyDescent="0.25">
      <c r="A62" s="52" t="s">
        <v>120</v>
      </c>
    </row>
    <row r="63" spans="1:53" x14ac:dyDescent="0.25">
      <c r="A63" s="50">
        <v>9074418</v>
      </c>
    </row>
    <row r="64" spans="1:53" x14ac:dyDescent="0.25">
      <c r="A64" s="50">
        <v>1263</v>
      </c>
    </row>
    <row r="65" spans="1:53" x14ac:dyDescent="0.25">
      <c r="A65" s="50">
        <v>98004910</v>
      </c>
    </row>
    <row r="66" spans="1:53" x14ac:dyDescent="0.25">
      <c r="A66" s="50">
        <v>7103068</v>
      </c>
    </row>
    <row r="67" spans="1:53" x14ac:dyDescent="0.25">
      <c r="A67" s="50">
        <v>11240728</v>
      </c>
    </row>
    <row r="68" spans="1:53" x14ac:dyDescent="0.25"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  <c r="AG68" s="7"/>
      <c r="AH68" s="7"/>
      <c r="AI68" s="7"/>
      <c r="AJ68" s="7"/>
      <c r="AK68" s="7"/>
      <c r="AL68" s="7"/>
      <c r="AM68" s="7"/>
      <c r="AN68" s="7"/>
      <c r="AO68" s="7"/>
      <c r="AP68" s="7"/>
      <c r="AQ68" s="7"/>
      <c r="AR68" s="7"/>
      <c r="AS68" s="7"/>
      <c r="AT68" s="7"/>
      <c r="AU68" s="7"/>
      <c r="AV68" s="7"/>
      <c r="AW68" s="7"/>
      <c r="AX68" s="7"/>
      <c r="AY68" s="7"/>
      <c r="AZ68" s="7"/>
      <c r="BA68" s="7"/>
    </row>
    <row r="69" spans="1:53" x14ac:dyDescent="0.25">
      <c r="A69" s="26" t="s">
        <v>170</v>
      </c>
    </row>
    <row r="70" spans="1:53" x14ac:dyDescent="0.25">
      <c r="A70" s="10" t="s">
        <v>143</v>
      </c>
    </row>
    <row r="71" spans="1:53" x14ac:dyDescent="0.25">
      <c r="A71" s="50">
        <v>5015869</v>
      </c>
    </row>
    <row r="72" spans="1:53" x14ac:dyDescent="0.25">
      <c r="A72" s="50">
        <v>5016969</v>
      </c>
      <c r="W72">
        <v>8.1999999999999993</v>
      </c>
    </row>
    <row r="73" spans="1:53" x14ac:dyDescent="0.25">
      <c r="A73" s="50">
        <v>6023231</v>
      </c>
    </row>
    <row r="74" spans="1:53" x14ac:dyDescent="0.25">
      <c r="A74" s="50">
        <v>6010712</v>
      </c>
      <c r="V74">
        <v>7.3</v>
      </c>
    </row>
    <row r="75" spans="1:53" x14ac:dyDescent="0.25">
      <c r="A75" s="50">
        <v>6011198</v>
      </c>
      <c r="V75">
        <v>4.5999999999999996</v>
      </c>
    </row>
    <row r="76" spans="1:53" x14ac:dyDescent="0.25">
      <c r="A76" s="50">
        <v>6012681</v>
      </c>
      <c r="U76">
        <v>11.2</v>
      </c>
      <c r="W76">
        <v>8.1</v>
      </c>
      <c r="X76">
        <v>6.6</v>
      </c>
      <c r="Y76">
        <v>8.5</v>
      </c>
      <c r="AJ76">
        <v>11.7</v>
      </c>
    </row>
    <row r="77" spans="1:53" x14ac:dyDescent="0.25">
      <c r="A77" s="50">
        <v>6014511</v>
      </c>
    </row>
    <row r="78" spans="1:53" x14ac:dyDescent="0.25">
      <c r="A78" s="50">
        <v>6045127</v>
      </c>
    </row>
    <row r="79" spans="1:53" x14ac:dyDescent="0.25">
      <c r="A79" s="50">
        <v>7000458</v>
      </c>
    </row>
    <row r="80" spans="1:53" x14ac:dyDescent="0.25">
      <c r="A80" s="50">
        <v>7015502</v>
      </c>
    </row>
    <row r="81" spans="1:42" x14ac:dyDescent="0.25">
      <c r="A81" s="50">
        <v>7025847</v>
      </c>
    </row>
    <row r="82" spans="1:42" x14ac:dyDescent="0.25">
      <c r="A82" s="50">
        <v>7082707</v>
      </c>
    </row>
    <row r="83" spans="1:42" x14ac:dyDescent="0.25">
      <c r="A83" s="50">
        <v>7083159</v>
      </c>
    </row>
    <row r="84" spans="1:42" x14ac:dyDescent="0.25">
      <c r="A84" s="50">
        <v>7084659</v>
      </c>
    </row>
    <row r="85" spans="1:42" x14ac:dyDescent="0.25">
      <c r="A85" s="50">
        <v>7076814</v>
      </c>
      <c r="E85">
        <v>10.3</v>
      </c>
      <c r="W85">
        <v>7.7</v>
      </c>
      <c r="X85">
        <v>7.3</v>
      </c>
      <c r="AO85">
        <v>8.8000000000000007</v>
      </c>
    </row>
    <row r="86" spans="1:42" x14ac:dyDescent="0.25">
      <c r="A86" s="50">
        <v>7076815</v>
      </c>
      <c r="F86">
        <v>19.3368</v>
      </c>
      <c r="J86">
        <v>11.9244</v>
      </c>
      <c r="W86">
        <v>8.8627000000000002</v>
      </c>
      <c r="AE86">
        <v>10.4741</v>
      </c>
      <c r="AL86">
        <v>12.246600000000001</v>
      </c>
    </row>
    <row r="87" spans="1:42" x14ac:dyDescent="0.25">
      <c r="A87" s="50">
        <v>7089231</v>
      </c>
      <c r="V87">
        <v>9.3000000000000007</v>
      </c>
    </row>
    <row r="88" spans="1:42" x14ac:dyDescent="0.25">
      <c r="A88" s="50">
        <v>7116004</v>
      </c>
    </row>
    <row r="89" spans="1:42" x14ac:dyDescent="0.25">
      <c r="A89" s="50">
        <v>8003819</v>
      </c>
    </row>
    <row r="90" spans="1:42" x14ac:dyDescent="0.25">
      <c r="A90" s="50">
        <v>8091779</v>
      </c>
      <c r="V90" s="50"/>
    </row>
    <row r="91" spans="1:42" x14ac:dyDescent="0.25">
      <c r="A91" s="50">
        <v>8097989</v>
      </c>
    </row>
    <row r="92" spans="1:42" x14ac:dyDescent="0.25">
      <c r="A92" s="50">
        <v>8112522</v>
      </c>
    </row>
    <row r="93" spans="1:42" x14ac:dyDescent="0.25">
      <c r="A93" s="50">
        <v>8127397</v>
      </c>
      <c r="V93">
        <v>2.6</v>
      </c>
    </row>
    <row r="94" spans="1:42" x14ac:dyDescent="0.25">
      <c r="A94" s="50">
        <v>8130998</v>
      </c>
    </row>
    <row r="95" spans="1:42" x14ac:dyDescent="0.25">
      <c r="A95" s="50">
        <v>9002836</v>
      </c>
    </row>
    <row r="96" spans="1:42" x14ac:dyDescent="0.25">
      <c r="A96" s="50">
        <v>9003331</v>
      </c>
      <c r="AP96">
        <v>16.5974</v>
      </c>
    </row>
    <row r="97" spans="1:44" x14ac:dyDescent="0.25">
      <c r="A97" s="50">
        <v>9003370</v>
      </c>
      <c r="W97">
        <v>14.293100000000001</v>
      </c>
    </row>
    <row r="98" spans="1:44" x14ac:dyDescent="0.25">
      <c r="A98" s="50">
        <v>9016278</v>
      </c>
      <c r="B98" s="3">
        <v>11.9244</v>
      </c>
      <c r="C98" s="3"/>
      <c r="P98" s="3">
        <v>12.246600000000001</v>
      </c>
      <c r="Q98" s="3"/>
      <c r="R98" s="3"/>
      <c r="S98" s="3"/>
      <c r="T98" s="3"/>
      <c r="Y98" s="3">
        <v>11.2798</v>
      </c>
    </row>
    <row r="99" spans="1:44" x14ac:dyDescent="0.25">
      <c r="A99" s="50">
        <v>9030684</v>
      </c>
      <c r="W99">
        <v>7.1</v>
      </c>
      <c r="X99">
        <v>8.9</v>
      </c>
      <c r="AH99">
        <v>11.3</v>
      </c>
    </row>
    <row r="100" spans="1:44" x14ac:dyDescent="0.25">
      <c r="A100" s="50">
        <v>9031387</v>
      </c>
      <c r="AP100">
        <v>14.2</v>
      </c>
    </row>
    <row r="101" spans="1:44" x14ac:dyDescent="0.25">
      <c r="A101" s="50">
        <v>9038676</v>
      </c>
      <c r="W101" s="3">
        <v>14.986000000000001</v>
      </c>
      <c r="Y101" s="3">
        <v>13.374599999999999</v>
      </c>
    </row>
    <row r="102" spans="1:44" x14ac:dyDescent="0.25">
      <c r="A102" s="50">
        <v>9039416</v>
      </c>
      <c r="Z102" s="3">
        <v>10.1518</v>
      </c>
      <c r="AA102">
        <v>9.0237999999999996</v>
      </c>
      <c r="AH102" s="3">
        <v>8.5404</v>
      </c>
      <c r="AI102" s="3"/>
      <c r="AR102" s="3">
        <v>9.8294999999999995</v>
      </c>
    </row>
    <row r="103" spans="1:44" x14ac:dyDescent="0.25">
      <c r="A103" s="50">
        <v>9042861</v>
      </c>
    </row>
    <row r="104" spans="1:44" x14ac:dyDescent="0.25">
      <c r="A104" s="50">
        <v>9044899</v>
      </c>
      <c r="O104">
        <v>11.9</v>
      </c>
      <c r="U104">
        <v>10.8</v>
      </c>
      <c r="W104">
        <v>12.6</v>
      </c>
      <c r="Y104">
        <v>12.5</v>
      </c>
      <c r="AE104">
        <v>12.7</v>
      </c>
    </row>
    <row r="105" spans="1:44" x14ac:dyDescent="0.25">
      <c r="A105" s="50">
        <v>9052398</v>
      </c>
      <c r="W105" s="3">
        <v>12.1983</v>
      </c>
    </row>
    <row r="106" spans="1:44" x14ac:dyDescent="0.25">
      <c r="A106" s="50">
        <v>9085204</v>
      </c>
    </row>
    <row r="107" spans="1:44" x14ac:dyDescent="0.25">
      <c r="A107" s="50">
        <v>9090323</v>
      </c>
    </row>
    <row r="108" spans="1:44" x14ac:dyDescent="0.25">
      <c r="A108" s="50">
        <v>9105492</v>
      </c>
    </row>
    <row r="109" spans="1:44" x14ac:dyDescent="0.25">
      <c r="A109" s="50">
        <v>9138470</v>
      </c>
    </row>
    <row r="110" spans="1:44" x14ac:dyDescent="0.25">
      <c r="A110" s="50">
        <v>9150676</v>
      </c>
    </row>
    <row r="111" spans="1:44" x14ac:dyDescent="0.25">
      <c r="A111" s="50">
        <v>10010926</v>
      </c>
      <c r="W111" s="3">
        <v>10.313000000000001</v>
      </c>
      <c r="X111" s="3">
        <v>9.3460999999999999</v>
      </c>
      <c r="Y111" s="3">
        <v>9.3460999999999999</v>
      </c>
      <c r="AE111" s="3">
        <v>8.2180999999999997</v>
      </c>
      <c r="AI111" s="3">
        <v>10.9575</v>
      </c>
      <c r="AK111">
        <v>9.8294999999999995</v>
      </c>
    </row>
    <row r="112" spans="1:44" x14ac:dyDescent="0.25">
      <c r="A112" s="50">
        <v>10016588</v>
      </c>
    </row>
    <row r="113" spans="1:48" x14ac:dyDescent="0.25">
      <c r="A113" s="50">
        <v>10030897</v>
      </c>
      <c r="I113">
        <v>12.9</v>
      </c>
      <c r="W113">
        <v>12.4</v>
      </c>
      <c r="AB113">
        <v>13.1</v>
      </c>
      <c r="AJ113">
        <v>14</v>
      </c>
    </row>
    <row r="114" spans="1:48" x14ac:dyDescent="0.25">
      <c r="A114" s="50">
        <v>324</v>
      </c>
      <c r="W114">
        <v>15.3</v>
      </c>
    </row>
    <row r="115" spans="1:48" x14ac:dyDescent="0.25">
      <c r="A115" s="50">
        <v>3909</v>
      </c>
      <c r="AA115">
        <v>12.9</v>
      </c>
      <c r="AV115">
        <v>14.7</v>
      </c>
    </row>
    <row r="116" spans="1:48" x14ac:dyDescent="0.25">
      <c r="A116" s="50">
        <v>4663</v>
      </c>
    </row>
    <row r="117" spans="1:48" x14ac:dyDescent="0.25">
      <c r="A117" s="50">
        <v>1005522</v>
      </c>
      <c r="G117">
        <v>15.2</v>
      </c>
      <c r="K117">
        <v>15.2</v>
      </c>
      <c r="W117">
        <v>15.4</v>
      </c>
      <c r="AE117">
        <v>15</v>
      </c>
      <c r="AK117">
        <v>14.9</v>
      </c>
    </row>
    <row r="118" spans="1:48" x14ac:dyDescent="0.25">
      <c r="A118" s="50">
        <v>1007631</v>
      </c>
      <c r="X118">
        <v>14</v>
      </c>
    </row>
    <row r="119" spans="1:48" x14ac:dyDescent="0.25">
      <c r="A119" s="50">
        <v>1009760</v>
      </c>
      <c r="Z119">
        <v>13.8</v>
      </c>
      <c r="AF119">
        <v>13.6</v>
      </c>
      <c r="AH119">
        <v>13.7</v>
      </c>
      <c r="AL119">
        <v>13.9</v>
      </c>
    </row>
    <row r="120" spans="1:48" x14ac:dyDescent="0.25">
      <c r="A120" s="50">
        <v>2000646</v>
      </c>
    </row>
    <row r="121" spans="1:48" x14ac:dyDescent="0.25">
      <c r="A121" s="50">
        <v>2003761</v>
      </c>
      <c r="W121">
        <v>6</v>
      </c>
    </row>
    <row r="122" spans="1:48" x14ac:dyDescent="0.25">
      <c r="A122" s="50">
        <v>2004061</v>
      </c>
    </row>
    <row r="123" spans="1:48" x14ac:dyDescent="0.25">
      <c r="A123" s="50">
        <v>2006469</v>
      </c>
    </row>
    <row r="124" spans="1:48" x14ac:dyDescent="0.25">
      <c r="A124" s="50">
        <v>3005132</v>
      </c>
      <c r="W124">
        <v>11.5</v>
      </c>
    </row>
    <row r="125" spans="1:48" x14ac:dyDescent="0.25">
      <c r="A125" s="50">
        <v>3009119</v>
      </c>
    </row>
    <row r="126" spans="1:48" x14ac:dyDescent="0.25">
      <c r="A126" s="50">
        <v>3009936</v>
      </c>
    </row>
    <row r="127" spans="1:48" x14ac:dyDescent="0.25">
      <c r="A127" s="50">
        <v>3011094</v>
      </c>
      <c r="W127">
        <v>18.2</v>
      </c>
      <c r="Y127">
        <v>15.9</v>
      </c>
    </row>
    <row r="128" spans="1:48" x14ac:dyDescent="0.25">
      <c r="A128" s="50">
        <v>3014643</v>
      </c>
    </row>
    <row r="129" spans="1:49" x14ac:dyDescent="0.25">
      <c r="A129" s="50">
        <v>3016056</v>
      </c>
      <c r="W129">
        <v>13.3</v>
      </c>
    </row>
    <row r="130" spans="1:49" x14ac:dyDescent="0.25">
      <c r="A130" s="50">
        <v>3900219</v>
      </c>
    </row>
    <row r="131" spans="1:49" x14ac:dyDescent="0.25">
      <c r="A131" s="50">
        <v>4000158</v>
      </c>
    </row>
    <row r="132" spans="1:49" x14ac:dyDescent="0.25">
      <c r="A132" s="50">
        <v>4000304</v>
      </c>
    </row>
    <row r="133" spans="1:49" x14ac:dyDescent="0.25">
      <c r="A133" s="50">
        <v>4001905</v>
      </c>
    </row>
    <row r="134" spans="1:49" x14ac:dyDescent="0.25">
      <c r="A134" s="50">
        <v>4002206</v>
      </c>
      <c r="W134" s="3">
        <v>16.500699999999998</v>
      </c>
      <c r="AB134" s="3">
        <v>14.696</v>
      </c>
      <c r="AC134" s="3"/>
      <c r="AD134" s="3"/>
    </row>
    <row r="135" spans="1:49" x14ac:dyDescent="0.25">
      <c r="A135" s="50">
        <v>4002715</v>
      </c>
    </row>
    <row r="136" spans="1:49" x14ac:dyDescent="0.25">
      <c r="A136" s="50">
        <v>4003924</v>
      </c>
    </row>
    <row r="137" spans="1:49" x14ac:dyDescent="0.25">
      <c r="A137" s="50">
        <v>4006051</v>
      </c>
      <c r="W137">
        <v>11.6</v>
      </c>
      <c r="AC137">
        <v>3.3</v>
      </c>
    </row>
    <row r="138" spans="1:49" x14ac:dyDescent="0.25">
      <c r="A138" s="50">
        <v>4008140</v>
      </c>
      <c r="V138">
        <v>12</v>
      </c>
    </row>
    <row r="139" spans="1:49" x14ac:dyDescent="0.25">
      <c r="A139" s="50">
        <v>4009906</v>
      </c>
      <c r="X139">
        <v>13.4</v>
      </c>
      <c r="AS139">
        <v>12.1</v>
      </c>
      <c r="AW139">
        <v>12.9</v>
      </c>
    </row>
    <row r="140" spans="1:49" x14ac:dyDescent="0.25">
      <c r="A140" s="50">
        <v>4011027</v>
      </c>
      <c r="X140" s="3">
        <v>8.0570000000000004</v>
      </c>
      <c r="Y140" s="3">
        <v>9.5073000000000008</v>
      </c>
      <c r="Z140" s="3">
        <v>10.635199999999999</v>
      </c>
      <c r="AD140" s="3">
        <v>10.9575</v>
      </c>
      <c r="AK140" s="3">
        <v>11.440899999999999</v>
      </c>
    </row>
    <row r="141" spans="1:49" x14ac:dyDescent="0.25">
      <c r="A141" s="50">
        <v>4011920</v>
      </c>
    </row>
    <row r="142" spans="1:49" x14ac:dyDescent="0.25">
      <c r="A142" s="50">
        <v>4012248</v>
      </c>
    </row>
    <row r="143" spans="1:49" x14ac:dyDescent="0.25">
      <c r="A143" s="50">
        <v>4013603</v>
      </c>
    </row>
    <row r="144" spans="1:49" x14ac:dyDescent="0.25">
      <c r="A144" s="50">
        <v>5004654</v>
      </c>
      <c r="X144" s="3">
        <v>11.6988</v>
      </c>
      <c r="Z144">
        <v>10.200200000000001</v>
      </c>
      <c r="AA144" s="3">
        <v>9.2655999999999992</v>
      </c>
      <c r="AB144" s="3">
        <v>12.101599999999999</v>
      </c>
      <c r="AC144" s="3">
        <v>11.2959</v>
      </c>
      <c r="AE144" s="3">
        <v>11.6988</v>
      </c>
      <c r="AG144" s="3">
        <v>11.3926</v>
      </c>
      <c r="AK144" s="3">
        <v>11.5054</v>
      </c>
    </row>
    <row r="145" spans="1:43" x14ac:dyDescent="0.25">
      <c r="A145" s="54"/>
    </row>
    <row r="146" spans="1:43" x14ac:dyDescent="0.25">
      <c r="A146" s="52" t="s">
        <v>146</v>
      </c>
    </row>
    <row r="147" spans="1:43" x14ac:dyDescent="0.25">
      <c r="A147" s="50">
        <v>4289</v>
      </c>
    </row>
    <row r="148" spans="1:43" x14ac:dyDescent="0.25">
      <c r="A148" s="50">
        <v>500245</v>
      </c>
      <c r="W148" s="3">
        <v>12.7301</v>
      </c>
      <c r="Z148" s="3">
        <v>12.0855</v>
      </c>
      <c r="AF148" s="3">
        <v>13.858000000000001</v>
      </c>
    </row>
    <row r="149" spans="1:43" x14ac:dyDescent="0.25">
      <c r="A149" s="50">
        <v>2002573</v>
      </c>
      <c r="T149" s="3"/>
      <c r="AD149" s="3">
        <v>13.858000000000001</v>
      </c>
    </row>
    <row r="150" spans="1:43" x14ac:dyDescent="0.25">
      <c r="A150" s="50">
        <v>2003539</v>
      </c>
    </row>
    <row r="151" spans="1:43" x14ac:dyDescent="0.25">
      <c r="A151" s="50">
        <v>2003649</v>
      </c>
    </row>
    <row r="152" spans="1:43" x14ac:dyDescent="0.25">
      <c r="A152" s="50">
        <v>2005572</v>
      </c>
      <c r="W152" s="3">
        <v>15.1472</v>
      </c>
      <c r="Y152" s="3">
        <v>15.630599999999999</v>
      </c>
      <c r="AB152" s="3">
        <v>14.986000000000001</v>
      </c>
    </row>
    <row r="153" spans="1:43" x14ac:dyDescent="0.25">
      <c r="A153" s="50">
        <v>2013117</v>
      </c>
    </row>
    <row r="154" spans="1:43" x14ac:dyDescent="0.25">
      <c r="A154" s="50">
        <v>3009633</v>
      </c>
      <c r="AK154" s="3">
        <v>14.293100000000001</v>
      </c>
      <c r="AO154" s="3">
        <v>14.599299999999999</v>
      </c>
      <c r="AQ154" s="3">
        <v>14.0031</v>
      </c>
    </row>
    <row r="155" spans="1:43" x14ac:dyDescent="0.25">
      <c r="A155" s="50">
        <v>3010583</v>
      </c>
    </row>
    <row r="156" spans="1:43" x14ac:dyDescent="0.25">
      <c r="A156" s="23">
        <v>3011892</v>
      </c>
      <c r="AF156" s="3">
        <v>14.502599999999999</v>
      </c>
    </row>
    <row r="157" spans="1:43" x14ac:dyDescent="0.25">
      <c r="A157">
        <v>4001382</v>
      </c>
    </row>
    <row r="158" spans="1:43" x14ac:dyDescent="0.25">
      <c r="A158" s="50">
        <v>5018675</v>
      </c>
    </row>
    <row r="159" spans="1:43" x14ac:dyDescent="0.25">
      <c r="A159" s="50">
        <v>6050168</v>
      </c>
    </row>
    <row r="160" spans="1:43" x14ac:dyDescent="0.25">
      <c r="A160" s="50">
        <v>5006592</v>
      </c>
    </row>
    <row r="161" spans="1:40" x14ac:dyDescent="0.25">
      <c r="A161" s="50">
        <v>5007274</v>
      </c>
    </row>
    <row r="162" spans="1:40" x14ac:dyDescent="0.25">
      <c r="A162" s="50">
        <v>5015851</v>
      </c>
    </row>
    <row r="163" spans="1:40" x14ac:dyDescent="0.25">
      <c r="A163" s="50">
        <v>6015647</v>
      </c>
      <c r="W163">
        <v>16</v>
      </c>
      <c r="Y163">
        <v>15.2</v>
      </c>
      <c r="Z163">
        <v>14.5</v>
      </c>
      <c r="AC163">
        <v>15.2</v>
      </c>
      <c r="AF163">
        <v>14.7</v>
      </c>
      <c r="AK163">
        <v>13.5</v>
      </c>
      <c r="AN163">
        <v>13.6</v>
      </c>
    </row>
    <row r="164" spans="1:40" x14ac:dyDescent="0.25">
      <c r="A164" s="50">
        <v>6056633</v>
      </c>
      <c r="V164" s="50"/>
    </row>
    <row r="165" spans="1:40" x14ac:dyDescent="0.25">
      <c r="A165" s="50">
        <v>7086224</v>
      </c>
      <c r="AG165">
        <v>13.29</v>
      </c>
    </row>
    <row r="166" spans="1:40" x14ac:dyDescent="0.25">
      <c r="A166" s="50">
        <v>8040959</v>
      </c>
    </row>
    <row r="167" spans="1:40" x14ac:dyDescent="0.25">
      <c r="A167" s="50">
        <v>8107048</v>
      </c>
    </row>
    <row r="168" spans="1:40" x14ac:dyDescent="0.25">
      <c r="A168" s="50">
        <v>8124044</v>
      </c>
    </row>
    <row r="169" spans="1:40" x14ac:dyDescent="0.25">
      <c r="A169" s="50">
        <v>8142949</v>
      </c>
    </row>
    <row r="170" spans="1:40" x14ac:dyDescent="0.25">
      <c r="A170" s="50">
        <v>9023306</v>
      </c>
    </row>
    <row r="171" spans="1:40" x14ac:dyDescent="0.25">
      <c r="A171" s="50">
        <v>9030615</v>
      </c>
      <c r="Z171">
        <v>13.91</v>
      </c>
      <c r="AF171">
        <v>13.6</v>
      </c>
    </row>
    <row r="172" spans="1:40" x14ac:dyDescent="0.25">
      <c r="A172" s="50">
        <v>9034464</v>
      </c>
      <c r="L172">
        <v>23.69</v>
      </c>
      <c r="Q172">
        <v>14.82</v>
      </c>
      <c r="W172">
        <v>7.9</v>
      </c>
      <c r="Y172">
        <v>8.3800000000000008</v>
      </c>
      <c r="AA172">
        <v>9.1</v>
      </c>
      <c r="AB172">
        <v>10.31</v>
      </c>
      <c r="AC172">
        <v>11.76</v>
      </c>
    </row>
    <row r="173" spans="1:40" x14ac:dyDescent="0.25">
      <c r="A173" s="50">
        <v>9040167</v>
      </c>
      <c r="T173">
        <v>13.86</v>
      </c>
    </row>
    <row r="174" spans="1:40" x14ac:dyDescent="0.25">
      <c r="A174" s="50">
        <v>9054567</v>
      </c>
    </row>
    <row r="175" spans="1:40" x14ac:dyDescent="0.25">
      <c r="A175" s="50">
        <v>9083682</v>
      </c>
      <c r="V175">
        <v>15.5</v>
      </c>
    </row>
    <row r="176" spans="1:40" x14ac:dyDescent="0.25">
      <c r="A176" s="50">
        <v>9102044</v>
      </c>
    </row>
    <row r="177" spans="1:35" x14ac:dyDescent="0.25">
      <c r="A177" s="50">
        <v>9119854</v>
      </c>
    </row>
    <row r="178" spans="1:35" x14ac:dyDescent="0.25">
      <c r="A178" s="50">
        <v>9125126</v>
      </c>
    </row>
    <row r="179" spans="1:35" x14ac:dyDescent="0.25">
      <c r="A179" s="50">
        <v>9174811</v>
      </c>
    </row>
    <row r="180" spans="1:35" x14ac:dyDescent="0.25">
      <c r="A180" s="50">
        <v>10002875</v>
      </c>
    </row>
    <row r="181" spans="1:35" x14ac:dyDescent="0.25">
      <c r="A181" s="50">
        <v>10023080</v>
      </c>
    </row>
    <row r="182" spans="1:35" x14ac:dyDescent="0.25">
      <c r="A182" s="50">
        <v>10025212</v>
      </c>
    </row>
    <row r="183" spans="1:35" x14ac:dyDescent="0.25">
      <c r="A183" s="50">
        <v>10069407</v>
      </c>
    </row>
    <row r="184" spans="1:35" x14ac:dyDescent="0.25">
      <c r="A184" s="50">
        <v>10071135</v>
      </c>
      <c r="AI184">
        <v>16.59</v>
      </c>
    </row>
    <row r="185" spans="1:35" x14ac:dyDescent="0.25">
      <c r="A185" s="50">
        <v>10083649</v>
      </c>
    </row>
    <row r="186" spans="1:35" x14ac:dyDescent="0.25">
      <c r="A186" s="50">
        <v>10102021</v>
      </c>
    </row>
    <row r="187" spans="1:35" x14ac:dyDescent="0.25">
      <c r="A187" s="50">
        <v>10123729</v>
      </c>
    </row>
    <row r="188" spans="1:35" x14ac:dyDescent="0.25">
      <c r="A188" s="50">
        <v>10144736</v>
      </c>
    </row>
    <row r="189" spans="1:35" x14ac:dyDescent="0.25">
      <c r="A189" s="50">
        <v>10157275</v>
      </c>
    </row>
    <row r="190" spans="1:35" x14ac:dyDescent="0.25">
      <c r="A190" s="54"/>
    </row>
    <row r="191" spans="1:35" x14ac:dyDescent="0.25">
      <c r="A191" s="52" t="s">
        <v>120</v>
      </c>
    </row>
    <row r="192" spans="1:35" x14ac:dyDescent="0.25">
      <c r="A192" s="50">
        <v>5281</v>
      </c>
    </row>
    <row r="193" spans="1:40" x14ac:dyDescent="0.25">
      <c r="A193" s="50">
        <v>200085</v>
      </c>
    </row>
    <row r="194" spans="1:40" x14ac:dyDescent="0.25">
      <c r="A194" s="50">
        <v>500129</v>
      </c>
    </row>
    <row r="195" spans="1:40" x14ac:dyDescent="0.25">
      <c r="A195" s="53">
        <v>1002033</v>
      </c>
    </row>
    <row r="196" spans="1:40" x14ac:dyDescent="0.25">
      <c r="A196" s="50">
        <v>1003457</v>
      </c>
    </row>
    <row r="197" spans="1:40" x14ac:dyDescent="0.25">
      <c r="A197" s="50">
        <v>2005223</v>
      </c>
      <c r="AN197">
        <v>8.1</v>
      </c>
    </row>
    <row r="198" spans="1:40" x14ac:dyDescent="0.25">
      <c r="A198" s="50">
        <v>2006107</v>
      </c>
    </row>
    <row r="199" spans="1:40" x14ac:dyDescent="0.25">
      <c r="A199" s="50">
        <v>2012014</v>
      </c>
      <c r="N199">
        <v>13.4</v>
      </c>
      <c r="Z199">
        <v>10.8</v>
      </c>
    </row>
    <row r="200" spans="1:40" x14ac:dyDescent="0.25">
      <c r="A200" s="50">
        <v>3000152</v>
      </c>
      <c r="V200">
        <v>9.1999999999999993</v>
      </c>
    </row>
    <row r="201" spans="1:40" x14ac:dyDescent="0.25">
      <c r="A201" s="50">
        <v>3014566</v>
      </c>
    </row>
    <row r="202" spans="1:40" x14ac:dyDescent="0.25">
      <c r="A202" s="50">
        <v>3015058</v>
      </c>
      <c r="N202">
        <v>11.4</v>
      </c>
      <c r="O202" s="14">
        <v>11.25</v>
      </c>
      <c r="P202">
        <v>10</v>
      </c>
      <c r="R202">
        <v>10.199999999999999</v>
      </c>
      <c r="X202">
        <v>10.4</v>
      </c>
      <c r="Y202">
        <v>11.2</v>
      </c>
      <c r="AC202">
        <v>10.199999999999999</v>
      </c>
      <c r="AE202">
        <v>10.9</v>
      </c>
    </row>
    <row r="203" spans="1:40" x14ac:dyDescent="0.25">
      <c r="A203" s="53">
        <v>4000996</v>
      </c>
      <c r="X203">
        <v>12.9</v>
      </c>
    </row>
    <row r="204" spans="1:40" x14ac:dyDescent="0.25">
      <c r="A204" s="50">
        <v>4003768</v>
      </c>
    </row>
    <row r="205" spans="1:40" x14ac:dyDescent="0.25">
      <c r="A205" s="50">
        <v>4006540</v>
      </c>
      <c r="AG205" s="3">
        <v>14.3415</v>
      </c>
      <c r="AN205" s="3">
        <v>14.502599999999999</v>
      </c>
    </row>
    <row r="206" spans="1:40" x14ac:dyDescent="0.25">
      <c r="A206" s="50">
        <v>4007054</v>
      </c>
      <c r="AA206" s="3">
        <v>13.696899999999999</v>
      </c>
    </row>
    <row r="207" spans="1:40" x14ac:dyDescent="0.25">
      <c r="A207" s="50">
        <v>4011002</v>
      </c>
      <c r="W207" s="3">
        <v>14.8249</v>
      </c>
      <c r="X207" s="3">
        <v>13.2135</v>
      </c>
      <c r="AB207" s="3">
        <v>13.5358</v>
      </c>
      <c r="AE207" s="3">
        <v>13.37462</v>
      </c>
    </row>
    <row r="208" spans="1:40" x14ac:dyDescent="0.25">
      <c r="A208" s="50">
        <v>4900268</v>
      </c>
    </row>
    <row r="209" spans="1:36" x14ac:dyDescent="0.25">
      <c r="A209" s="50">
        <v>5001097</v>
      </c>
      <c r="P209">
        <v>13.7</v>
      </c>
      <c r="Q209">
        <v>13.4</v>
      </c>
      <c r="W209">
        <v>13.4</v>
      </c>
      <c r="AE209">
        <v>14.3</v>
      </c>
    </row>
    <row r="210" spans="1:36" x14ac:dyDescent="0.25">
      <c r="A210" s="50">
        <v>5001098</v>
      </c>
      <c r="M210">
        <v>14.3</v>
      </c>
      <c r="O210">
        <v>14.1</v>
      </c>
      <c r="P210">
        <v>14.1</v>
      </c>
    </row>
    <row r="211" spans="1:36" x14ac:dyDescent="0.25">
      <c r="A211" s="50">
        <v>5006152</v>
      </c>
    </row>
    <row r="212" spans="1:36" x14ac:dyDescent="0.25">
      <c r="A212" s="50">
        <v>6012361</v>
      </c>
    </row>
    <row r="213" spans="1:36" x14ac:dyDescent="0.25">
      <c r="A213" s="50">
        <v>6015793</v>
      </c>
    </row>
    <row r="214" spans="1:36" x14ac:dyDescent="0.25">
      <c r="A214" s="50">
        <v>6043619</v>
      </c>
    </row>
    <row r="215" spans="1:36" x14ac:dyDescent="0.25">
      <c r="A215" s="50">
        <v>7001097</v>
      </c>
    </row>
    <row r="216" spans="1:36" x14ac:dyDescent="0.25">
      <c r="A216" s="50">
        <v>7011435</v>
      </c>
      <c r="W216" s="3">
        <v>13</v>
      </c>
      <c r="Y216" s="3">
        <v>11.1</v>
      </c>
      <c r="AC216">
        <v>12.1</v>
      </c>
    </row>
    <row r="217" spans="1:36" x14ac:dyDescent="0.25">
      <c r="A217" s="50">
        <v>7045811</v>
      </c>
      <c r="Z217" s="50"/>
      <c r="AA217" s="50"/>
      <c r="AB217" s="50"/>
      <c r="AC217" s="50"/>
    </row>
    <row r="218" spans="1:36" x14ac:dyDescent="0.25">
      <c r="A218" s="50">
        <v>7071198</v>
      </c>
      <c r="Z218" s="50"/>
      <c r="AA218" s="53"/>
      <c r="AB218" s="50"/>
      <c r="AC218" s="50"/>
    </row>
    <row r="219" spans="1:36" x14ac:dyDescent="0.25">
      <c r="A219" s="50">
        <v>7101143</v>
      </c>
      <c r="Z219" s="50"/>
      <c r="AA219" s="50"/>
      <c r="AB219" s="50"/>
      <c r="AC219" s="50"/>
    </row>
    <row r="220" spans="1:36" x14ac:dyDescent="0.25">
      <c r="A220" s="50">
        <v>8073350</v>
      </c>
      <c r="Z220" s="50"/>
      <c r="AA220" s="50"/>
      <c r="AB220" s="50"/>
      <c r="AC220" s="50"/>
    </row>
    <row r="221" spans="1:36" x14ac:dyDescent="0.25">
      <c r="A221" s="50">
        <v>8073645</v>
      </c>
      <c r="X221">
        <v>9.9</v>
      </c>
    </row>
    <row r="222" spans="1:36" x14ac:dyDescent="0.25">
      <c r="A222" s="53">
        <v>8089666</v>
      </c>
      <c r="S222">
        <v>11</v>
      </c>
      <c r="T222" s="14">
        <v>9.4666666666666597</v>
      </c>
      <c r="U222">
        <v>12.5</v>
      </c>
      <c r="W222" s="14">
        <v>86</v>
      </c>
      <c r="X222">
        <v>98</v>
      </c>
    </row>
    <row r="223" spans="1:36" x14ac:dyDescent="0.25">
      <c r="A223" s="50">
        <v>8103536</v>
      </c>
      <c r="V223">
        <v>12.3</v>
      </c>
    </row>
    <row r="224" spans="1:36" x14ac:dyDescent="0.25">
      <c r="A224" s="50">
        <v>8124816</v>
      </c>
      <c r="W224">
        <v>13.5</v>
      </c>
      <c r="Z224">
        <v>12.4</v>
      </c>
      <c r="AD224">
        <v>13.1</v>
      </c>
      <c r="AJ224">
        <v>13.2</v>
      </c>
    </row>
    <row r="225" spans="1:29" x14ac:dyDescent="0.25">
      <c r="A225" s="50">
        <v>9003267</v>
      </c>
    </row>
    <row r="226" spans="1:29" x14ac:dyDescent="0.25">
      <c r="A226" s="50">
        <v>9036964</v>
      </c>
      <c r="X226">
        <v>15.79</v>
      </c>
    </row>
    <row r="227" spans="1:29" x14ac:dyDescent="0.25">
      <c r="A227" s="50">
        <v>9090287</v>
      </c>
      <c r="Y227">
        <v>13.21</v>
      </c>
      <c r="Z227">
        <v>11.76</v>
      </c>
      <c r="AB227">
        <v>12.41</v>
      </c>
      <c r="AC227">
        <v>12.09</v>
      </c>
    </row>
    <row r="228" spans="1:29" x14ac:dyDescent="0.25">
      <c r="A228" s="50">
        <v>9095148</v>
      </c>
    </row>
    <row r="229" spans="1:29" x14ac:dyDescent="0.25">
      <c r="A229" s="50">
        <v>9104979</v>
      </c>
    </row>
    <row r="230" spans="1:29" x14ac:dyDescent="0.25">
      <c r="A230" s="50">
        <v>9139514</v>
      </c>
    </row>
    <row r="231" spans="1:29" x14ac:dyDescent="0.25">
      <c r="A231" s="50">
        <v>10020659</v>
      </c>
    </row>
    <row r="232" spans="1:29" x14ac:dyDescent="0.25">
      <c r="A232" s="50">
        <v>10025902</v>
      </c>
    </row>
    <row r="233" spans="1:29" x14ac:dyDescent="0.25">
      <c r="A233" s="50">
        <v>10027654</v>
      </c>
    </row>
    <row r="234" spans="1:29" x14ac:dyDescent="0.25">
      <c r="A234" s="50">
        <v>10084485</v>
      </c>
    </row>
    <row r="235" spans="1:29" x14ac:dyDescent="0.25">
      <c r="A235" s="50">
        <v>10098420</v>
      </c>
    </row>
    <row r="236" spans="1:29" x14ac:dyDescent="0.25">
      <c r="A236" s="50">
        <v>10129565</v>
      </c>
    </row>
    <row r="237" spans="1:29" x14ac:dyDescent="0.25">
      <c r="A237" s="50">
        <v>10146828</v>
      </c>
    </row>
    <row r="238" spans="1:29" x14ac:dyDescent="0.25">
      <c r="A238">
        <v>10163776</v>
      </c>
    </row>
    <row r="239" spans="1:29" x14ac:dyDescent="0.25">
      <c r="A239">
        <v>10173664</v>
      </c>
      <c r="Z239">
        <v>15.9</v>
      </c>
    </row>
  </sheetData>
  <conditionalFormatting sqref="A19">
    <cfRule type="duplicateValues" dxfId="24" priority="1"/>
  </conditionalFormatting>
  <pageMargins left="0.7" right="0.7" top="0.78740157499999996" bottom="0.78740157499999996" header="0.3" footer="0.3"/>
  <tableParts count="1">
    <tablePart r:id="rId1"/>
  </tablePart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6"/>
  <sheetViews>
    <sheetView workbookViewId="0">
      <selection activeCell="F35" sqref="F35"/>
    </sheetView>
  </sheetViews>
  <sheetFormatPr defaultColWidth="11.42578125" defaultRowHeight="15" x14ac:dyDescent="0.25"/>
  <cols>
    <col min="1" max="1" width="17.28515625" bestFit="1" customWidth="1"/>
    <col min="2" max="2" width="5.7109375" bestFit="1" customWidth="1"/>
    <col min="3" max="3" width="81.140625" bestFit="1" customWidth="1"/>
    <col min="4" max="4" width="30.28515625" bestFit="1" customWidth="1"/>
  </cols>
  <sheetData>
    <row r="1" spans="1:4" x14ac:dyDescent="0.25">
      <c r="A1" s="66" t="s">
        <v>59</v>
      </c>
      <c r="B1" s="66" t="s">
        <v>3012</v>
      </c>
      <c r="C1" s="66" t="s">
        <v>2564</v>
      </c>
      <c r="D1" s="66" t="s">
        <v>2523</v>
      </c>
    </row>
    <row r="2" spans="1:4" x14ac:dyDescent="0.25">
      <c r="A2" s="66">
        <v>7072184</v>
      </c>
      <c r="B2" s="66" t="s">
        <v>3012</v>
      </c>
      <c r="C2" s="66" t="s">
        <v>1457</v>
      </c>
      <c r="D2" s="66">
        <v>1</v>
      </c>
    </row>
    <row r="3" spans="1:4" x14ac:dyDescent="0.25">
      <c r="A3" s="66">
        <v>14242856</v>
      </c>
      <c r="B3" s="66" t="s">
        <v>3012</v>
      </c>
      <c r="C3" s="66" t="s">
        <v>1457</v>
      </c>
      <c r="D3" s="66">
        <v>1</v>
      </c>
    </row>
    <row r="4" spans="1:4" x14ac:dyDescent="0.25">
      <c r="A4" s="66">
        <v>3000983</v>
      </c>
      <c r="B4" s="66" t="s">
        <v>3012</v>
      </c>
      <c r="C4" s="66" t="s">
        <v>3013</v>
      </c>
      <c r="D4" s="66">
        <v>3</v>
      </c>
    </row>
    <row r="5" spans="1:4" x14ac:dyDescent="0.25">
      <c r="A5" s="66">
        <v>1003215</v>
      </c>
      <c r="B5" s="66" t="s">
        <v>3012</v>
      </c>
      <c r="C5" s="66" t="s">
        <v>1457</v>
      </c>
      <c r="D5" s="66">
        <v>1</v>
      </c>
    </row>
    <row r="6" spans="1:4" x14ac:dyDescent="0.25">
      <c r="A6" s="66">
        <v>96018835</v>
      </c>
      <c r="B6" s="66" t="s">
        <v>3012</v>
      </c>
      <c r="C6" s="66" t="s">
        <v>3014</v>
      </c>
      <c r="D6" s="66">
        <v>8</v>
      </c>
    </row>
    <row r="7" spans="1:4" x14ac:dyDescent="0.25">
      <c r="A7" s="66">
        <v>6016435</v>
      </c>
      <c r="B7" s="66" t="s">
        <v>3012</v>
      </c>
      <c r="C7" s="66" t="s">
        <v>1443</v>
      </c>
      <c r="D7" s="66">
        <v>1</v>
      </c>
    </row>
    <row r="8" spans="1:4" x14ac:dyDescent="0.25">
      <c r="A8" s="66">
        <v>10023001</v>
      </c>
      <c r="B8" s="66" t="s">
        <v>3012</v>
      </c>
      <c r="C8" s="66" t="s">
        <v>1457</v>
      </c>
      <c r="D8" s="66">
        <v>1</v>
      </c>
    </row>
    <row r="9" spans="1:4" x14ac:dyDescent="0.25">
      <c r="A9" s="66">
        <v>14222171</v>
      </c>
      <c r="B9" s="66" t="s">
        <v>3012</v>
      </c>
      <c r="C9" s="66" t="s">
        <v>1457</v>
      </c>
      <c r="D9" s="66">
        <v>1</v>
      </c>
    </row>
    <row r="10" spans="1:4" x14ac:dyDescent="0.25">
      <c r="A10" s="66">
        <v>1006143</v>
      </c>
      <c r="B10" s="66" t="s">
        <v>3012</v>
      </c>
      <c r="C10" s="66" t="s">
        <v>1457</v>
      </c>
      <c r="D10" s="66">
        <v>1</v>
      </c>
    </row>
    <row r="11" spans="1:4" x14ac:dyDescent="0.25">
      <c r="A11" s="66">
        <v>9140312</v>
      </c>
      <c r="B11" s="66" t="s">
        <v>3012</v>
      </c>
      <c r="C11" s="66" t="s">
        <v>91</v>
      </c>
      <c r="D11" s="66">
        <v>1</v>
      </c>
    </row>
    <row r="12" spans="1:4" x14ac:dyDescent="0.25">
      <c r="A12" s="66">
        <v>12088444</v>
      </c>
      <c r="B12" s="66" t="s">
        <v>3012</v>
      </c>
      <c r="C12" s="66" t="s">
        <v>3015</v>
      </c>
      <c r="D12" s="66">
        <v>4</v>
      </c>
    </row>
    <row r="13" spans="1:4" x14ac:dyDescent="0.25">
      <c r="A13" s="66">
        <v>5016969</v>
      </c>
      <c r="B13" s="66" t="s">
        <v>3012</v>
      </c>
      <c r="C13" s="66" t="s">
        <v>1458</v>
      </c>
      <c r="D13" s="66">
        <v>1</v>
      </c>
    </row>
    <row r="14" spans="1:4" x14ac:dyDescent="0.25">
      <c r="A14" s="66">
        <v>6010712</v>
      </c>
      <c r="B14" s="66" t="s">
        <v>3012</v>
      </c>
      <c r="C14" s="66" t="s">
        <v>1457</v>
      </c>
      <c r="D14" s="66">
        <v>1</v>
      </c>
    </row>
    <row r="15" spans="1:4" x14ac:dyDescent="0.25">
      <c r="A15" s="66">
        <v>6011198</v>
      </c>
      <c r="B15" s="66" t="s">
        <v>3012</v>
      </c>
      <c r="C15" s="66" t="s">
        <v>1457</v>
      </c>
      <c r="D15" s="66">
        <v>1</v>
      </c>
    </row>
    <row r="16" spans="1:4" x14ac:dyDescent="0.25">
      <c r="A16" s="66">
        <v>6012681</v>
      </c>
      <c r="B16" s="66" t="s">
        <v>3012</v>
      </c>
      <c r="C16" s="66" t="s">
        <v>3016</v>
      </c>
      <c r="D16" s="66">
        <v>5</v>
      </c>
    </row>
    <row r="17" spans="1:4" x14ac:dyDescent="0.25">
      <c r="A17" s="66">
        <v>7076814</v>
      </c>
      <c r="B17" s="66" t="s">
        <v>3012</v>
      </c>
      <c r="C17" s="66" t="s">
        <v>3017</v>
      </c>
      <c r="D17" s="66">
        <v>4</v>
      </c>
    </row>
    <row r="18" spans="1:4" x14ac:dyDescent="0.25">
      <c r="A18" s="66">
        <v>7076815</v>
      </c>
      <c r="B18" s="66" t="s">
        <v>3012</v>
      </c>
      <c r="C18" s="66" t="s">
        <v>3018</v>
      </c>
      <c r="D18" s="66">
        <v>5</v>
      </c>
    </row>
    <row r="19" spans="1:4" x14ac:dyDescent="0.25">
      <c r="A19" s="66">
        <v>7089231</v>
      </c>
      <c r="B19" s="66" t="s">
        <v>3012</v>
      </c>
      <c r="C19" s="66" t="s">
        <v>1457</v>
      </c>
      <c r="D19" s="66">
        <v>1</v>
      </c>
    </row>
    <row r="20" spans="1:4" x14ac:dyDescent="0.25">
      <c r="A20" s="66">
        <v>8127397</v>
      </c>
      <c r="B20" s="66" t="s">
        <v>3012</v>
      </c>
      <c r="C20" s="66" t="s">
        <v>1457</v>
      </c>
      <c r="D20" s="66">
        <v>1</v>
      </c>
    </row>
    <row r="21" spans="1:4" x14ac:dyDescent="0.25">
      <c r="A21" s="66">
        <v>9003331</v>
      </c>
      <c r="B21" s="66" t="s">
        <v>3012</v>
      </c>
      <c r="C21" s="66" t="s">
        <v>815</v>
      </c>
      <c r="D21" s="66">
        <v>1</v>
      </c>
    </row>
    <row r="22" spans="1:4" x14ac:dyDescent="0.25">
      <c r="A22" s="66">
        <v>9003370</v>
      </c>
      <c r="B22" s="66" t="s">
        <v>3012</v>
      </c>
      <c r="C22" s="66" t="s">
        <v>1458</v>
      </c>
      <c r="D22" s="66">
        <v>1</v>
      </c>
    </row>
    <row r="23" spans="1:4" x14ac:dyDescent="0.25">
      <c r="A23" s="66">
        <v>9016278</v>
      </c>
      <c r="B23" s="66" t="s">
        <v>3012</v>
      </c>
      <c r="C23" s="66" t="s">
        <v>3019</v>
      </c>
      <c r="D23" s="66">
        <v>3</v>
      </c>
    </row>
    <row r="24" spans="1:4" x14ac:dyDescent="0.25">
      <c r="A24" s="66">
        <v>9030684</v>
      </c>
      <c r="B24" s="66" t="s">
        <v>3012</v>
      </c>
      <c r="C24" s="66" t="s">
        <v>3020</v>
      </c>
      <c r="D24" s="66">
        <v>3</v>
      </c>
    </row>
    <row r="25" spans="1:4" x14ac:dyDescent="0.25">
      <c r="A25" s="66">
        <v>9031387</v>
      </c>
      <c r="B25" s="66" t="s">
        <v>3012</v>
      </c>
      <c r="C25" s="66" t="s">
        <v>815</v>
      </c>
      <c r="D25" s="66">
        <v>1</v>
      </c>
    </row>
    <row r="26" spans="1:4" x14ac:dyDescent="0.25">
      <c r="A26" s="66">
        <v>9038676</v>
      </c>
      <c r="B26" s="66" t="s">
        <v>3012</v>
      </c>
      <c r="C26" s="66" t="s">
        <v>3021</v>
      </c>
      <c r="D26" s="66">
        <v>2</v>
      </c>
    </row>
    <row r="27" spans="1:4" x14ac:dyDescent="0.25">
      <c r="A27" s="66">
        <v>9039416</v>
      </c>
      <c r="B27" s="66" t="s">
        <v>3012</v>
      </c>
      <c r="C27" s="66" t="s">
        <v>3022</v>
      </c>
      <c r="D27" s="66">
        <v>4</v>
      </c>
    </row>
    <row r="28" spans="1:4" x14ac:dyDescent="0.25">
      <c r="A28" s="66">
        <v>9044899</v>
      </c>
      <c r="B28" s="66" t="s">
        <v>3012</v>
      </c>
      <c r="C28" s="66" t="s">
        <v>3023</v>
      </c>
      <c r="D28" s="66">
        <v>5</v>
      </c>
    </row>
    <row r="29" spans="1:4" x14ac:dyDescent="0.25">
      <c r="A29" s="66">
        <v>9052398</v>
      </c>
      <c r="B29" s="66" t="s">
        <v>3012</v>
      </c>
      <c r="C29" s="66" t="s">
        <v>1458</v>
      </c>
      <c r="D29" s="66">
        <v>1</v>
      </c>
    </row>
    <row r="30" spans="1:4" x14ac:dyDescent="0.25">
      <c r="A30" s="66">
        <v>10010926</v>
      </c>
      <c r="B30" s="66" t="s">
        <v>3012</v>
      </c>
      <c r="C30" s="66" t="s">
        <v>3024</v>
      </c>
      <c r="D30" s="66">
        <v>6</v>
      </c>
    </row>
    <row r="31" spans="1:4" x14ac:dyDescent="0.25">
      <c r="A31" s="66">
        <v>10030897</v>
      </c>
      <c r="B31" s="66" t="s">
        <v>3012</v>
      </c>
      <c r="C31" s="66" t="s">
        <v>3025</v>
      </c>
      <c r="D31" s="66">
        <v>4</v>
      </c>
    </row>
    <row r="32" spans="1:4" x14ac:dyDescent="0.25">
      <c r="A32" s="66">
        <v>324</v>
      </c>
      <c r="B32" s="66" t="s">
        <v>3012</v>
      </c>
      <c r="C32" s="66" t="s">
        <v>1458</v>
      </c>
      <c r="D32" s="66">
        <v>1</v>
      </c>
    </row>
    <row r="33" spans="1:4" x14ac:dyDescent="0.25">
      <c r="A33" s="66">
        <v>3909</v>
      </c>
      <c r="B33" s="66" t="s">
        <v>3012</v>
      </c>
      <c r="C33" s="66" t="s">
        <v>3026</v>
      </c>
      <c r="D33" s="66">
        <v>2</v>
      </c>
    </row>
    <row r="34" spans="1:4" x14ac:dyDescent="0.25">
      <c r="A34" s="66">
        <v>1005522</v>
      </c>
      <c r="B34" s="66" t="s">
        <v>3012</v>
      </c>
      <c r="C34" s="66" t="s">
        <v>3027</v>
      </c>
      <c r="D34" s="66">
        <v>5</v>
      </c>
    </row>
    <row r="35" spans="1:4" x14ac:dyDescent="0.25">
      <c r="A35" s="66">
        <v>1007631</v>
      </c>
      <c r="B35" s="66" t="s">
        <v>3012</v>
      </c>
      <c r="C35" s="66" t="s">
        <v>1443</v>
      </c>
      <c r="D35" s="66">
        <v>1</v>
      </c>
    </row>
    <row r="36" spans="1:4" x14ac:dyDescent="0.25">
      <c r="A36" s="66">
        <v>1009760</v>
      </c>
      <c r="B36" s="66" t="s">
        <v>3012</v>
      </c>
      <c r="C36" s="66" t="s">
        <v>3028</v>
      </c>
      <c r="D36" s="66">
        <v>4</v>
      </c>
    </row>
    <row r="37" spans="1:4" x14ac:dyDescent="0.25">
      <c r="A37" s="66">
        <v>2003761</v>
      </c>
      <c r="B37" s="66" t="s">
        <v>3012</v>
      </c>
      <c r="C37" s="66" t="s">
        <v>1458</v>
      </c>
      <c r="D37" s="66">
        <v>1</v>
      </c>
    </row>
    <row r="38" spans="1:4" x14ac:dyDescent="0.25">
      <c r="A38" s="66">
        <v>3005132</v>
      </c>
      <c r="B38" s="66" t="s">
        <v>3012</v>
      </c>
      <c r="C38" s="66" t="s">
        <v>1458</v>
      </c>
      <c r="D38" s="66">
        <v>1</v>
      </c>
    </row>
    <row r="39" spans="1:4" x14ac:dyDescent="0.25">
      <c r="A39" s="66">
        <v>3011094</v>
      </c>
      <c r="B39" s="66" t="s">
        <v>3012</v>
      </c>
      <c r="C39" s="66" t="s">
        <v>3021</v>
      </c>
      <c r="D39" s="66">
        <v>2</v>
      </c>
    </row>
    <row r="40" spans="1:4" x14ac:dyDescent="0.25">
      <c r="A40" s="66">
        <v>3016056</v>
      </c>
      <c r="B40" s="66" t="s">
        <v>3012</v>
      </c>
      <c r="C40" s="66" t="s">
        <v>1458</v>
      </c>
      <c r="D40" s="66">
        <v>1</v>
      </c>
    </row>
    <row r="41" spans="1:4" x14ac:dyDescent="0.25">
      <c r="A41" s="66">
        <v>4002206</v>
      </c>
      <c r="B41" s="66" t="s">
        <v>3012</v>
      </c>
      <c r="C41" s="66" t="s">
        <v>3029</v>
      </c>
      <c r="D41" s="66">
        <v>2</v>
      </c>
    </row>
    <row r="42" spans="1:4" x14ac:dyDescent="0.25">
      <c r="A42" s="66">
        <v>4006051</v>
      </c>
      <c r="B42" s="66" t="s">
        <v>3012</v>
      </c>
      <c r="C42" s="66" t="s">
        <v>3030</v>
      </c>
      <c r="D42" s="66">
        <v>2</v>
      </c>
    </row>
    <row r="43" spans="1:4" x14ac:dyDescent="0.25">
      <c r="A43" s="66">
        <v>4008140</v>
      </c>
      <c r="B43" s="66" t="s">
        <v>3012</v>
      </c>
      <c r="C43" s="66" t="s">
        <v>1457</v>
      </c>
      <c r="D43" s="66">
        <v>1</v>
      </c>
    </row>
    <row r="44" spans="1:4" x14ac:dyDescent="0.25">
      <c r="A44" s="66">
        <v>4009906</v>
      </c>
      <c r="B44" s="66" t="s">
        <v>3012</v>
      </c>
      <c r="C44" s="66" t="s">
        <v>3031</v>
      </c>
      <c r="D44" s="66">
        <v>3</v>
      </c>
    </row>
    <row r="45" spans="1:4" x14ac:dyDescent="0.25">
      <c r="A45" s="66">
        <v>4011027</v>
      </c>
      <c r="B45" s="66" t="s">
        <v>3012</v>
      </c>
      <c r="C45" s="66" t="s">
        <v>3032</v>
      </c>
      <c r="D45" s="66">
        <v>5</v>
      </c>
    </row>
    <row r="46" spans="1:4" x14ac:dyDescent="0.25">
      <c r="A46" s="66">
        <v>5004654</v>
      </c>
      <c r="B46" s="66" t="s">
        <v>3012</v>
      </c>
      <c r="C46" s="66" t="s">
        <v>3033</v>
      </c>
      <c r="D46" s="66">
        <v>8</v>
      </c>
    </row>
    <row r="47" spans="1:4" x14ac:dyDescent="0.25">
      <c r="A47" s="66">
        <v>500245</v>
      </c>
      <c r="B47" s="66" t="s">
        <v>3012</v>
      </c>
      <c r="C47" s="66" t="s">
        <v>3034</v>
      </c>
      <c r="D47" s="66">
        <v>3</v>
      </c>
    </row>
    <row r="48" spans="1:4" x14ac:dyDescent="0.25">
      <c r="A48" s="66">
        <v>2002573</v>
      </c>
      <c r="B48" s="66" t="s">
        <v>3012</v>
      </c>
      <c r="C48" s="66" t="s">
        <v>1237</v>
      </c>
      <c r="D48" s="66">
        <v>1</v>
      </c>
    </row>
    <row r="49" spans="1:4" x14ac:dyDescent="0.25">
      <c r="A49" s="66">
        <v>2005572</v>
      </c>
      <c r="B49" s="66" t="s">
        <v>3012</v>
      </c>
      <c r="C49" s="66" t="s">
        <v>3035</v>
      </c>
      <c r="D49" s="66">
        <v>3</v>
      </c>
    </row>
    <row r="50" spans="1:4" x14ac:dyDescent="0.25">
      <c r="A50" s="66">
        <v>3009633</v>
      </c>
      <c r="B50" s="66" t="s">
        <v>3012</v>
      </c>
      <c r="C50" s="66" t="s">
        <v>3036</v>
      </c>
      <c r="D50" s="66">
        <v>3</v>
      </c>
    </row>
    <row r="51" spans="1:4" x14ac:dyDescent="0.25">
      <c r="A51">
        <v>3011892</v>
      </c>
      <c r="B51" s="66" t="s">
        <v>3012</v>
      </c>
      <c r="C51" t="s">
        <v>607</v>
      </c>
      <c r="D51">
        <v>1</v>
      </c>
    </row>
    <row r="52" spans="1:4" x14ac:dyDescent="0.25">
      <c r="A52">
        <v>6015647</v>
      </c>
      <c r="B52" s="66" t="s">
        <v>3012</v>
      </c>
      <c r="C52" t="s">
        <v>3037</v>
      </c>
      <c r="D52">
        <v>7</v>
      </c>
    </row>
    <row r="53" spans="1:4" x14ac:dyDescent="0.25">
      <c r="A53">
        <v>7086224</v>
      </c>
      <c r="B53" s="66" t="s">
        <v>3012</v>
      </c>
      <c r="C53" t="s">
        <v>1243</v>
      </c>
      <c r="D53">
        <v>1</v>
      </c>
    </row>
    <row r="54" spans="1:4" x14ac:dyDescent="0.25">
      <c r="A54">
        <v>9030615</v>
      </c>
      <c r="B54" s="66" t="s">
        <v>3012</v>
      </c>
      <c r="C54" t="s">
        <v>3038</v>
      </c>
      <c r="D54">
        <v>2</v>
      </c>
    </row>
    <row r="55" spans="1:4" x14ac:dyDescent="0.25">
      <c r="A55">
        <v>9034464</v>
      </c>
      <c r="B55" s="66" t="s">
        <v>3012</v>
      </c>
      <c r="C55" t="s">
        <v>3039</v>
      </c>
      <c r="D55">
        <v>7</v>
      </c>
    </row>
    <row r="56" spans="1:4" x14ac:dyDescent="0.25">
      <c r="A56">
        <v>9040167</v>
      </c>
      <c r="B56" s="66" t="s">
        <v>3012</v>
      </c>
      <c r="C56" t="s">
        <v>1998</v>
      </c>
      <c r="D56">
        <v>1</v>
      </c>
    </row>
    <row r="57" spans="1:4" x14ac:dyDescent="0.25">
      <c r="A57">
        <v>9083682</v>
      </c>
      <c r="B57" s="66" t="s">
        <v>3012</v>
      </c>
      <c r="C57" t="s">
        <v>1457</v>
      </c>
      <c r="D57">
        <v>1</v>
      </c>
    </row>
    <row r="58" spans="1:4" x14ac:dyDescent="0.25">
      <c r="A58">
        <v>10071135</v>
      </c>
      <c r="B58" s="66" t="s">
        <v>3012</v>
      </c>
      <c r="C58" t="s">
        <v>1446</v>
      </c>
      <c r="D58">
        <v>1</v>
      </c>
    </row>
    <row r="59" spans="1:4" x14ac:dyDescent="0.25">
      <c r="A59">
        <v>2005223</v>
      </c>
      <c r="B59" s="66" t="s">
        <v>3012</v>
      </c>
      <c r="C59" t="s">
        <v>1827</v>
      </c>
      <c r="D59">
        <v>1</v>
      </c>
    </row>
    <row r="60" spans="1:4" x14ac:dyDescent="0.25">
      <c r="A60">
        <v>2012014</v>
      </c>
      <c r="B60" s="66" t="s">
        <v>3012</v>
      </c>
      <c r="C60" t="s">
        <v>3040</v>
      </c>
      <c r="D60">
        <v>2</v>
      </c>
    </row>
    <row r="61" spans="1:4" x14ac:dyDescent="0.25">
      <c r="A61">
        <v>3000152</v>
      </c>
      <c r="B61" s="66" t="s">
        <v>3012</v>
      </c>
      <c r="C61" t="s">
        <v>1457</v>
      </c>
      <c r="D61">
        <v>1</v>
      </c>
    </row>
    <row r="62" spans="1:4" x14ac:dyDescent="0.25">
      <c r="A62">
        <v>3015058</v>
      </c>
      <c r="B62" s="66" t="s">
        <v>3012</v>
      </c>
      <c r="C62" t="s">
        <v>3041</v>
      </c>
      <c r="D62">
        <v>8</v>
      </c>
    </row>
    <row r="63" spans="1:4" x14ac:dyDescent="0.25">
      <c r="A63">
        <v>4000996</v>
      </c>
      <c r="B63" s="66" t="s">
        <v>3012</v>
      </c>
      <c r="C63" t="s">
        <v>1443</v>
      </c>
      <c r="D63">
        <v>1</v>
      </c>
    </row>
    <row r="64" spans="1:4" x14ac:dyDescent="0.25">
      <c r="A64">
        <v>4006540</v>
      </c>
      <c r="B64" s="66" t="s">
        <v>3012</v>
      </c>
      <c r="C64" t="s">
        <v>3042</v>
      </c>
      <c r="D64">
        <v>2</v>
      </c>
    </row>
    <row r="65" spans="1:4" x14ac:dyDescent="0.25">
      <c r="A65">
        <v>4007054</v>
      </c>
      <c r="B65" s="66" t="s">
        <v>3012</v>
      </c>
      <c r="C65" t="s">
        <v>1444</v>
      </c>
      <c r="D65">
        <v>1</v>
      </c>
    </row>
    <row r="66" spans="1:4" x14ac:dyDescent="0.25">
      <c r="A66">
        <v>4011002</v>
      </c>
      <c r="B66" s="66" t="s">
        <v>3012</v>
      </c>
      <c r="C66" t="s">
        <v>3043</v>
      </c>
      <c r="D66">
        <v>4</v>
      </c>
    </row>
    <row r="67" spans="1:4" x14ac:dyDescent="0.25">
      <c r="A67">
        <v>5001097</v>
      </c>
      <c r="B67" s="66" t="s">
        <v>3012</v>
      </c>
      <c r="C67" t="s">
        <v>3044</v>
      </c>
      <c r="D67">
        <v>4</v>
      </c>
    </row>
    <row r="68" spans="1:4" x14ac:dyDescent="0.25">
      <c r="A68">
        <v>5001098</v>
      </c>
      <c r="B68" s="66" t="s">
        <v>3012</v>
      </c>
      <c r="C68" t="s">
        <v>3045</v>
      </c>
      <c r="D68">
        <v>3</v>
      </c>
    </row>
    <row r="69" spans="1:4" x14ac:dyDescent="0.25">
      <c r="A69">
        <v>7011435</v>
      </c>
      <c r="B69" s="66" t="s">
        <v>3012</v>
      </c>
      <c r="C69" t="s">
        <v>3046</v>
      </c>
      <c r="D69">
        <v>3</v>
      </c>
    </row>
    <row r="70" spans="1:4" x14ac:dyDescent="0.25">
      <c r="A70">
        <v>8073645</v>
      </c>
      <c r="B70" s="66" t="s">
        <v>3012</v>
      </c>
      <c r="C70" t="s">
        <v>1443</v>
      </c>
      <c r="D70">
        <v>1</v>
      </c>
    </row>
    <row r="71" spans="1:4" x14ac:dyDescent="0.25">
      <c r="A71">
        <v>8089666</v>
      </c>
      <c r="B71" s="66" t="s">
        <v>3012</v>
      </c>
      <c r="C71" t="s">
        <v>3047</v>
      </c>
      <c r="D71">
        <v>5</v>
      </c>
    </row>
    <row r="72" spans="1:4" x14ac:dyDescent="0.25">
      <c r="A72">
        <v>8103536</v>
      </c>
      <c r="B72" s="66" t="s">
        <v>3012</v>
      </c>
      <c r="C72" t="s">
        <v>1457</v>
      </c>
      <c r="D72">
        <v>1</v>
      </c>
    </row>
    <row r="73" spans="1:4" x14ac:dyDescent="0.25">
      <c r="A73">
        <v>8124816</v>
      </c>
      <c r="B73" s="66" t="s">
        <v>3012</v>
      </c>
      <c r="C73" t="s">
        <v>3048</v>
      </c>
      <c r="D73">
        <v>4</v>
      </c>
    </row>
    <row r="74" spans="1:4" x14ac:dyDescent="0.25">
      <c r="A74">
        <v>9036964</v>
      </c>
      <c r="B74" s="66" t="s">
        <v>3012</v>
      </c>
      <c r="C74" t="s">
        <v>1443</v>
      </c>
      <c r="D74">
        <v>1</v>
      </c>
    </row>
    <row r="75" spans="1:4" x14ac:dyDescent="0.25">
      <c r="A75">
        <v>9090287</v>
      </c>
      <c r="B75" s="66" t="s">
        <v>3012</v>
      </c>
      <c r="C75" t="s">
        <v>3049</v>
      </c>
      <c r="D75">
        <v>4</v>
      </c>
    </row>
    <row r="76" spans="1:4" x14ac:dyDescent="0.25">
      <c r="A76">
        <v>10173664</v>
      </c>
      <c r="B76" s="66" t="s">
        <v>3012</v>
      </c>
      <c r="C76" t="s">
        <v>92</v>
      </c>
      <c r="D76">
        <v>1</v>
      </c>
    </row>
  </sheetData>
  <phoneticPr fontId="6" type="noConversion"/>
  <pageMargins left="0.7" right="0.7" top="0.78740157499999996" bottom="0.78740157499999996" header="0.3" footer="0.3"/>
  <tableParts count="1">
    <tablePart r:id="rId1"/>
  </tablePart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L239"/>
  <sheetViews>
    <sheetView tabSelected="1" zoomScale="60" zoomScaleNormal="60" workbookViewId="0">
      <selection activeCell="B1" sqref="B1:B1048576"/>
    </sheetView>
  </sheetViews>
  <sheetFormatPr defaultColWidth="11.42578125" defaultRowHeight="15" x14ac:dyDescent="0.25"/>
  <cols>
    <col min="1" max="1" width="17.140625" customWidth="1"/>
    <col min="2" max="2" width="34.42578125" customWidth="1"/>
    <col min="3" max="4" width="36.7109375" customWidth="1"/>
    <col min="5" max="5" width="42.140625" customWidth="1"/>
    <col min="6" max="6" width="14" customWidth="1"/>
    <col min="7" max="8" width="13.5703125" customWidth="1"/>
    <col min="9" max="9" width="21.140625" customWidth="1"/>
    <col min="10" max="11" width="13.5703125" customWidth="1"/>
    <col min="12" max="12" width="16.140625" customWidth="1"/>
    <col min="13" max="13" width="23.7109375" customWidth="1"/>
    <col min="14" max="16" width="16.140625" customWidth="1"/>
    <col min="17" max="17" width="23.7109375" customWidth="1"/>
    <col min="18" max="20" width="16.140625" customWidth="1"/>
    <col min="21" max="21" width="26.42578125" customWidth="1"/>
    <col min="22" max="22" width="45.42578125" customWidth="1"/>
    <col min="23" max="24" width="44.42578125" customWidth="1"/>
    <col min="25" max="26" width="37.7109375" customWidth="1"/>
    <col min="27" max="27" width="36.7109375" customWidth="1"/>
    <col min="28" max="28" width="37.7109375" customWidth="1"/>
    <col min="29" max="31" width="36.7109375" customWidth="1"/>
    <col min="32" max="32" width="43.42578125" customWidth="1"/>
    <col min="33" max="33" width="37.7109375" customWidth="1"/>
    <col min="34" max="34" width="36.7109375" customWidth="1"/>
    <col min="35" max="35" width="35.42578125" customWidth="1"/>
    <col min="36" max="36" width="27.85546875" customWidth="1"/>
    <col min="37" max="37" width="18.28515625" customWidth="1"/>
    <col min="38" max="38" width="14.5703125" customWidth="1"/>
    <col min="39" max="39" width="21.140625" customWidth="1"/>
    <col min="40" max="40" width="13.5703125" customWidth="1"/>
    <col min="41" max="42" width="14.5703125" customWidth="1"/>
    <col min="43" max="43" width="23.7109375" customWidth="1"/>
    <col min="44" max="44" width="16.140625" customWidth="1"/>
    <col min="45" max="45" width="17.140625" customWidth="1"/>
    <col min="46" max="46" width="16.140625" customWidth="1"/>
    <col min="47" max="47" width="23.7109375" customWidth="1"/>
    <col min="48" max="48" width="17.140625" customWidth="1"/>
    <col min="49" max="50" width="16.140625" customWidth="1"/>
    <col min="51" max="51" width="23.7109375" customWidth="1"/>
    <col min="52" max="53" width="18.140625" customWidth="1"/>
    <col min="54" max="55" width="16.140625" customWidth="1"/>
    <col min="56" max="56" width="23.7109375" customWidth="1"/>
    <col min="57" max="57" width="18.140625" customWidth="1"/>
    <col min="58" max="60" width="16.140625" customWidth="1"/>
    <col min="61" max="61" width="23.7109375" customWidth="1"/>
    <col min="62" max="63" width="18.85546875" customWidth="1"/>
    <col min="64" max="64" width="26.42578125" customWidth="1"/>
    <col min="65" max="83" width="18.85546875" customWidth="1"/>
    <col min="84" max="84" width="26.42578125" customWidth="1"/>
    <col min="85" max="88" width="18.85546875" customWidth="1"/>
    <col min="89" max="89" width="37.28515625" customWidth="1"/>
    <col min="90" max="90" width="42.7109375" customWidth="1"/>
  </cols>
  <sheetData>
    <row r="1" spans="1:90" ht="90" x14ac:dyDescent="0.25">
      <c r="A1" s="61" t="s">
        <v>59</v>
      </c>
      <c r="B1" s="62" t="s">
        <v>658</v>
      </c>
      <c r="C1" s="62" t="s">
        <v>851</v>
      </c>
      <c r="D1" s="62" t="s">
        <v>852</v>
      </c>
      <c r="E1" s="63" t="s">
        <v>1455</v>
      </c>
      <c r="F1" s="62" t="s">
        <v>911</v>
      </c>
      <c r="G1" s="62" t="s">
        <v>1178</v>
      </c>
      <c r="H1" s="62" t="s">
        <v>1179</v>
      </c>
      <c r="I1" s="62" t="s">
        <v>1459</v>
      </c>
      <c r="J1" s="62" t="s">
        <v>1181</v>
      </c>
      <c r="K1" s="62" t="s">
        <v>1182</v>
      </c>
      <c r="L1" s="62" t="s">
        <v>1287</v>
      </c>
      <c r="M1" s="62" t="s">
        <v>1460</v>
      </c>
      <c r="N1" s="62" t="s">
        <v>808</v>
      </c>
      <c r="O1" s="62" t="s">
        <v>103</v>
      </c>
      <c r="P1" s="62" t="s">
        <v>809</v>
      </c>
      <c r="Q1" s="62" t="s">
        <v>1461</v>
      </c>
      <c r="R1" s="62" t="s">
        <v>34</v>
      </c>
      <c r="S1" s="62" t="s">
        <v>1453</v>
      </c>
      <c r="T1" s="62" t="s">
        <v>1454</v>
      </c>
      <c r="U1" s="62" t="s">
        <v>1462</v>
      </c>
      <c r="V1" s="62" t="s">
        <v>2418</v>
      </c>
      <c r="W1" s="62" t="s">
        <v>2355</v>
      </c>
      <c r="X1" s="62" t="s">
        <v>1463</v>
      </c>
      <c r="Y1" s="62" t="s">
        <v>1771</v>
      </c>
      <c r="Z1" s="62" t="s">
        <v>1857</v>
      </c>
      <c r="AA1" s="62" t="s">
        <v>1896</v>
      </c>
      <c r="AB1" s="62" t="s">
        <v>3050</v>
      </c>
      <c r="AC1" s="62" t="s">
        <v>1962</v>
      </c>
      <c r="AD1" s="62" t="s">
        <v>1918</v>
      </c>
      <c r="AE1" s="62" t="s">
        <v>1990</v>
      </c>
      <c r="AF1" s="62" t="s">
        <v>1464</v>
      </c>
      <c r="AG1" s="62" t="s">
        <v>3051</v>
      </c>
      <c r="AH1" s="62" t="s">
        <v>2308</v>
      </c>
      <c r="AI1" s="62" t="s">
        <v>3052</v>
      </c>
      <c r="AJ1" s="63" t="s">
        <v>1456</v>
      </c>
      <c r="AK1" s="62" t="s">
        <v>858</v>
      </c>
      <c r="AL1" s="62" t="s">
        <v>3053</v>
      </c>
      <c r="AM1" s="62" t="s">
        <v>1465</v>
      </c>
      <c r="AN1" s="62" t="s">
        <v>1180</v>
      </c>
      <c r="AO1" s="62" t="s">
        <v>3054</v>
      </c>
      <c r="AP1" s="62" t="s">
        <v>3055</v>
      </c>
      <c r="AQ1" s="62" t="s">
        <v>1466</v>
      </c>
      <c r="AR1" s="62" t="s">
        <v>102</v>
      </c>
      <c r="AS1" s="62" t="s">
        <v>3056</v>
      </c>
      <c r="AT1" s="62" t="s">
        <v>1183</v>
      </c>
      <c r="AU1" s="62" t="s">
        <v>1467</v>
      </c>
      <c r="AV1" s="62" t="s">
        <v>3057</v>
      </c>
      <c r="AW1" s="62" t="s">
        <v>165</v>
      </c>
      <c r="AX1" s="62" t="s">
        <v>1184</v>
      </c>
      <c r="AY1" s="62" t="s">
        <v>1468</v>
      </c>
      <c r="AZ1" s="62" t="s">
        <v>3058</v>
      </c>
      <c r="BA1" s="62" t="s">
        <v>3059</v>
      </c>
      <c r="BB1" s="62" t="s">
        <v>1306</v>
      </c>
      <c r="BC1" s="62" t="s">
        <v>1185</v>
      </c>
      <c r="BD1" s="62" t="s">
        <v>1469</v>
      </c>
      <c r="BE1" s="62" t="s">
        <v>3060</v>
      </c>
      <c r="BF1" s="62" t="s">
        <v>1307</v>
      </c>
      <c r="BG1" s="62" t="s">
        <v>1314</v>
      </c>
      <c r="BH1" s="62" t="s">
        <v>1187</v>
      </c>
      <c r="BI1" s="62" t="s">
        <v>1470</v>
      </c>
      <c r="BJ1" s="62" t="s">
        <v>1202</v>
      </c>
      <c r="BK1" s="62" t="s">
        <v>2196</v>
      </c>
      <c r="BL1" s="62" t="s">
        <v>1471</v>
      </c>
      <c r="BM1" s="62" t="s">
        <v>1815</v>
      </c>
      <c r="BN1" s="62" t="s">
        <v>1816</v>
      </c>
      <c r="BO1" s="62" t="s">
        <v>2432</v>
      </c>
      <c r="BP1" s="62" t="s">
        <v>1204</v>
      </c>
      <c r="BQ1" s="62" t="s">
        <v>2151</v>
      </c>
      <c r="BR1" s="62" t="s">
        <v>2433</v>
      </c>
      <c r="BS1" s="62" t="s">
        <v>2152</v>
      </c>
      <c r="BT1" s="62" t="s">
        <v>2428</v>
      </c>
      <c r="BU1" s="62" t="s">
        <v>2081</v>
      </c>
      <c r="BV1" s="62" t="s">
        <v>2153</v>
      </c>
      <c r="BW1" s="62" t="s">
        <v>2075</v>
      </c>
      <c r="BX1" s="62" t="s">
        <v>2154</v>
      </c>
      <c r="BY1" s="62" t="s">
        <v>2341</v>
      </c>
      <c r="BZ1" s="62" t="s">
        <v>2434</v>
      </c>
      <c r="CA1" s="62" t="s">
        <v>2155</v>
      </c>
      <c r="CB1" s="62" t="s">
        <v>1188</v>
      </c>
      <c r="CC1" s="62" t="s">
        <v>1203</v>
      </c>
      <c r="CD1" s="62" t="s">
        <v>1817</v>
      </c>
      <c r="CE1" s="62" t="s">
        <v>2083</v>
      </c>
      <c r="CF1" s="62" t="s">
        <v>1472</v>
      </c>
      <c r="CG1" s="62" t="s">
        <v>1189</v>
      </c>
      <c r="CH1" s="62" t="s">
        <v>2212</v>
      </c>
      <c r="CI1" s="62" t="s">
        <v>2084</v>
      </c>
      <c r="CJ1" s="62" t="s">
        <v>2076</v>
      </c>
      <c r="CK1" s="62" t="s">
        <v>2356</v>
      </c>
      <c r="CL1" s="62" t="s">
        <v>1474</v>
      </c>
    </row>
    <row r="2" spans="1:90" x14ac:dyDescent="0.25">
      <c r="A2" s="40" t="s">
        <v>561</v>
      </c>
    </row>
    <row r="3" spans="1:90" x14ac:dyDescent="0.25">
      <c r="A3" s="10" t="s">
        <v>2519</v>
      </c>
      <c r="B3" s="7"/>
      <c r="C3" s="7"/>
      <c r="D3" s="7"/>
      <c r="E3" s="7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  <c r="BB3" s="6"/>
      <c r="BC3" s="6"/>
      <c r="BD3" s="6"/>
      <c r="BE3" s="6"/>
      <c r="BF3" s="6"/>
      <c r="BG3" s="6"/>
      <c r="BH3" s="6"/>
      <c r="BI3" s="6"/>
      <c r="BJ3" s="6"/>
      <c r="BK3" s="6"/>
      <c r="BL3" s="6"/>
      <c r="BM3" s="6"/>
      <c r="BN3" s="6"/>
      <c r="BO3" s="6"/>
      <c r="BP3" s="6"/>
      <c r="BQ3" s="6"/>
      <c r="BR3" s="6"/>
      <c r="BS3" s="6"/>
      <c r="BT3" s="6"/>
      <c r="BU3" s="6"/>
      <c r="BV3" s="6"/>
      <c r="BW3" s="6"/>
      <c r="BX3" s="6"/>
      <c r="BY3" s="6"/>
      <c r="BZ3" s="6"/>
      <c r="CA3" s="6"/>
      <c r="CB3" s="6"/>
      <c r="CC3" s="6"/>
      <c r="CD3" s="6"/>
      <c r="CE3" s="6"/>
      <c r="CF3" s="6"/>
      <c r="CG3" s="6"/>
      <c r="CH3" s="6"/>
      <c r="CI3" s="6"/>
      <c r="CJ3" s="6"/>
      <c r="CK3" s="6"/>
      <c r="CL3" s="6"/>
    </row>
    <row r="4" spans="1:90" x14ac:dyDescent="0.25">
      <c r="A4" s="50">
        <v>7072184</v>
      </c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  <c r="BM4" s="6"/>
      <c r="BN4" s="6"/>
      <c r="BO4" s="6"/>
      <c r="BP4" s="6"/>
      <c r="BQ4" s="6"/>
      <c r="BR4" s="6"/>
      <c r="BS4" s="6"/>
      <c r="BT4" s="6"/>
      <c r="BU4" s="6"/>
      <c r="BV4" s="6"/>
      <c r="BW4" s="6"/>
      <c r="BX4" s="6"/>
      <c r="BY4" s="6"/>
      <c r="BZ4" s="6"/>
      <c r="CA4" s="6"/>
      <c r="CB4" s="6"/>
      <c r="CC4" s="6"/>
      <c r="CD4" s="6"/>
      <c r="CE4" s="6"/>
      <c r="CF4" s="6"/>
      <c r="CG4" s="6"/>
      <c r="CH4" s="6"/>
      <c r="CI4" s="6"/>
      <c r="CJ4" s="6"/>
      <c r="CK4" s="6"/>
      <c r="CL4" s="6"/>
    </row>
    <row r="5" spans="1:90" x14ac:dyDescent="0.25">
      <c r="A5" s="50">
        <v>9108231</v>
      </c>
      <c r="B5" s="7"/>
      <c r="C5" s="7"/>
      <c r="D5" s="7"/>
      <c r="E5" s="7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6"/>
      <c r="BL5" s="6"/>
      <c r="BM5" s="6"/>
      <c r="BN5" s="6"/>
      <c r="BO5" s="6"/>
      <c r="BP5" s="6"/>
      <c r="BQ5" s="6"/>
      <c r="BR5" s="6"/>
      <c r="BS5" s="6"/>
      <c r="BT5" s="6"/>
      <c r="BU5" s="6"/>
      <c r="BV5" s="6"/>
      <c r="BW5" s="6"/>
      <c r="BX5" s="6"/>
      <c r="BY5" s="6"/>
      <c r="BZ5" s="6"/>
      <c r="CA5" s="6"/>
      <c r="CB5" s="6"/>
      <c r="CC5" s="6"/>
      <c r="CD5" s="6"/>
      <c r="CE5" s="6"/>
      <c r="CF5" s="6"/>
      <c r="CG5" s="6"/>
      <c r="CH5" s="6"/>
      <c r="CI5" s="6"/>
      <c r="CJ5" s="6"/>
      <c r="CK5" s="6"/>
      <c r="CL5" s="6"/>
    </row>
    <row r="6" spans="1:90" x14ac:dyDescent="0.25">
      <c r="A6" s="50">
        <v>12061933</v>
      </c>
      <c r="B6" s="7"/>
      <c r="C6" s="7"/>
      <c r="D6" s="7"/>
      <c r="E6" s="7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6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6"/>
      <c r="CK6" s="6"/>
      <c r="CL6" s="6"/>
    </row>
    <row r="7" spans="1:90" x14ac:dyDescent="0.25">
      <c r="A7" s="50">
        <v>95005911</v>
      </c>
    </row>
    <row r="8" spans="1:90" x14ac:dyDescent="0.25">
      <c r="A8" s="50">
        <v>99001908</v>
      </c>
    </row>
    <row r="9" spans="1:90" x14ac:dyDescent="0.25">
      <c r="A9" s="50">
        <v>99004067</v>
      </c>
    </row>
    <row r="10" spans="1:90" x14ac:dyDescent="0.25">
      <c r="A10" s="50">
        <v>97002136</v>
      </c>
    </row>
    <row r="11" spans="1:90" x14ac:dyDescent="0.25">
      <c r="A11" s="50">
        <v>1502</v>
      </c>
      <c r="B11" s="7"/>
      <c r="C11" s="7"/>
      <c r="D11" s="7"/>
      <c r="E11" s="7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</row>
    <row r="12" spans="1:90" x14ac:dyDescent="0.25">
      <c r="A12" s="50">
        <v>4003543</v>
      </c>
      <c r="B12" s="7"/>
      <c r="C12" s="7"/>
      <c r="D12" s="7"/>
      <c r="E12" s="7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</row>
    <row r="13" spans="1:90" x14ac:dyDescent="0.25">
      <c r="A13" s="50">
        <v>4900261</v>
      </c>
      <c r="B13" s="7"/>
      <c r="C13" s="7"/>
      <c r="D13" s="7"/>
      <c r="E13" s="7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</row>
    <row r="14" spans="1:90" x14ac:dyDescent="0.25">
      <c r="A14" s="50"/>
    </row>
    <row r="15" spans="1:90" x14ac:dyDescent="0.25">
      <c r="A15" s="52" t="s">
        <v>2520</v>
      </c>
      <c r="B15" s="7"/>
      <c r="C15" s="7"/>
      <c r="D15" s="7"/>
      <c r="E15" s="7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</row>
    <row r="16" spans="1:90" x14ac:dyDescent="0.25">
      <c r="A16" s="50">
        <v>14242856</v>
      </c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</row>
    <row r="17" spans="1:90" x14ac:dyDescent="0.25">
      <c r="A17" s="50">
        <v>99001183</v>
      </c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</row>
    <row r="18" spans="1:90" x14ac:dyDescent="0.25">
      <c r="A18" s="50">
        <v>3000983</v>
      </c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</row>
    <row r="19" spans="1:90" x14ac:dyDescent="0.25">
      <c r="A19" s="50">
        <v>10064335</v>
      </c>
      <c r="B19" s="7"/>
      <c r="C19" s="7"/>
      <c r="D19" s="7"/>
      <c r="E19" s="7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</row>
    <row r="20" spans="1:90" x14ac:dyDescent="0.25">
      <c r="A20" s="51"/>
      <c r="B20" s="7"/>
      <c r="C20" s="7"/>
      <c r="D20" s="7"/>
      <c r="E20" s="7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</row>
    <row r="21" spans="1:90" x14ac:dyDescent="0.25">
      <c r="A21" s="52" t="s">
        <v>2521</v>
      </c>
      <c r="B21" s="7"/>
      <c r="C21" s="7"/>
      <c r="D21" s="7"/>
      <c r="E21" s="7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</row>
    <row r="22" spans="1:90" x14ac:dyDescent="0.25">
      <c r="A22" s="50">
        <v>1480</v>
      </c>
    </row>
    <row r="23" spans="1:90" x14ac:dyDescent="0.25">
      <c r="A23" s="50">
        <v>7063959</v>
      </c>
      <c r="B23" s="7"/>
      <c r="C23" s="7"/>
      <c r="D23" s="7"/>
      <c r="E23" s="7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</row>
    <row r="24" spans="1:90" x14ac:dyDescent="0.25">
      <c r="A24" s="50">
        <v>1003215</v>
      </c>
      <c r="B24" s="7"/>
      <c r="C24" s="7"/>
      <c r="D24" s="7"/>
      <c r="E24" s="7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</row>
    <row r="25" spans="1:90" x14ac:dyDescent="0.25">
      <c r="A25" s="50">
        <v>99000802</v>
      </c>
      <c r="B25" s="7"/>
      <c r="C25" s="7"/>
      <c r="D25" s="7"/>
      <c r="E25" s="7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</row>
    <row r="26" spans="1:90" x14ac:dyDescent="0.25">
      <c r="A26" s="50">
        <v>99000892</v>
      </c>
      <c r="B26" s="7"/>
      <c r="C26" s="7"/>
      <c r="D26" s="7"/>
      <c r="E26" s="7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</row>
    <row r="27" spans="1:90" x14ac:dyDescent="0.25">
      <c r="A27" s="50">
        <v>1000192</v>
      </c>
      <c r="B27" s="7"/>
      <c r="C27" s="7"/>
      <c r="D27" s="7"/>
      <c r="E27" s="7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</row>
    <row r="28" spans="1:90" x14ac:dyDescent="0.25">
      <c r="A28" s="50">
        <v>1506</v>
      </c>
      <c r="B28" s="7"/>
      <c r="C28" s="7"/>
      <c r="D28" s="7"/>
      <c r="E28" s="7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</row>
    <row r="29" spans="1:90" x14ac:dyDescent="0.25">
      <c r="A29" s="50">
        <v>99000894</v>
      </c>
      <c r="B29" s="7"/>
      <c r="C29" s="7"/>
      <c r="D29" s="7"/>
      <c r="E29" s="7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</row>
    <row r="30" spans="1:90" x14ac:dyDescent="0.25">
      <c r="A30" s="50">
        <v>99000897</v>
      </c>
    </row>
    <row r="31" spans="1:90" x14ac:dyDescent="0.25">
      <c r="A31" s="50">
        <v>99001245</v>
      </c>
    </row>
    <row r="32" spans="1:90" x14ac:dyDescent="0.25">
      <c r="A32" s="50">
        <v>99001902</v>
      </c>
    </row>
    <row r="33" spans="1:90" x14ac:dyDescent="0.25">
      <c r="A33" s="50">
        <v>99001912</v>
      </c>
    </row>
    <row r="34" spans="1:90" x14ac:dyDescent="0.25">
      <c r="A34" s="50">
        <v>99001913</v>
      </c>
    </row>
    <row r="35" spans="1:90" x14ac:dyDescent="0.25">
      <c r="A35" s="50">
        <v>99001937</v>
      </c>
    </row>
    <row r="36" spans="1:90" x14ac:dyDescent="0.25">
      <c r="A36" s="50">
        <v>99001943</v>
      </c>
    </row>
    <row r="37" spans="1:90" x14ac:dyDescent="0.25">
      <c r="A37" s="50">
        <v>99001927</v>
      </c>
    </row>
    <row r="38" spans="1:90" x14ac:dyDescent="0.25">
      <c r="A38" s="50">
        <v>1505</v>
      </c>
      <c r="B38" s="7"/>
      <c r="C38" s="7"/>
      <c r="D38" s="7"/>
      <c r="E38" s="7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</row>
    <row r="39" spans="1:90" x14ac:dyDescent="0.25">
      <c r="A39" s="50">
        <v>1000197</v>
      </c>
      <c r="B39" s="7"/>
      <c r="C39" s="7"/>
      <c r="D39" s="7"/>
      <c r="E39" s="7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</row>
    <row r="40" spans="1:90" x14ac:dyDescent="0.25">
      <c r="A40" s="50">
        <v>96018835</v>
      </c>
      <c r="B40" s="7"/>
      <c r="C40" s="7"/>
      <c r="D40" s="7"/>
      <c r="E40" s="7"/>
      <c r="F40">
        <v>3.9</v>
      </c>
      <c r="G40">
        <v>4.0999999999999996</v>
      </c>
      <c r="H40">
        <v>3.7</v>
      </c>
      <c r="J40">
        <v>3.9</v>
      </c>
      <c r="M40">
        <v>8.4</v>
      </c>
      <c r="O40">
        <v>7.2</v>
      </c>
      <c r="Q40">
        <v>8.3000000000000007</v>
      </c>
      <c r="R40">
        <v>12.1</v>
      </c>
    </row>
    <row r="41" spans="1:90" x14ac:dyDescent="0.25">
      <c r="A41" s="50">
        <v>98008326</v>
      </c>
      <c r="B41" s="7"/>
      <c r="C41" s="7"/>
      <c r="D41" s="7"/>
      <c r="E41" s="7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</row>
    <row r="42" spans="1:90" x14ac:dyDescent="0.25">
      <c r="A42" s="50">
        <v>99000717</v>
      </c>
      <c r="B42" s="7"/>
      <c r="C42" s="7"/>
      <c r="D42" s="7"/>
      <c r="E42" s="7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</row>
    <row r="43" spans="1:90" x14ac:dyDescent="0.25">
      <c r="A43" s="50"/>
      <c r="B43" s="7"/>
      <c r="C43" s="7"/>
      <c r="D43" s="7"/>
      <c r="E43" s="7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</row>
    <row r="44" spans="1:90" x14ac:dyDescent="0.25">
      <c r="A44" s="25" t="s">
        <v>169</v>
      </c>
    </row>
    <row r="45" spans="1:90" x14ac:dyDescent="0.25">
      <c r="A45" s="52" t="s">
        <v>143</v>
      </c>
    </row>
    <row r="46" spans="1:90" x14ac:dyDescent="0.25">
      <c r="A46" s="50">
        <v>6016435</v>
      </c>
    </row>
    <row r="47" spans="1:90" x14ac:dyDescent="0.25">
      <c r="A47" s="50">
        <v>8045149</v>
      </c>
    </row>
    <row r="48" spans="1:90" x14ac:dyDescent="0.25">
      <c r="A48" s="50">
        <v>10023001</v>
      </c>
    </row>
    <row r="49" spans="1:1" x14ac:dyDescent="0.25">
      <c r="A49" s="50">
        <v>10027526</v>
      </c>
    </row>
    <row r="50" spans="1:1" x14ac:dyDescent="0.25">
      <c r="A50" s="50">
        <v>14222171</v>
      </c>
    </row>
    <row r="51" spans="1:1" x14ac:dyDescent="0.25">
      <c r="A51" s="50">
        <v>1006143</v>
      </c>
    </row>
    <row r="52" spans="1:1" x14ac:dyDescent="0.25">
      <c r="A52" s="50">
        <v>6006917</v>
      </c>
    </row>
    <row r="53" spans="1:1" x14ac:dyDescent="0.25">
      <c r="A53" s="50"/>
    </row>
    <row r="54" spans="1:1" x14ac:dyDescent="0.25">
      <c r="A54" s="52" t="s">
        <v>146</v>
      </c>
    </row>
    <row r="55" spans="1:1" x14ac:dyDescent="0.25">
      <c r="A55" s="50">
        <v>8057159</v>
      </c>
    </row>
    <row r="56" spans="1:1" x14ac:dyDescent="0.25">
      <c r="A56" s="50">
        <v>9140312</v>
      </c>
    </row>
    <row r="57" spans="1:1" x14ac:dyDescent="0.25">
      <c r="A57" s="50">
        <v>12008230</v>
      </c>
    </row>
    <row r="58" spans="1:1" x14ac:dyDescent="0.25">
      <c r="A58" s="50">
        <v>12088444</v>
      </c>
    </row>
    <row r="59" spans="1:1" x14ac:dyDescent="0.25">
      <c r="A59" s="50">
        <v>13118872</v>
      </c>
    </row>
    <row r="60" spans="1:1" x14ac:dyDescent="0.25">
      <c r="A60" s="50">
        <v>12012030</v>
      </c>
    </row>
    <row r="61" spans="1:1" x14ac:dyDescent="0.25">
      <c r="A61" s="50"/>
    </row>
    <row r="62" spans="1:1" x14ac:dyDescent="0.25">
      <c r="A62" s="52" t="s">
        <v>120</v>
      </c>
    </row>
    <row r="63" spans="1:1" x14ac:dyDescent="0.25">
      <c r="A63" s="50">
        <v>9074418</v>
      </c>
    </row>
    <row r="64" spans="1:1" x14ac:dyDescent="0.25">
      <c r="A64" s="50">
        <v>1263</v>
      </c>
    </row>
    <row r="65" spans="1:90" x14ac:dyDescent="0.25">
      <c r="A65" s="50">
        <v>98004910</v>
      </c>
    </row>
    <row r="66" spans="1:90" x14ac:dyDescent="0.25">
      <c r="A66" s="50">
        <v>7103068</v>
      </c>
      <c r="B66">
        <v>18.3002</v>
      </c>
    </row>
    <row r="67" spans="1:90" x14ac:dyDescent="0.25">
      <c r="A67" s="50">
        <v>11240728</v>
      </c>
      <c r="E67">
        <v>3.2974999999999999</v>
      </c>
      <c r="F67">
        <v>1.3681000000000001</v>
      </c>
      <c r="H67">
        <v>0.92379999999999995</v>
      </c>
    </row>
    <row r="68" spans="1:90" x14ac:dyDescent="0.25">
      <c r="B68" s="7"/>
      <c r="C68" s="7"/>
      <c r="D68" s="7"/>
      <c r="E68" s="7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  <c r="BP68" s="6"/>
      <c r="BQ68" s="6"/>
      <c r="BR68" s="6"/>
      <c r="BS68" s="6"/>
      <c r="BT68" s="6"/>
      <c r="BU68" s="6"/>
      <c r="BV68" s="6"/>
      <c r="BW68" s="6"/>
      <c r="BX68" s="6"/>
      <c r="BY68" s="6"/>
      <c r="BZ68" s="6"/>
      <c r="CA68" s="6"/>
      <c r="CB68" s="6"/>
      <c r="CC68" s="6"/>
      <c r="CD68" s="6"/>
      <c r="CE68" s="6"/>
      <c r="CF68" s="6"/>
      <c r="CG68" s="6"/>
      <c r="CH68" s="6"/>
      <c r="CI68" s="6"/>
      <c r="CJ68" s="6"/>
      <c r="CK68" s="6"/>
      <c r="CL68" s="6"/>
    </row>
    <row r="69" spans="1:90" x14ac:dyDescent="0.25">
      <c r="A69" s="26" t="s">
        <v>170</v>
      </c>
    </row>
    <row r="70" spans="1:90" x14ac:dyDescent="0.25">
      <c r="A70" s="10" t="s">
        <v>143</v>
      </c>
    </row>
    <row r="71" spans="1:90" x14ac:dyDescent="0.25">
      <c r="A71" s="50">
        <v>5015869</v>
      </c>
    </row>
    <row r="72" spans="1:90" x14ac:dyDescent="0.25">
      <c r="A72" s="50">
        <v>5016969</v>
      </c>
    </row>
    <row r="73" spans="1:90" x14ac:dyDescent="0.25">
      <c r="A73" s="50">
        <v>6023231</v>
      </c>
    </row>
    <row r="74" spans="1:90" x14ac:dyDescent="0.25">
      <c r="A74" s="50">
        <v>6010712</v>
      </c>
    </row>
    <row r="75" spans="1:90" x14ac:dyDescent="0.25">
      <c r="A75" s="50">
        <v>6011198</v>
      </c>
      <c r="B75">
        <v>11.2</v>
      </c>
    </row>
    <row r="76" spans="1:90" x14ac:dyDescent="0.25">
      <c r="A76" s="50">
        <v>6012681</v>
      </c>
      <c r="F76">
        <v>2.7</v>
      </c>
    </row>
    <row r="77" spans="1:90" x14ac:dyDescent="0.25">
      <c r="A77" s="50">
        <v>6014511</v>
      </c>
    </row>
    <row r="78" spans="1:90" x14ac:dyDescent="0.25">
      <c r="A78" s="50">
        <v>6045127</v>
      </c>
    </row>
    <row r="79" spans="1:90" x14ac:dyDescent="0.25">
      <c r="A79" s="50">
        <v>7000458</v>
      </c>
      <c r="J79">
        <v>0.3</v>
      </c>
    </row>
    <row r="80" spans="1:90" x14ac:dyDescent="0.25">
      <c r="A80" s="50">
        <v>7015502</v>
      </c>
    </row>
    <row r="81" spans="1:21" x14ac:dyDescent="0.25">
      <c r="A81" s="50">
        <v>7025847</v>
      </c>
    </row>
    <row r="82" spans="1:21" x14ac:dyDescent="0.25">
      <c r="A82" s="50">
        <v>7082707</v>
      </c>
    </row>
    <row r="83" spans="1:21" x14ac:dyDescent="0.25">
      <c r="A83" s="50">
        <v>7083159</v>
      </c>
    </row>
    <row r="84" spans="1:21" x14ac:dyDescent="0.25">
      <c r="A84" s="50">
        <v>7084659</v>
      </c>
    </row>
    <row r="85" spans="1:21" x14ac:dyDescent="0.25">
      <c r="A85" s="50">
        <v>7076814</v>
      </c>
      <c r="F85">
        <v>4.3148999999999997</v>
      </c>
    </row>
    <row r="86" spans="1:21" x14ac:dyDescent="0.25">
      <c r="A86" s="50">
        <v>7076815</v>
      </c>
      <c r="E86">
        <v>1.4851000000000001</v>
      </c>
    </row>
    <row r="87" spans="1:21" x14ac:dyDescent="0.25">
      <c r="A87" s="50">
        <v>7089231</v>
      </c>
    </row>
    <row r="88" spans="1:21" x14ac:dyDescent="0.25">
      <c r="A88" s="50">
        <v>7116004</v>
      </c>
    </row>
    <row r="89" spans="1:21" x14ac:dyDescent="0.25">
      <c r="A89" s="50">
        <v>8003819</v>
      </c>
    </row>
    <row r="90" spans="1:21" x14ac:dyDescent="0.25">
      <c r="A90" s="50">
        <v>8091779</v>
      </c>
      <c r="B90">
        <v>11.2</v>
      </c>
    </row>
    <row r="91" spans="1:21" x14ac:dyDescent="0.25">
      <c r="A91" s="50">
        <v>8097989</v>
      </c>
      <c r="B91">
        <v>4.3727</v>
      </c>
    </row>
    <row r="92" spans="1:21" x14ac:dyDescent="0.25">
      <c r="A92" s="50">
        <v>8112522</v>
      </c>
      <c r="L92">
        <v>0.74</v>
      </c>
      <c r="N92">
        <v>2.5499999999999998</v>
      </c>
      <c r="P92">
        <v>3.88</v>
      </c>
    </row>
    <row r="93" spans="1:21" x14ac:dyDescent="0.25">
      <c r="A93" s="50">
        <v>8127397</v>
      </c>
    </row>
    <row r="94" spans="1:21" x14ac:dyDescent="0.25">
      <c r="A94" s="50">
        <v>8130998</v>
      </c>
    </row>
    <row r="95" spans="1:21" x14ac:dyDescent="0.25">
      <c r="A95" s="50">
        <v>9002836</v>
      </c>
    </row>
    <row r="96" spans="1:21" x14ac:dyDescent="0.25">
      <c r="A96" s="50">
        <v>9003331</v>
      </c>
      <c r="T96">
        <v>1.9470000000000001</v>
      </c>
      <c r="U96">
        <v>2.9058000000000002</v>
      </c>
    </row>
    <row r="97" spans="1:90" x14ac:dyDescent="0.25">
      <c r="A97" s="50">
        <v>9003370</v>
      </c>
    </row>
    <row r="98" spans="1:90" x14ac:dyDescent="0.25">
      <c r="A98" s="50">
        <v>9016278</v>
      </c>
      <c r="C98" s="3">
        <v>29.870799999999999</v>
      </c>
      <c r="D98" s="3">
        <v>28.900200000000002</v>
      </c>
      <c r="G98" s="3">
        <v>25.5442</v>
      </c>
      <c r="K98">
        <v>17.850000000000001</v>
      </c>
      <c r="AB98" s="3">
        <v>29.870799999999999</v>
      </c>
      <c r="AC98" s="3"/>
      <c r="AD98" s="3"/>
      <c r="AE98" s="3"/>
      <c r="AF98" s="3"/>
      <c r="AG98" s="3">
        <v>28.900200000000002</v>
      </c>
      <c r="AH98" s="3"/>
      <c r="AI98" s="3"/>
      <c r="AL98" s="3">
        <v>25.5442</v>
      </c>
      <c r="AP98">
        <v>17.850000000000001</v>
      </c>
    </row>
    <row r="99" spans="1:90" x14ac:dyDescent="0.25">
      <c r="A99" s="50">
        <v>9030684</v>
      </c>
    </row>
    <row r="100" spans="1:90" x14ac:dyDescent="0.25">
      <c r="A100" s="50">
        <v>9031387</v>
      </c>
    </row>
    <row r="101" spans="1:90" x14ac:dyDescent="0.25">
      <c r="A101" s="50">
        <v>9038676</v>
      </c>
    </row>
    <row r="102" spans="1:90" x14ac:dyDescent="0.25">
      <c r="A102" s="50">
        <v>9039416</v>
      </c>
      <c r="H102">
        <v>0.27479999999999999</v>
      </c>
    </row>
    <row r="103" spans="1:90" x14ac:dyDescent="0.25">
      <c r="A103" s="50">
        <v>9042861</v>
      </c>
      <c r="AZ103" s="3">
        <v>1.4032</v>
      </c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</row>
    <row r="104" spans="1:90" x14ac:dyDescent="0.25">
      <c r="A104" s="50">
        <v>9044899</v>
      </c>
      <c r="AJ104">
        <v>0.43</v>
      </c>
    </row>
    <row r="105" spans="1:90" x14ac:dyDescent="0.25">
      <c r="A105" s="50">
        <v>9052398</v>
      </c>
    </row>
    <row r="106" spans="1:90" x14ac:dyDescent="0.25">
      <c r="A106" s="50">
        <v>9085204</v>
      </c>
      <c r="AL106">
        <v>5.2</v>
      </c>
    </row>
    <row r="107" spans="1:90" x14ac:dyDescent="0.25">
      <c r="A107" s="50">
        <v>9090323</v>
      </c>
    </row>
    <row r="108" spans="1:90" x14ac:dyDescent="0.25">
      <c r="A108" s="50">
        <v>9105492</v>
      </c>
      <c r="E108">
        <v>12.8</v>
      </c>
      <c r="F108">
        <v>8.5</v>
      </c>
      <c r="G108">
        <v>6.1</v>
      </c>
      <c r="O108">
        <v>3.7</v>
      </c>
    </row>
    <row r="109" spans="1:90" x14ac:dyDescent="0.25">
      <c r="A109" s="50">
        <v>9138470</v>
      </c>
      <c r="F109" s="53"/>
    </row>
    <row r="110" spans="1:90" x14ac:dyDescent="0.25">
      <c r="A110" s="50">
        <v>9150676</v>
      </c>
    </row>
    <row r="111" spans="1:90" x14ac:dyDescent="0.25">
      <c r="A111" s="50">
        <v>10010926</v>
      </c>
      <c r="AL111">
        <v>0.2324</v>
      </c>
      <c r="AN111">
        <v>0.36030000000000001</v>
      </c>
    </row>
    <row r="112" spans="1:90" x14ac:dyDescent="0.25">
      <c r="A112" s="50">
        <v>10016588</v>
      </c>
      <c r="B112">
        <v>8.4</v>
      </c>
    </row>
    <row r="113" spans="1:90" x14ac:dyDescent="0.25">
      <c r="A113" s="50">
        <v>10030897</v>
      </c>
      <c r="X113">
        <v>0.36</v>
      </c>
      <c r="AJ113">
        <v>2.48</v>
      </c>
      <c r="AL113">
        <v>5.09</v>
      </c>
      <c r="AO113">
        <v>1.81</v>
      </c>
      <c r="AW113">
        <v>1.23</v>
      </c>
      <c r="BD113">
        <v>0.93</v>
      </c>
      <c r="BO113">
        <v>1.0900000000000001</v>
      </c>
    </row>
    <row r="114" spans="1:90" x14ac:dyDescent="0.25">
      <c r="A114" s="50">
        <v>324</v>
      </c>
      <c r="BI114">
        <v>0.7</v>
      </c>
    </row>
    <row r="115" spans="1:90" x14ac:dyDescent="0.25">
      <c r="A115" s="50">
        <v>3909</v>
      </c>
      <c r="CB115">
        <v>4.2</v>
      </c>
    </row>
    <row r="116" spans="1:90" x14ac:dyDescent="0.25">
      <c r="A116" s="50">
        <v>4663</v>
      </c>
    </row>
    <row r="117" spans="1:90" x14ac:dyDescent="0.25">
      <c r="A117" s="50">
        <v>1005522</v>
      </c>
      <c r="AR117">
        <v>0.3</v>
      </c>
      <c r="AX117">
        <v>0.7</v>
      </c>
    </row>
    <row r="118" spans="1:90" x14ac:dyDescent="0.25">
      <c r="A118" s="50">
        <v>1007631</v>
      </c>
      <c r="AK118">
        <v>8.14</v>
      </c>
      <c r="AN118">
        <v>8.14</v>
      </c>
      <c r="AU118">
        <v>5.44</v>
      </c>
      <c r="BH118">
        <v>1.96</v>
      </c>
    </row>
    <row r="119" spans="1:90" x14ac:dyDescent="0.25">
      <c r="A119" s="50">
        <v>1009760</v>
      </c>
      <c r="AI119">
        <v>7.67</v>
      </c>
      <c r="CL119">
        <v>7.27</v>
      </c>
    </row>
    <row r="120" spans="1:90" x14ac:dyDescent="0.25">
      <c r="A120" s="50">
        <v>2000646</v>
      </c>
      <c r="AJ120">
        <v>0.7</v>
      </c>
      <c r="AK120">
        <v>0.9</v>
      </c>
      <c r="AS120">
        <v>0.7</v>
      </c>
      <c r="AT120">
        <v>1.1000000000000001</v>
      </c>
    </row>
    <row r="121" spans="1:90" x14ac:dyDescent="0.25">
      <c r="A121" s="50">
        <v>2003761</v>
      </c>
    </row>
    <row r="122" spans="1:90" x14ac:dyDescent="0.25">
      <c r="A122" s="50">
        <v>2004061</v>
      </c>
    </row>
    <row r="123" spans="1:90" x14ac:dyDescent="0.25">
      <c r="A123" s="50">
        <v>2006469</v>
      </c>
    </row>
    <row r="124" spans="1:90" x14ac:dyDescent="0.25">
      <c r="A124" s="50">
        <v>3005132</v>
      </c>
      <c r="AJ124">
        <v>3.46</v>
      </c>
    </row>
    <row r="125" spans="1:90" x14ac:dyDescent="0.25">
      <c r="A125" s="50">
        <v>3009119</v>
      </c>
    </row>
    <row r="126" spans="1:90" x14ac:dyDescent="0.25">
      <c r="A126" s="50">
        <v>3009936</v>
      </c>
    </row>
    <row r="127" spans="1:90" x14ac:dyDescent="0.25">
      <c r="A127" s="50">
        <v>3011094</v>
      </c>
    </row>
    <row r="128" spans="1:90" x14ac:dyDescent="0.25">
      <c r="A128" s="50">
        <v>3014643</v>
      </c>
    </row>
    <row r="129" spans="1:90" x14ac:dyDescent="0.25">
      <c r="A129" s="50">
        <v>3016056</v>
      </c>
      <c r="CG129">
        <v>0.9</v>
      </c>
    </row>
    <row r="130" spans="1:90" x14ac:dyDescent="0.25">
      <c r="A130" s="50">
        <v>3900219</v>
      </c>
    </row>
    <row r="131" spans="1:90" x14ac:dyDescent="0.25">
      <c r="A131" s="50">
        <v>4000158</v>
      </c>
    </row>
    <row r="132" spans="1:90" x14ac:dyDescent="0.25">
      <c r="A132" s="50">
        <v>4000304</v>
      </c>
      <c r="AJ132" s="3">
        <v>2.5667</v>
      </c>
    </row>
    <row r="133" spans="1:90" x14ac:dyDescent="0.25">
      <c r="A133" s="50">
        <v>4001905</v>
      </c>
    </row>
    <row r="134" spans="1:90" x14ac:dyDescent="0.25">
      <c r="A134" s="50">
        <v>4002206</v>
      </c>
    </row>
    <row r="135" spans="1:90" x14ac:dyDescent="0.25">
      <c r="A135" s="50">
        <v>4002715</v>
      </c>
    </row>
    <row r="136" spans="1:90" x14ac:dyDescent="0.25">
      <c r="A136" s="50">
        <v>4003924</v>
      </c>
      <c r="AK136" s="3"/>
    </row>
    <row r="137" spans="1:90" x14ac:dyDescent="0.25">
      <c r="A137" s="50">
        <v>4006051</v>
      </c>
    </row>
    <row r="138" spans="1:90" x14ac:dyDescent="0.25">
      <c r="A138" s="50">
        <v>4008140</v>
      </c>
      <c r="B138">
        <v>11</v>
      </c>
      <c r="S138">
        <v>7.3</v>
      </c>
      <c r="AI138">
        <v>5.5</v>
      </c>
      <c r="CL138">
        <v>4.5999999999999996</v>
      </c>
    </row>
    <row r="139" spans="1:90" x14ac:dyDescent="0.25">
      <c r="A139" s="50">
        <v>4009906</v>
      </c>
      <c r="AK139">
        <v>0.5</v>
      </c>
      <c r="BJ139">
        <v>1</v>
      </c>
      <c r="CC139">
        <v>0.7</v>
      </c>
      <c r="CF139">
        <v>0.6</v>
      </c>
    </row>
    <row r="140" spans="1:90" x14ac:dyDescent="0.25">
      <c r="A140" s="50">
        <v>4011027</v>
      </c>
      <c r="AK140">
        <v>0.2631</v>
      </c>
    </row>
    <row r="141" spans="1:90" x14ac:dyDescent="0.25">
      <c r="A141" s="50">
        <v>4011920</v>
      </c>
    </row>
    <row r="142" spans="1:90" x14ac:dyDescent="0.25">
      <c r="A142" s="50">
        <v>4012248</v>
      </c>
    </row>
    <row r="143" spans="1:90" x14ac:dyDescent="0.25">
      <c r="A143" s="50">
        <v>4013603</v>
      </c>
    </row>
    <row r="144" spans="1:90" x14ac:dyDescent="0.25">
      <c r="A144" s="50">
        <v>5004654</v>
      </c>
      <c r="AK144">
        <v>8.5300000000000001E-2</v>
      </c>
      <c r="AM144">
        <v>0.26490000000000002</v>
      </c>
      <c r="AN144">
        <v>0.33090000000000003</v>
      </c>
      <c r="AO144">
        <v>0.44019999999999998</v>
      </c>
      <c r="AP144">
        <v>0.47570000000000001</v>
      </c>
      <c r="AT144">
        <v>0.38919999999999999</v>
      </c>
      <c r="AX144">
        <v>0.24379999999999999</v>
      </c>
      <c r="AZ144">
        <v>0.1988</v>
      </c>
    </row>
    <row r="145" spans="1:88" x14ac:dyDescent="0.25">
      <c r="A145" s="54"/>
    </row>
    <row r="146" spans="1:88" x14ac:dyDescent="0.25">
      <c r="A146" s="52" t="s">
        <v>146</v>
      </c>
    </row>
    <row r="147" spans="1:88" x14ac:dyDescent="0.25">
      <c r="A147" s="50">
        <v>4289</v>
      </c>
    </row>
    <row r="148" spans="1:88" x14ac:dyDescent="0.25">
      <c r="A148" s="50">
        <v>500245</v>
      </c>
      <c r="AJ148" s="3">
        <v>1.105</v>
      </c>
      <c r="AK148">
        <v>0.88290000000000002</v>
      </c>
      <c r="AM148">
        <v>0.9647</v>
      </c>
      <c r="AO148" s="3">
        <v>1.0815999999999999</v>
      </c>
      <c r="AS148">
        <v>0.95299999999999996</v>
      </c>
    </row>
    <row r="149" spans="1:88" x14ac:dyDescent="0.25">
      <c r="A149" s="50">
        <v>2002573</v>
      </c>
      <c r="AQ149">
        <v>4.1512000000000002</v>
      </c>
      <c r="AV149">
        <v>3.9758</v>
      </c>
    </row>
    <row r="150" spans="1:88" x14ac:dyDescent="0.25">
      <c r="A150" s="50">
        <v>2003539</v>
      </c>
      <c r="AQ150">
        <v>1.1000000000000001</v>
      </c>
    </row>
    <row r="151" spans="1:88" x14ac:dyDescent="0.25">
      <c r="A151" s="50">
        <v>2003649</v>
      </c>
    </row>
    <row r="152" spans="1:88" x14ac:dyDescent="0.25">
      <c r="A152" s="50">
        <v>2005572</v>
      </c>
      <c r="AJ152" s="3">
        <v>2.8064</v>
      </c>
    </row>
    <row r="153" spans="1:88" x14ac:dyDescent="0.25">
      <c r="A153" s="50">
        <v>2013117</v>
      </c>
    </row>
    <row r="154" spans="1:88" x14ac:dyDescent="0.25">
      <c r="A154" s="50">
        <v>3009633</v>
      </c>
      <c r="BD154" s="3">
        <v>1.6897</v>
      </c>
      <c r="BE154" s="3"/>
      <c r="BF154" s="3">
        <v>1.6136999999999999</v>
      </c>
      <c r="BG154" s="3"/>
    </row>
    <row r="155" spans="1:88" x14ac:dyDescent="0.25">
      <c r="A155" s="50">
        <v>3010583</v>
      </c>
      <c r="AI155" s="14">
        <v>1.3</v>
      </c>
      <c r="AJ155">
        <v>1.68</v>
      </c>
      <c r="BL155">
        <v>1.68</v>
      </c>
    </row>
    <row r="156" spans="1:88" x14ac:dyDescent="0.25">
      <c r="A156" s="23">
        <v>3011892</v>
      </c>
      <c r="AS156" s="3">
        <v>21.866700000000002</v>
      </c>
      <c r="BB156" s="3">
        <v>6.7237</v>
      </c>
      <c r="BG156" s="3">
        <v>3.6133000000000002</v>
      </c>
    </row>
    <row r="157" spans="1:88" x14ac:dyDescent="0.25">
      <c r="A157">
        <v>4001382</v>
      </c>
      <c r="AX157" s="14" t="s">
        <v>2515</v>
      </c>
      <c r="AY157" s="14">
        <v>11.7</v>
      </c>
    </row>
    <row r="158" spans="1:88" x14ac:dyDescent="0.25">
      <c r="A158" s="50">
        <v>5018675</v>
      </c>
      <c r="AH158" s="50"/>
      <c r="AI158" s="50"/>
      <c r="AJ158" s="50"/>
      <c r="AK158" s="50"/>
      <c r="AL158" s="50"/>
      <c r="AM158" s="50"/>
      <c r="AN158" s="50"/>
      <c r="AO158" s="50"/>
      <c r="AP158" s="50">
        <v>13.74</v>
      </c>
      <c r="AQ158" s="50"/>
      <c r="AR158" s="50"/>
      <c r="AS158" s="50"/>
      <c r="AT158" s="50"/>
      <c r="AU158" s="50"/>
    </row>
    <row r="159" spans="1:88" x14ac:dyDescent="0.25">
      <c r="A159" s="50">
        <v>6050168</v>
      </c>
      <c r="AH159" s="50"/>
      <c r="AI159" s="50"/>
      <c r="AJ159" s="50"/>
      <c r="AK159" s="50"/>
      <c r="AL159" s="50"/>
      <c r="AM159" s="50"/>
      <c r="AN159" s="50"/>
      <c r="AO159" s="50"/>
      <c r="AP159" s="50"/>
      <c r="AQ159" s="50"/>
      <c r="AR159" s="50"/>
      <c r="AS159" s="50"/>
      <c r="AT159" s="50"/>
      <c r="AU159" s="50"/>
    </row>
    <row r="160" spans="1:88" x14ac:dyDescent="0.25">
      <c r="A160" s="50">
        <v>5006592</v>
      </c>
      <c r="AH160" s="50"/>
      <c r="AI160" s="50"/>
      <c r="AJ160" s="50">
        <v>1.9</v>
      </c>
      <c r="AK160" s="50"/>
      <c r="AL160" s="50"/>
      <c r="AM160" s="50"/>
      <c r="AN160" s="50"/>
      <c r="AO160" s="50"/>
      <c r="AP160" s="50"/>
      <c r="AQ160" s="50"/>
      <c r="AR160" s="50"/>
      <c r="AS160" s="50"/>
      <c r="AT160" s="50"/>
      <c r="AU160" s="50"/>
      <c r="BW160">
        <v>2.5</v>
      </c>
      <c r="CJ160">
        <v>2.4</v>
      </c>
    </row>
    <row r="161" spans="1:87" x14ac:dyDescent="0.25">
      <c r="A161" s="50">
        <v>5007274</v>
      </c>
      <c r="AH161" s="50"/>
      <c r="AI161" s="50"/>
      <c r="AJ161" s="50">
        <v>7.6</v>
      </c>
      <c r="AK161" s="50"/>
      <c r="AL161" s="50"/>
      <c r="AM161" s="50"/>
      <c r="AN161" s="50"/>
      <c r="AO161" s="50"/>
      <c r="AP161" s="50"/>
      <c r="AQ161" s="50"/>
      <c r="AR161" s="50"/>
      <c r="AS161" s="50"/>
      <c r="AT161" s="50"/>
      <c r="AU161" s="50"/>
      <c r="AV161">
        <v>12.3</v>
      </c>
    </row>
    <row r="162" spans="1:87" x14ac:dyDescent="0.25">
      <c r="A162" s="50">
        <v>5015851</v>
      </c>
      <c r="AH162" s="50"/>
      <c r="AI162" s="50"/>
      <c r="AJ162" s="50"/>
      <c r="AK162" s="50"/>
      <c r="AL162" s="50"/>
      <c r="AM162" s="50"/>
      <c r="AN162" s="50"/>
      <c r="AO162" s="50"/>
      <c r="AP162" s="50"/>
      <c r="AQ162" s="50"/>
      <c r="AR162" s="50"/>
      <c r="AS162" s="50"/>
      <c r="AT162" s="50"/>
      <c r="AU162" s="50"/>
      <c r="BN162" s="3">
        <v>1.0632999999999999</v>
      </c>
      <c r="BU162" s="3">
        <v>2.9817999999999998</v>
      </c>
      <c r="BV162" s="3"/>
      <c r="CE162">
        <v>0.7016</v>
      </c>
      <c r="CI162">
        <v>0.2923</v>
      </c>
    </row>
    <row r="163" spans="1:87" x14ac:dyDescent="0.25">
      <c r="A163" s="50">
        <v>6015647</v>
      </c>
      <c r="E163">
        <v>12.8</v>
      </c>
      <c r="F163">
        <v>12.8</v>
      </c>
      <c r="G163">
        <v>16.899999999999999</v>
      </c>
      <c r="AH163" s="50"/>
      <c r="AI163" s="50">
        <v>19.8</v>
      </c>
      <c r="AJ163" s="50">
        <v>12.8</v>
      </c>
      <c r="AK163" s="50">
        <v>12.8</v>
      </c>
      <c r="AL163" s="50">
        <v>16.899999999999999</v>
      </c>
      <c r="AM163" s="50"/>
      <c r="AN163" s="50">
        <v>20.2</v>
      </c>
      <c r="AO163" s="50"/>
      <c r="AP163" s="50">
        <v>24.1</v>
      </c>
      <c r="AQ163" s="50">
        <v>24.1</v>
      </c>
      <c r="AR163" s="50"/>
      <c r="AS163" s="50">
        <v>23.7</v>
      </c>
      <c r="AT163" s="50"/>
      <c r="AU163" s="50"/>
      <c r="AX163">
        <v>19.8</v>
      </c>
    </row>
    <row r="164" spans="1:87" x14ac:dyDescent="0.25">
      <c r="A164" s="50">
        <v>6056633</v>
      </c>
      <c r="D164">
        <v>1.1000000000000001</v>
      </c>
      <c r="AH164" s="50"/>
      <c r="AI164" s="50"/>
      <c r="AJ164" s="50"/>
      <c r="AK164" s="50"/>
      <c r="AL164" s="50"/>
      <c r="AM164" s="50"/>
      <c r="AN164" s="50"/>
      <c r="AO164" s="50"/>
      <c r="AP164" s="50"/>
      <c r="AQ164" s="50"/>
      <c r="AR164" s="50"/>
      <c r="AS164" s="50"/>
      <c r="AT164" s="50"/>
      <c r="AU164" s="50"/>
    </row>
    <row r="165" spans="1:87" x14ac:dyDescent="0.25">
      <c r="A165" s="50">
        <v>7086224</v>
      </c>
      <c r="AH165" s="50"/>
      <c r="AI165" s="50"/>
      <c r="AJ165" s="50"/>
      <c r="AK165" s="50"/>
      <c r="AL165" s="50"/>
      <c r="AM165" s="50"/>
      <c r="AN165" s="50"/>
      <c r="AO165" s="50"/>
      <c r="AP165" s="50"/>
      <c r="AQ165" s="50"/>
      <c r="AR165" s="50"/>
      <c r="AS165" s="50"/>
      <c r="AT165" s="50">
        <v>0.69340000000000002</v>
      </c>
      <c r="AU165" s="50"/>
      <c r="AY165" s="3">
        <v>1.9965999999999999</v>
      </c>
      <c r="BG165">
        <v>0.64929999999999999</v>
      </c>
      <c r="BJ165">
        <v>0.46150000000000002</v>
      </c>
    </row>
    <row r="166" spans="1:87" x14ac:dyDescent="0.25">
      <c r="A166" s="50">
        <v>8040959</v>
      </c>
      <c r="AH166" s="50"/>
      <c r="AI166" s="50"/>
      <c r="AJ166" s="50"/>
      <c r="AK166" s="50"/>
      <c r="AL166" s="50"/>
      <c r="AM166" s="50"/>
      <c r="AN166" s="50"/>
      <c r="AO166" s="50"/>
      <c r="AP166" s="50"/>
      <c r="AQ166" s="50"/>
      <c r="AR166" s="50"/>
      <c r="AS166" s="50"/>
      <c r="AT166" s="50"/>
      <c r="AU166" s="50"/>
    </row>
    <row r="167" spans="1:87" x14ac:dyDescent="0.25">
      <c r="A167" s="50">
        <v>8107048</v>
      </c>
      <c r="AH167" s="50"/>
      <c r="AI167" s="50"/>
      <c r="AJ167" s="50"/>
      <c r="AK167" s="50"/>
      <c r="AL167" s="50"/>
      <c r="AM167" s="50"/>
      <c r="AN167" s="50"/>
      <c r="AO167" s="50"/>
      <c r="AP167" s="50"/>
      <c r="AQ167" s="50"/>
      <c r="AR167" s="50"/>
      <c r="AS167" s="50"/>
      <c r="AT167" s="50"/>
      <c r="AU167" s="50"/>
    </row>
    <row r="168" spans="1:87" x14ac:dyDescent="0.25">
      <c r="A168" s="50">
        <v>8124044</v>
      </c>
      <c r="AH168" s="50"/>
      <c r="AI168" s="50"/>
      <c r="AJ168" s="50">
        <v>0.8</v>
      </c>
      <c r="AK168" s="50"/>
      <c r="AL168" s="50"/>
      <c r="AM168" s="50"/>
      <c r="AN168" s="50"/>
      <c r="AO168" s="50"/>
      <c r="AP168" s="50"/>
      <c r="AQ168" s="50"/>
      <c r="AR168" s="50"/>
      <c r="AS168" s="50"/>
      <c r="AT168" s="50"/>
      <c r="AU168" s="50"/>
      <c r="BQ168">
        <v>0.76</v>
      </c>
      <c r="BS168">
        <v>0.76</v>
      </c>
      <c r="BV168">
        <v>0.53</v>
      </c>
      <c r="BX168">
        <v>0.49</v>
      </c>
      <c r="CA168">
        <v>0.52</v>
      </c>
    </row>
    <row r="169" spans="1:87" x14ac:dyDescent="0.25">
      <c r="A169" s="50">
        <v>8142949</v>
      </c>
      <c r="AH169" s="50"/>
      <c r="AI169" s="50"/>
      <c r="AJ169" s="50"/>
      <c r="AK169" s="50"/>
      <c r="AL169" s="50"/>
      <c r="AM169" s="50"/>
      <c r="AN169" s="50"/>
      <c r="AO169" s="50"/>
      <c r="AP169" s="50"/>
      <c r="AQ169" s="50"/>
      <c r="AR169" s="50"/>
      <c r="AS169" s="50">
        <v>4.49</v>
      </c>
      <c r="AT169" s="50"/>
      <c r="AU169" s="50">
        <v>6.3</v>
      </c>
      <c r="AY169">
        <v>3</v>
      </c>
      <c r="BG169">
        <v>1.1000000000000001</v>
      </c>
    </row>
    <row r="170" spans="1:87" x14ac:dyDescent="0.25">
      <c r="A170" s="50">
        <v>9023306</v>
      </c>
      <c r="H170">
        <v>0.3508</v>
      </c>
      <c r="AH170" s="50"/>
      <c r="AI170" s="50"/>
      <c r="AJ170" s="50"/>
      <c r="AK170" s="50"/>
      <c r="AL170" s="50"/>
      <c r="AM170" s="50"/>
      <c r="AN170" s="50"/>
      <c r="AO170" s="50"/>
      <c r="AP170" s="50"/>
      <c r="AQ170" s="50"/>
      <c r="AR170" s="50"/>
      <c r="AS170" s="50"/>
      <c r="AT170" s="50"/>
      <c r="AU170" s="50"/>
    </row>
    <row r="171" spans="1:87" x14ac:dyDescent="0.25">
      <c r="A171" s="50">
        <v>9030615</v>
      </c>
      <c r="AH171" s="50"/>
      <c r="AI171" s="50"/>
      <c r="AJ171" s="50"/>
      <c r="AK171" s="50"/>
      <c r="AL171" s="50"/>
      <c r="AM171" s="50"/>
      <c r="AN171" s="50"/>
      <c r="AO171" s="50"/>
      <c r="AP171" s="50"/>
      <c r="AQ171" s="50"/>
      <c r="AR171" s="50"/>
      <c r="AS171" s="50"/>
      <c r="AT171" s="50"/>
      <c r="AU171" s="50"/>
    </row>
    <row r="172" spans="1:87" x14ac:dyDescent="0.25">
      <c r="A172" s="50">
        <v>9034464</v>
      </c>
      <c r="AH172" s="50"/>
      <c r="AI172" s="50"/>
      <c r="AJ172" s="50"/>
      <c r="AK172" s="50"/>
      <c r="AL172" s="50"/>
      <c r="AM172" s="50"/>
      <c r="AN172" s="50"/>
      <c r="AO172" s="50"/>
      <c r="AP172" s="50"/>
      <c r="AQ172" s="50"/>
      <c r="AR172" s="50"/>
      <c r="AS172" s="50"/>
      <c r="AT172" s="50"/>
      <c r="AU172" s="50"/>
    </row>
    <row r="173" spans="1:87" x14ac:dyDescent="0.25">
      <c r="A173" s="50">
        <v>9040167</v>
      </c>
      <c r="AH173" s="50"/>
      <c r="AI173" s="50"/>
      <c r="AJ173" s="50"/>
      <c r="AK173" s="50"/>
      <c r="AL173" s="50"/>
      <c r="AM173" s="50"/>
      <c r="AN173" s="50"/>
      <c r="AO173" s="50"/>
      <c r="AP173" s="50"/>
      <c r="AQ173" s="50"/>
      <c r="AR173" s="50"/>
      <c r="AS173" s="50"/>
      <c r="AT173" s="50"/>
      <c r="AU173" s="50"/>
    </row>
    <row r="174" spans="1:87" x14ac:dyDescent="0.25">
      <c r="A174" s="50">
        <v>9054567</v>
      </c>
      <c r="AH174" s="50"/>
      <c r="AI174" s="50">
        <v>6.7</v>
      </c>
      <c r="AJ174" s="50"/>
      <c r="AK174" s="50"/>
      <c r="AL174" s="50"/>
      <c r="AM174" s="50"/>
      <c r="AN174" s="50"/>
      <c r="AO174" s="50"/>
      <c r="AP174" s="50"/>
      <c r="AQ174" s="50"/>
      <c r="AR174" s="50"/>
      <c r="AS174" s="50"/>
      <c r="AT174" s="50"/>
      <c r="AU174" s="50"/>
    </row>
    <row r="175" spans="1:87" x14ac:dyDescent="0.25">
      <c r="A175" s="50">
        <v>9083682</v>
      </c>
      <c r="AH175" s="50"/>
      <c r="AI175" s="50"/>
      <c r="AJ175" s="50">
        <v>7.3</v>
      </c>
      <c r="AK175" s="50"/>
      <c r="AL175" s="50"/>
      <c r="AM175" s="50">
        <v>11.4</v>
      </c>
      <c r="AN175" s="50"/>
      <c r="AO175" s="50"/>
      <c r="AP175" s="50"/>
      <c r="AQ175" s="50"/>
      <c r="AR175" s="50"/>
      <c r="AS175" s="50"/>
      <c r="AT175" s="50"/>
      <c r="AU175" s="50"/>
    </row>
    <row r="176" spans="1:87" x14ac:dyDescent="0.25">
      <c r="A176" s="50">
        <v>9102044</v>
      </c>
      <c r="AH176" s="50"/>
      <c r="AI176" s="50"/>
      <c r="AJ176" s="50">
        <v>9</v>
      </c>
      <c r="AK176" s="50"/>
      <c r="AL176" s="50"/>
      <c r="AM176" s="50"/>
      <c r="AN176" s="50"/>
      <c r="AO176" s="50"/>
      <c r="AP176" s="50"/>
      <c r="AQ176" s="50">
        <v>21.36</v>
      </c>
      <c r="AR176" s="50"/>
      <c r="AS176" s="50"/>
      <c r="AT176" s="50"/>
      <c r="AU176" s="50"/>
      <c r="AW176">
        <v>16.98</v>
      </c>
      <c r="CB176">
        <v>1.05</v>
      </c>
    </row>
    <row r="177" spans="1:90" x14ac:dyDescent="0.25">
      <c r="A177" s="50">
        <v>9119854</v>
      </c>
      <c r="AH177" s="50"/>
      <c r="AI177" s="50"/>
      <c r="AJ177" s="50"/>
      <c r="AK177" s="50"/>
      <c r="AL177" s="50"/>
      <c r="AM177" s="50"/>
      <c r="AN177" s="50"/>
      <c r="AO177" s="50"/>
      <c r="AP177" s="50"/>
      <c r="AQ177" s="50">
        <v>2.84</v>
      </c>
      <c r="AR177" s="50"/>
      <c r="AS177" s="50"/>
      <c r="AT177" s="50"/>
      <c r="AU177" s="50">
        <v>2.39</v>
      </c>
      <c r="BE177">
        <v>0.93</v>
      </c>
    </row>
    <row r="178" spans="1:90" x14ac:dyDescent="0.25">
      <c r="A178" s="50">
        <v>9125126</v>
      </c>
      <c r="AH178" s="50"/>
      <c r="AI178" s="50"/>
      <c r="AJ178" s="50"/>
      <c r="AK178" s="50"/>
      <c r="AL178" s="50"/>
      <c r="AM178" s="50"/>
      <c r="AN178" s="50"/>
      <c r="AO178" s="50"/>
      <c r="AP178" s="50">
        <v>0.53</v>
      </c>
      <c r="AQ178" s="50"/>
      <c r="AR178" s="50">
        <v>0.42</v>
      </c>
      <c r="AS178" s="50"/>
      <c r="AT178" s="50"/>
      <c r="AU178" s="50"/>
    </row>
    <row r="179" spans="1:90" x14ac:dyDescent="0.25">
      <c r="A179" s="50">
        <v>9174811</v>
      </c>
      <c r="AH179" s="50"/>
      <c r="AI179" s="50"/>
      <c r="AJ179" s="50">
        <v>0.53</v>
      </c>
      <c r="AK179" s="50">
        <v>0.62</v>
      </c>
      <c r="AL179" s="50"/>
      <c r="AM179" s="50"/>
      <c r="AN179" s="50"/>
      <c r="AO179" s="50"/>
      <c r="AP179" s="50"/>
      <c r="AQ179" s="50"/>
      <c r="AR179" s="50"/>
      <c r="AS179" s="50"/>
      <c r="AT179" s="50"/>
      <c r="AU179" s="50"/>
    </row>
    <row r="180" spans="1:90" x14ac:dyDescent="0.25">
      <c r="A180" s="50">
        <v>10002875</v>
      </c>
      <c r="AH180" s="50"/>
      <c r="AI180" s="50"/>
      <c r="AJ180" s="50"/>
      <c r="AK180" s="50">
        <v>11.29</v>
      </c>
      <c r="AL180" s="50">
        <v>9.4600000000000009</v>
      </c>
      <c r="AM180" s="57">
        <v>9.4657999999999998</v>
      </c>
      <c r="AN180" s="57">
        <v>11.3192</v>
      </c>
      <c r="AO180" s="57">
        <v>13.470800000000001</v>
      </c>
      <c r="AP180" s="57">
        <v>17.458200000000001</v>
      </c>
      <c r="AQ180" s="50"/>
      <c r="AR180" s="50"/>
      <c r="AS180" s="50"/>
      <c r="AT180" s="50"/>
      <c r="AU180" s="50"/>
      <c r="AX180" s="3">
        <v>19.235600000000002</v>
      </c>
      <c r="BD180" s="3">
        <v>11.576499999999999</v>
      </c>
      <c r="BF180" s="3">
        <v>9.5885999999999996</v>
      </c>
      <c r="BI180" s="3">
        <v>6.9576000000000002</v>
      </c>
    </row>
    <row r="181" spans="1:90" x14ac:dyDescent="0.25">
      <c r="A181" s="50">
        <v>10023080</v>
      </c>
      <c r="AH181" s="50"/>
      <c r="AI181" s="50">
        <v>8.1999999999999993</v>
      </c>
      <c r="AJ181" s="50"/>
      <c r="AK181" s="50"/>
      <c r="AL181" s="50"/>
      <c r="AM181" s="50"/>
      <c r="AN181" s="50"/>
      <c r="AO181" s="50"/>
      <c r="AP181" s="50"/>
      <c r="AQ181" s="50"/>
      <c r="AR181" s="50"/>
      <c r="AS181" s="50"/>
      <c r="AT181" s="50"/>
      <c r="AU181" s="50"/>
      <c r="BL181">
        <v>8.1999999999999993</v>
      </c>
    </row>
    <row r="182" spans="1:90" x14ac:dyDescent="0.25">
      <c r="A182" s="50">
        <v>10025212</v>
      </c>
      <c r="AH182" s="50"/>
      <c r="AI182" s="50"/>
      <c r="AJ182" s="50"/>
      <c r="AK182" s="50"/>
      <c r="AL182" s="50"/>
      <c r="AM182" s="50"/>
      <c r="AN182" s="50"/>
      <c r="AO182" s="50"/>
      <c r="AP182" s="50"/>
      <c r="AQ182" s="50"/>
      <c r="AR182" s="50"/>
      <c r="AS182" s="50"/>
      <c r="AT182" s="50"/>
      <c r="AU182" s="50"/>
      <c r="BA182">
        <v>0.99</v>
      </c>
      <c r="BB182">
        <v>1.8</v>
      </c>
      <c r="BK182">
        <v>0.96</v>
      </c>
    </row>
    <row r="183" spans="1:90" x14ac:dyDescent="0.25">
      <c r="A183" s="50">
        <v>10069407</v>
      </c>
      <c r="AH183" s="50"/>
      <c r="AI183" s="50"/>
      <c r="AJ183" s="50"/>
      <c r="AK183" s="50"/>
      <c r="AL183" s="50"/>
      <c r="AM183" s="50"/>
      <c r="AN183" s="50"/>
      <c r="AO183" s="50"/>
      <c r="AP183" s="50"/>
      <c r="AQ183" s="50">
        <v>0.7</v>
      </c>
      <c r="AR183" s="50"/>
      <c r="AS183" s="50"/>
      <c r="AT183" s="50"/>
      <c r="AU183" s="50"/>
    </row>
    <row r="184" spans="1:90" x14ac:dyDescent="0.25">
      <c r="A184" s="50">
        <v>10071135</v>
      </c>
      <c r="AV184">
        <v>0.98219999999999996</v>
      </c>
      <c r="AX184" s="3">
        <v>1.0173000000000001</v>
      </c>
      <c r="AZ184" s="3">
        <v>1.3097000000000001</v>
      </c>
    </row>
    <row r="185" spans="1:90" x14ac:dyDescent="0.25">
      <c r="A185" s="50">
        <v>10083649</v>
      </c>
    </row>
    <row r="186" spans="1:90" x14ac:dyDescent="0.25">
      <c r="A186" s="50">
        <v>10102021</v>
      </c>
      <c r="AJ186" s="50"/>
    </row>
    <row r="187" spans="1:90" x14ac:dyDescent="0.25">
      <c r="A187" s="50">
        <v>10123729</v>
      </c>
      <c r="AJ187" s="50"/>
      <c r="AK187">
        <v>16.600000000000001</v>
      </c>
      <c r="AO187">
        <v>24.4</v>
      </c>
      <c r="AU187">
        <v>14.7</v>
      </c>
      <c r="CH187">
        <v>0.9</v>
      </c>
    </row>
    <row r="188" spans="1:90" x14ac:dyDescent="0.25">
      <c r="A188" s="50">
        <v>10144736</v>
      </c>
      <c r="AJ188" s="50">
        <v>0.73</v>
      </c>
    </row>
    <row r="189" spans="1:90" x14ac:dyDescent="0.25">
      <c r="A189" s="50">
        <v>10157275</v>
      </c>
      <c r="AJ189" s="57"/>
      <c r="CL189" s="50">
        <v>106</v>
      </c>
    </row>
    <row r="190" spans="1:90" x14ac:dyDescent="0.25">
      <c r="A190" s="54"/>
      <c r="AJ190" s="50"/>
    </row>
    <row r="191" spans="1:90" x14ac:dyDescent="0.25">
      <c r="A191" s="52" t="s">
        <v>120</v>
      </c>
      <c r="AJ191" s="50"/>
    </row>
    <row r="192" spans="1:90" x14ac:dyDescent="0.25">
      <c r="A192" s="50">
        <v>5281</v>
      </c>
      <c r="AI192" s="3">
        <v>5.8467000000000002</v>
      </c>
      <c r="AJ192" s="50"/>
    </row>
    <row r="193" spans="1:90" x14ac:dyDescent="0.25">
      <c r="A193" s="50">
        <v>200085</v>
      </c>
      <c r="Y193">
        <v>0.42</v>
      </c>
      <c r="AK193">
        <v>0.73</v>
      </c>
      <c r="AL193">
        <v>0.7</v>
      </c>
      <c r="AN193">
        <v>0.57999999999999996</v>
      </c>
      <c r="AO193">
        <v>0.55000000000000004</v>
      </c>
      <c r="AP193">
        <v>0.59</v>
      </c>
      <c r="AQ193">
        <v>0.45</v>
      </c>
      <c r="AS193">
        <v>0.54</v>
      </c>
      <c r="AU193">
        <v>0.48</v>
      </c>
      <c r="BH193">
        <v>0.51</v>
      </c>
    </row>
    <row r="194" spans="1:90" x14ac:dyDescent="0.25">
      <c r="A194" s="50">
        <v>500129</v>
      </c>
      <c r="AS194" s="3">
        <v>18.23</v>
      </c>
      <c r="AU194" s="3">
        <v>20.8201</v>
      </c>
      <c r="AV194" s="3">
        <v>20.825900000000001</v>
      </c>
      <c r="BM194" s="3">
        <v>24.965399999999999</v>
      </c>
      <c r="BN194" s="3">
        <v>12.2781</v>
      </c>
      <c r="CD194" s="3">
        <v>5.8467000000000002</v>
      </c>
      <c r="CE194" s="3"/>
    </row>
    <row r="195" spans="1:90" x14ac:dyDescent="0.25">
      <c r="A195" s="53">
        <v>1002033</v>
      </c>
    </row>
    <row r="196" spans="1:90" x14ac:dyDescent="0.25">
      <c r="A196" s="50">
        <v>1003457</v>
      </c>
    </row>
    <row r="197" spans="1:90" x14ac:dyDescent="0.25">
      <c r="A197" s="50">
        <v>2005223</v>
      </c>
      <c r="AJ197" s="3">
        <v>6.0922999999999998</v>
      </c>
      <c r="AL197" s="3">
        <v>5.6421000000000001</v>
      </c>
      <c r="BA197" s="3">
        <v>1.6721999999999999</v>
      </c>
    </row>
    <row r="198" spans="1:90" x14ac:dyDescent="0.25">
      <c r="A198" s="50">
        <v>2006107</v>
      </c>
      <c r="AJ198">
        <v>4.1500000000000004</v>
      </c>
    </row>
    <row r="199" spans="1:90" x14ac:dyDescent="0.25">
      <c r="A199" s="50">
        <v>2012014</v>
      </c>
      <c r="Z199">
        <v>0.3</v>
      </c>
    </row>
    <row r="200" spans="1:90" x14ac:dyDescent="0.25">
      <c r="A200" s="50">
        <v>3000152</v>
      </c>
      <c r="AI200" s="3">
        <v>7.8929999999999998</v>
      </c>
      <c r="CL200" s="3">
        <v>5.8467000000000002</v>
      </c>
    </row>
    <row r="201" spans="1:90" x14ac:dyDescent="0.25">
      <c r="A201" s="50">
        <v>3014566</v>
      </c>
    </row>
    <row r="202" spans="1:90" x14ac:dyDescent="0.25">
      <c r="A202" s="50">
        <v>3015058</v>
      </c>
      <c r="Z202">
        <v>0.6</v>
      </c>
      <c r="AA202" s="14">
        <v>0.6</v>
      </c>
      <c r="AK202">
        <v>0.3</v>
      </c>
      <c r="AL202">
        <v>0.4</v>
      </c>
      <c r="AR202">
        <v>0.3</v>
      </c>
    </row>
    <row r="203" spans="1:90" x14ac:dyDescent="0.25">
      <c r="A203" s="53">
        <v>4000996</v>
      </c>
      <c r="AL203">
        <v>0.61980000000000002</v>
      </c>
      <c r="AM203">
        <v>0.42680000000000001</v>
      </c>
      <c r="AX203">
        <v>0.57879999999999998</v>
      </c>
    </row>
    <row r="204" spans="1:90" x14ac:dyDescent="0.25">
      <c r="A204" s="50">
        <v>4003768</v>
      </c>
      <c r="AD204">
        <v>0.41</v>
      </c>
      <c r="AG204">
        <v>0.52</v>
      </c>
      <c r="AJ204">
        <v>3.74</v>
      </c>
      <c r="AK204">
        <v>10.41</v>
      </c>
      <c r="AL204">
        <v>13.46</v>
      </c>
      <c r="AM204">
        <v>14.36</v>
      </c>
    </row>
    <row r="205" spans="1:90" x14ac:dyDescent="0.25">
      <c r="A205" s="50">
        <v>4006540</v>
      </c>
      <c r="AT205" s="3">
        <v>12.161099999999999</v>
      </c>
      <c r="AU205" s="3">
        <v>1.3271999999999999</v>
      </c>
      <c r="AX205" s="3">
        <v>9.0038999999999998</v>
      </c>
      <c r="BA205" s="3">
        <v>6.7237</v>
      </c>
    </row>
    <row r="206" spans="1:90" x14ac:dyDescent="0.25">
      <c r="A206" s="50">
        <v>4007054</v>
      </c>
      <c r="AN206" t="s">
        <v>1923</v>
      </c>
      <c r="AY206">
        <v>0.16739999999999999</v>
      </c>
    </row>
    <row r="207" spans="1:90" x14ac:dyDescent="0.25">
      <c r="A207" s="50">
        <v>4011002</v>
      </c>
      <c r="AJ207">
        <v>0.2072</v>
      </c>
      <c r="AO207">
        <v>0.16209999999999999</v>
      </c>
      <c r="AR207">
        <v>0.19819999999999999</v>
      </c>
    </row>
    <row r="208" spans="1:90" x14ac:dyDescent="0.25">
      <c r="A208" s="50">
        <v>4900268</v>
      </c>
    </row>
    <row r="209" spans="1:89" x14ac:dyDescent="0.25">
      <c r="A209" s="50">
        <v>5001097</v>
      </c>
      <c r="AC209">
        <v>0.46</v>
      </c>
      <c r="AN209">
        <v>0.36</v>
      </c>
    </row>
    <row r="210" spans="1:89" x14ac:dyDescent="0.25">
      <c r="A210" s="50">
        <v>5001098</v>
      </c>
      <c r="AA210">
        <v>0.41</v>
      </c>
      <c r="AB210">
        <v>0.46</v>
      </c>
      <c r="AE210">
        <v>0.52</v>
      </c>
    </row>
    <row r="211" spans="1:89" x14ac:dyDescent="0.25">
      <c r="A211" s="50">
        <v>5006152</v>
      </c>
      <c r="AG211">
        <v>9.0499999999999997E-2</v>
      </c>
      <c r="AK211">
        <v>0.20699999999999999</v>
      </c>
    </row>
    <row r="212" spans="1:89" x14ac:dyDescent="0.25">
      <c r="A212" s="50">
        <v>6012361</v>
      </c>
      <c r="AL212" s="3">
        <v>2.4556</v>
      </c>
      <c r="AM212" s="3">
        <v>2.0756000000000001</v>
      </c>
    </row>
    <row r="213" spans="1:89" x14ac:dyDescent="0.25">
      <c r="A213" s="50">
        <v>6015793</v>
      </c>
      <c r="AH213">
        <v>2.2000000000000002</v>
      </c>
      <c r="AJ213">
        <v>2.11</v>
      </c>
      <c r="AK213">
        <v>1.73</v>
      </c>
      <c r="AN213">
        <v>1.28</v>
      </c>
    </row>
    <row r="214" spans="1:89" x14ac:dyDescent="0.25">
      <c r="A214" s="50">
        <v>6043619</v>
      </c>
    </row>
    <row r="215" spans="1:89" x14ac:dyDescent="0.25">
      <c r="A215" s="50">
        <v>7001097</v>
      </c>
    </row>
    <row r="216" spans="1:89" x14ac:dyDescent="0.25">
      <c r="A216" s="50">
        <v>7011435</v>
      </c>
      <c r="AJ216">
        <v>0.85289999999999999</v>
      </c>
      <c r="AL216">
        <v>0.45050000000000001</v>
      </c>
      <c r="AP216">
        <v>0.2102</v>
      </c>
    </row>
    <row r="217" spans="1:89" x14ac:dyDescent="0.25">
      <c r="A217" s="50">
        <v>7045811</v>
      </c>
    </row>
    <row r="218" spans="1:89" x14ac:dyDescent="0.25">
      <c r="A218" s="50">
        <v>7071198</v>
      </c>
      <c r="W218">
        <v>0.39350000000000002</v>
      </c>
      <c r="AN218" t="s">
        <v>2363</v>
      </c>
      <c r="CK218">
        <v>3.5700000000000003E-2</v>
      </c>
    </row>
    <row r="219" spans="1:89" x14ac:dyDescent="0.25">
      <c r="A219" s="50">
        <v>7101143</v>
      </c>
      <c r="AJ219">
        <v>1.61</v>
      </c>
      <c r="AL219">
        <v>2.2599999999999998</v>
      </c>
      <c r="AM219">
        <v>1.76</v>
      </c>
      <c r="AQ219">
        <v>1.59</v>
      </c>
      <c r="AT219">
        <v>1.57</v>
      </c>
      <c r="AV219">
        <v>0.99</v>
      </c>
    </row>
    <row r="220" spans="1:89" x14ac:dyDescent="0.25">
      <c r="A220" s="50">
        <v>8073350</v>
      </c>
      <c r="AI220" s="14">
        <v>18</v>
      </c>
    </row>
    <row r="221" spans="1:89" x14ac:dyDescent="0.25">
      <c r="A221" s="50">
        <v>8073645</v>
      </c>
      <c r="AK221" s="50">
        <v>4.0999999999999996</v>
      </c>
    </row>
    <row r="222" spans="1:89" x14ac:dyDescent="0.25">
      <c r="A222" s="53">
        <v>8089666</v>
      </c>
      <c r="AF222">
        <v>0.8</v>
      </c>
      <c r="AG222" s="14">
        <v>1.5</v>
      </c>
      <c r="AH222">
        <v>1.9</v>
      </c>
      <c r="AJ222" s="14">
        <v>3.5</v>
      </c>
      <c r="AK222">
        <v>5.5</v>
      </c>
    </row>
    <row r="223" spans="1:89" x14ac:dyDescent="0.25">
      <c r="A223" s="50">
        <v>8103536</v>
      </c>
    </row>
    <row r="224" spans="1:89" x14ac:dyDescent="0.25">
      <c r="A224" s="50">
        <v>8124816</v>
      </c>
      <c r="AR224">
        <v>1</v>
      </c>
      <c r="AW224">
        <v>0.37</v>
      </c>
      <c r="BB224">
        <v>0.49</v>
      </c>
    </row>
    <row r="225" spans="1:83" x14ac:dyDescent="0.25">
      <c r="A225" s="50">
        <v>9003267</v>
      </c>
    </row>
    <row r="226" spans="1:83" x14ac:dyDescent="0.25">
      <c r="A226" s="50">
        <v>9036964</v>
      </c>
      <c r="V226">
        <v>0.21149999999999999</v>
      </c>
      <c r="AL226">
        <v>0.15379999999999999</v>
      </c>
      <c r="AP226">
        <v>0.10630000000000001</v>
      </c>
    </row>
    <row r="227" spans="1:83" x14ac:dyDescent="0.25">
      <c r="A227" s="50">
        <v>9090287</v>
      </c>
      <c r="AL227">
        <v>0.53959999999999997</v>
      </c>
      <c r="AM227">
        <v>0.63009999999999999</v>
      </c>
      <c r="AN227">
        <v>0.67079999999999995</v>
      </c>
      <c r="AO227">
        <v>0.45700000000000002</v>
      </c>
      <c r="AP227">
        <v>0.26919999999999999</v>
      </c>
    </row>
    <row r="228" spans="1:83" x14ac:dyDescent="0.25">
      <c r="A228" s="50">
        <v>9095148</v>
      </c>
    </row>
    <row r="229" spans="1:83" x14ac:dyDescent="0.25">
      <c r="A229" s="50">
        <v>9104979</v>
      </c>
      <c r="AI229" s="50"/>
      <c r="AJ229" s="50"/>
      <c r="AM229">
        <v>5.4</v>
      </c>
      <c r="AP229">
        <v>2.1</v>
      </c>
      <c r="AT229">
        <v>2.4</v>
      </c>
      <c r="AX229">
        <v>1.3</v>
      </c>
      <c r="BG229" s="50"/>
      <c r="BH229" s="50"/>
      <c r="BM229">
        <v>7.8</v>
      </c>
      <c r="BT229">
        <v>4.5</v>
      </c>
    </row>
    <row r="230" spans="1:83" x14ac:dyDescent="0.25">
      <c r="A230" s="50">
        <v>9139514</v>
      </c>
      <c r="AI230" s="50"/>
      <c r="AJ230" s="50"/>
      <c r="AT230">
        <v>7.71</v>
      </c>
      <c r="AY230">
        <v>17.260000000000002</v>
      </c>
      <c r="BG230" s="50">
        <v>41</v>
      </c>
      <c r="BH230" s="50"/>
      <c r="BI230">
        <v>31</v>
      </c>
      <c r="BU230">
        <v>7</v>
      </c>
      <c r="BZ230">
        <v>5</v>
      </c>
      <c r="CE230">
        <v>2.2000000000000002</v>
      </c>
    </row>
    <row r="231" spans="1:83" x14ac:dyDescent="0.25">
      <c r="A231" s="50">
        <v>10020659</v>
      </c>
      <c r="AI231" s="50"/>
      <c r="AJ231" s="50"/>
      <c r="AM231">
        <v>0.15840000000000001</v>
      </c>
      <c r="BG231" s="50"/>
      <c r="BH231" s="50"/>
    </row>
    <row r="232" spans="1:83" x14ac:dyDescent="0.25">
      <c r="A232" s="50">
        <v>10025902</v>
      </c>
      <c r="AI232" s="50"/>
      <c r="AJ232" s="50">
        <v>0.56559999999999999</v>
      </c>
      <c r="AK232">
        <v>0.37330000000000002</v>
      </c>
      <c r="BG232" s="50"/>
      <c r="BH232" s="50"/>
    </row>
    <row r="233" spans="1:83" x14ac:dyDescent="0.25">
      <c r="A233" s="50">
        <v>10027654</v>
      </c>
      <c r="AI233" s="50"/>
      <c r="AJ233" s="50"/>
      <c r="AK233">
        <v>0.7</v>
      </c>
      <c r="AW233">
        <v>0.8</v>
      </c>
    </row>
    <row r="234" spans="1:83" x14ac:dyDescent="0.25">
      <c r="A234" s="50">
        <v>10084485</v>
      </c>
      <c r="AI234" s="50"/>
      <c r="AJ234" s="50"/>
    </row>
    <row r="235" spans="1:83" x14ac:dyDescent="0.25">
      <c r="A235" s="50">
        <v>10098420</v>
      </c>
      <c r="AK235">
        <v>4.88</v>
      </c>
      <c r="AL235">
        <v>1.99</v>
      </c>
    </row>
    <row r="236" spans="1:83" x14ac:dyDescent="0.25">
      <c r="A236" s="50">
        <v>10129565</v>
      </c>
    </row>
    <row r="237" spans="1:83" x14ac:dyDescent="0.25">
      <c r="A237" s="50">
        <v>10146828</v>
      </c>
      <c r="AJ237">
        <v>0.4</v>
      </c>
      <c r="AW237">
        <v>0.4</v>
      </c>
    </row>
    <row r="238" spans="1:83" x14ac:dyDescent="0.25">
      <c r="A238">
        <v>10163776</v>
      </c>
    </row>
    <row r="239" spans="1:83" x14ac:dyDescent="0.25">
      <c r="A239">
        <v>10173664</v>
      </c>
    </row>
  </sheetData>
  <conditionalFormatting sqref="A19">
    <cfRule type="duplicateValues" dxfId="23" priority="1"/>
  </conditionalFormatting>
  <pageMargins left="0.7" right="0.7" top="0.78740157499999996" bottom="0.78740157499999996" header="0.3" footer="0.3"/>
  <tableParts count="1">
    <tablePart r:id="rId1"/>
  </tablePart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9"/>
  <sheetViews>
    <sheetView topLeftCell="A11" workbookViewId="0">
      <selection activeCell="C29" sqref="C29"/>
    </sheetView>
  </sheetViews>
  <sheetFormatPr defaultColWidth="11.42578125" defaultRowHeight="15" x14ac:dyDescent="0.25"/>
  <cols>
    <col min="1" max="1" width="17.42578125" bestFit="1" customWidth="1"/>
    <col min="2" max="2" width="10.85546875" bestFit="1" customWidth="1"/>
    <col min="3" max="3" width="34.7109375" customWidth="1"/>
    <col min="4" max="4" width="30.42578125" bestFit="1" customWidth="1"/>
  </cols>
  <sheetData>
    <row r="1" spans="1:4" x14ac:dyDescent="0.25">
      <c r="A1" s="66" t="s">
        <v>59</v>
      </c>
      <c r="B1" s="66" t="s">
        <v>3061</v>
      </c>
      <c r="C1" s="66" t="s">
        <v>2564</v>
      </c>
      <c r="D1" s="66" t="s">
        <v>2523</v>
      </c>
    </row>
    <row r="2" spans="1:4" x14ac:dyDescent="0.25">
      <c r="A2" s="66">
        <v>96018835</v>
      </c>
      <c r="B2" s="66" t="s">
        <v>3061</v>
      </c>
      <c r="C2" s="66" t="s">
        <v>3470</v>
      </c>
      <c r="D2" s="66">
        <v>2</v>
      </c>
    </row>
    <row r="3" spans="1:4" x14ac:dyDescent="0.25">
      <c r="A3" s="66">
        <v>11240728</v>
      </c>
      <c r="B3" s="66" t="s">
        <v>3061</v>
      </c>
      <c r="C3" s="66" t="s">
        <v>911</v>
      </c>
      <c r="D3" s="66">
        <v>1</v>
      </c>
    </row>
    <row r="4" spans="1:4" x14ac:dyDescent="0.25">
      <c r="A4" s="66">
        <v>6012681</v>
      </c>
      <c r="B4" s="66" t="s">
        <v>3061</v>
      </c>
      <c r="C4" s="66" t="s">
        <v>911</v>
      </c>
      <c r="D4" s="66">
        <v>1</v>
      </c>
    </row>
    <row r="5" spans="1:4" x14ac:dyDescent="0.25">
      <c r="A5" s="66">
        <v>7076814</v>
      </c>
      <c r="B5" s="66" t="s">
        <v>3061</v>
      </c>
      <c r="C5" s="66" t="s">
        <v>911</v>
      </c>
      <c r="D5" s="66">
        <v>1</v>
      </c>
    </row>
    <row r="6" spans="1:4" x14ac:dyDescent="0.25">
      <c r="A6" s="66">
        <v>9105492</v>
      </c>
      <c r="B6" s="66" t="s">
        <v>3061</v>
      </c>
      <c r="C6" s="66" t="s">
        <v>911</v>
      </c>
      <c r="D6" s="66">
        <v>1</v>
      </c>
    </row>
    <row r="7" spans="1:4" x14ac:dyDescent="0.25">
      <c r="A7" s="66">
        <v>1005522</v>
      </c>
      <c r="B7" s="66" t="s">
        <v>3061</v>
      </c>
      <c r="C7" s="66" t="s">
        <v>102</v>
      </c>
      <c r="D7" s="66">
        <v>1</v>
      </c>
    </row>
    <row r="8" spans="1:4" x14ac:dyDescent="0.25">
      <c r="A8" s="66">
        <v>1007631</v>
      </c>
      <c r="B8" s="66" t="s">
        <v>3061</v>
      </c>
      <c r="C8" s="66" t="s">
        <v>858</v>
      </c>
      <c r="D8" s="66">
        <v>1</v>
      </c>
    </row>
    <row r="9" spans="1:4" x14ac:dyDescent="0.25">
      <c r="A9" s="66">
        <v>2000646</v>
      </c>
      <c r="B9" s="66" t="s">
        <v>3061</v>
      </c>
      <c r="C9" s="66" t="s">
        <v>858</v>
      </c>
      <c r="D9" s="66">
        <v>1</v>
      </c>
    </row>
    <row r="10" spans="1:4" x14ac:dyDescent="0.25">
      <c r="A10" s="66">
        <v>3016056</v>
      </c>
      <c r="B10" s="66" t="s">
        <v>3061</v>
      </c>
      <c r="C10" s="66" t="s">
        <v>1189</v>
      </c>
      <c r="D10" s="66">
        <v>1</v>
      </c>
    </row>
    <row r="11" spans="1:4" x14ac:dyDescent="0.25">
      <c r="A11" s="66">
        <v>4009906</v>
      </c>
      <c r="B11" s="66" t="s">
        <v>3061</v>
      </c>
      <c r="C11" s="66" t="s">
        <v>858</v>
      </c>
      <c r="D11" s="66">
        <v>1</v>
      </c>
    </row>
    <row r="12" spans="1:4" x14ac:dyDescent="0.25">
      <c r="A12" s="66">
        <v>4011027</v>
      </c>
      <c r="B12" s="66" t="s">
        <v>3061</v>
      </c>
      <c r="C12" s="66" t="s">
        <v>858</v>
      </c>
      <c r="D12" s="66">
        <v>1</v>
      </c>
    </row>
    <row r="13" spans="1:4" x14ac:dyDescent="0.25">
      <c r="A13" s="66">
        <v>5004654</v>
      </c>
      <c r="B13" s="66" t="s">
        <v>3061</v>
      </c>
      <c r="C13" s="66" t="s">
        <v>858</v>
      </c>
      <c r="D13" s="66">
        <v>1</v>
      </c>
    </row>
    <row r="14" spans="1:4" x14ac:dyDescent="0.25">
      <c r="A14" s="66">
        <v>500245</v>
      </c>
      <c r="B14" s="66" t="s">
        <v>3061</v>
      </c>
      <c r="C14" s="66" t="s">
        <v>858</v>
      </c>
      <c r="D14" s="66">
        <v>1</v>
      </c>
    </row>
    <row r="15" spans="1:4" x14ac:dyDescent="0.25">
      <c r="A15" s="66">
        <v>3009633</v>
      </c>
      <c r="B15" s="66" t="s">
        <v>3061</v>
      </c>
      <c r="C15" s="66" t="s">
        <v>1307</v>
      </c>
      <c r="D15" s="66">
        <v>1</v>
      </c>
    </row>
    <row r="16" spans="1:4" x14ac:dyDescent="0.25">
      <c r="A16" s="66">
        <v>4001382</v>
      </c>
      <c r="B16" s="66" t="s">
        <v>3061</v>
      </c>
      <c r="C16" s="66" t="s">
        <v>1468</v>
      </c>
      <c r="D16" s="66">
        <v>1</v>
      </c>
    </row>
    <row r="17" spans="1:4" x14ac:dyDescent="0.25">
      <c r="A17" s="66">
        <v>5006592</v>
      </c>
      <c r="B17" s="66" t="s">
        <v>3061</v>
      </c>
      <c r="C17" s="66" t="s">
        <v>2075</v>
      </c>
      <c r="D17" s="66">
        <v>1</v>
      </c>
    </row>
    <row r="18" spans="1:4" x14ac:dyDescent="0.25">
      <c r="A18" s="66">
        <v>6015647</v>
      </c>
      <c r="B18" s="66" t="s">
        <v>3061</v>
      </c>
      <c r="C18" s="66" t="s">
        <v>3471</v>
      </c>
      <c r="D18" s="66">
        <v>2</v>
      </c>
    </row>
    <row r="19" spans="1:4" x14ac:dyDescent="0.25">
      <c r="A19" s="66">
        <v>7086224</v>
      </c>
      <c r="B19" s="66" t="s">
        <v>3061</v>
      </c>
      <c r="C19" s="66" t="s">
        <v>1468</v>
      </c>
      <c r="D19" s="66">
        <v>1</v>
      </c>
    </row>
    <row r="20" spans="1:4" x14ac:dyDescent="0.25">
      <c r="A20" s="66">
        <v>8142949</v>
      </c>
      <c r="B20" s="66" t="s">
        <v>3061</v>
      </c>
      <c r="C20" s="66" t="s">
        <v>1468</v>
      </c>
      <c r="D20" s="66">
        <v>1</v>
      </c>
    </row>
    <row r="21" spans="1:4" x14ac:dyDescent="0.25">
      <c r="A21" s="66">
        <v>9125126</v>
      </c>
      <c r="B21" s="66" t="s">
        <v>3061</v>
      </c>
      <c r="C21" s="66" t="s">
        <v>102</v>
      </c>
      <c r="D21" s="66">
        <v>1</v>
      </c>
    </row>
    <row r="22" spans="1:4" x14ac:dyDescent="0.25">
      <c r="A22" s="66">
        <v>9174811</v>
      </c>
      <c r="B22" s="66" t="s">
        <v>3061</v>
      </c>
      <c r="C22" s="66" t="s">
        <v>858</v>
      </c>
      <c r="D22" s="66">
        <v>1</v>
      </c>
    </row>
    <row r="23" spans="1:4" x14ac:dyDescent="0.25">
      <c r="A23" s="66">
        <v>10002875</v>
      </c>
      <c r="B23" s="66" t="s">
        <v>3061</v>
      </c>
      <c r="C23" s="66" t="s">
        <v>3472</v>
      </c>
      <c r="D23" s="66">
        <v>2</v>
      </c>
    </row>
    <row r="24" spans="1:4" x14ac:dyDescent="0.25">
      <c r="A24" s="66">
        <v>10025212</v>
      </c>
      <c r="B24" s="66" t="s">
        <v>3061</v>
      </c>
      <c r="C24" s="66" t="s">
        <v>2196</v>
      </c>
      <c r="D24" s="66">
        <v>1</v>
      </c>
    </row>
    <row r="25" spans="1:4" x14ac:dyDescent="0.25">
      <c r="A25" s="66">
        <v>10123729</v>
      </c>
      <c r="B25" s="66" t="s">
        <v>3061</v>
      </c>
      <c r="C25" s="66" t="s">
        <v>858</v>
      </c>
      <c r="D25" s="66">
        <v>1</v>
      </c>
    </row>
    <row r="26" spans="1:4" x14ac:dyDescent="0.25">
      <c r="A26" s="66">
        <v>200085</v>
      </c>
      <c r="B26" s="66" t="s">
        <v>3061</v>
      </c>
      <c r="C26" s="66" t="s">
        <v>858</v>
      </c>
      <c r="D26" s="66">
        <v>1</v>
      </c>
    </row>
    <row r="27" spans="1:4" x14ac:dyDescent="0.25">
      <c r="A27" s="66">
        <v>3015058</v>
      </c>
      <c r="B27" s="66" t="s">
        <v>3061</v>
      </c>
      <c r="C27" s="66" t="s">
        <v>3473</v>
      </c>
      <c r="D27" s="66">
        <v>2</v>
      </c>
    </row>
    <row r="28" spans="1:4" x14ac:dyDescent="0.25">
      <c r="A28" s="66">
        <v>4003768</v>
      </c>
      <c r="B28" s="66" t="s">
        <v>3061</v>
      </c>
      <c r="C28" s="66" t="s">
        <v>858</v>
      </c>
      <c r="D28" s="66">
        <v>1</v>
      </c>
    </row>
    <row r="29" spans="1:4" x14ac:dyDescent="0.25">
      <c r="A29" s="66">
        <v>4007054</v>
      </c>
      <c r="B29" s="66" t="s">
        <v>3061</v>
      </c>
      <c r="C29" s="66" t="s">
        <v>1468</v>
      </c>
      <c r="D29" s="66">
        <v>1</v>
      </c>
    </row>
    <row r="30" spans="1:4" x14ac:dyDescent="0.25">
      <c r="A30" s="66">
        <v>4011002</v>
      </c>
      <c r="B30" s="66" t="s">
        <v>3061</v>
      </c>
      <c r="C30" s="66" t="s">
        <v>102</v>
      </c>
      <c r="D30" s="66">
        <v>1</v>
      </c>
    </row>
    <row r="31" spans="1:4" x14ac:dyDescent="0.25">
      <c r="A31" s="66">
        <v>5006152</v>
      </c>
      <c r="B31" s="66" t="s">
        <v>3061</v>
      </c>
      <c r="C31" s="66" t="s">
        <v>858</v>
      </c>
      <c r="D31" s="66">
        <v>1</v>
      </c>
    </row>
    <row r="32" spans="1:4" x14ac:dyDescent="0.25">
      <c r="A32" s="66">
        <v>6015793</v>
      </c>
      <c r="B32" s="66" t="s">
        <v>3061</v>
      </c>
      <c r="C32" s="66" t="s">
        <v>858</v>
      </c>
      <c r="D32" s="66">
        <v>1</v>
      </c>
    </row>
    <row r="33" spans="1:4" x14ac:dyDescent="0.25">
      <c r="A33" s="66">
        <v>8073645</v>
      </c>
      <c r="B33" s="66" t="s">
        <v>3061</v>
      </c>
      <c r="C33" s="66" t="s">
        <v>858</v>
      </c>
      <c r="D33" s="66">
        <v>1</v>
      </c>
    </row>
    <row r="34" spans="1:4" x14ac:dyDescent="0.25">
      <c r="A34" s="66">
        <v>8089666</v>
      </c>
      <c r="B34" s="66" t="s">
        <v>3061</v>
      </c>
      <c r="C34" s="66" t="s">
        <v>858</v>
      </c>
      <c r="D34" s="66">
        <v>1</v>
      </c>
    </row>
    <row r="35" spans="1:4" x14ac:dyDescent="0.25">
      <c r="A35" s="66">
        <v>8124816</v>
      </c>
      <c r="B35" s="66" t="s">
        <v>3061</v>
      </c>
      <c r="C35" s="66" t="s">
        <v>102</v>
      </c>
      <c r="D35" s="66">
        <v>1</v>
      </c>
    </row>
    <row r="36" spans="1:4" x14ac:dyDescent="0.25">
      <c r="A36" s="66">
        <v>9139514</v>
      </c>
      <c r="B36" s="66" t="s">
        <v>3061</v>
      </c>
      <c r="C36" s="66" t="s">
        <v>1468</v>
      </c>
      <c r="D36" s="66">
        <v>1</v>
      </c>
    </row>
    <row r="37" spans="1:4" x14ac:dyDescent="0.25">
      <c r="A37" s="66">
        <v>10025902</v>
      </c>
      <c r="B37" s="66" t="s">
        <v>3061</v>
      </c>
      <c r="C37" s="66" t="s">
        <v>858</v>
      </c>
      <c r="D37" s="66">
        <v>1</v>
      </c>
    </row>
    <row r="38" spans="1:4" x14ac:dyDescent="0.25">
      <c r="A38" s="66">
        <v>10027654</v>
      </c>
      <c r="B38" s="66" t="s">
        <v>3061</v>
      </c>
      <c r="C38" s="66" t="s">
        <v>858</v>
      </c>
      <c r="D38" s="66">
        <v>1</v>
      </c>
    </row>
    <row r="39" spans="1:4" x14ac:dyDescent="0.25">
      <c r="A39" s="66">
        <v>10098420</v>
      </c>
      <c r="B39" s="66" t="s">
        <v>3061</v>
      </c>
      <c r="C39" s="66" t="s">
        <v>858</v>
      </c>
      <c r="D39" s="66">
        <v>1</v>
      </c>
    </row>
  </sheetData>
  <phoneticPr fontId="6" type="noConversion"/>
  <pageMargins left="0.7" right="0.7" top="0.78740157499999996" bottom="0.78740157499999996" header="0.3" footer="0.3"/>
  <tableParts count="1">
    <tablePart r:id="rId1"/>
  </tablePart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39"/>
  <sheetViews>
    <sheetView workbookViewId="0">
      <selection sqref="A1:P239"/>
    </sheetView>
  </sheetViews>
  <sheetFormatPr defaultColWidth="11.42578125" defaultRowHeight="15" x14ac:dyDescent="0.25"/>
  <cols>
    <col min="1" max="1" width="17.140625" customWidth="1"/>
    <col min="2" max="2" width="43.85546875" customWidth="1"/>
    <col min="3" max="3" width="42.85546875" customWidth="1"/>
    <col min="4" max="4" width="32.7109375" customWidth="1"/>
    <col min="5" max="5" width="24.42578125" customWidth="1"/>
    <col min="6" max="7" width="19.42578125" customWidth="1"/>
    <col min="8" max="8" width="25.28515625" customWidth="1"/>
    <col min="9" max="9" width="19.42578125" customWidth="1"/>
    <col min="10" max="10" width="21.5703125" customWidth="1"/>
    <col min="11" max="11" width="27.42578125" customWidth="1"/>
    <col min="12" max="16" width="21.5703125" customWidth="1"/>
  </cols>
  <sheetData>
    <row r="1" spans="1:16" x14ac:dyDescent="0.25">
      <c r="A1" s="61" t="s">
        <v>59</v>
      </c>
      <c r="B1" s="62" t="s">
        <v>1855</v>
      </c>
      <c r="C1" s="62" t="s">
        <v>1993</v>
      </c>
      <c r="D1" s="62" t="s">
        <v>60</v>
      </c>
      <c r="E1" s="63" t="s">
        <v>1157</v>
      </c>
      <c r="F1" s="62" t="s">
        <v>1478</v>
      </c>
      <c r="G1" s="62" t="s">
        <v>1479</v>
      </c>
      <c r="H1" s="62" t="s">
        <v>1481</v>
      </c>
      <c r="I1" s="62" t="s">
        <v>1480</v>
      </c>
      <c r="J1" s="62" t="s">
        <v>1158</v>
      </c>
      <c r="K1" s="62" t="s">
        <v>1482</v>
      </c>
      <c r="L1" s="62" t="s">
        <v>2141</v>
      </c>
      <c r="M1" s="62" t="s">
        <v>94</v>
      </c>
      <c r="N1" s="62" t="s">
        <v>1324</v>
      </c>
      <c r="O1" s="62" t="s">
        <v>1129</v>
      </c>
      <c r="P1" s="62" t="s">
        <v>2142</v>
      </c>
    </row>
    <row r="2" spans="1:16" x14ac:dyDescent="0.25">
      <c r="A2" s="40" t="s">
        <v>561</v>
      </c>
    </row>
    <row r="3" spans="1:16" x14ac:dyDescent="0.25">
      <c r="A3" s="10" t="s">
        <v>2519</v>
      </c>
      <c r="B3" s="6"/>
      <c r="C3" s="6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</row>
    <row r="4" spans="1:16" x14ac:dyDescent="0.25">
      <c r="A4">
        <v>7072184</v>
      </c>
      <c r="B4" s="6"/>
      <c r="C4" s="6"/>
      <c r="D4">
        <v>3.3</v>
      </c>
    </row>
    <row r="5" spans="1:16" x14ac:dyDescent="0.25">
      <c r="A5">
        <v>9108231</v>
      </c>
      <c r="B5" s="6"/>
      <c r="C5" s="6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</row>
    <row r="6" spans="1:16" x14ac:dyDescent="0.25">
      <c r="A6">
        <v>12061933</v>
      </c>
      <c r="B6" s="6"/>
      <c r="C6" s="6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</row>
    <row r="7" spans="1:16" x14ac:dyDescent="0.25">
      <c r="A7">
        <v>95005911</v>
      </c>
    </row>
    <row r="8" spans="1:16" x14ac:dyDescent="0.25">
      <c r="A8">
        <v>99001908</v>
      </c>
    </row>
    <row r="9" spans="1:16" x14ac:dyDescent="0.25">
      <c r="A9">
        <v>99004067</v>
      </c>
    </row>
    <row r="10" spans="1:16" x14ac:dyDescent="0.25">
      <c r="A10">
        <v>97002136</v>
      </c>
    </row>
    <row r="11" spans="1:16" x14ac:dyDescent="0.25">
      <c r="A11">
        <v>1502</v>
      </c>
      <c r="B11" s="6"/>
      <c r="C11" s="6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</row>
    <row r="12" spans="1:16" x14ac:dyDescent="0.25">
      <c r="A12">
        <v>4003543</v>
      </c>
      <c r="B12" s="6"/>
      <c r="C12" s="6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</row>
    <row r="13" spans="1:16" x14ac:dyDescent="0.25">
      <c r="A13">
        <v>4900261</v>
      </c>
      <c r="B13" s="6"/>
      <c r="C13" s="6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</row>
    <row r="15" spans="1:16" x14ac:dyDescent="0.25">
      <c r="A15" s="10" t="s">
        <v>2520</v>
      </c>
      <c r="B15" s="6"/>
      <c r="C15" s="6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</row>
    <row r="16" spans="1:16" x14ac:dyDescent="0.25">
      <c r="A16">
        <v>14242856</v>
      </c>
      <c r="B16" s="6"/>
      <c r="C16" s="6"/>
      <c r="D16" s="6">
        <v>5</v>
      </c>
      <c r="E16" s="6"/>
      <c r="F16" s="6"/>
      <c r="G16" s="6"/>
      <c r="H16" s="7"/>
      <c r="I16" s="7"/>
      <c r="J16" s="7"/>
      <c r="K16" s="7"/>
      <c r="L16" s="7"/>
      <c r="M16" s="7"/>
      <c r="N16" s="7"/>
      <c r="O16" s="7"/>
      <c r="P16" s="7"/>
    </row>
    <row r="17" spans="1:16" x14ac:dyDescent="0.25">
      <c r="A17">
        <v>99001183</v>
      </c>
      <c r="B17" s="6"/>
      <c r="C17" s="6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</row>
    <row r="18" spans="1:16" x14ac:dyDescent="0.25">
      <c r="A18">
        <v>3000983</v>
      </c>
      <c r="B18" s="6"/>
      <c r="C18" s="6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</row>
    <row r="19" spans="1:16" x14ac:dyDescent="0.25">
      <c r="A19">
        <v>10064335</v>
      </c>
      <c r="B19" s="6"/>
      <c r="C19" s="6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</row>
    <row r="20" spans="1:16" x14ac:dyDescent="0.25">
      <c r="A20" s="6"/>
      <c r="B20" s="6"/>
      <c r="C20" s="6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</row>
    <row r="21" spans="1:16" x14ac:dyDescent="0.25">
      <c r="A21" s="10" t="s">
        <v>2521</v>
      </c>
      <c r="B21" s="6"/>
      <c r="C21" s="6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</row>
    <row r="22" spans="1:16" x14ac:dyDescent="0.25">
      <c r="A22">
        <v>1480</v>
      </c>
    </row>
    <row r="23" spans="1:16" x14ac:dyDescent="0.25">
      <c r="A23">
        <v>7063959</v>
      </c>
      <c r="B23" s="6"/>
      <c r="C23" s="6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</row>
    <row r="24" spans="1:16" x14ac:dyDescent="0.25">
      <c r="A24">
        <v>1003215</v>
      </c>
      <c r="B24" s="6"/>
      <c r="C24" s="6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</row>
    <row r="25" spans="1:16" x14ac:dyDescent="0.25">
      <c r="A25">
        <v>99000802</v>
      </c>
      <c r="B25" s="6"/>
      <c r="C25" s="6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</row>
    <row r="26" spans="1:16" x14ac:dyDescent="0.25">
      <c r="A26">
        <v>99000892</v>
      </c>
      <c r="B26" s="6"/>
      <c r="C26" s="6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</row>
    <row r="27" spans="1:16" x14ac:dyDescent="0.25">
      <c r="A27">
        <v>1000192</v>
      </c>
      <c r="B27" s="6"/>
      <c r="C27" s="6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</row>
    <row r="28" spans="1:16" x14ac:dyDescent="0.25">
      <c r="A28">
        <v>1506</v>
      </c>
      <c r="B28" s="6"/>
      <c r="C28" s="6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</row>
    <row r="29" spans="1:16" x14ac:dyDescent="0.25">
      <c r="A29">
        <v>99000894</v>
      </c>
      <c r="B29" s="6"/>
      <c r="C29" s="6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</row>
    <row r="30" spans="1:16" x14ac:dyDescent="0.25">
      <c r="A30">
        <v>99000897</v>
      </c>
    </row>
    <row r="31" spans="1:16" x14ac:dyDescent="0.25">
      <c r="A31">
        <v>99001245</v>
      </c>
    </row>
    <row r="32" spans="1:16" x14ac:dyDescent="0.25">
      <c r="A32">
        <v>99001902</v>
      </c>
    </row>
    <row r="33" spans="1:16" x14ac:dyDescent="0.25">
      <c r="A33">
        <v>99001912</v>
      </c>
    </row>
    <row r="34" spans="1:16" x14ac:dyDescent="0.25">
      <c r="A34">
        <v>99001913</v>
      </c>
    </row>
    <row r="35" spans="1:16" x14ac:dyDescent="0.25">
      <c r="A35">
        <v>99001937</v>
      </c>
    </row>
    <row r="36" spans="1:16" x14ac:dyDescent="0.25">
      <c r="A36">
        <v>99001943</v>
      </c>
    </row>
    <row r="37" spans="1:16" x14ac:dyDescent="0.25">
      <c r="A37">
        <v>99001927</v>
      </c>
    </row>
    <row r="38" spans="1:16" x14ac:dyDescent="0.25">
      <c r="A38">
        <v>1505</v>
      </c>
      <c r="B38" s="6"/>
      <c r="C38" s="6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</row>
    <row r="39" spans="1:16" x14ac:dyDescent="0.25">
      <c r="A39">
        <v>1000197</v>
      </c>
      <c r="B39" s="6"/>
      <c r="C39" s="6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</row>
    <row r="40" spans="1:16" x14ac:dyDescent="0.25">
      <c r="A40">
        <v>96018835</v>
      </c>
      <c r="D40" s="7"/>
      <c r="E40" s="7"/>
      <c r="F40" s="7"/>
      <c r="G40" s="7"/>
      <c r="H40">
        <v>3.9</v>
      </c>
      <c r="M40">
        <v>3.5</v>
      </c>
    </row>
    <row r="41" spans="1:16" x14ac:dyDescent="0.25">
      <c r="A41">
        <v>98008326</v>
      </c>
      <c r="B41" s="6"/>
      <c r="C41" s="6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</row>
    <row r="42" spans="1:16" x14ac:dyDescent="0.25">
      <c r="A42">
        <v>99000717</v>
      </c>
      <c r="B42" s="6"/>
      <c r="C42" s="6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</row>
    <row r="43" spans="1:16" x14ac:dyDescent="0.25">
      <c r="B43" s="6"/>
      <c r="C43" s="6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</row>
    <row r="44" spans="1:16" x14ac:dyDescent="0.25">
      <c r="A44" s="25" t="s">
        <v>169</v>
      </c>
    </row>
    <row r="45" spans="1:16" x14ac:dyDescent="0.25">
      <c r="A45" s="10" t="s">
        <v>143</v>
      </c>
    </row>
    <row r="46" spans="1:16" x14ac:dyDescent="0.25">
      <c r="A46">
        <v>6016435</v>
      </c>
    </row>
    <row r="47" spans="1:16" x14ac:dyDescent="0.25">
      <c r="A47">
        <v>8045149</v>
      </c>
    </row>
    <row r="48" spans="1:16" x14ac:dyDescent="0.25">
      <c r="A48">
        <v>10023001</v>
      </c>
    </row>
    <row r="49" spans="1:1" x14ac:dyDescent="0.25">
      <c r="A49">
        <v>10027526</v>
      </c>
    </row>
    <row r="50" spans="1:1" x14ac:dyDescent="0.25">
      <c r="A50">
        <v>14222171</v>
      </c>
    </row>
    <row r="51" spans="1:1" x14ac:dyDescent="0.25">
      <c r="A51">
        <v>1006143</v>
      </c>
    </row>
    <row r="52" spans="1:1" x14ac:dyDescent="0.25">
      <c r="A52">
        <v>6006917</v>
      </c>
    </row>
    <row r="54" spans="1:1" x14ac:dyDescent="0.25">
      <c r="A54" s="10" t="s">
        <v>146</v>
      </c>
    </row>
    <row r="55" spans="1:1" x14ac:dyDescent="0.25">
      <c r="A55">
        <v>8057159</v>
      </c>
    </row>
    <row r="56" spans="1:1" x14ac:dyDescent="0.25">
      <c r="A56">
        <v>9140312</v>
      </c>
    </row>
    <row r="57" spans="1:1" x14ac:dyDescent="0.25">
      <c r="A57">
        <v>12008230</v>
      </c>
    </row>
    <row r="58" spans="1:1" x14ac:dyDescent="0.25">
      <c r="A58">
        <v>12088444</v>
      </c>
    </row>
    <row r="59" spans="1:1" x14ac:dyDescent="0.25">
      <c r="A59">
        <v>13118872</v>
      </c>
    </row>
    <row r="60" spans="1:1" x14ac:dyDescent="0.25">
      <c r="A60">
        <v>12012030</v>
      </c>
    </row>
    <row r="62" spans="1:1" x14ac:dyDescent="0.25">
      <c r="A62" s="10" t="s">
        <v>120</v>
      </c>
    </row>
    <row r="63" spans="1:1" x14ac:dyDescent="0.25">
      <c r="A63">
        <v>9074418</v>
      </c>
    </row>
    <row r="64" spans="1:1" x14ac:dyDescent="0.25">
      <c r="A64">
        <v>1263</v>
      </c>
    </row>
    <row r="65" spans="1:16" x14ac:dyDescent="0.25">
      <c r="A65">
        <v>98004910</v>
      </c>
    </row>
    <row r="66" spans="1:16" x14ac:dyDescent="0.25">
      <c r="A66">
        <v>7103068</v>
      </c>
    </row>
    <row r="67" spans="1:16" x14ac:dyDescent="0.25">
      <c r="A67">
        <v>11240728</v>
      </c>
    </row>
    <row r="68" spans="1:16" x14ac:dyDescent="0.25">
      <c r="B68" s="6"/>
      <c r="C68" s="6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</row>
    <row r="69" spans="1:16" x14ac:dyDescent="0.25">
      <c r="A69" s="26" t="s">
        <v>170</v>
      </c>
    </row>
    <row r="70" spans="1:16" x14ac:dyDescent="0.25">
      <c r="A70" s="10" t="s">
        <v>143</v>
      </c>
    </row>
    <row r="71" spans="1:16" x14ac:dyDescent="0.25">
      <c r="A71">
        <v>5015869</v>
      </c>
    </row>
    <row r="72" spans="1:16" x14ac:dyDescent="0.25">
      <c r="A72">
        <v>5016969</v>
      </c>
    </row>
    <row r="73" spans="1:16" x14ac:dyDescent="0.25">
      <c r="A73">
        <v>6023231</v>
      </c>
    </row>
    <row r="74" spans="1:16" x14ac:dyDescent="0.25">
      <c r="A74">
        <v>6010712</v>
      </c>
    </row>
    <row r="75" spans="1:16" x14ac:dyDescent="0.25">
      <c r="A75">
        <v>6011198</v>
      </c>
    </row>
    <row r="76" spans="1:16" x14ac:dyDescent="0.25">
      <c r="A76">
        <v>6012681</v>
      </c>
    </row>
    <row r="77" spans="1:16" x14ac:dyDescent="0.25">
      <c r="A77">
        <v>6014511</v>
      </c>
    </row>
    <row r="78" spans="1:16" x14ac:dyDescent="0.25">
      <c r="A78">
        <v>6045127</v>
      </c>
    </row>
    <row r="79" spans="1:16" x14ac:dyDescent="0.25">
      <c r="A79">
        <v>7000458</v>
      </c>
    </row>
    <row r="80" spans="1:16" x14ac:dyDescent="0.25">
      <c r="A80">
        <v>7015502</v>
      </c>
    </row>
    <row r="81" spans="1:1" x14ac:dyDescent="0.25">
      <c r="A81">
        <v>7025847</v>
      </c>
    </row>
    <row r="82" spans="1:1" x14ac:dyDescent="0.25">
      <c r="A82">
        <v>7082707</v>
      </c>
    </row>
    <row r="83" spans="1:1" x14ac:dyDescent="0.25">
      <c r="A83">
        <v>7083159</v>
      </c>
    </row>
    <row r="84" spans="1:1" x14ac:dyDescent="0.25">
      <c r="A84">
        <v>7084659</v>
      </c>
    </row>
    <row r="85" spans="1:1" x14ac:dyDescent="0.25">
      <c r="A85">
        <v>7076814</v>
      </c>
    </row>
    <row r="86" spans="1:1" x14ac:dyDescent="0.25">
      <c r="A86">
        <v>7076815</v>
      </c>
    </row>
    <row r="87" spans="1:1" x14ac:dyDescent="0.25">
      <c r="A87">
        <v>7089231</v>
      </c>
    </row>
    <row r="88" spans="1:1" x14ac:dyDescent="0.25">
      <c r="A88">
        <v>7116004</v>
      </c>
    </row>
    <row r="89" spans="1:1" x14ac:dyDescent="0.25">
      <c r="A89">
        <v>8003819</v>
      </c>
    </row>
    <row r="90" spans="1:1" x14ac:dyDescent="0.25">
      <c r="A90">
        <v>8091779</v>
      </c>
    </row>
    <row r="91" spans="1:1" x14ac:dyDescent="0.25">
      <c r="A91">
        <v>8097989</v>
      </c>
    </row>
    <row r="92" spans="1:1" x14ac:dyDescent="0.25">
      <c r="A92">
        <v>8112522</v>
      </c>
    </row>
    <row r="93" spans="1:1" x14ac:dyDescent="0.25">
      <c r="A93">
        <v>8127397</v>
      </c>
    </row>
    <row r="94" spans="1:1" x14ac:dyDescent="0.25">
      <c r="A94">
        <v>8130998</v>
      </c>
    </row>
    <row r="95" spans="1:1" x14ac:dyDescent="0.25">
      <c r="A95">
        <v>9002836</v>
      </c>
    </row>
    <row r="96" spans="1:1" x14ac:dyDescent="0.25">
      <c r="A96">
        <v>9003331</v>
      </c>
    </row>
    <row r="97" spans="1:3" x14ac:dyDescent="0.25">
      <c r="A97">
        <v>9003370</v>
      </c>
    </row>
    <row r="98" spans="1:3" x14ac:dyDescent="0.25">
      <c r="A98">
        <v>9016278</v>
      </c>
    </row>
    <row r="99" spans="1:3" x14ac:dyDescent="0.25">
      <c r="A99">
        <v>9030684</v>
      </c>
    </row>
    <row r="100" spans="1:3" x14ac:dyDescent="0.25">
      <c r="A100">
        <v>9031387</v>
      </c>
    </row>
    <row r="101" spans="1:3" x14ac:dyDescent="0.25">
      <c r="A101">
        <v>9038676</v>
      </c>
    </row>
    <row r="102" spans="1:3" x14ac:dyDescent="0.25">
      <c r="A102">
        <v>9039416</v>
      </c>
    </row>
    <row r="103" spans="1:3" x14ac:dyDescent="0.25">
      <c r="A103">
        <v>9042861</v>
      </c>
      <c r="B103" s="3"/>
      <c r="C103" s="3"/>
    </row>
    <row r="104" spans="1:3" x14ac:dyDescent="0.25">
      <c r="A104">
        <v>9044899</v>
      </c>
    </row>
    <row r="105" spans="1:3" x14ac:dyDescent="0.25">
      <c r="A105">
        <v>9052398</v>
      </c>
    </row>
    <row r="106" spans="1:3" x14ac:dyDescent="0.25">
      <c r="A106">
        <v>9085204</v>
      </c>
    </row>
    <row r="107" spans="1:3" x14ac:dyDescent="0.25">
      <c r="A107">
        <v>9090323</v>
      </c>
    </row>
    <row r="108" spans="1:3" x14ac:dyDescent="0.25">
      <c r="A108">
        <v>9105492</v>
      </c>
    </row>
    <row r="109" spans="1:3" x14ac:dyDescent="0.25">
      <c r="A109">
        <v>9138470</v>
      </c>
    </row>
    <row r="110" spans="1:3" x14ac:dyDescent="0.25">
      <c r="A110">
        <v>9150676</v>
      </c>
    </row>
    <row r="111" spans="1:3" x14ac:dyDescent="0.25">
      <c r="A111">
        <v>10010926</v>
      </c>
    </row>
    <row r="112" spans="1:3" x14ac:dyDescent="0.25">
      <c r="A112">
        <v>10016588</v>
      </c>
    </row>
    <row r="113" spans="1:15" x14ac:dyDescent="0.25">
      <c r="A113">
        <v>10030897</v>
      </c>
    </row>
    <row r="114" spans="1:15" x14ac:dyDescent="0.25">
      <c r="A114">
        <v>324</v>
      </c>
    </row>
    <row r="115" spans="1:15" x14ac:dyDescent="0.25">
      <c r="A115">
        <v>3909</v>
      </c>
      <c r="H115">
        <v>5.0999999999999996</v>
      </c>
    </row>
    <row r="116" spans="1:15" x14ac:dyDescent="0.25">
      <c r="A116">
        <v>4663</v>
      </c>
    </row>
    <row r="117" spans="1:15" x14ac:dyDescent="0.25">
      <c r="A117">
        <v>1005522</v>
      </c>
    </row>
    <row r="118" spans="1:15" x14ac:dyDescent="0.25">
      <c r="A118">
        <v>1007631</v>
      </c>
    </row>
    <row r="119" spans="1:15" x14ac:dyDescent="0.25">
      <c r="A119">
        <v>1009760</v>
      </c>
      <c r="G119">
        <v>7</v>
      </c>
      <c r="I119">
        <v>7</v>
      </c>
      <c r="K119">
        <v>6.5</v>
      </c>
      <c r="M119">
        <v>7.2</v>
      </c>
      <c r="O119">
        <v>7.3</v>
      </c>
    </row>
    <row r="120" spans="1:15" x14ac:dyDescent="0.25">
      <c r="A120">
        <v>2000646</v>
      </c>
      <c r="F120">
        <v>4.0999999999999996</v>
      </c>
      <c r="J120">
        <v>6.8</v>
      </c>
    </row>
    <row r="121" spans="1:15" x14ac:dyDescent="0.25">
      <c r="A121">
        <v>2003761</v>
      </c>
    </row>
    <row r="122" spans="1:15" x14ac:dyDescent="0.25">
      <c r="A122">
        <v>2004061</v>
      </c>
    </row>
    <row r="123" spans="1:15" x14ac:dyDescent="0.25">
      <c r="A123">
        <v>2006469</v>
      </c>
    </row>
    <row r="124" spans="1:15" x14ac:dyDescent="0.25">
      <c r="A124">
        <v>3005132</v>
      </c>
    </row>
    <row r="125" spans="1:15" x14ac:dyDescent="0.25">
      <c r="A125">
        <v>3009119</v>
      </c>
    </row>
    <row r="126" spans="1:15" x14ac:dyDescent="0.25">
      <c r="A126">
        <v>3009936</v>
      </c>
    </row>
    <row r="127" spans="1:15" x14ac:dyDescent="0.25">
      <c r="A127">
        <v>3011094</v>
      </c>
    </row>
    <row r="128" spans="1:15" x14ac:dyDescent="0.25">
      <c r="A128">
        <v>3014643</v>
      </c>
    </row>
    <row r="129" spans="1:1" x14ac:dyDescent="0.25">
      <c r="A129">
        <v>3016056</v>
      </c>
    </row>
    <row r="130" spans="1:1" x14ac:dyDescent="0.25">
      <c r="A130">
        <v>3900219</v>
      </c>
    </row>
    <row r="131" spans="1:1" x14ac:dyDescent="0.25">
      <c r="A131">
        <v>4000158</v>
      </c>
    </row>
    <row r="132" spans="1:1" x14ac:dyDescent="0.25">
      <c r="A132">
        <v>4000304</v>
      </c>
    </row>
    <row r="133" spans="1:1" x14ac:dyDescent="0.25">
      <c r="A133">
        <v>4001905</v>
      </c>
    </row>
    <row r="134" spans="1:1" x14ac:dyDescent="0.25">
      <c r="A134">
        <v>4002206</v>
      </c>
    </row>
    <row r="135" spans="1:1" x14ac:dyDescent="0.25">
      <c r="A135">
        <v>4002715</v>
      </c>
    </row>
    <row r="136" spans="1:1" x14ac:dyDescent="0.25">
      <c r="A136">
        <v>4003924</v>
      </c>
    </row>
    <row r="137" spans="1:1" x14ac:dyDescent="0.25">
      <c r="A137">
        <v>4006051</v>
      </c>
    </row>
    <row r="138" spans="1:1" x14ac:dyDescent="0.25">
      <c r="A138">
        <v>4008140</v>
      </c>
    </row>
    <row r="139" spans="1:1" x14ac:dyDescent="0.25">
      <c r="A139">
        <v>4009906</v>
      </c>
    </row>
    <row r="140" spans="1:1" x14ac:dyDescent="0.25">
      <c r="A140">
        <v>4011027</v>
      </c>
    </row>
    <row r="141" spans="1:1" x14ac:dyDescent="0.25">
      <c r="A141">
        <v>4011920</v>
      </c>
    </row>
    <row r="142" spans="1:1" x14ac:dyDescent="0.25">
      <c r="A142">
        <v>4012248</v>
      </c>
    </row>
    <row r="143" spans="1:1" x14ac:dyDescent="0.25">
      <c r="A143">
        <v>4013603</v>
      </c>
    </row>
    <row r="144" spans="1:1" x14ac:dyDescent="0.25">
      <c r="A144">
        <v>5004654</v>
      </c>
    </row>
    <row r="145" spans="1:15" x14ac:dyDescent="0.25">
      <c r="A145" s="65"/>
    </row>
    <row r="146" spans="1:15" x14ac:dyDescent="0.25">
      <c r="A146" s="10" t="s">
        <v>146</v>
      </c>
    </row>
    <row r="147" spans="1:15" x14ac:dyDescent="0.25">
      <c r="A147">
        <v>4289</v>
      </c>
    </row>
    <row r="148" spans="1:15" x14ac:dyDescent="0.25">
      <c r="A148">
        <v>500245</v>
      </c>
    </row>
    <row r="149" spans="1:15" x14ac:dyDescent="0.25">
      <c r="A149">
        <v>2002573</v>
      </c>
    </row>
    <row r="150" spans="1:15" x14ac:dyDescent="0.25">
      <c r="A150">
        <v>2003539</v>
      </c>
    </row>
    <row r="151" spans="1:15" x14ac:dyDescent="0.25">
      <c r="A151">
        <v>2003649</v>
      </c>
    </row>
    <row r="152" spans="1:15" x14ac:dyDescent="0.25">
      <c r="A152">
        <v>2005572</v>
      </c>
    </row>
    <row r="153" spans="1:15" x14ac:dyDescent="0.25">
      <c r="A153">
        <v>2013117</v>
      </c>
    </row>
    <row r="154" spans="1:15" x14ac:dyDescent="0.25">
      <c r="A154">
        <v>3009633</v>
      </c>
    </row>
    <row r="155" spans="1:15" x14ac:dyDescent="0.25">
      <c r="A155">
        <v>3010583</v>
      </c>
    </row>
    <row r="156" spans="1:15" x14ac:dyDescent="0.25">
      <c r="A156" s="23">
        <v>3011892</v>
      </c>
    </row>
    <row r="157" spans="1:15" x14ac:dyDescent="0.25">
      <c r="A157">
        <v>4001382</v>
      </c>
      <c r="N157" s="14">
        <v>4.6500000000000004</v>
      </c>
      <c r="O157" s="14">
        <v>5.4</v>
      </c>
    </row>
    <row r="158" spans="1:15" x14ac:dyDescent="0.25">
      <c r="A158">
        <v>5018675</v>
      </c>
    </row>
    <row r="159" spans="1:15" x14ac:dyDescent="0.25">
      <c r="A159">
        <v>6050168</v>
      </c>
    </row>
    <row r="160" spans="1:15" x14ac:dyDescent="0.25">
      <c r="A160">
        <v>5006592</v>
      </c>
    </row>
    <row r="161" spans="1:16" x14ac:dyDescent="0.25">
      <c r="A161">
        <v>5007274</v>
      </c>
    </row>
    <row r="162" spans="1:16" x14ac:dyDescent="0.25">
      <c r="A162">
        <v>5015851</v>
      </c>
    </row>
    <row r="163" spans="1:16" x14ac:dyDescent="0.25">
      <c r="A163">
        <v>6015647</v>
      </c>
    </row>
    <row r="164" spans="1:16" x14ac:dyDescent="0.25">
      <c r="A164">
        <v>6056633</v>
      </c>
    </row>
    <row r="165" spans="1:16" x14ac:dyDescent="0.25">
      <c r="A165">
        <v>7086224</v>
      </c>
      <c r="P165">
        <v>5.9</v>
      </c>
    </row>
    <row r="166" spans="1:16" x14ac:dyDescent="0.25">
      <c r="A166">
        <v>8040959</v>
      </c>
    </row>
    <row r="167" spans="1:16" x14ac:dyDescent="0.25">
      <c r="A167">
        <v>8107048</v>
      </c>
    </row>
    <row r="168" spans="1:16" x14ac:dyDescent="0.25">
      <c r="A168">
        <v>8124044</v>
      </c>
    </row>
    <row r="169" spans="1:16" x14ac:dyDescent="0.25">
      <c r="A169">
        <v>8142949</v>
      </c>
    </row>
    <row r="170" spans="1:16" x14ac:dyDescent="0.25">
      <c r="A170">
        <v>9023306</v>
      </c>
    </row>
    <row r="171" spans="1:16" x14ac:dyDescent="0.25">
      <c r="A171">
        <v>9030615</v>
      </c>
    </row>
    <row r="172" spans="1:16" x14ac:dyDescent="0.25">
      <c r="A172">
        <v>9034464</v>
      </c>
    </row>
    <row r="173" spans="1:16" x14ac:dyDescent="0.25">
      <c r="A173">
        <v>9040167</v>
      </c>
    </row>
    <row r="174" spans="1:16" x14ac:dyDescent="0.25">
      <c r="A174">
        <v>9054567</v>
      </c>
    </row>
    <row r="175" spans="1:16" x14ac:dyDescent="0.25">
      <c r="A175">
        <v>9083682</v>
      </c>
    </row>
    <row r="176" spans="1:16" x14ac:dyDescent="0.25">
      <c r="A176">
        <v>9102044</v>
      </c>
    </row>
    <row r="177" spans="1:1" x14ac:dyDescent="0.25">
      <c r="A177">
        <v>9119854</v>
      </c>
    </row>
    <row r="178" spans="1:1" x14ac:dyDescent="0.25">
      <c r="A178">
        <v>9125126</v>
      </c>
    </row>
    <row r="179" spans="1:1" x14ac:dyDescent="0.25">
      <c r="A179">
        <v>9174811</v>
      </c>
    </row>
    <row r="180" spans="1:1" x14ac:dyDescent="0.25">
      <c r="A180">
        <v>10002875</v>
      </c>
    </row>
    <row r="181" spans="1:1" x14ac:dyDescent="0.25">
      <c r="A181">
        <v>10023080</v>
      </c>
    </row>
    <row r="182" spans="1:1" x14ac:dyDescent="0.25">
      <c r="A182">
        <v>10025212</v>
      </c>
    </row>
    <row r="183" spans="1:1" x14ac:dyDescent="0.25">
      <c r="A183">
        <v>10069407</v>
      </c>
    </row>
    <row r="184" spans="1:1" x14ac:dyDescent="0.25">
      <c r="A184">
        <v>10071135</v>
      </c>
    </row>
    <row r="185" spans="1:1" x14ac:dyDescent="0.25">
      <c r="A185">
        <v>10083649</v>
      </c>
    </row>
    <row r="186" spans="1:1" x14ac:dyDescent="0.25">
      <c r="A186">
        <v>10102021</v>
      </c>
    </row>
    <row r="187" spans="1:1" x14ac:dyDescent="0.25">
      <c r="A187">
        <v>10123729</v>
      </c>
    </row>
    <row r="188" spans="1:1" x14ac:dyDescent="0.25">
      <c r="A188">
        <v>10144736</v>
      </c>
    </row>
    <row r="189" spans="1:1" x14ac:dyDescent="0.25">
      <c r="A189">
        <v>10157275</v>
      </c>
    </row>
    <row r="190" spans="1:1" x14ac:dyDescent="0.25">
      <c r="A190" s="65"/>
    </row>
    <row r="191" spans="1:1" x14ac:dyDescent="0.25">
      <c r="A191" s="10" t="s">
        <v>120</v>
      </c>
    </row>
    <row r="192" spans="1:1" x14ac:dyDescent="0.25">
      <c r="A192">
        <v>5281</v>
      </c>
    </row>
    <row r="193" spans="1:7" x14ac:dyDescent="0.25">
      <c r="A193">
        <v>200085</v>
      </c>
    </row>
    <row r="194" spans="1:7" x14ac:dyDescent="0.25">
      <c r="A194">
        <v>500129</v>
      </c>
    </row>
    <row r="195" spans="1:7" x14ac:dyDescent="0.25">
      <c r="A195" s="23">
        <v>1002033</v>
      </c>
    </row>
    <row r="196" spans="1:7" x14ac:dyDescent="0.25">
      <c r="A196">
        <v>1003457</v>
      </c>
    </row>
    <row r="197" spans="1:7" x14ac:dyDescent="0.25">
      <c r="A197">
        <v>2005223</v>
      </c>
    </row>
    <row r="198" spans="1:7" x14ac:dyDescent="0.25">
      <c r="A198">
        <v>2006107</v>
      </c>
    </row>
    <row r="199" spans="1:7" x14ac:dyDescent="0.25">
      <c r="A199">
        <v>2012014</v>
      </c>
      <c r="B199">
        <v>7.1</v>
      </c>
    </row>
    <row r="200" spans="1:7" x14ac:dyDescent="0.25">
      <c r="A200">
        <v>3000152</v>
      </c>
    </row>
    <row r="201" spans="1:7" x14ac:dyDescent="0.25">
      <c r="A201">
        <v>3014566</v>
      </c>
    </row>
    <row r="202" spans="1:7" x14ac:dyDescent="0.25">
      <c r="A202">
        <v>3015058</v>
      </c>
    </row>
    <row r="203" spans="1:7" x14ac:dyDescent="0.25">
      <c r="A203" s="23">
        <v>4000996</v>
      </c>
      <c r="F203">
        <v>5.86</v>
      </c>
      <c r="G203" s="3">
        <v>5.72</v>
      </c>
    </row>
    <row r="204" spans="1:7" x14ac:dyDescent="0.25">
      <c r="A204">
        <v>4003768</v>
      </c>
    </row>
    <row r="205" spans="1:7" x14ac:dyDescent="0.25">
      <c r="A205">
        <v>4006540</v>
      </c>
    </row>
    <row r="206" spans="1:7" x14ac:dyDescent="0.25">
      <c r="A206">
        <v>4007054</v>
      </c>
    </row>
    <row r="207" spans="1:7" x14ac:dyDescent="0.25">
      <c r="A207">
        <v>4011002</v>
      </c>
    </row>
    <row r="208" spans="1:7" x14ac:dyDescent="0.25">
      <c r="A208">
        <v>4900268</v>
      </c>
    </row>
    <row r="209" spans="1:3" x14ac:dyDescent="0.25">
      <c r="A209">
        <v>5001097</v>
      </c>
    </row>
    <row r="210" spans="1:3" x14ac:dyDescent="0.25">
      <c r="A210">
        <v>5001098</v>
      </c>
    </row>
    <row r="211" spans="1:3" x14ac:dyDescent="0.25">
      <c r="A211">
        <v>5006152</v>
      </c>
      <c r="C211" s="3">
        <v>7.67</v>
      </c>
    </row>
    <row r="212" spans="1:3" x14ac:dyDescent="0.25">
      <c r="A212">
        <v>6012361</v>
      </c>
    </row>
    <row r="213" spans="1:3" x14ac:dyDescent="0.25">
      <c r="A213">
        <v>6015793</v>
      </c>
    </row>
    <row r="214" spans="1:3" x14ac:dyDescent="0.25">
      <c r="A214">
        <v>6043619</v>
      </c>
    </row>
    <row r="215" spans="1:3" x14ac:dyDescent="0.25">
      <c r="A215">
        <v>7001097</v>
      </c>
    </row>
    <row r="216" spans="1:3" x14ac:dyDescent="0.25">
      <c r="A216">
        <v>7011435</v>
      </c>
    </row>
    <row r="217" spans="1:3" x14ac:dyDescent="0.25">
      <c r="A217">
        <v>7045811</v>
      </c>
    </row>
    <row r="218" spans="1:3" x14ac:dyDescent="0.25">
      <c r="A218">
        <v>7071198</v>
      </c>
    </row>
    <row r="219" spans="1:3" x14ac:dyDescent="0.25">
      <c r="A219">
        <v>7101143</v>
      </c>
    </row>
    <row r="220" spans="1:3" x14ac:dyDescent="0.25">
      <c r="A220">
        <v>8073350</v>
      </c>
    </row>
    <row r="221" spans="1:3" x14ac:dyDescent="0.25">
      <c r="A221">
        <v>8073645</v>
      </c>
    </row>
    <row r="222" spans="1:3" x14ac:dyDescent="0.25">
      <c r="A222" s="23">
        <v>8089666</v>
      </c>
    </row>
    <row r="223" spans="1:3" x14ac:dyDescent="0.25">
      <c r="A223">
        <v>8103536</v>
      </c>
    </row>
    <row r="224" spans="1:3" x14ac:dyDescent="0.25">
      <c r="A224">
        <v>8124816</v>
      </c>
    </row>
    <row r="225" spans="1:6" x14ac:dyDescent="0.25">
      <c r="A225">
        <v>9003267</v>
      </c>
    </row>
    <row r="226" spans="1:6" x14ac:dyDescent="0.25">
      <c r="A226">
        <v>9036964</v>
      </c>
    </row>
    <row r="227" spans="1:6" x14ac:dyDescent="0.25">
      <c r="A227">
        <v>9090287</v>
      </c>
    </row>
    <row r="228" spans="1:6" x14ac:dyDescent="0.25">
      <c r="A228">
        <v>9095148</v>
      </c>
      <c r="F228">
        <v>6.1</v>
      </c>
    </row>
    <row r="229" spans="1:6" x14ac:dyDescent="0.25">
      <c r="A229">
        <v>9104979</v>
      </c>
    </row>
    <row r="230" spans="1:6" x14ac:dyDescent="0.25">
      <c r="A230">
        <v>9139514</v>
      </c>
    </row>
    <row r="231" spans="1:6" x14ac:dyDescent="0.25">
      <c r="A231">
        <v>10020659</v>
      </c>
    </row>
    <row r="232" spans="1:6" x14ac:dyDescent="0.25">
      <c r="A232">
        <v>10025902</v>
      </c>
    </row>
    <row r="233" spans="1:6" x14ac:dyDescent="0.25">
      <c r="A233">
        <v>10027654</v>
      </c>
    </row>
    <row r="234" spans="1:6" x14ac:dyDescent="0.25">
      <c r="A234">
        <v>10084485</v>
      </c>
    </row>
    <row r="235" spans="1:6" x14ac:dyDescent="0.25">
      <c r="A235">
        <v>10098420</v>
      </c>
    </row>
    <row r="236" spans="1:6" x14ac:dyDescent="0.25">
      <c r="A236">
        <v>10129565</v>
      </c>
    </row>
    <row r="237" spans="1:6" x14ac:dyDescent="0.25">
      <c r="A237">
        <v>10146828</v>
      </c>
    </row>
    <row r="238" spans="1:6" x14ac:dyDescent="0.25">
      <c r="A238">
        <v>10163776</v>
      </c>
    </row>
    <row r="239" spans="1:6" x14ac:dyDescent="0.25">
      <c r="A239">
        <v>10173664</v>
      </c>
    </row>
  </sheetData>
  <conditionalFormatting sqref="A19">
    <cfRule type="duplicateValues" dxfId="22" priority="1"/>
  </conditionalFormatting>
  <pageMargins left="0.7" right="0.7" top="0.78740157499999996" bottom="0.78740157499999996" header="0.3" footer="0.3"/>
  <tableParts count="1">
    <tablePart r:id="rId1"/>
  </tablePart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"/>
  <sheetViews>
    <sheetView workbookViewId="0">
      <selection activeCell="G23" sqref="G23"/>
    </sheetView>
  </sheetViews>
  <sheetFormatPr defaultColWidth="11.42578125" defaultRowHeight="15" x14ac:dyDescent="0.25"/>
  <cols>
    <col min="1" max="1" width="17.28515625" bestFit="1" customWidth="1"/>
    <col min="2" max="2" width="16.28515625" bestFit="1" customWidth="1"/>
    <col min="3" max="3" width="81.140625" bestFit="1" customWidth="1"/>
    <col min="4" max="4" width="30.28515625" bestFit="1" customWidth="1"/>
  </cols>
  <sheetData>
    <row r="1" spans="1:4" x14ac:dyDescent="0.25">
      <c r="A1" s="66" t="s">
        <v>59</v>
      </c>
      <c r="B1" s="66" t="s">
        <v>3062</v>
      </c>
      <c r="C1" s="66" t="s">
        <v>2564</v>
      </c>
      <c r="D1" s="66" t="s">
        <v>2523</v>
      </c>
    </row>
    <row r="2" spans="1:4" x14ac:dyDescent="0.25">
      <c r="A2" s="66">
        <v>7072184</v>
      </c>
      <c r="B2" s="66" t="s">
        <v>3062</v>
      </c>
      <c r="C2" s="66" t="s">
        <v>60</v>
      </c>
      <c r="D2" s="66">
        <v>1</v>
      </c>
    </row>
    <row r="3" spans="1:4" x14ac:dyDescent="0.25">
      <c r="A3" s="66">
        <v>14242856</v>
      </c>
      <c r="B3" s="66" t="s">
        <v>3062</v>
      </c>
      <c r="C3" s="66" t="s">
        <v>60</v>
      </c>
      <c r="D3" s="66">
        <v>1</v>
      </c>
    </row>
    <row r="4" spans="1:4" x14ac:dyDescent="0.25">
      <c r="A4" s="66">
        <v>96018835</v>
      </c>
      <c r="B4" s="66" t="s">
        <v>3062</v>
      </c>
      <c r="C4" s="66" t="s">
        <v>3063</v>
      </c>
      <c r="D4" s="66">
        <v>2</v>
      </c>
    </row>
    <row r="5" spans="1:4" x14ac:dyDescent="0.25">
      <c r="A5" s="66">
        <v>3909</v>
      </c>
      <c r="B5" s="66" t="s">
        <v>3062</v>
      </c>
      <c r="C5" s="66" t="s">
        <v>1481</v>
      </c>
      <c r="D5" s="66">
        <v>1</v>
      </c>
    </row>
    <row r="6" spans="1:4" x14ac:dyDescent="0.25">
      <c r="A6" s="66">
        <v>1009760</v>
      </c>
      <c r="B6" s="66" t="s">
        <v>3062</v>
      </c>
      <c r="C6" s="66" t="s">
        <v>3064</v>
      </c>
      <c r="D6" s="66">
        <v>5</v>
      </c>
    </row>
    <row r="7" spans="1:4" x14ac:dyDescent="0.25">
      <c r="A7" s="66">
        <v>2000646</v>
      </c>
      <c r="B7" s="66" t="s">
        <v>3062</v>
      </c>
      <c r="C7" s="66" t="s">
        <v>3065</v>
      </c>
      <c r="D7" s="66">
        <v>2</v>
      </c>
    </row>
    <row r="8" spans="1:4" x14ac:dyDescent="0.25">
      <c r="A8" s="66">
        <v>4001382</v>
      </c>
      <c r="B8" s="66" t="s">
        <v>3062</v>
      </c>
      <c r="C8" s="66" t="s">
        <v>3066</v>
      </c>
      <c r="D8" s="66">
        <v>2</v>
      </c>
    </row>
    <row r="9" spans="1:4" x14ac:dyDescent="0.25">
      <c r="A9" s="66">
        <v>7086224</v>
      </c>
      <c r="B9" s="66" t="s">
        <v>3062</v>
      </c>
      <c r="C9" s="66" t="s">
        <v>2142</v>
      </c>
      <c r="D9" s="66">
        <v>1</v>
      </c>
    </row>
    <row r="10" spans="1:4" x14ac:dyDescent="0.25">
      <c r="A10" s="66">
        <v>2012014</v>
      </c>
      <c r="B10" s="66" t="s">
        <v>3062</v>
      </c>
      <c r="C10" s="66" t="s">
        <v>1855</v>
      </c>
      <c r="D10" s="66">
        <v>1</v>
      </c>
    </row>
    <row r="11" spans="1:4" x14ac:dyDescent="0.25">
      <c r="A11" s="66">
        <v>4000996</v>
      </c>
      <c r="B11" s="66" t="s">
        <v>3062</v>
      </c>
      <c r="C11" s="66" t="s">
        <v>3067</v>
      </c>
      <c r="D11" s="66">
        <v>2</v>
      </c>
    </row>
    <row r="12" spans="1:4" x14ac:dyDescent="0.25">
      <c r="A12" s="66">
        <v>5006152</v>
      </c>
      <c r="B12" s="66" t="s">
        <v>3062</v>
      </c>
      <c r="C12" s="66" t="s">
        <v>1993</v>
      </c>
      <c r="D12" s="66">
        <v>1</v>
      </c>
    </row>
    <row r="13" spans="1:4" x14ac:dyDescent="0.25">
      <c r="A13" s="66">
        <v>9095148</v>
      </c>
      <c r="B13" s="66" t="s">
        <v>3062</v>
      </c>
      <c r="C13" s="66" t="s">
        <v>1478</v>
      </c>
      <c r="D13" s="66">
        <v>1</v>
      </c>
    </row>
  </sheetData>
  <phoneticPr fontId="6" type="noConversion"/>
  <pageMargins left="0.7" right="0.7" top="0.78740157499999996" bottom="0.78740157499999996" header="0.3" footer="0.3"/>
  <tableParts count="1">
    <tablePart r:id="rId1"/>
  </tablePart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X239"/>
  <sheetViews>
    <sheetView workbookViewId="0">
      <selection sqref="A1:BX239"/>
    </sheetView>
  </sheetViews>
  <sheetFormatPr defaultColWidth="11.42578125" defaultRowHeight="15" x14ac:dyDescent="0.25"/>
  <cols>
    <col min="1" max="1" width="17.140625" customWidth="1"/>
    <col min="2" max="2" width="36.140625" customWidth="1"/>
    <col min="3" max="3" width="33.140625" customWidth="1"/>
    <col min="4" max="7" width="32.140625" customWidth="1"/>
    <col min="8" max="8" width="36.5703125" customWidth="1"/>
    <col min="9" max="13" width="32.140625" customWidth="1"/>
    <col min="14" max="14" width="33.140625" customWidth="1"/>
    <col min="15" max="15" width="35.5703125" customWidth="1"/>
    <col min="16" max="20" width="31.140625" customWidth="1"/>
    <col min="21" max="21" width="30" customWidth="1"/>
    <col min="22" max="22" width="26.5703125" customWidth="1"/>
    <col min="23" max="23" width="35.140625" customWidth="1"/>
    <col min="27" max="27" width="13.28515625" customWidth="1"/>
    <col min="31" max="31" width="15.85546875" customWidth="1"/>
    <col min="35" max="35" width="15.85546875" customWidth="1"/>
    <col min="39" max="39" width="15.85546875" customWidth="1"/>
    <col min="44" max="44" width="15.85546875" customWidth="1"/>
    <col min="50" max="50" width="15.85546875" customWidth="1"/>
    <col min="53" max="53" width="18.5703125" customWidth="1"/>
    <col min="54" max="71" width="13.7109375" customWidth="1"/>
    <col min="72" max="72" width="18.5703125" customWidth="1"/>
    <col min="73" max="73" width="13.7109375" customWidth="1"/>
    <col min="74" max="76" width="18.5703125" customWidth="1"/>
  </cols>
  <sheetData>
    <row r="1" spans="1:76" ht="75" x14ac:dyDescent="0.25">
      <c r="A1" s="61" t="s">
        <v>59</v>
      </c>
      <c r="B1" s="62" t="s">
        <v>1484</v>
      </c>
      <c r="C1" s="62" t="s">
        <v>2415</v>
      </c>
      <c r="D1" s="62" t="s">
        <v>2438</v>
      </c>
      <c r="E1" s="62" t="s">
        <v>1105</v>
      </c>
      <c r="F1" s="62" t="s">
        <v>2443</v>
      </c>
      <c r="G1" s="62" t="s">
        <v>1035</v>
      </c>
      <c r="H1" s="62" t="s">
        <v>1485</v>
      </c>
      <c r="I1" s="62" t="s">
        <v>1073</v>
      </c>
      <c r="J1" s="62" t="s">
        <v>1770</v>
      </c>
      <c r="K1" s="62" t="s">
        <v>1769</v>
      </c>
      <c r="L1" s="62" t="s">
        <v>1984</v>
      </c>
      <c r="M1" s="62" t="s">
        <v>1900</v>
      </c>
      <c r="N1" s="62" t="s">
        <v>3068</v>
      </c>
      <c r="O1" s="62" t="s">
        <v>1486</v>
      </c>
      <c r="P1" s="62" t="s">
        <v>1959</v>
      </c>
      <c r="Q1" s="62" t="s">
        <v>1767</v>
      </c>
      <c r="R1" s="62" t="s">
        <v>1764</v>
      </c>
      <c r="S1" s="62" t="s">
        <v>1270</v>
      </c>
      <c r="T1" s="62" t="s">
        <v>1994</v>
      </c>
      <c r="U1" s="62" t="s">
        <v>2353</v>
      </c>
      <c r="V1" s="62" t="s">
        <v>1487</v>
      </c>
      <c r="W1" s="63" t="s">
        <v>1326</v>
      </c>
      <c r="X1" s="62" t="s">
        <v>662</v>
      </c>
      <c r="Y1" s="62" t="s">
        <v>35</v>
      </c>
      <c r="Z1" s="62" t="s">
        <v>36</v>
      </c>
      <c r="AA1" s="62" t="s">
        <v>1488</v>
      </c>
      <c r="AB1" s="62" t="s">
        <v>37</v>
      </c>
      <c r="AC1" s="62" t="s">
        <v>1258</v>
      </c>
      <c r="AD1" s="62" t="s">
        <v>1286</v>
      </c>
      <c r="AE1" s="62" t="s">
        <v>1489</v>
      </c>
      <c r="AF1" s="62" t="s">
        <v>1125</v>
      </c>
      <c r="AG1" s="62" t="s">
        <v>1076</v>
      </c>
      <c r="AH1" s="62" t="s">
        <v>99</v>
      </c>
      <c r="AI1" s="62" t="s">
        <v>1490</v>
      </c>
      <c r="AJ1" s="62" t="s">
        <v>166</v>
      </c>
      <c r="AK1" s="62" t="s">
        <v>906</v>
      </c>
      <c r="AL1" s="62" t="s">
        <v>1077</v>
      </c>
      <c r="AM1" s="62" t="s">
        <v>1491</v>
      </c>
      <c r="AN1" s="62" t="s">
        <v>1768</v>
      </c>
      <c r="AO1" s="62" t="s">
        <v>1293</v>
      </c>
      <c r="AP1" s="62" t="s">
        <v>893</v>
      </c>
      <c r="AQ1" s="62" t="s">
        <v>1036</v>
      </c>
      <c r="AR1" s="62" t="s">
        <v>1492</v>
      </c>
      <c r="AS1" s="62" t="s">
        <v>1294</v>
      </c>
      <c r="AT1" s="62" t="s">
        <v>1315</v>
      </c>
      <c r="AU1" s="62" t="s">
        <v>1766</v>
      </c>
      <c r="AV1" s="62" t="s">
        <v>1765</v>
      </c>
      <c r="AW1" s="62" t="s">
        <v>1057</v>
      </c>
      <c r="AX1" s="62" t="s">
        <v>1493</v>
      </c>
      <c r="AY1" s="62" t="s">
        <v>1240</v>
      </c>
      <c r="AZ1" s="62" t="s">
        <v>811</v>
      </c>
      <c r="BA1" s="62" t="s">
        <v>1494</v>
      </c>
      <c r="BB1" s="62" t="s">
        <v>2193</v>
      </c>
      <c r="BC1" s="62" t="s">
        <v>1804</v>
      </c>
      <c r="BD1" s="62" t="s">
        <v>1803</v>
      </c>
      <c r="BE1" s="62" t="s">
        <v>2186</v>
      </c>
      <c r="BF1" s="62" t="s">
        <v>2181</v>
      </c>
      <c r="BG1" s="62" t="s">
        <v>1164</v>
      </c>
      <c r="BH1" s="62" t="s">
        <v>2149</v>
      </c>
      <c r="BI1" s="62" t="s">
        <v>2431</v>
      </c>
      <c r="BJ1" s="62" t="s">
        <v>2096</v>
      </c>
      <c r="BK1" s="62" t="s">
        <v>2073</v>
      </c>
      <c r="BL1" s="62" t="s">
        <v>2320</v>
      </c>
      <c r="BM1" s="62" t="s">
        <v>2321</v>
      </c>
      <c r="BN1" s="62" t="s">
        <v>2150</v>
      </c>
      <c r="BO1" s="62" t="s">
        <v>2322</v>
      </c>
      <c r="BP1" s="62" t="s">
        <v>2187</v>
      </c>
      <c r="BQ1" s="62" t="s">
        <v>1201</v>
      </c>
      <c r="BR1" s="62" t="s">
        <v>2345</v>
      </c>
      <c r="BS1" s="62" t="s">
        <v>2097</v>
      </c>
      <c r="BT1" s="62" t="s">
        <v>1495</v>
      </c>
      <c r="BU1" s="62" t="s">
        <v>1177</v>
      </c>
      <c r="BV1" s="62" t="s">
        <v>1496</v>
      </c>
      <c r="BW1" s="62" t="s">
        <v>2098</v>
      </c>
      <c r="BX1" s="62" t="s">
        <v>2074</v>
      </c>
    </row>
    <row r="2" spans="1:76" x14ac:dyDescent="0.25">
      <c r="A2" s="40" t="s">
        <v>561</v>
      </c>
    </row>
    <row r="3" spans="1:76" x14ac:dyDescent="0.25">
      <c r="A3" s="10" t="s">
        <v>2519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  <c r="BB3" s="6"/>
      <c r="BC3" s="6"/>
      <c r="BD3" s="6"/>
      <c r="BE3" s="6"/>
      <c r="BF3" s="6"/>
      <c r="BG3" s="6"/>
      <c r="BH3" s="6"/>
      <c r="BI3" s="6"/>
      <c r="BJ3" s="6"/>
      <c r="BK3" s="6"/>
      <c r="BL3" s="6"/>
      <c r="BM3" s="6"/>
      <c r="BN3" s="6"/>
      <c r="BO3" s="6"/>
      <c r="BP3" s="6"/>
      <c r="BQ3" s="6"/>
      <c r="BR3" s="6"/>
      <c r="BS3" s="6"/>
      <c r="BT3" s="6"/>
      <c r="BU3" s="6"/>
      <c r="BV3" s="6"/>
      <c r="BW3" s="6"/>
      <c r="BX3" s="6"/>
    </row>
    <row r="4" spans="1:76" x14ac:dyDescent="0.25">
      <c r="A4">
        <v>7072184</v>
      </c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  <c r="BM4" s="6"/>
      <c r="BN4" s="6"/>
      <c r="BO4" s="6"/>
      <c r="BP4" s="6"/>
      <c r="BQ4" s="6"/>
      <c r="BR4" s="6"/>
      <c r="BS4" s="6"/>
      <c r="BT4" s="6"/>
      <c r="BU4" s="6"/>
      <c r="BV4" s="6"/>
      <c r="BW4" s="6"/>
      <c r="BX4" s="6"/>
    </row>
    <row r="5" spans="1:76" x14ac:dyDescent="0.25">
      <c r="A5">
        <v>9108231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6"/>
      <c r="BL5" s="6"/>
      <c r="BM5" s="6"/>
      <c r="BN5" s="6"/>
      <c r="BO5" s="6"/>
      <c r="BP5" s="6"/>
      <c r="BQ5" s="6"/>
      <c r="BR5" s="6"/>
      <c r="BS5" s="6"/>
      <c r="BT5" s="6"/>
      <c r="BU5" s="6"/>
      <c r="BV5" s="6"/>
      <c r="BW5" s="6"/>
      <c r="BX5" s="6"/>
    </row>
    <row r="6" spans="1:76" x14ac:dyDescent="0.25">
      <c r="A6">
        <v>12061933</v>
      </c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6"/>
      <c r="BW6" s="6"/>
      <c r="BX6" s="6"/>
    </row>
    <row r="7" spans="1:76" x14ac:dyDescent="0.25">
      <c r="A7">
        <v>95005911</v>
      </c>
    </row>
    <row r="8" spans="1:76" x14ac:dyDescent="0.25">
      <c r="A8">
        <v>99001908</v>
      </c>
    </row>
    <row r="9" spans="1:76" x14ac:dyDescent="0.25">
      <c r="A9">
        <v>99004067</v>
      </c>
    </row>
    <row r="10" spans="1:76" x14ac:dyDescent="0.25">
      <c r="A10">
        <v>97002136</v>
      </c>
    </row>
    <row r="11" spans="1:76" x14ac:dyDescent="0.25">
      <c r="A11">
        <v>1502</v>
      </c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</row>
    <row r="12" spans="1:76" x14ac:dyDescent="0.25">
      <c r="A12">
        <v>4003543</v>
      </c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</row>
    <row r="13" spans="1:76" x14ac:dyDescent="0.25">
      <c r="A13">
        <v>4900261</v>
      </c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</row>
    <row r="15" spans="1:76" x14ac:dyDescent="0.25">
      <c r="A15" s="10" t="s">
        <v>2520</v>
      </c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</row>
    <row r="16" spans="1:76" x14ac:dyDescent="0.25">
      <c r="A16">
        <v>14242856</v>
      </c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</row>
    <row r="17" spans="1:76" x14ac:dyDescent="0.25">
      <c r="A17">
        <v>99001183</v>
      </c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</row>
    <row r="18" spans="1:76" x14ac:dyDescent="0.25">
      <c r="A18">
        <v>3000983</v>
      </c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6"/>
      <c r="Y18" s="6"/>
      <c r="Z18" s="6"/>
      <c r="AA18" s="6"/>
      <c r="AB18">
        <v>408</v>
      </c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>
        <v>293</v>
      </c>
    </row>
    <row r="19" spans="1:76" x14ac:dyDescent="0.25">
      <c r="A19">
        <v>10064335</v>
      </c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</row>
    <row r="20" spans="1:76" x14ac:dyDescent="0.25">
      <c r="A20" s="6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</row>
    <row r="21" spans="1:76" x14ac:dyDescent="0.25">
      <c r="A21" s="10" t="s">
        <v>2521</v>
      </c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</row>
    <row r="22" spans="1:76" x14ac:dyDescent="0.25">
      <c r="A22">
        <v>1480</v>
      </c>
    </row>
    <row r="23" spans="1:76" x14ac:dyDescent="0.25">
      <c r="A23">
        <v>7063959</v>
      </c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</row>
    <row r="24" spans="1:76" x14ac:dyDescent="0.25">
      <c r="A24">
        <v>1003215</v>
      </c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</row>
    <row r="25" spans="1:76" x14ac:dyDescent="0.25">
      <c r="A25">
        <v>99000802</v>
      </c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</row>
    <row r="26" spans="1:76" x14ac:dyDescent="0.25">
      <c r="A26">
        <v>99000892</v>
      </c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</row>
    <row r="27" spans="1:76" x14ac:dyDescent="0.25">
      <c r="A27">
        <v>1000192</v>
      </c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</row>
    <row r="28" spans="1:76" x14ac:dyDescent="0.25">
      <c r="A28">
        <v>1506</v>
      </c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</row>
    <row r="29" spans="1:76" x14ac:dyDescent="0.25">
      <c r="A29">
        <v>99000894</v>
      </c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</row>
    <row r="30" spans="1:76" x14ac:dyDescent="0.25">
      <c r="A30">
        <v>99000897</v>
      </c>
    </row>
    <row r="31" spans="1:76" x14ac:dyDescent="0.25">
      <c r="A31">
        <v>99001245</v>
      </c>
    </row>
    <row r="32" spans="1:76" x14ac:dyDescent="0.25">
      <c r="A32">
        <v>99001902</v>
      </c>
    </row>
    <row r="33" spans="1:76" x14ac:dyDescent="0.25">
      <c r="A33">
        <v>99001912</v>
      </c>
    </row>
    <row r="34" spans="1:76" x14ac:dyDescent="0.25">
      <c r="A34">
        <v>99001913</v>
      </c>
    </row>
    <row r="35" spans="1:76" x14ac:dyDescent="0.25">
      <c r="A35">
        <v>99001937</v>
      </c>
    </row>
    <row r="36" spans="1:76" x14ac:dyDescent="0.25">
      <c r="A36">
        <v>99001943</v>
      </c>
    </row>
    <row r="37" spans="1:76" x14ac:dyDescent="0.25">
      <c r="A37">
        <v>99001927</v>
      </c>
    </row>
    <row r="38" spans="1:76" x14ac:dyDescent="0.25">
      <c r="A38">
        <v>1505</v>
      </c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</row>
    <row r="39" spans="1:76" x14ac:dyDescent="0.25">
      <c r="A39">
        <v>1000197</v>
      </c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</row>
    <row r="40" spans="1:76" x14ac:dyDescent="0.25">
      <c r="A40">
        <v>96018835</v>
      </c>
      <c r="X40">
        <v>515</v>
      </c>
      <c r="Y40">
        <v>311</v>
      </c>
      <c r="Z40">
        <v>288</v>
      </c>
      <c r="AB40">
        <v>381</v>
      </c>
      <c r="AH40">
        <v>187</v>
      </c>
      <c r="AJ40">
        <v>326</v>
      </c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</row>
    <row r="41" spans="1:76" x14ac:dyDescent="0.25">
      <c r="A41">
        <v>98008326</v>
      </c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</row>
    <row r="42" spans="1:76" x14ac:dyDescent="0.25">
      <c r="A42">
        <v>99000717</v>
      </c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</row>
    <row r="43" spans="1:76" x14ac:dyDescent="0.25"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</row>
    <row r="44" spans="1:76" x14ac:dyDescent="0.25">
      <c r="A44" s="25" t="s">
        <v>169</v>
      </c>
    </row>
    <row r="45" spans="1:76" x14ac:dyDescent="0.25">
      <c r="A45" s="10" t="s">
        <v>143</v>
      </c>
    </row>
    <row r="46" spans="1:76" x14ac:dyDescent="0.25">
      <c r="A46">
        <v>6016435</v>
      </c>
    </row>
    <row r="47" spans="1:76" x14ac:dyDescent="0.25">
      <c r="A47">
        <v>8045149</v>
      </c>
    </row>
    <row r="48" spans="1:76" x14ac:dyDescent="0.25">
      <c r="A48">
        <v>10023001</v>
      </c>
    </row>
    <row r="49" spans="1:1" x14ac:dyDescent="0.25">
      <c r="A49">
        <v>10027526</v>
      </c>
    </row>
    <row r="50" spans="1:1" x14ac:dyDescent="0.25">
      <c r="A50">
        <v>14222171</v>
      </c>
    </row>
    <row r="51" spans="1:1" x14ac:dyDescent="0.25">
      <c r="A51">
        <v>1006143</v>
      </c>
    </row>
    <row r="52" spans="1:1" x14ac:dyDescent="0.25">
      <c r="A52">
        <v>6006917</v>
      </c>
    </row>
    <row r="54" spans="1:1" x14ac:dyDescent="0.25">
      <c r="A54" s="10" t="s">
        <v>146</v>
      </c>
    </row>
    <row r="55" spans="1:1" x14ac:dyDescent="0.25">
      <c r="A55">
        <v>8057159</v>
      </c>
    </row>
    <row r="56" spans="1:1" x14ac:dyDescent="0.25">
      <c r="A56">
        <v>9140312</v>
      </c>
    </row>
    <row r="57" spans="1:1" x14ac:dyDescent="0.25">
      <c r="A57">
        <v>12008230</v>
      </c>
    </row>
    <row r="58" spans="1:1" x14ac:dyDescent="0.25">
      <c r="A58">
        <v>12088444</v>
      </c>
    </row>
    <row r="59" spans="1:1" x14ac:dyDescent="0.25">
      <c r="A59">
        <v>13118872</v>
      </c>
    </row>
    <row r="60" spans="1:1" x14ac:dyDescent="0.25">
      <c r="A60">
        <v>12012030</v>
      </c>
    </row>
    <row r="62" spans="1:1" x14ac:dyDescent="0.25">
      <c r="A62" s="10" t="s">
        <v>120</v>
      </c>
    </row>
    <row r="63" spans="1:1" x14ac:dyDescent="0.25">
      <c r="A63">
        <v>9074418</v>
      </c>
    </row>
    <row r="64" spans="1:1" x14ac:dyDescent="0.25">
      <c r="A64">
        <v>1263</v>
      </c>
    </row>
    <row r="65" spans="1:76" x14ac:dyDescent="0.25">
      <c r="A65">
        <v>98004910</v>
      </c>
      <c r="V65">
        <v>486</v>
      </c>
    </row>
    <row r="66" spans="1:76" x14ac:dyDescent="0.25">
      <c r="A66">
        <v>7103068</v>
      </c>
      <c r="V66">
        <v>514.20000000000005</v>
      </c>
    </row>
    <row r="67" spans="1:76" x14ac:dyDescent="0.25">
      <c r="A67">
        <v>11240728</v>
      </c>
      <c r="W67">
        <v>122.4</v>
      </c>
      <c r="X67">
        <v>248.4</v>
      </c>
      <c r="Z67">
        <v>183</v>
      </c>
    </row>
    <row r="68" spans="1:76" x14ac:dyDescent="0.25"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  <c r="BP68" s="6"/>
      <c r="BQ68" s="6"/>
      <c r="BR68" s="6"/>
      <c r="BS68" s="6"/>
      <c r="BT68" s="6"/>
      <c r="BU68" s="6"/>
      <c r="BV68" s="6"/>
      <c r="BW68" s="6"/>
      <c r="BX68" s="6"/>
    </row>
    <row r="69" spans="1:76" x14ac:dyDescent="0.25">
      <c r="A69" s="26" t="s">
        <v>170</v>
      </c>
    </row>
    <row r="70" spans="1:76" x14ac:dyDescent="0.25">
      <c r="A70" s="10" t="s">
        <v>143</v>
      </c>
    </row>
    <row r="71" spans="1:76" x14ac:dyDescent="0.25">
      <c r="A71">
        <v>5015869</v>
      </c>
    </row>
    <row r="72" spans="1:76" x14ac:dyDescent="0.25">
      <c r="A72">
        <v>5016969</v>
      </c>
    </row>
    <row r="73" spans="1:76" x14ac:dyDescent="0.25">
      <c r="A73">
        <v>6023231</v>
      </c>
    </row>
    <row r="74" spans="1:76" x14ac:dyDescent="0.25">
      <c r="A74">
        <v>6010712</v>
      </c>
    </row>
    <row r="75" spans="1:76" x14ac:dyDescent="0.25">
      <c r="A75">
        <v>6011198</v>
      </c>
    </row>
    <row r="76" spans="1:76" x14ac:dyDescent="0.25">
      <c r="A76">
        <v>6012681</v>
      </c>
    </row>
    <row r="77" spans="1:76" x14ac:dyDescent="0.25">
      <c r="A77">
        <v>6014511</v>
      </c>
    </row>
    <row r="78" spans="1:76" x14ac:dyDescent="0.25">
      <c r="A78">
        <v>6045127</v>
      </c>
    </row>
    <row r="79" spans="1:76" x14ac:dyDescent="0.25">
      <c r="A79">
        <v>7000458</v>
      </c>
      <c r="AB79">
        <v>80</v>
      </c>
    </row>
    <row r="80" spans="1:76" x14ac:dyDescent="0.25">
      <c r="A80">
        <v>7015502</v>
      </c>
      <c r="W80">
        <v>167</v>
      </c>
    </row>
    <row r="81" spans="1:52" x14ac:dyDescent="0.25">
      <c r="A81">
        <v>7025847</v>
      </c>
    </row>
    <row r="82" spans="1:52" x14ac:dyDescent="0.25">
      <c r="A82">
        <v>7082707</v>
      </c>
    </row>
    <row r="83" spans="1:52" x14ac:dyDescent="0.25">
      <c r="A83">
        <v>7083159</v>
      </c>
    </row>
    <row r="84" spans="1:52" x14ac:dyDescent="0.25">
      <c r="A84">
        <v>7084659</v>
      </c>
    </row>
    <row r="85" spans="1:52" x14ac:dyDescent="0.25">
      <c r="A85">
        <v>7076814</v>
      </c>
    </row>
    <row r="86" spans="1:52" x14ac:dyDescent="0.25">
      <c r="A86">
        <v>7076815</v>
      </c>
    </row>
    <row r="87" spans="1:52" x14ac:dyDescent="0.25">
      <c r="A87">
        <v>7089231</v>
      </c>
    </row>
    <row r="88" spans="1:52" x14ac:dyDescent="0.25">
      <c r="A88">
        <v>7116004</v>
      </c>
    </row>
    <row r="89" spans="1:52" x14ac:dyDescent="0.25">
      <c r="A89">
        <v>8003819</v>
      </c>
    </row>
    <row r="90" spans="1:52" x14ac:dyDescent="0.25">
      <c r="A90">
        <v>8091779</v>
      </c>
    </row>
    <row r="91" spans="1:52" x14ac:dyDescent="0.25">
      <c r="A91">
        <v>8097989</v>
      </c>
    </row>
    <row r="92" spans="1:52" x14ac:dyDescent="0.25">
      <c r="A92">
        <v>8112522</v>
      </c>
    </row>
    <row r="93" spans="1:52" x14ac:dyDescent="0.25">
      <c r="A93">
        <v>8127397</v>
      </c>
    </row>
    <row r="94" spans="1:52" x14ac:dyDescent="0.25">
      <c r="A94">
        <v>8130998</v>
      </c>
    </row>
    <row r="95" spans="1:52" x14ac:dyDescent="0.25">
      <c r="A95">
        <v>9002836</v>
      </c>
    </row>
    <row r="96" spans="1:52" x14ac:dyDescent="0.25">
      <c r="A96">
        <v>9003331</v>
      </c>
      <c r="AR96">
        <v>188.4</v>
      </c>
      <c r="AZ96">
        <v>165.6</v>
      </c>
    </row>
    <row r="97" spans="1:49" x14ac:dyDescent="0.25">
      <c r="A97">
        <v>9003370</v>
      </c>
      <c r="W97">
        <v>168.6</v>
      </c>
    </row>
    <row r="98" spans="1:49" x14ac:dyDescent="0.25">
      <c r="A98">
        <v>9016278</v>
      </c>
    </row>
    <row r="99" spans="1:49" x14ac:dyDescent="0.25">
      <c r="A99">
        <v>9030684</v>
      </c>
    </row>
    <row r="100" spans="1:49" x14ac:dyDescent="0.25">
      <c r="A100">
        <v>9031387</v>
      </c>
      <c r="AR100" s="3">
        <v>47.4</v>
      </c>
      <c r="AS100" s="3"/>
      <c r="AT100" s="3"/>
      <c r="AU100" s="3"/>
      <c r="AV100" s="3"/>
      <c r="AW100" s="3"/>
    </row>
    <row r="101" spans="1:49" x14ac:dyDescent="0.25">
      <c r="A101">
        <v>9038676</v>
      </c>
    </row>
    <row r="102" spans="1:49" x14ac:dyDescent="0.25">
      <c r="A102">
        <v>9039416</v>
      </c>
      <c r="Z102">
        <v>138.6</v>
      </c>
    </row>
    <row r="103" spans="1:49" x14ac:dyDescent="0.25">
      <c r="A103">
        <v>9042861</v>
      </c>
    </row>
    <row r="104" spans="1:49" x14ac:dyDescent="0.25">
      <c r="A104">
        <v>9044899</v>
      </c>
      <c r="B104">
        <v>122</v>
      </c>
      <c r="W104">
        <v>208</v>
      </c>
      <c r="Y104">
        <v>225</v>
      </c>
      <c r="AB104">
        <v>189</v>
      </c>
      <c r="AE104">
        <v>179</v>
      </c>
    </row>
    <row r="105" spans="1:49" x14ac:dyDescent="0.25">
      <c r="A105">
        <v>9052398</v>
      </c>
      <c r="W105" s="3">
        <v>483</v>
      </c>
      <c r="Y105">
        <v>436.8</v>
      </c>
    </row>
    <row r="106" spans="1:49" x14ac:dyDescent="0.25">
      <c r="A106">
        <v>9085204</v>
      </c>
      <c r="Y106">
        <v>281</v>
      </c>
      <c r="AK106">
        <v>162</v>
      </c>
    </row>
    <row r="107" spans="1:49" x14ac:dyDescent="0.25">
      <c r="A107">
        <v>9090323</v>
      </c>
    </row>
    <row r="108" spans="1:49" x14ac:dyDescent="0.25">
      <c r="A108">
        <v>9105492</v>
      </c>
      <c r="W108">
        <v>101</v>
      </c>
      <c r="X108">
        <v>92</v>
      </c>
      <c r="Y108">
        <v>112</v>
      </c>
    </row>
    <row r="109" spans="1:49" x14ac:dyDescent="0.25">
      <c r="A109">
        <v>9138470</v>
      </c>
    </row>
    <row r="110" spans="1:49" x14ac:dyDescent="0.25">
      <c r="A110">
        <v>9150676</v>
      </c>
    </row>
    <row r="111" spans="1:49" x14ac:dyDescent="0.25">
      <c r="A111">
        <v>10010926</v>
      </c>
    </row>
    <row r="112" spans="1:49" x14ac:dyDescent="0.25">
      <c r="A112">
        <v>10016588</v>
      </c>
    </row>
    <row r="113" spans="1:59" x14ac:dyDescent="0.25">
      <c r="A113">
        <v>10030897</v>
      </c>
      <c r="G113">
        <v>139</v>
      </c>
      <c r="W113">
        <v>528</v>
      </c>
      <c r="AB113">
        <v>516</v>
      </c>
      <c r="AJ113">
        <v>284</v>
      </c>
      <c r="AQ113">
        <v>182</v>
      </c>
      <c r="AZ113">
        <v>132</v>
      </c>
    </row>
    <row r="114" spans="1:59" x14ac:dyDescent="0.25">
      <c r="A114">
        <v>324</v>
      </c>
      <c r="W114">
        <v>135</v>
      </c>
      <c r="AW114">
        <v>121</v>
      </c>
    </row>
    <row r="115" spans="1:59" x14ac:dyDescent="0.25">
      <c r="A115">
        <v>3909</v>
      </c>
    </row>
    <row r="116" spans="1:59" x14ac:dyDescent="0.25">
      <c r="A116">
        <v>4663</v>
      </c>
    </row>
    <row r="117" spans="1:59" x14ac:dyDescent="0.25">
      <c r="A117">
        <v>1005522</v>
      </c>
      <c r="E117">
        <v>97</v>
      </c>
      <c r="H117">
        <v>95</v>
      </c>
      <c r="V117">
        <v>198</v>
      </c>
      <c r="AE117">
        <v>119</v>
      </c>
      <c r="AK117">
        <v>99</v>
      </c>
    </row>
    <row r="118" spans="1:59" x14ac:dyDescent="0.25">
      <c r="A118">
        <v>1007631</v>
      </c>
    </row>
    <row r="119" spans="1:59" x14ac:dyDescent="0.25">
      <c r="A119">
        <v>1009760</v>
      </c>
      <c r="Z119">
        <v>106</v>
      </c>
      <c r="AB119">
        <v>107</v>
      </c>
      <c r="AF119">
        <v>97</v>
      </c>
      <c r="AH119">
        <v>106</v>
      </c>
      <c r="AL119">
        <v>85</v>
      </c>
    </row>
    <row r="120" spans="1:59" x14ac:dyDescent="0.25">
      <c r="A120">
        <v>2000646</v>
      </c>
    </row>
    <row r="121" spans="1:59" x14ac:dyDescent="0.25">
      <c r="A121">
        <v>2003761</v>
      </c>
    </row>
    <row r="122" spans="1:59" x14ac:dyDescent="0.25">
      <c r="A122">
        <v>2004061</v>
      </c>
    </row>
    <row r="123" spans="1:59" x14ac:dyDescent="0.25">
      <c r="A123">
        <v>2006469</v>
      </c>
    </row>
    <row r="124" spans="1:59" x14ac:dyDescent="0.25">
      <c r="A124">
        <v>3005132</v>
      </c>
      <c r="W124">
        <v>517</v>
      </c>
    </row>
    <row r="125" spans="1:59" x14ac:dyDescent="0.25">
      <c r="A125">
        <v>3009119</v>
      </c>
    </row>
    <row r="126" spans="1:59" x14ac:dyDescent="0.25">
      <c r="A126">
        <v>3009936</v>
      </c>
    </row>
    <row r="127" spans="1:59" x14ac:dyDescent="0.25">
      <c r="A127">
        <v>3011094</v>
      </c>
      <c r="BG127">
        <v>64</v>
      </c>
    </row>
    <row r="128" spans="1:59" x14ac:dyDescent="0.25">
      <c r="A128">
        <v>3014643</v>
      </c>
      <c r="W128">
        <v>138</v>
      </c>
    </row>
    <row r="129" spans="1:74" x14ac:dyDescent="0.25">
      <c r="A129">
        <v>3016056</v>
      </c>
      <c r="W129">
        <v>131</v>
      </c>
      <c r="BU129">
        <v>189</v>
      </c>
      <c r="BV129">
        <v>177</v>
      </c>
    </row>
    <row r="130" spans="1:74" x14ac:dyDescent="0.25">
      <c r="A130">
        <v>3900219</v>
      </c>
    </row>
    <row r="131" spans="1:74" x14ac:dyDescent="0.25">
      <c r="A131">
        <v>4000158</v>
      </c>
      <c r="X131">
        <v>174</v>
      </c>
    </row>
    <row r="132" spans="1:74" x14ac:dyDescent="0.25">
      <c r="A132">
        <v>4000304</v>
      </c>
      <c r="W132">
        <v>243</v>
      </c>
    </row>
    <row r="133" spans="1:74" x14ac:dyDescent="0.25">
      <c r="A133">
        <v>4001905</v>
      </c>
    </row>
    <row r="134" spans="1:74" x14ac:dyDescent="0.25">
      <c r="A134">
        <v>4002206</v>
      </c>
      <c r="W134">
        <v>148.80000000000001</v>
      </c>
    </row>
    <row r="135" spans="1:74" x14ac:dyDescent="0.25">
      <c r="A135">
        <v>4002715</v>
      </c>
    </row>
    <row r="136" spans="1:74" x14ac:dyDescent="0.25">
      <c r="A136">
        <v>4003924</v>
      </c>
    </row>
    <row r="137" spans="1:74" x14ac:dyDescent="0.25">
      <c r="A137">
        <v>4006051</v>
      </c>
    </row>
    <row r="138" spans="1:74" x14ac:dyDescent="0.25">
      <c r="A138">
        <v>4008140</v>
      </c>
    </row>
    <row r="139" spans="1:74" x14ac:dyDescent="0.25">
      <c r="A139">
        <v>4009906</v>
      </c>
      <c r="X139">
        <v>65</v>
      </c>
      <c r="BA139">
        <v>56</v>
      </c>
      <c r="BQ139">
        <v>73</v>
      </c>
      <c r="BT139">
        <v>67</v>
      </c>
    </row>
    <row r="140" spans="1:74" x14ac:dyDescent="0.25">
      <c r="A140">
        <v>4011027</v>
      </c>
      <c r="X140">
        <v>84</v>
      </c>
    </row>
    <row r="141" spans="1:74" x14ac:dyDescent="0.25">
      <c r="A141">
        <v>4011920</v>
      </c>
      <c r="W141">
        <v>426</v>
      </c>
      <c r="AH141">
        <v>166</v>
      </c>
      <c r="AR141">
        <v>47</v>
      </c>
    </row>
    <row r="142" spans="1:74" x14ac:dyDescent="0.25">
      <c r="A142">
        <v>4012248</v>
      </c>
      <c r="X142">
        <v>554</v>
      </c>
      <c r="Z142">
        <v>516</v>
      </c>
      <c r="AE142">
        <v>637</v>
      </c>
      <c r="AJ142">
        <v>438</v>
      </c>
      <c r="AQ142">
        <v>335</v>
      </c>
      <c r="AY142">
        <v>259</v>
      </c>
    </row>
    <row r="143" spans="1:74" x14ac:dyDescent="0.25">
      <c r="A143">
        <v>4013603</v>
      </c>
      <c r="W143">
        <v>547</v>
      </c>
    </row>
    <row r="144" spans="1:74" x14ac:dyDescent="0.25">
      <c r="A144">
        <v>5004654</v>
      </c>
      <c r="Y144">
        <v>181</v>
      </c>
      <c r="Z144">
        <v>165</v>
      </c>
      <c r="AA144">
        <v>191</v>
      </c>
      <c r="AB144">
        <v>258</v>
      </c>
      <c r="AC144">
        <v>248</v>
      </c>
      <c r="AE144">
        <v>279</v>
      </c>
      <c r="AG144">
        <v>239</v>
      </c>
      <c r="AK144">
        <v>227</v>
      </c>
      <c r="AM144">
        <v>212</v>
      </c>
    </row>
    <row r="145" spans="1:76" x14ac:dyDescent="0.25">
      <c r="A145" s="65"/>
    </row>
    <row r="146" spans="1:76" x14ac:dyDescent="0.25">
      <c r="A146" s="10" t="s">
        <v>146</v>
      </c>
    </row>
    <row r="147" spans="1:76" x14ac:dyDescent="0.25">
      <c r="A147">
        <v>4289</v>
      </c>
    </row>
    <row r="148" spans="1:76" x14ac:dyDescent="0.25">
      <c r="A148">
        <v>500245</v>
      </c>
      <c r="W148">
        <v>155</v>
      </c>
      <c r="Z148">
        <v>178</v>
      </c>
      <c r="AB148">
        <v>165.3</v>
      </c>
      <c r="AF148">
        <v>143.19999999999999</v>
      </c>
    </row>
    <row r="149" spans="1:76" x14ac:dyDescent="0.25">
      <c r="A149">
        <v>2002573</v>
      </c>
      <c r="AD149">
        <v>877</v>
      </c>
      <c r="AI149">
        <v>696</v>
      </c>
      <c r="AM149">
        <v>535</v>
      </c>
    </row>
    <row r="150" spans="1:76" x14ac:dyDescent="0.25">
      <c r="A150">
        <v>2003539</v>
      </c>
    </row>
    <row r="151" spans="1:76" x14ac:dyDescent="0.25">
      <c r="A151">
        <v>2003649</v>
      </c>
      <c r="O151">
        <v>396.6</v>
      </c>
      <c r="W151" s="3">
        <v>502.8</v>
      </c>
      <c r="AD151">
        <v>516</v>
      </c>
      <c r="AI151">
        <v>379.8</v>
      </c>
      <c r="BQ151">
        <v>516.6</v>
      </c>
    </row>
    <row r="152" spans="1:76" x14ac:dyDescent="0.25">
      <c r="A152">
        <v>2005572</v>
      </c>
      <c r="AB152">
        <v>173</v>
      </c>
    </row>
    <row r="153" spans="1:76" x14ac:dyDescent="0.25">
      <c r="A153">
        <v>2013117</v>
      </c>
      <c r="V153">
        <v>277</v>
      </c>
    </row>
    <row r="154" spans="1:76" x14ac:dyDescent="0.25">
      <c r="A154">
        <v>3009633</v>
      </c>
      <c r="AK154">
        <v>751.8</v>
      </c>
      <c r="AO154">
        <v>524.4</v>
      </c>
      <c r="AQ154">
        <v>433.8</v>
      </c>
      <c r="AS154">
        <v>433.2</v>
      </c>
    </row>
    <row r="155" spans="1:76" x14ac:dyDescent="0.25">
      <c r="A155">
        <v>3010583</v>
      </c>
      <c r="V155" s="14">
        <v>148</v>
      </c>
    </row>
    <row r="156" spans="1:76" x14ac:dyDescent="0.25">
      <c r="A156" s="23">
        <v>3011892</v>
      </c>
      <c r="AF156">
        <v>871</v>
      </c>
      <c r="AT156">
        <v>598</v>
      </c>
    </row>
    <row r="157" spans="1:76" x14ac:dyDescent="0.25">
      <c r="A157">
        <v>4001382</v>
      </c>
      <c r="AK157" s="14">
        <v>130.5</v>
      </c>
      <c r="AL157" s="14">
        <v>168</v>
      </c>
    </row>
    <row r="158" spans="1:76" x14ac:dyDescent="0.25">
      <c r="A158">
        <v>5018675</v>
      </c>
      <c r="AC158">
        <v>251</v>
      </c>
    </row>
    <row r="159" spans="1:76" x14ac:dyDescent="0.25">
      <c r="A159">
        <v>6050168</v>
      </c>
    </row>
    <row r="160" spans="1:76" x14ac:dyDescent="0.25">
      <c r="A160">
        <v>5006592</v>
      </c>
      <c r="W160">
        <v>89</v>
      </c>
      <c r="BK160">
        <v>83</v>
      </c>
      <c r="BX160">
        <v>84</v>
      </c>
    </row>
    <row r="161" spans="1:75" x14ac:dyDescent="0.25">
      <c r="A161">
        <v>5007274</v>
      </c>
      <c r="W161">
        <v>232</v>
      </c>
      <c r="AI161">
        <v>224</v>
      </c>
    </row>
    <row r="162" spans="1:75" x14ac:dyDescent="0.25">
      <c r="A162">
        <v>5015851</v>
      </c>
      <c r="W162" s="14">
        <v>72</v>
      </c>
      <c r="BD162" s="3">
        <v>94.8</v>
      </c>
      <c r="BE162" s="3"/>
      <c r="BF162" s="3"/>
      <c r="BJ162">
        <v>80.400000000000006</v>
      </c>
      <c r="BS162">
        <v>51</v>
      </c>
      <c r="BW162">
        <v>53.4</v>
      </c>
    </row>
    <row r="163" spans="1:75" x14ac:dyDescent="0.25">
      <c r="A163">
        <v>6015647</v>
      </c>
      <c r="W163">
        <v>293</v>
      </c>
      <c r="X163">
        <v>274</v>
      </c>
      <c r="Y163">
        <v>282</v>
      </c>
      <c r="Z163">
        <v>280</v>
      </c>
      <c r="AA163">
        <v>254</v>
      </c>
      <c r="AC163">
        <v>306</v>
      </c>
      <c r="AD163">
        <v>217</v>
      </c>
      <c r="AF163">
        <v>324</v>
      </c>
      <c r="AK163">
        <v>255</v>
      </c>
    </row>
    <row r="164" spans="1:75" x14ac:dyDescent="0.25">
      <c r="A164">
        <v>6056633</v>
      </c>
      <c r="T164">
        <v>180</v>
      </c>
      <c r="Z164">
        <v>300</v>
      </c>
      <c r="AN164">
        <v>122.5</v>
      </c>
    </row>
    <row r="165" spans="1:75" x14ac:dyDescent="0.25">
      <c r="A165">
        <v>7086224</v>
      </c>
      <c r="AG165">
        <v>196.2</v>
      </c>
      <c r="AL165" s="3">
        <v>178.2</v>
      </c>
      <c r="AT165" t="s">
        <v>2134</v>
      </c>
      <c r="BA165">
        <v>116.4</v>
      </c>
    </row>
    <row r="166" spans="1:75" x14ac:dyDescent="0.25">
      <c r="A166">
        <v>8040959</v>
      </c>
    </row>
    <row r="167" spans="1:75" x14ac:dyDescent="0.25">
      <c r="A167">
        <v>8107048</v>
      </c>
    </row>
    <row r="168" spans="1:75" x14ac:dyDescent="0.25">
      <c r="A168">
        <v>8124044</v>
      </c>
      <c r="BH168">
        <v>369</v>
      </c>
      <c r="BJ168">
        <v>405</v>
      </c>
      <c r="BN168">
        <v>195</v>
      </c>
    </row>
    <row r="169" spans="1:75" x14ac:dyDescent="0.25">
      <c r="A169">
        <v>8142949</v>
      </c>
    </row>
    <row r="170" spans="1:75" x14ac:dyDescent="0.25">
      <c r="A170">
        <v>9023306</v>
      </c>
      <c r="Z170">
        <v>273</v>
      </c>
      <c r="AB170">
        <v>180</v>
      </c>
      <c r="AE170">
        <v>165.6</v>
      </c>
    </row>
    <row r="171" spans="1:75" x14ac:dyDescent="0.25">
      <c r="A171">
        <v>9030615</v>
      </c>
    </row>
    <row r="172" spans="1:75" x14ac:dyDescent="0.25">
      <c r="A172">
        <v>9034464</v>
      </c>
    </row>
    <row r="173" spans="1:75" x14ac:dyDescent="0.25">
      <c r="A173">
        <v>9040167</v>
      </c>
    </row>
    <row r="174" spans="1:75" x14ac:dyDescent="0.25">
      <c r="A174">
        <v>9054567</v>
      </c>
      <c r="V174">
        <v>474</v>
      </c>
    </row>
    <row r="175" spans="1:75" x14ac:dyDescent="0.25">
      <c r="A175">
        <v>9083682</v>
      </c>
      <c r="W175">
        <v>213</v>
      </c>
      <c r="Z175">
        <v>219</v>
      </c>
    </row>
    <row r="176" spans="1:75" x14ac:dyDescent="0.25">
      <c r="A176">
        <v>9102044</v>
      </c>
    </row>
    <row r="177" spans="1:68" x14ac:dyDescent="0.25">
      <c r="A177">
        <v>9119854</v>
      </c>
      <c r="P177">
        <v>83</v>
      </c>
      <c r="AC177">
        <v>207</v>
      </c>
      <c r="AD177">
        <v>217</v>
      </c>
      <c r="AJ177">
        <v>189</v>
      </c>
      <c r="AR177">
        <v>165</v>
      </c>
    </row>
    <row r="178" spans="1:68" x14ac:dyDescent="0.25">
      <c r="A178">
        <v>9125126</v>
      </c>
      <c r="AB178">
        <v>487</v>
      </c>
      <c r="AC178">
        <v>398</v>
      </c>
      <c r="AG178">
        <v>148</v>
      </c>
      <c r="BF178">
        <v>74</v>
      </c>
    </row>
    <row r="179" spans="1:68" x14ac:dyDescent="0.25">
      <c r="A179">
        <v>9174811</v>
      </c>
      <c r="W179">
        <v>116</v>
      </c>
      <c r="X179">
        <v>102</v>
      </c>
      <c r="AF179">
        <v>77</v>
      </c>
      <c r="BP179">
        <v>84</v>
      </c>
    </row>
    <row r="180" spans="1:68" x14ac:dyDescent="0.25">
      <c r="A180">
        <v>10002875</v>
      </c>
      <c r="X180">
        <v>210</v>
      </c>
      <c r="Y180">
        <v>181.8</v>
      </c>
      <c r="AA180">
        <v>197.4</v>
      </c>
      <c r="AB180">
        <v>216.6</v>
      </c>
      <c r="AC180" s="14">
        <v>222</v>
      </c>
      <c r="AK180">
        <v>202</v>
      </c>
      <c r="AS180">
        <v>160</v>
      </c>
      <c r="AW180">
        <v>143</v>
      </c>
    </row>
    <row r="181" spans="1:68" x14ac:dyDescent="0.25">
      <c r="A181">
        <v>10023080</v>
      </c>
      <c r="V181">
        <v>323</v>
      </c>
      <c r="BB181">
        <v>94</v>
      </c>
    </row>
    <row r="182" spans="1:68" x14ac:dyDescent="0.25">
      <c r="A182">
        <v>10025212</v>
      </c>
      <c r="AM182">
        <v>81</v>
      </c>
      <c r="AS182">
        <v>111</v>
      </c>
    </row>
    <row r="183" spans="1:68" x14ac:dyDescent="0.25">
      <c r="A183">
        <v>10069407</v>
      </c>
      <c r="W183">
        <v>56</v>
      </c>
      <c r="AD183">
        <v>57</v>
      </c>
    </row>
    <row r="184" spans="1:68" x14ac:dyDescent="0.25">
      <c r="A184">
        <v>10071135</v>
      </c>
      <c r="AI184" t="s">
        <v>2201</v>
      </c>
      <c r="AK184">
        <v>89.4</v>
      </c>
    </row>
    <row r="185" spans="1:68" x14ac:dyDescent="0.25">
      <c r="A185">
        <v>10083649</v>
      </c>
    </row>
    <row r="186" spans="1:68" x14ac:dyDescent="0.25">
      <c r="A186">
        <v>10102021</v>
      </c>
    </row>
    <row r="187" spans="1:68" x14ac:dyDescent="0.25">
      <c r="A187">
        <v>10123729</v>
      </c>
      <c r="X187">
        <v>545</v>
      </c>
      <c r="AH187">
        <v>469</v>
      </c>
    </row>
    <row r="188" spans="1:68" x14ac:dyDescent="0.25">
      <c r="A188">
        <v>10144736</v>
      </c>
      <c r="W188">
        <v>92</v>
      </c>
    </row>
    <row r="189" spans="1:68" x14ac:dyDescent="0.25">
      <c r="A189">
        <v>10157275</v>
      </c>
      <c r="V189">
        <v>133</v>
      </c>
    </row>
    <row r="190" spans="1:68" x14ac:dyDescent="0.25">
      <c r="A190" s="65"/>
    </row>
    <row r="191" spans="1:68" x14ac:dyDescent="0.25">
      <c r="A191" s="10" t="s">
        <v>120</v>
      </c>
    </row>
    <row r="192" spans="1:68" x14ac:dyDescent="0.25">
      <c r="A192">
        <v>5281</v>
      </c>
    </row>
    <row r="193" spans="1:56" x14ac:dyDescent="0.25">
      <c r="A193">
        <v>200085</v>
      </c>
      <c r="J193">
        <v>203</v>
      </c>
      <c r="K193">
        <v>203</v>
      </c>
      <c r="Q193">
        <v>164</v>
      </c>
      <c r="R193">
        <v>156</v>
      </c>
      <c r="V193">
        <v>240</v>
      </c>
      <c r="W193">
        <v>152</v>
      </c>
      <c r="Y193">
        <v>188</v>
      </c>
      <c r="Z193">
        <v>206</v>
      </c>
      <c r="AA193">
        <v>198</v>
      </c>
      <c r="AB193">
        <v>185</v>
      </c>
      <c r="AC193">
        <v>199</v>
      </c>
      <c r="AD193">
        <v>241</v>
      </c>
      <c r="AF193">
        <v>221</v>
      </c>
      <c r="AH193">
        <v>212</v>
      </c>
      <c r="AL193">
        <v>198</v>
      </c>
      <c r="AN193">
        <v>184</v>
      </c>
      <c r="AS193">
        <v>174</v>
      </c>
      <c r="AV193">
        <v>159</v>
      </c>
    </row>
    <row r="194" spans="1:56" x14ac:dyDescent="0.25">
      <c r="A194">
        <v>500129</v>
      </c>
      <c r="AB194">
        <v>5.4</v>
      </c>
      <c r="AD194">
        <v>4.9400000000000004</v>
      </c>
      <c r="AF194">
        <v>144</v>
      </c>
      <c r="AH194">
        <v>135</v>
      </c>
      <c r="AI194">
        <v>139</v>
      </c>
      <c r="AP194">
        <v>211</v>
      </c>
      <c r="BC194">
        <v>437</v>
      </c>
      <c r="BD194">
        <v>440</v>
      </c>
    </row>
    <row r="195" spans="1:56" x14ac:dyDescent="0.25">
      <c r="A195" s="23">
        <v>1002033</v>
      </c>
    </row>
    <row r="196" spans="1:56" x14ac:dyDescent="0.25">
      <c r="A196">
        <v>1003457</v>
      </c>
    </row>
    <row r="197" spans="1:56" x14ac:dyDescent="0.25">
      <c r="A197">
        <v>2005223</v>
      </c>
    </row>
    <row r="198" spans="1:56" x14ac:dyDescent="0.25">
      <c r="A198">
        <v>2006107</v>
      </c>
      <c r="W198">
        <v>328</v>
      </c>
    </row>
    <row r="199" spans="1:56" x14ac:dyDescent="0.25">
      <c r="A199">
        <v>2012014</v>
      </c>
    </row>
    <row r="200" spans="1:56" x14ac:dyDescent="0.25">
      <c r="A200">
        <v>3000152</v>
      </c>
    </row>
    <row r="201" spans="1:56" x14ac:dyDescent="0.25">
      <c r="A201">
        <v>3014566</v>
      </c>
    </row>
    <row r="202" spans="1:56" x14ac:dyDescent="0.25">
      <c r="A202">
        <v>3015058</v>
      </c>
      <c r="M202">
        <v>75</v>
      </c>
      <c r="X202">
        <v>111</v>
      </c>
      <c r="Y202">
        <v>106</v>
      </c>
      <c r="AE202">
        <v>93</v>
      </c>
    </row>
    <row r="203" spans="1:56" x14ac:dyDescent="0.25">
      <c r="A203" s="23">
        <v>4000996</v>
      </c>
      <c r="X203">
        <v>58.2</v>
      </c>
      <c r="Y203">
        <v>53.4</v>
      </c>
      <c r="Z203">
        <v>54</v>
      </c>
      <c r="AD203">
        <v>59.4</v>
      </c>
    </row>
    <row r="204" spans="1:56" x14ac:dyDescent="0.25">
      <c r="A204">
        <v>4003768</v>
      </c>
      <c r="Q204">
        <v>60</v>
      </c>
      <c r="X204">
        <v>131</v>
      </c>
      <c r="Y204">
        <v>163</v>
      </c>
      <c r="Z204">
        <v>153</v>
      </c>
    </row>
    <row r="205" spans="1:56" x14ac:dyDescent="0.25">
      <c r="A205">
        <v>4006540</v>
      </c>
      <c r="AG205" s="3">
        <v>243</v>
      </c>
      <c r="AH205">
        <v>219</v>
      </c>
      <c r="AK205">
        <v>169.2</v>
      </c>
      <c r="AN205">
        <v>181.8</v>
      </c>
    </row>
    <row r="206" spans="1:56" x14ac:dyDescent="0.25">
      <c r="A206">
        <v>4007054</v>
      </c>
    </row>
    <row r="207" spans="1:56" x14ac:dyDescent="0.25">
      <c r="A207">
        <v>4011002</v>
      </c>
      <c r="W207" s="3">
        <v>189.6</v>
      </c>
      <c r="X207">
        <v>189</v>
      </c>
      <c r="AB207">
        <v>325.2</v>
      </c>
      <c r="AE207">
        <v>294</v>
      </c>
    </row>
    <row r="208" spans="1:56" x14ac:dyDescent="0.25">
      <c r="A208">
        <v>4900268</v>
      </c>
    </row>
    <row r="209" spans="1:38" x14ac:dyDescent="0.25">
      <c r="A209">
        <v>5001097</v>
      </c>
      <c r="O209">
        <v>93</v>
      </c>
      <c r="P209">
        <v>84</v>
      </c>
      <c r="W209">
        <v>94</v>
      </c>
      <c r="AA209">
        <v>89</v>
      </c>
      <c r="AE209">
        <v>98</v>
      </c>
    </row>
    <row r="210" spans="1:38" x14ac:dyDescent="0.25">
      <c r="A210">
        <v>5001098</v>
      </c>
      <c r="L210">
        <v>159</v>
      </c>
      <c r="N210">
        <v>142</v>
      </c>
      <c r="O210">
        <v>138</v>
      </c>
      <c r="R210">
        <v>137</v>
      </c>
      <c r="W210">
        <v>131</v>
      </c>
    </row>
    <row r="211" spans="1:38" x14ac:dyDescent="0.25">
      <c r="A211">
        <v>5006152</v>
      </c>
      <c r="V211">
        <v>90</v>
      </c>
      <c r="X211" s="3">
        <v>172.2</v>
      </c>
    </row>
    <row r="212" spans="1:38" x14ac:dyDescent="0.25">
      <c r="A212">
        <v>6012361</v>
      </c>
      <c r="Y212">
        <v>237</v>
      </c>
    </row>
    <row r="213" spans="1:38" x14ac:dyDescent="0.25">
      <c r="A213">
        <v>6015793</v>
      </c>
    </row>
    <row r="214" spans="1:38" x14ac:dyDescent="0.25">
      <c r="A214">
        <v>6043619</v>
      </c>
      <c r="W214">
        <v>307.8</v>
      </c>
    </row>
    <row r="215" spans="1:38" x14ac:dyDescent="0.25">
      <c r="A215">
        <v>7001097</v>
      </c>
      <c r="T215">
        <v>37</v>
      </c>
      <c r="U215">
        <v>59</v>
      </c>
      <c r="W215">
        <v>48</v>
      </c>
      <c r="X215">
        <v>56</v>
      </c>
      <c r="Y215">
        <v>79</v>
      </c>
      <c r="Z215">
        <v>73</v>
      </c>
      <c r="AA215">
        <v>56</v>
      </c>
      <c r="AB215">
        <v>52</v>
      </c>
      <c r="AD215">
        <v>66</v>
      </c>
      <c r="AE215">
        <v>66</v>
      </c>
      <c r="AJ215">
        <v>65</v>
      </c>
      <c r="AK215">
        <v>89</v>
      </c>
      <c r="AL215">
        <v>95</v>
      </c>
    </row>
    <row r="216" spans="1:38" x14ac:dyDescent="0.25">
      <c r="A216">
        <v>7011435</v>
      </c>
      <c r="W216">
        <v>470</v>
      </c>
      <c r="Y216">
        <v>569</v>
      </c>
      <c r="AC216">
        <v>470</v>
      </c>
    </row>
    <row r="217" spans="1:38" x14ac:dyDescent="0.25">
      <c r="A217">
        <v>7045811</v>
      </c>
      <c r="AH217">
        <v>139.80000000000001</v>
      </c>
    </row>
    <row r="218" spans="1:38" x14ac:dyDescent="0.25">
      <c r="A218">
        <v>7071198</v>
      </c>
    </row>
    <row r="219" spans="1:38" x14ac:dyDescent="0.25">
      <c r="A219">
        <v>7101143</v>
      </c>
    </row>
    <row r="220" spans="1:38" x14ac:dyDescent="0.25">
      <c r="A220">
        <v>8073350</v>
      </c>
    </row>
    <row r="221" spans="1:38" x14ac:dyDescent="0.25">
      <c r="A221">
        <v>8073645</v>
      </c>
    </row>
    <row r="222" spans="1:38" x14ac:dyDescent="0.25">
      <c r="A222" s="23">
        <v>8089666</v>
      </c>
      <c r="S222">
        <v>278</v>
      </c>
      <c r="T222">
        <v>76</v>
      </c>
      <c r="U222">
        <v>73</v>
      </c>
      <c r="W222" s="14">
        <v>170.75</v>
      </c>
      <c r="X222">
        <v>227</v>
      </c>
    </row>
    <row r="223" spans="1:38" x14ac:dyDescent="0.25">
      <c r="A223">
        <v>8103536</v>
      </c>
    </row>
    <row r="224" spans="1:38" x14ac:dyDescent="0.25">
      <c r="A224">
        <v>8124816</v>
      </c>
    </row>
    <row r="225" spans="1:61" x14ac:dyDescent="0.25">
      <c r="A225">
        <v>9003267</v>
      </c>
      <c r="X225">
        <v>218.4</v>
      </c>
      <c r="Z225" s="3">
        <v>289.2</v>
      </c>
      <c r="AG225">
        <v>222</v>
      </c>
      <c r="AH225">
        <v>228.6</v>
      </c>
    </row>
    <row r="226" spans="1:61" x14ac:dyDescent="0.25">
      <c r="A226">
        <v>9036964</v>
      </c>
      <c r="C226">
        <v>246</v>
      </c>
      <c r="W226">
        <v>242</v>
      </c>
      <c r="X226">
        <v>229</v>
      </c>
      <c r="Y226">
        <v>193</v>
      </c>
      <c r="AC226">
        <v>174</v>
      </c>
    </row>
    <row r="227" spans="1:61" x14ac:dyDescent="0.25">
      <c r="A227">
        <v>9090287</v>
      </c>
      <c r="Y227">
        <v>48</v>
      </c>
      <c r="Z227">
        <v>53</v>
      </c>
    </row>
    <row r="228" spans="1:61" x14ac:dyDescent="0.25">
      <c r="A228">
        <v>9095148</v>
      </c>
      <c r="X228">
        <v>209</v>
      </c>
    </row>
    <row r="229" spans="1:61" x14ac:dyDescent="0.25">
      <c r="A229">
        <v>9104979</v>
      </c>
      <c r="Z229">
        <v>377</v>
      </c>
      <c r="AC229">
        <v>355</v>
      </c>
      <c r="AG229">
        <v>512</v>
      </c>
      <c r="AK229">
        <v>483</v>
      </c>
      <c r="BC229">
        <v>68</v>
      </c>
      <c r="BI229">
        <v>38</v>
      </c>
    </row>
    <row r="230" spans="1:61" x14ac:dyDescent="0.25">
      <c r="A230">
        <v>9139514</v>
      </c>
      <c r="AG230">
        <v>343</v>
      </c>
      <c r="AW230">
        <v>248</v>
      </c>
    </row>
    <row r="231" spans="1:61" x14ac:dyDescent="0.25">
      <c r="A231">
        <v>10020659</v>
      </c>
      <c r="D231">
        <v>85.2</v>
      </c>
      <c r="X231">
        <v>133.80000000000001</v>
      </c>
    </row>
    <row r="232" spans="1:61" x14ac:dyDescent="0.25">
      <c r="A232">
        <v>10025902</v>
      </c>
      <c r="X232">
        <v>682.2</v>
      </c>
      <c r="AG232">
        <v>541.79999999999995</v>
      </c>
    </row>
    <row r="233" spans="1:61" x14ac:dyDescent="0.25">
      <c r="A233">
        <v>10027654</v>
      </c>
      <c r="F233">
        <v>101</v>
      </c>
      <c r="AH233">
        <v>137</v>
      </c>
      <c r="BA233">
        <v>98</v>
      </c>
    </row>
    <row r="234" spans="1:61" x14ac:dyDescent="0.25">
      <c r="A234">
        <v>10084485</v>
      </c>
    </row>
    <row r="235" spans="1:61" x14ac:dyDescent="0.25">
      <c r="A235">
        <v>10098420</v>
      </c>
    </row>
    <row r="236" spans="1:61" x14ac:dyDescent="0.25">
      <c r="A236">
        <v>10129565</v>
      </c>
    </row>
    <row r="237" spans="1:61" x14ac:dyDescent="0.25">
      <c r="A237">
        <v>10146828</v>
      </c>
      <c r="AJ237">
        <v>156</v>
      </c>
    </row>
    <row r="238" spans="1:61" x14ac:dyDescent="0.25">
      <c r="A238">
        <v>10163776</v>
      </c>
    </row>
    <row r="239" spans="1:61" x14ac:dyDescent="0.25">
      <c r="A239">
        <v>10173664</v>
      </c>
      <c r="Z239">
        <v>129</v>
      </c>
      <c r="AB239">
        <v>118.2</v>
      </c>
      <c r="AG239">
        <v>125.4</v>
      </c>
    </row>
  </sheetData>
  <conditionalFormatting sqref="A19">
    <cfRule type="duplicateValues" dxfId="21" priority="1"/>
  </conditionalFormatting>
  <pageMargins left="0.7" right="0.7" top="0.78740157499999996" bottom="0.78740157499999996" header="0.3" footer="0.3"/>
  <tableParts count="1">
    <tablePart r:id="rId1"/>
  </tablePart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2"/>
  <sheetViews>
    <sheetView workbookViewId="0">
      <selection activeCell="G25" sqref="G25"/>
    </sheetView>
  </sheetViews>
  <sheetFormatPr defaultColWidth="11.42578125" defaultRowHeight="15" x14ac:dyDescent="0.25"/>
  <cols>
    <col min="1" max="1" width="17.28515625" bestFit="1" customWidth="1"/>
    <col min="2" max="2" width="5.7109375" bestFit="1" customWidth="1"/>
    <col min="3" max="3" width="81.140625" bestFit="1" customWidth="1"/>
    <col min="4" max="4" width="30.28515625" bestFit="1" customWidth="1"/>
  </cols>
  <sheetData>
    <row r="1" spans="1:4" x14ac:dyDescent="0.25">
      <c r="A1" s="66" t="s">
        <v>59</v>
      </c>
      <c r="B1" s="66" t="s">
        <v>3069</v>
      </c>
      <c r="C1" s="66" t="s">
        <v>2564</v>
      </c>
      <c r="D1" s="66" t="s">
        <v>2523</v>
      </c>
    </row>
    <row r="2" spans="1:4" x14ac:dyDescent="0.25">
      <c r="A2" s="66">
        <v>3000983</v>
      </c>
      <c r="B2" s="66" t="s">
        <v>3069</v>
      </c>
      <c r="C2" s="66" t="s">
        <v>3070</v>
      </c>
      <c r="D2" s="66">
        <v>2</v>
      </c>
    </row>
    <row r="3" spans="1:4" x14ac:dyDescent="0.25">
      <c r="A3" s="66">
        <v>96018835</v>
      </c>
      <c r="B3" s="66" t="s">
        <v>3069</v>
      </c>
      <c r="C3" s="66" t="s">
        <v>3071</v>
      </c>
      <c r="D3" s="66">
        <v>6</v>
      </c>
    </row>
    <row r="4" spans="1:4" x14ac:dyDescent="0.25">
      <c r="A4" s="66">
        <v>98004910</v>
      </c>
      <c r="B4" s="66" t="s">
        <v>3069</v>
      </c>
      <c r="C4" s="66" t="s">
        <v>1487</v>
      </c>
      <c r="D4" s="66">
        <v>1</v>
      </c>
    </row>
    <row r="5" spans="1:4" x14ac:dyDescent="0.25">
      <c r="A5" s="66">
        <v>7103068</v>
      </c>
      <c r="B5" s="66" t="s">
        <v>3069</v>
      </c>
      <c r="C5" s="66" t="s">
        <v>1487</v>
      </c>
      <c r="D5" s="66">
        <v>1</v>
      </c>
    </row>
    <row r="6" spans="1:4" x14ac:dyDescent="0.25">
      <c r="A6" s="66">
        <v>11240728</v>
      </c>
      <c r="B6" s="66" t="s">
        <v>3069</v>
      </c>
      <c r="C6" s="66" t="s">
        <v>3072</v>
      </c>
      <c r="D6" s="66">
        <v>3</v>
      </c>
    </row>
    <row r="7" spans="1:4" x14ac:dyDescent="0.25">
      <c r="A7" s="66">
        <v>7000458</v>
      </c>
      <c r="B7" s="66" t="s">
        <v>3069</v>
      </c>
      <c r="C7" s="66" t="s">
        <v>37</v>
      </c>
      <c r="D7" s="66">
        <v>1</v>
      </c>
    </row>
    <row r="8" spans="1:4" x14ac:dyDescent="0.25">
      <c r="A8" s="66">
        <v>7015502</v>
      </c>
      <c r="B8" s="66" t="s">
        <v>3069</v>
      </c>
      <c r="C8" s="66" t="s">
        <v>1326</v>
      </c>
      <c r="D8" s="66">
        <v>1</v>
      </c>
    </row>
    <row r="9" spans="1:4" x14ac:dyDescent="0.25">
      <c r="A9" s="66">
        <v>9003331</v>
      </c>
      <c r="B9" s="66" t="s">
        <v>3069</v>
      </c>
      <c r="C9" s="66" t="s">
        <v>3073</v>
      </c>
      <c r="D9" s="66">
        <v>2</v>
      </c>
    </row>
    <row r="10" spans="1:4" x14ac:dyDescent="0.25">
      <c r="A10" s="66">
        <v>9003370</v>
      </c>
      <c r="B10" s="66" t="s">
        <v>3069</v>
      </c>
      <c r="C10" s="66" t="s">
        <v>1326</v>
      </c>
      <c r="D10" s="66">
        <v>1</v>
      </c>
    </row>
    <row r="11" spans="1:4" x14ac:dyDescent="0.25">
      <c r="A11" s="66">
        <v>9031387</v>
      </c>
      <c r="B11" s="66" t="s">
        <v>3069</v>
      </c>
      <c r="C11" s="66" t="s">
        <v>1492</v>
      </c>
      <c r="D11" s="66">
        <v>1</v>
      </c>
    </row>
    <row r="12" spans="1:4" x14ac:dyDescent="0.25">
      <c r="A12" s="66">
        <v>9039416</v>
      </c>
      <c r="B12" s="66" t="s">
        <v>3069</v>
      </c>
      <c r="C12" s="66" t="s">
        <v>36</v>
      </c>
      <c r="D12" s="66">
        <v>1</v>
      </c>
    </row>
    <row r="13" spans="1:4" x14ac:dyDescent="0.25">
      <c r="A13" s="66">
        <v>9044899</v>
      </c>
      <c r="B13" s="66" t="s">
        <v>3069</v>
      </c>
      <c r="C13" s="66" t="s">
        <v>3074</v>
      </c>
      <c r="D13" s="66">
        <v>5</v>
      </c>
    </row>
    <row r="14" spans="1:4" x14ac:dyDescent="0.25">
      <c r="A14" s="66">
        <v>9052398</v>
      </c>
      <c r="B14" s="66" t="s">
        <v>3069</v>
      </c>
      <c r="C14" s="66" t="s">
        <v>3075</v>
      </c>
      <c r="D14" s="66">
        <v>2</v>
      </c>
    </row>
    <row r="15" spans="1:4" x14ac:dyDescent="0.25">
      <c r="A15" s="66">
        <v>9085204</v>
      </c>
      <c r="B15" s="66" t="s">
        <v>3069</v>
      </c>
      <c r="C15" s="66" t="s">
        <v>3076</v>
      </c>
      <c r="D15" s="66">
        <v>2</v>
      </c>
    </row>
    <row r="16" spans="1:4" x14ac:dyDescent="0.25">
      <c r="A16" s="66">
        <v>9105492</v>
      </c>
      <c r="B16" s="66" t="s">
        <v>3069</v>
      </c>
      <c r="C16" s="66" t="s">
        <v>3077</v>
      </c>
      <c r="D16" s="66">
        <v>3</v>
      </c>
    </row>
    <row r="17" spans="1:4" x14ac:dyDescent="0.25">
      <c r="A17" s="66">
        <v>10030897</v>
      </c>
      <c r="B17" s="66" t="s">
        <v>3069</v>
      </c>
      <c r="C17" s="66" t="s">
        <v>3078</v>
      </c>
      <c r="D17" s="66">
        <v>6</v>
      </c>
    </row>
    <row r="18" spans="1:4" x14ac:dyDescent="0.25">
      <c r="A18" s="66">
        <v>324</v>
      </c>
      <c r="B18" s="66" t="s">
        <v>3069</v>
      </c>
      <c r="C18" s="66" t="s">
        <v>3079</v>
      </c>
      <c r="D18" s="66">
        <v>2</v>
      </c>
    </row>
    <row r="19" spans="1:4" x14ac:dyDescent="0.25">
      <c r="A19" s="66">
        <v>1005522</v>
      </c>
      <c r="B19" s="66" t="s">
        <v>3069</v>
      </c>
      <c r="C19" s="66" t="s">
        <v>3080</v>
      </c>
      <c r="D19" s="66">
        <v>5</v>
      </c>
    </row>
    <row r="20" spans="1:4" x14ac:dyDescent="0.25">
      <c r="A20" s="66">
        <v>1009760</v>
      </c>
      <c r="B20" s="66" t="s">
        <v>3069</v>
      </c>
      <c r="C20" s="66" t="s">
        <v>3081</v>
      </c>
      <c r="D20" s="66">
        <v>5</v>
      </c>
    </row>
    <row r="21" spans="1:4" x14ac:dyDescent="0.25">
      <c r="A21" s="66">
        <v>3005132</v>
      </c>
      <c r="B21" s="66" t="s">
        <v>3069</v>
      </c>
      <c r="C21" s="66" t="s">
        <v>1326</v>
      </c>
      <c r="D21" s="66">
        <v>1</v>
      </c>
    </row>
    <row r="22" spans="1:4" x14ac:dyDescent="0.25">
      <c r="A22" s="66">
        <v>3011094</v>
      </c>
      <c r="B22" s="66" t="s">
        <v>3069</v>
      </c>
      <c r="C22" s="66" t="s">
        <v>1164</v>
      </c>
      <c r="D22" s="66">
        <v>1</v>
      </c>
    </row>
    <row r="23" spans="1:4" x14ac:dyDescent="0.25">
      <c r="A23" s="66">
        <v>3014643</v>
      </c>
      <c r="B23" s="66" t="s">
        <v>3069</v>
      </c>
      <c r="C23" s="66" t="s">
        <v>1326</v>
      </c>
      <c r="D23" s="66">
        <v>1</v>
      </c>
    </row>
    <row r="24" spans="1:4" x14ac:dyDescent="0.25">
      <c r="A24" s="66">
        <v>3016056</v>
      </c>
      <c r="B24" s="66" t="s">
        <v>3069</v>
      </c>
      <c r="C24" s="66" t="s">
        <v>3082</v>
      </c>
      <c r="D24" s="66">
        <v>3</v>
      </c>
    </row>
    <row r="25" spans="1:4" x14ac:dyDescent="0.25">
      <c r="A25" s="66">
        <v>4000158</v>
      </c>
      <c r="B25" s="66" t="s">
        <v>3069</v>
      </c>
      <c r="C25" s="66" t="s">
        <v>662</v>
      </c>
      <c r="D25" s="66">
        <v>1</v>
      </c>
    </row>
    <row r="26" spans="1:4" x14ac:dyDescent="0.25">
      <c r="A26" s="66">
        <v>4000304</v>
      </c>
      <c r="B26" s="66" t="s">
        <v>3069</v>
      </c>
      <c r="C26" s="66" t="s">
        <v>1326</v>
      </c>
      <c r="D26" s="66">
        <v>1</v>
      </c>
    </row>
    <row r="27" spans="1:4" x14ac:dyDescent="0.25">
      <c r="A27" s="66">
        <v>4002206</v>
      </c>
      <c r="B27" s="66" t="s">
        <v>3069</v>
      </c>
      <c r="C27" s="66" t="s">
        <v>1326</v>
      </c>
      <c r="D27" s="66">
        <v>1</v>
      </c>
    </row>
    <row r="28" spans="1:4" x14ac:dyDescent="0.25">
      <c r="A28" s="66">
        <v>4009906</v>
      </c>
      <c r="B28" s="66" t="s">
        <v>3069</v>
      </c>
      <c r="C28" s="66" t="s">
        <v>3083</v>
      </c>
      <c r="D28" s="66">
        <v>4</v>
      </c>
    </row>
    <row r="29" spans="1:4" x14ac:dyDescent="0.25">
      <c r="A29" s="66">
        <v>4011027</v>
      </c>
      <c r="B29" s="66" t="s">
        <v>3069</v>
      </c>
      <c r="C29" s="66" t="s">
        <v>662</v>
      </c>
      <c r="D29" s="66">
        <v>1</v>
      </c>
    </row>
    <row r="30" spans="1:4" x14ac:dyDescent="0.25">
      <c r="A30" s="66">
        <v>4011920</v>
      </c>
      <c r="B30" s="66" t="s">
        <v>3069</v>
      </c>
      <c r="C30" s="66" t="s">
        <v>3084</v>
      </c>
      <c r="D30" s="66">
        <v>3</v>
      </c>
    </row>
    <row r="31" spans="1:4" x14ac:dyDescent="0.25">
      <c r="A31" s="66">
        <v>4012248</v>
      </c>
      <c r="B31" s="66" t="s">
        <v>3069</v>
      </c>
      <c r="C31" s="66" t="s">
        <v>3085</v>
      </c>
      <c r="D31" s="66">
        <v>6</v>
      </c>
    </row>
    <row r="32" spans="1:4" x14ac:dyDescent="0.25">
      <c r="A32" s="66">
        <v>4013603</v>
      </c>
      <c r="B32" s="66" t="s">
        <v>3069</v>
      </c>
      <c r="C32" s="66" t="s">
        <v>1326</v>
      </c>
      <c r="D32" s="66">
        <v>1</v>
      </c>
    </row>
    <row r="33" spans="1:4" x14ac:dyDescent="0.25">
      <c r="A33" s="66">
        <v>5004654</v>
      </c>
      <c r="B33" s="66" t="s">
        <v>3069</v>
      </c>
      <c r="C33" s="66" t="s">
        <v>3086</v>
      </c>
      <c r="D33" s="66">
        <v>9</v>
      </c>
    </row>
    <row r="34" spans="1:4" x14ac:dyDescent="0.25">
      <c r="A34" s="66">
        <v>500245</v>
      </c>
      <c r="B34" s="66" t="s">
        <v>3069</v>
      </c>
      <c r="C34" s="66" t="s">
        <v>3087</v>
      </c>
      <c r="D34" s="66">
        <v>4</v>
      </c>
    </row>
    <row r="35" spans="1:4" x14ac:dyDescent="0.25">
      <c r="A35" s="66">
        <v>2002573</v>
      </c>
      <c r="B35" s="66" t="s">
        <v>3069</v>
      </c>
      <c r="C35" s="66" t="s">
        <v>3088</v>
      </c>
      <c r="D35" s="66">
        <v>3</v>
      </c>
    </row>
    <row r="36" spans="1:4" x14ac:dyDescent="0.25">
      <c r="A36" s="66">
        <v>2003649</v>
      </c>
      <c r="B36" s="66" t="s">
        <v>3069</v>
      </c>
      <c r="C36" s="66" t="s">
        <v>3089</v>
      </c>
      <c r="D36" s="66">
        <v>5</v>
      </c>
    </row>
    <row r="37" spans="1:4" x14ac:dyDescent="0.25">
      <c r="A37" s="66">
        <v>2005572</v>
      </c>
      <c r="B37" s="66" t="s">
        <v>3069</v>
      </c>
      <c r="C37" s="66" t="s">
        <v>37</v>
      </c>
      <c r="D37" s="66">
        <v>1</v>
      </c>
    </row>
    <row r="38" spans="1:4" x14ac:dyDescent="0.25">
      <c r="A38" s="66">
        <v>2013117</v>
      </c>
      <c r="B38" s="66" t="s">
        <v>3069</v>
      </c>
      <c r="C38" s="66" t="s">
        <v>1487</v>
      </c>
      <c r="D38" s="66">
        <v>1</v>
      </c>
    </row>
    <row r="39" spans="1:4" x14ac:dyDescent="0.25">
      <c r="A39" s="66">
        <v>3009633</v>
      </c>
      <c r="B39" s="66" t="s">
        <v>3069</v>
      </c>
      <c r="C39" s="66" t="s">
        <v>3090</v>
      </c>
      <c r="D39" s="66">
        <v>4</v>
      </c>
    </row>
    <row r="40" spans="1:4" x14ac:dyDescent="0.25">
      <c r="A40" s="66">
        <v>3010583</v>
      </c>
      <c r="B40" s="66" t="s">
        <v>3069</v>
      </c>
      <c r="C40" s="66" t="s">
        <v>1487</v>
      </c>
      <c r="D40" s="66">
        <v>1</v>
      </c>
    </row>
    <row r="41" spans="1:4" x14ac:dyDescent="0.25">
      <c r="A41" s="66">
        <v>3011892</v>
      </c>
      <c r="B41" s="66" t="s">
        <v>3069</v>
      </c>
      <c r="C41" s="66" t="s">
        <v>3091</v>
      </c>
      <c r="D41" s="66">
        <v>2</v>
      </c>
    </row>
    <row r="42" spans="1:4" x14ac:dyDescent="0.25">
      <c r="A42" s="66">
        <v>4001382</v>
      </c>
      <c r="B42" s="66" t="s">
        <v>3069</v>
      </c>
      <c r="C42" s="66" t="s">
        <v>3092</v>
      </c>
      <c r="D42" s="66">
        <v>2</v>
      </c>
    </row>
    <row r="43" spans="1:4" x14ac:dyDescent="0.25">
      <c r="A43" s="66">
        <v>5018675</v>
      </c>
      <c r="B43" s="66" t="s">
        <v>3069</v>
      </c>
      <c r="C43" s="66" t="s">
        <v>1258</v>
      </c>
      <c r="D43" s="66">
        <v>1</v>
      </c>
    </row>
    <row r="44" spans="1:4" x14ac:dyDescent="0.25">
      <c r="A44" s="66">
        <v>5006592</v>
      </c>
      <c r="B44" s="66" t="s">
        <v>3069</v>
      </c>
      <c r="C44" s="66" t="s">
        <v>3093</v>
      </c>
      <c r="D44" s="66">
        <v>3</v>
      </c>
    </row>
    <row r="45" spans="1:4" x14ac:dyDescent="0.25">
      <c r="A45" s="66">
        <v>5007274</v>
      </c>
      <c r="B45" s="66" t="s">
        <v>3069</v>
      </c>
      <c r="C45" s="66" t="s">
        <v>3094</v>
      </c>
      <c r="D45" s="66">
        <v>2</v>
      </c>
    </row>
    <row r="46" spans="1:4" x14ac:dyDescent="0.25">
      <c r="A46" s="66">
        <v>5015851</v>
      </c>
      <c r="B46" s="66" t="s">
        <v>3069</v>
      </c>
      <c r="C46" s="66" t="s">
        <v>3095</v>
      </c>
      <c r="D46" s="66">
        <v>5</v>
      </c>
    </row>
    <row r="47" spans="1:4" x14ac:dyDescent="0.25">
      <c r="A47" s="66">
        <v>6015647</v>
      </c>
      <c r="B47" s="66" t="s">
        <v>3069</v>
      </c>
      <c r="C47" s="66" t="s">
        <v>3096</v>
      </c>
      <c r="D47" s="66">
        <v>9</v>
      </c>
    </row>
    <row r="48" spans="1:4" x14ac:dyDescent="0.25">
      <c r="A48" s="66">
        <v>6056633</v>
      </c>
      <c r="B48" s="66" t="s">
        <v>3069</v>
      </c>
      <c r="C48" s="66" t="s">
        <v>3097</v>
      </c>
      <c r="D48" s="66">
        <v>3</v>
      </c>
    </row>
    <row r="49" spans="1:4" x14ac:dyDescent="0.25">
      <c r="A49" s="66">
        <v>7086224</v>
      </c>
      <c r="B49" s="66" t="s">
        <v>3069</v>
      </c>
      <c r="C49" s="66" t="s">
        <v>3098</v>
      </c>
      <c r="D49" s="66">
        <v>4</v>
      </c>
    </row>
    <row r="50" spans="1:4" x14ac:dyDescent="0.25">
      <c r="A50" s="66">
        <v>8124044</v>
      </c>
      <c r="B50" s="66" t="s">
        <v>3069</v>
      </c>
      <c r="C50" s="66" t="s">
        <v>3099</v>
      </c>
      <c r="D50" s="66">
        <v>3</v>
      </c>
    </row>
    <row r="51" spans="1:4" x14ac:dyDescent="0.25">
      <c r="A51">
        <v>9023306</v>
      </c>
      <c r="B51" s="66" t="s">
        <v>3069</v>
      </c>
      <c r="C51" t="s">
        <v>3100</v>
      </c>
      <c r="D51">
        <v>3</v>
      </c>
    </row>
    <row r="52" spans="1:4" x14ac:dyDescent="0.25">
      <c r="A52">
        <v>9054567</v>
      </c>
      <c r="B52" s="66" t="s">
        <v>3069</v>
      </c>
      <c r="C52" t="s">
        <v>1487</v>
      </c>
      <c r="D52">
        <v>1</v>
      </c>
    </row>
    <row r="53" spans="1:4" x14ac:dyDescent="0.25">
      <c r="A53">
        <v>9083682</v>
      </c>
      <c r="B53" s="66" t="s">
        <v>3069</v>
      </c>
      <c r="C53" t="s">
        <v>3101</v>
      </c>
      <c r="D53">
        <v>2</v>
      </c>
    </row>
    <row r="54" spans="1:4" x14ac:dyDescent="0.25">
      <c r="A54">
        <v>9119854</v>
      </c>
      <c r="B54" s="66" t="s">
        <v>3069</v>
      </c>
      <c r="C54" t="s">
        <v>3102</v>
      </c>
      <c r="D54">
        <v>5</v>
      </c>
    </row>
    <row r="55" spans="1:4" x14ac:dyDescent="0.25">
      <c r="A55">
        <v>9125126</v>
      </c>
      <c r="B55" s="66" t="s">
        <v>3069</v>
      </c>
      <c r="C55" t="s">
        <v>3103</v>
      </c>
      <c r="D55">
        <v>4</v>
      </c>
    </row>
    <row r="56" spans="1:4" x14ac:dyDescent="0.25">
      <c r="A56">
        <v>9174811</v>
      </c>
      <c r="B56" s="66" t="s">
        <v>3069</v>
      </c>
      <c r="C56" t="s">
        <v>3104</v>
      </c>
      <c r="D56">
        <v>4</v>
      </c>
    </row>
    <row r="57" spans="1:4" x14ac:dyDescent="0.25">
      <c r="A57">
        <v>10002875</v>
      </c>
      <c r="B57" s="66" t="s">
        <v>3069</v>
      </c>
      <c r="C57" t="s">
        <v>3105</v>
      </c>
      <c r="D57">
        <v>8</v>
      </c>
    </row>
    <row r="58" spans="1:4" x14ac:dyDescent="0.25">
      <c r="A58">
        <v>10023080</v>
      </c>
      <c r="B58" s="66" t="s">
        <v>3069</v>
      </c>
      <c r="C58" t="s">
        <v>3106</v>
      </c>
      <c r="D58">
        <v>2</v>
      </c>
    </row>
    <row r="59" spans="1:4" x14ac:dyDescent="0.25">
      <c r="A59">
        <v>10025212</v>
      </c>
      <c r="B59" s="66" t="s">
        <v>3069</v>
      </c>
      <c r="C59" t="s">
        <v>3107</v>
      </c>
      <c r="D59">
        <v>2</v>
      </c>
    </row>
    <row r="60" spans="1:4" x14ac:dyDescent="0.25">
      <c r="A60">
        <v>10069407</v>
      </c>
      <c r="B60" s="66" t="s">
        <v>3069</v>
      </c>
      <c r="C60" t="s">
        <v>3108</v>
      </c>
      <c r="D60">
        <v>2</v>
      </c>
    </row>
    <row r="61" spans="1:4" x14ac:dyDescent="0.25">
      <c r="A61">
        <v>10071135</v>
      </c>
      <c r="B61" s="66" t="s">
        <v>3069</v>
      </c>
      <c r="C61" t="s">
        <v>3109</v>
      </c>
      <c r="D61">
        <v>2</v>
      </c>
    </row>
    <row r="62" spans="1:4" x14ac:dyDescent="0.25">
      <c r="A62">
        <v>10123729</v>
      </c>
      <c r="B62" s="66" t="s">
        <v>3069</v>
      </c>
      <c r="C62" t="s">
        <v>3110</v>
      </c>
      <c r="D62">
        <v>2</v>
      </c>
    </row>
    <row r="63" spans="1:4" x14ac:dyDescent="0.25">
      <c r="A63">
        <v>10144736</v>
      </c>
      <c r="B63" s="66" t="s">
        <v>3069</v>
      </c>
      <c r="C63" t="s">
        <v>1326</v>
      </c>
      <c r="D63">
        <v>1</v>
      </c>
    </row>
    <row r="64" spans="1:4" x14ac:dyDescent="0.25">
      <c r="A64">
        <v>10157275</v>
      </c>
      <c r="B64" s="66" t="s">
        <v>3069</v>
      </c>
      <c r="C64" t="s">
        <v>1487</v>
      </c>
      <c r="D64">
        <v>1</v>
      </c>
    </row>
    <row r="65" spans="1:4" x14ac:dyDescent="0.25">
      <c r="A65">
        <v>200085</v>
      </c>
      <c r="B65" s="66" t="s">
        <v>3069</v>
      </c>
      <c r="C65" t="s">
        <v>3111</v>
      </c>
      <c r="D65">
        <v>18</v>
      </c>
    </row>
    <row r="66" spans="1:4" x14ac:dyDescent="0.25">
      <c r="A66">
        <v>500129</v>
      </c>
      <c r="B66" s="66" t="s">
        <v>3069</v>
      </c>
      <c r="C66" t="s">
        <v>3112</v>
      </c>
      <c r="D66">
        <v>8</v>
      </c>
    </row>
    <row r="67" spans="1:4" x14ac:dyDescent="0.25">
      <c r="A67">
        <v>2006107</v>
      </c>
      <c r="B67" s="66" t="s">
        <v>3069</v>
      </c>
      <c r="C67" t="s">
        <v>1326</v>
      </c>
      <c r="D67">
        <v>1</v>
      </c>
    </row>
    <row r="68" spans="1:4" x14ac:dyDescent="0.25">
      <c r="A68">
        <v>3015058</v>
      </c>
      <c r="B68" s="66" t="s">
        <v>3069</v>
      </c>
      <c r="C68" t="s">
        <v>3113</v>
      </c>
      <c r="D68">
        <v>4</v>
      </c>
    </row>
    <row r="69" spans="1:4" x14ac:dyDescent="0.25">
      <c r="A69">
        <v>4000996</v>
      </c>
      <c r="B69" s="66" t="s">
        <v>3069</v>
      </c>
      <c r="C69" t="s">
        <v>3114</v>
      </c>
      <c r="D69">
        <v>4</v>
      </c>
    </row>
    <row r="70" spans="1:4" x14ac:dyDescent="0.25">
      <c r="A70">
        <v>4003768</v>
      </c>
      <c r="B70" s="66" t="s">
        <v>3069</v>
      </c>
      <c r="C70" t="s">
        <v>3115</v>
      </c>
      <c r="D70">
        <v>4</v>
      </c>
    </row>
    <row r="71" spans="1:4" x14ac:dyDescent="0.25">
      <c r="A71">
        <v>4006540</v>
      </c>
      <c r="B71" s="66" t="s">
        <v>3069</v>
      </c>
      <c r="C71" t="s">
        <v>3116</v>
      </c>
      <c r="D71">
        <v>4</v>
      </c>
    </row>
    <row r="72" spans="1:4" x14ac:dyDescent="0.25">
      <c r="A72">
        <v>4011002</v>
      </c>
      <c r="B72" s="66" t="s">
        <v>3069</v>
      </c>
      <c r="C72" t="s">
        <v>3117</v>
      </c>
      <c r="D72">
        <v>4</v>
      </c>
    </row>
    <row r="73" spans="1:4" x14ac:dyDescent="0.25">
      <c r="A73">
        <v>5001097</v>
      </c>
      <c r="B73" s="66" t="s">
        <v>3069</v>
      </c>
      <c r="C73" t="s">
        <v>3118</v>
      </c>
      <c r="D73">
        <v>5</v>
      </c>
    </row>
    <row r="74" spans="1:4" x14ac:dyDescent="0.25">
      <c r="A74">
        <v>5001098</v>
      </c>
      <c r="B74" s="66" t="s">
        <v>3069</v>
      </c>
      <c r="C74" t="s">
        <v>3119</v>
      </c>
      <c r="D74">
        <v>5</v>
      </c>
    </row>
    <row r="75" spans="1:4" x14ac:dyDescent="0.25">
      <c r="A75">
        <v>5006152</v>
      </c>
      <c r="B75" s="66" t="s">
        <v>3069</v>
      </c>
      <c r="C75" t="s">
        <v>3120</v>
      </c>
      <c r="D75">
        <v>2</v>
      </c>
    </row>
    <row r="76" spans="1:4" x14ac:dyDescent="0.25">
      <c r="A76">
        <v>6012361</v>
      </c>
      <c r="B76" s="66" t="s">
        <v>3069</v>
      </c>
      <c r="C76" t="s">
        <v>35</v>
      </c>
      <c r="D76">
        <v>1</v>
      </c>
    </row>
    <row r="77" spans="1:4" x14ac:dyDescent="0.25">
      <c r="A77">
        <v>6043619</v>
      </c>
      <c r="B77" s="66" t="s">
        <v>3069</v>
      </c>
      <c r="C77" t="s">
        <v>1326</v>
      </c>
      <c r="D77">
        <v>1</v>
      </c>
    </row>
    <row r="78" spans="1:4" x14ac:dyDescent="0.25">
      <c r="A78">
        <v>7001097</v>
      </c>
      <c r="B78" s="66" t="s">
        <v>3069</v>
      </c>
      <c r="C78" t="s">
        <v>3121</v>
      </c>
      <c r="D78">
        <v>13</v>
      </c>
    </row>
    <row r="79" spans="1:4" x14ac:dyDescent="0.25">
      <c r="A79">
        <v>7011435</v>
      </c>
      <c r="B79" s="66" t="s">
        <v>3069</v>
      </c>
      <c r="C79" t="s">
        <v>3122</v>
      </c>
      <c r="D79">
        <v>3</v>
      </c>
    </row>
    <row r="80" spans="1:4" x14ac:dyDescent="0.25">
      <c r="A80">
        <v>7045811</v>
      </c>
      <c r="B80" s="66" t="s">
        <v>3069</v>
      </c>
      <c r="C80" t="s">
        <v>99</v>
      </c>
      <c r="D80">
        <v>1</v>
      </c>
    </row>
    <row r="81" spans="1:4" x14ac:dyDescent="0.25">
      <c r="A81">
        <v>8089666</v>
      </c>
      <c r="B81" s="66" t="s">
        <v>3069</v>
      </c>
      <c r="C81" t="s">
        <v>3123</v>
      </c>
      <c r="D81">
        <v>5</v>
      </c>
    </row>
    <row r="82" spans="1:4" x14ac:dyDescent="0.25">
      <c r="A82">
        <v>9003267</v>
      </c>
      <c r="B82" s="66" t="s">
        <v>3069</v>
      </c>
      <c r="C82" t="s">
        <v>3124</v>
      </c>
      <c r="D82">
        <v>4</v>
      </c>
    </row>
    <row r="83" spans="1:4" x14ac:dyDescent="0.25">
      <c r="A83">
        <v>9036964</v>
      </c>
      <c r="B83" s="66" t="s">
        <v>3069</v>
      </c>
      <c r="C83" t="s">
        <v>3125</v>
      </c>
      <c r="D83">
        <v>5</v>
      </c>
    </row>
    <row r="84" spans="1:4" x14ac:dyDescent="0.25">
      <c r="A84">
        <v>9090287</v>
      </c>
      <c r="B84" s="66" t="s">
        <v>3069</v>
      </c>
      <c r="C84" t="s">
        <v>3126</v>
      </c>
      <c r="D84">
        <v>2</v>
      </c>
    </row>
    <row r="85" spans="1:4" x14ac:dyDescent="0.25">
      <c r="A85">
        <v>9095148</v>
      </c>
      <c r="B85" s="66" t="s">
        <v>3069</v>
      </c>
      <c r="C85" t="s">
        <v>662</v>
      </c>
      <c r="D85">
        <v>1</v>
      </c>
    </row>
    <row r="86" spans="1:4" x14ac:dyDescent="0.25">
      <c r="A86">
        <v>9104979</v>
      </c>
      <c r="B86" s="66" t="s">
        <v>3069</v>
      </c>
      <c r="C86" t="s">
        <v>3127</v>
      </c>
      <c r="D86">
        <v>6</v>
      </c>
    </row>
    <row r="87" spans="1:4" x14ac:dyDescent="0.25">
      <c r="A87">
        <v>9139514</v>
      </c>
      <c r="B87" s="66" t="s">
        <v>3069</v>
      </c>
      <c r="C87" t="s">
        <v>3128</v>
      </c>
      <c r="D87">
        <v>2</v>
      </c>
    </row>
    <row r="88" spans="1:4" x14ac:dyDescent="0.25">
      <c r="A88">
        <v>10020659</v>
      </c>
      <c r="B88" s="66" t="s">
        <v>3069</v>
      </c>
      <c r="C88" t="s">
        <v>3129</v>
      </c>
      <c r="D88">
        <v>2</v>
      </c>
    </row>
    <row r="89" spans="1:4" x14ac:dyDescent="0.25">
      <c r="A89">
        <v>10025902</v>
      </c>
      <c r="B89" s="66" t="s">
        <v>3069</v>
      </c>
      <c r="C89" t="s">
        <v>3130</v>
      </c>
      <c r="D89">
        <v>2</v>
      </c>
    </row>
    <row r="90" spans="1:4" x14ac:dyDescent="0.25">
      <c r="A90">
        <v>10027654</v>
      </c>
      <c r="B90" s="66" t="s">
        <v>3069</v>
      </c>
      <c r="C90" t="s">
        <v>3131</v>
      </c>
      <c r="D90">
        <v>3</v>
      </c>
    </row>
    <row r="91" spans="1:4" x14ac:dyDescent="0.25">
      <c r="A91">
        <v>10146828</v>
      </c>
      <c r="B91" s="66" t="s">
        <v>3069</v>
      </c>
      <c r="C91" t="s">
        <v>166</v>
      </c>
      <c r="D91">
        <v>1</v>
      </c>
    </row>
    <row r="92" spans="1:4" x14ac:dyDescent="0.25">
      <c r="A92">
        <v>10173664</v>
      </c>
      <c r="B92" s="66" t="s">
        <v>3069</v>
      </c>
      <c r="C92" t="s">
        <v>3132</v>
      </c>
      <c r="D92">
        <v>3</v>
      </c>
    </row>
  </sheetData>
  <phoneticPr fontId="6" type="noConversion"/>
  <pageMargins left="0.7" right="0.7" top="0.78740157499999996" bottom="0.78740157499999996" header="0.3" footer="0.3"/>
  <tableParts count="1">
    <tablePart r:id="rId1"/>
  </tableParts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239"/>
  <sheetViews>
    <sheetView workbookViewId="0">
      <selection sqref="A1:V239"/>
    </sheetView>
  </sheetViews>
  <sheetFormatPr defaultColWidth="11.42578125" defaultRowHeight="15" x14ac:dyDescent="0.25"/>
  <cols>
    <col min="1" max="1" width="17.140625" customWidth="1"/>
    <col min="2" max="2" width="43" customWidth="1"/>
    <col min="3" max="3" width="37.85546875" customWidth="1"/>
    <col min="4" max="4" width="29" customWidth="1"/>
    <col min="5" max="7" width="19.28515625" customWidth="1"/>
    <col min="8" max="8" width="24.140625" customWidth="1"/>
    <col min="9" max="10" width="19.28515625" customWidth="1"/>
    <col min="11" max="14" width="21.85546875" customWidth="1"/>
    <col min="15" max="16" width="26.7109375" customWidth="1"/>
    <col min="17" max="17" width="21.85546875" customWidth="1"/>
    <col min="18" max="19" width="24.5703125" customWidth="1"/>
    <col min="20" max="22" width="29.42578125" customWidth="1"/>
  </cols>
  <sheetData>
    <row r="1" spans="1:22" ht="75" x14ac:dyDescent="0.25">
      <c r="A1" s="61" t="s">
        <v>59</v>
      </c>
      <c r="B1" s="62" t="s">
        <v>1861</v>
      </c>
      <c r="C1" s="62" t="s">
        <v>1497</v>
      </c>
      <c r="D1" s="63" t="s">
        <v>1869</v>
      </c>
      <c r="E1" s="62" t="s">
        <v>1775</v>
      </c>
      <c r="F1" s="62" t="s">
        <v>1498</v>
      </c>
      <c r="G1" s="62" t="s">
        <v>1132</v>
      </c>
      <c r="H1" s="62" t="s">
        <v>1499</v>
      </c>
      <c r="I1" s="62" t="s">
        <v>1133</v>
      </c>
      <c r="J1" s="62" t="s">
        <v>1772</v>
      </c>
      <c r="K1" s="62" t="s">
        <v>1917</v>
      </c>
      <c r="L1" s="62" t="s">
        <v>1901</v>
      </c>
      <c r="M1" s="62" t="s">
        <v>1773</v>
      </c>
      <c r="N1" s="62" t="s">
        <v>1774</v>
      </c>
      <c r="O1" s="62" t="s">
        <v>2122</v>
      </c>
      <c r="P1" s="62" t="s">
        <v>1500</v>
      </c>
      <c r="Q1" s="62" t="s">
        <v>1056</v>
      </c>
      <c r="R1" s="62" t="s">
        <v>2099</v>
      </c>
      <c r="S1" s="62" t="s">
        <v>2100</v>
      </c>
      <c r="T1" s="62" t="s">
        <v>1501</v>
      </c>
      <c r="U1" s="62" t="s">
        <v>2101</v>
      </c>
      <c r="V1" s="62" t="s">
        <v>2102</v>
      </c>
    </row>
    <row r="2" spans="1:22" x14ac:dyDescent="0.25">
      <c r="A2" s="40" t="s">
        <v>561</v>
      </c>
    </row>
    <row r="3" spans="1:22" x14ac:dyDescent="0.25">
      <c r="A3" s="10" t="s">
        <v>2519</v>
      </c>
      <c r="B3" s="6"/>
      <c r="C3" s="7"/>
      <c r="D3" s="7"/>
      <c r="E3" s="7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</row>
    <row r="4" spans="1:22" x14ac:dyDescent="0.25">
      <c r="A4">
        <v>7072184</v>
      </c>
      <c r="B4" s="6"/>
      <c r="C4" s="7"/>
      <c r="D4" s="7"/>
      <c r="E4" s="7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</row>
    <row r="5" spans="1:22" x14ac:dyDescent="0.25">
      <c r="A5">
        <v>9108231</v>
      </c>
      <c r="B5" s="6"/>
      <c r="C5" s="7"/>
      <c r="D5" s="7"/>
      <c r="E5" s="7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</row>
    <row r="6" spans="1:22" x14ac:dyDescent="0.25">
      <c r="A6">
        <v>12061933</v>
      </c>
      <c r="B6" s="6"/>
      <c r="C6" s="7"/>
      <c r="D6" s="7"/>
      <c r="E6" s="7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</row>
    <row r="7" spans="1:22" x14ac:dyDescent="0.25">
      <c r="A7">
        <v>95005911</v>
      </c>
    </row>
    <row r="8" spans="1:22" x14ac:dyDescent="0.25">
      <c r="A8">
        <v>99001908</v>
      </c>
    </row>
    <row r="9" spans="1:22" x14ac:dyDescent="0.25">
      <c r="A9">
        <v>99004067</v>
      </c>
    </row>
    <row r="10" spans="1:22" x14ac:dyDescent="0.25">
      <c r="A10">
        <v>97002136</v>
      </c>
    </row>
    <row r="11" spans="1:22" x14ac:dyDescent="0.25">
      <c r="A11">
        <v>1502</v>
      </c>
      <c r="B11" s="6"/>
      <c r="C11" s="7"/>
      <c r="D11" s="7"/>
      <c r="E11" s="7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</row>
    <row r="12" spans="1:22" x14ac:dyDescent="0.25">
      <c r="A12">
        <v>4003543</v>
      </c>
      <c r="B12" s="6"/>
      <c r="C12" s="7"/>
      <c r="D12" s="7"/>
      <c r="E12" s="7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</row>
    <row r="13" spans="1:22" x14ac:dyDescent="0.25">
      <c r="A13">
        <v>4900261</v>
      </c>
      <c r="B13" s="6"/>
      <c r="C13" s="7"/>
      <c r="D13" s="7"/>
      <c r="E13" s="7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</row>
    <row r="15" spans="1:22" x14ac:dyDescent="0.25">
      <c r="A15" s="10" t="s">
        <v>2520</v>
      </c>
      <c r="B15" s="6"/>
      <c r="C15" s="7"/>
      <c r="D15" s="7"/>
      <c r="E15" s="7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</row>
    <row r="16" spans="1:22" x14ac:dyDescent="0.25">
      <c r="A16">
        <v>14242856</v>
      </c>
      <c r="B16" s="6"/>
      <c r="C16" s="7"/>
      <c r="D16" s="7"/>
      <c r="E16" s="7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</row>
    <row r="17" spans="1:22" x14ac:dyDescent="0.25">
      <c r="A17">
        <v>99001183</v>
      </c>
      <c r="B17" s="6"/>
      <c r="C17" s="7"/>
      <c r="D17" s="7"/>
      <c r="E17" s="7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</row>
    <row r="18" spans="1:22" x14ac:dyDescent="0.25">
      <c r="A18">
        <v>3000983</v>
      </c>
      <c r="C18" s="7"/>
      <c r="D18" s="7"/>
      <c r="E18" s="7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</row>
    <row r="19" spans="1:22" x14ac:dyDescent="0.25">
      <c r="A19">
        <v>10064335</v>
      </c>
      <c r="B19" s="6"/>
      <c r="C19" s="7"/>
      <c r="D19" s="7"/>
      <c r="E19" s="7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</row>
    <row r="20" spans="1:22" x14ac:dyDescent="0.25">
      <c r="A20" s="6"/>
      <c r="B20" s="6"/>
      <c r="C20" s="7"/>
      <c r="D20" s="7"/>
      <c r="E20" s="7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</row>
    <row r="21" spans="1:22" x14ac:dyDescent="0.25">
      <c r="A21" s="10" t="s">
        <v>2521</v>
      </c>
      <c r="B21" s="6"/>
      <c r="C21" s="7"/>
      <c r="D21" s="7"/>
      <c r="E21" s="7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</row>
    <row r="22" spans="1:22" x14ac:dyDescent="0.25">
      <c r="A22">
        <v>1480</v>
      </c>
    </row>
    <row r="23" spans="1:22" x14ac:dyDescent="0.25">
      <c r="A23">
        <v>7063959</v>
      </c>
      <c r="B23" s="6"/>
      <c r="C23" s="7"/>
      <c r="D23" s="7"/>
      <c r="E23" s="7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</row>
    <row r="24" spans="1:22" x14ac:dyDescent="0.25">
      <c r="A24">
        <v>1003215</v>
      </c>
      <c r="B24" s="6"/>
      <c r="C24">
        <v>2.9</v>
      </c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</row>
    <row r="25" spans="1:22" x14ac:dyDescent="0.25">
      <c r="A25">
        <v>99000802</v>
      </c>
      <c r="B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</row>
    <row r="26" spans="1:22" x14ac:dyDescent="0.25">
      <c r="A26">
        <v>99000892</v>
      </c>
      <c r="B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</row>
    <row r="27" spans="1:22" x14ac:dyDescent="0.25">
      <c r="A27">
        <v>1000192</v>
      </c>
      <c r="B27" s="6"/>
      <c r="C27" s="7"/>
      <c r="D27" s="7"/>
      <c r="E27" s="7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</row>
    <row r="28" spans="1:22" x14ac:dyDescent="0.25">
      <c r="A28">
        <v>1506</v>
      </c>
      <c r="B28" s="6"/>
      <c r="C28" s="7"/>
      <c r="D28" s="7"/>
      <c r="E28" s="7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</row>
    <row r="29" spans="1:22" x14ac:dyDescent="0.25">
      <c r="A29">
        <v>99000894</v>
      </c>
      <c r="B29" s="6"/>
      <c r="C29" s="7"/>
      <c r="D29" s="7"/>
      <c r="E29" s="7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</row>
    <row r="30" spans="1:22" x14ac:dyDescent="0.25">
      <c r="A30">
        <v>99000897</v>
      </c>
    </row>
    <row r="31" spans="1:22" x14ac:dyDescent="0.25">
      <c r="A31">
        <v>99001245</v>
      </c>
    </row>
    <row r="32" spans="1:22" x14ac:dyDescent="0.25">
      <c r="A32">
        <v>99001902</v>
      </c>
    </row>
    <row r="33" spans="1:22" x14ac:dyDescent="0.25">
      <c r="A33">
        <v>99001912</v>
      </c>
    </row>
    <row r="34" spans="1:22" x14ac:dyDescent="0.25">
      <c r="A34">
        <v>99001913</v>
      </c>
    </row>
    <row r="35" spans="1:22" x14ac:dyDescent="0.25">
      <c r="A35">
        <v>99001937</v>
      </c>
    </row>
    <row r="36" spans="1:22" x14ac:dyDescent="0.25">
      <c r="A36">
        <v>99001943</v>
      </c>
    </row>
    <row r="37" spans="1:22" x14ac:dyDescent="0.25">
      <c r="A37">
        <v>99001927</v>
      </c>
    </row>
    <row r="38" spans="1:22" x14ac:dyDescent="0.25">
      <c r="A38">
        <v>1505</v>
      </c>
      <c r="B38" s="6"/>
      <c r="C38" s="7"/>
      <c r="D38" s="7"/>
      <c r="E38" s="7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</row>
    <row r="39" spans="1:22" x14ac:dyDescent="0.25">
      <c r="A39">
        <v>1000197</v>
      </c>
      <c r="B39" s="6"/>
      <c r="C39" s="7"/>
      <c r="D39" s="7"/>
      <c r="E39" s="7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</row>
    <row r="40" spans="1:22" x14ac:dyDescent="0.25">
      <c r="A40">
        <v>96018835</v>
      </c>
      <c r="B40" s="6"/>
      <c r="C40" s="7"/>
      <c r="D40" s="7"/>
      <c r="E40" s="7"/>
      <c r="F40">
        <v>2082</v>
      </c>
    </row>
    <row r="41" spans="1:22" x14ac:dyDescent="0.25">
      <c r="A41">
        <v>98008326</v>
      </c>
      <c r="B41" s="6"/>
      <c r="C41" s="7"/>
      <c r="D41" s="7"/>
      <c r="E41" s="7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</row>
    <row r="42" spans="1:22" x14ac:dyDescent="0.25">
      <c r="A42">
        <v>99000717</v>
      </c>
      <c r="B42" s="6"/>
      <c r="C42" s="7"/>
      <c r="D42" s="7"/>
      <c r="E42" s="7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</row>
    <row r="43" spans="1:22" x14ac:dyDescent="0.25">
      <c r="B43" s="6"/>
      <c r="C43" s="7"/>
      <c r="D43" s="7"/>
      <c r="E43" s="7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</row>
    <row r="44" spans="1:22" x14ac:dyDescent="0.25">
      <c r="A44" s="25" t="s">
        <v>169</v>
      </c>
    </row>
    <row r="45" spans="1:22" x14ac:dyDescent="0.25">
      <c r="A45" s="10" t="s">
        <v>143</v>
      </c>
    </row>
    <row r="46" spans="1:22" x14ac:dyDescent="0.25">
      <c r="A46">
        <v>6016435</v>
      </c>
    </row>
    <row r="47" spans="1:22" x14ac:dyDescent="0.25">
      <c r="A47">
        <v>8045149</v>
      </c>
    </row>
    <row r="48" spans="1:22" x14ac:dyDescent="0.25">
      <c r="A48">
        <v>10023001</v>
      </c>
    </row>
    <row r="49" spans="1:1" x14ac:dyDescent="0.25">
      <c r="A49">
        <v>10027526</v>
      </c>
    </row>
    <row r="50" spans="1:1" x14ac:dyDescent="0.25">
      <c r="A50">
        <v>14222171</v>
      </c>
    </row>
    <row r="51" spans="1:1" x14ac:dyDescent="0.25">
      <c r="A51">
        <v>1006143</v>
      </c>
    </row>
    <row r="52" spans="1:1" x14ac:dyDescent="0.25">
      <c r="A52">
        <v>6006917</v>
      </c>
    </row>
    <row r="54" spans="1:1" x14ac:dyDescent="0.25">
      <c r="A54" s="10" t="s">
        <v>146</v>
      </c>
    </row>
    <row r="55" spans="1:1" x14ac:dyDescent="0.25">
      <c r="A55">
        <v>8057159</v>
      </c>
    </row>
    <row r="56" spans="1:1" x14ac:dyDescent="0.25">
      <c r="A56">
        <v>9140312</v>
      </c>
    </row>
    <row r="57" spans="1:1" x14ac:dyDescent="0.25">
      <c r="A57">
        <v>12008230</v>
      </c>
    </row>
    <row r="58" spans="1:1" x14ac:dyDescent="0.25">
      <c r="A58">
        <v>12088444</v>
      </c>
    </row>
    <row r="59" spans="1:1" x14ac:dyDescent="0.25">
      <c r="A59">
        <v>13118872</v>
      </c>
    </row>
    <row r="60" spans="1:1" x14ac:dyDescent="0.25">
      <c r="A60">
        <v>12012030</v>
      </c>
    </row>
    <row r="62" spans="1:1" x14ac:dyDescent="0.25">
      <c r="A62" s="10" t="s">
        <v>120</v>
      </c>
    </row>
    <row r="63" spans="1:1" x14ac:dyDescent="0.25">
      <c r="A63">
        <v>9074418</v>
      </c>
    </row>
    <row r="64" spans="1:1" x14ac:dyDescent="0.25">
      <c r="A64">
        <v>1263</v>
      </c>
    </row>
    <row r="65" spans="1:22" x14ac:dyDescent="0.25">
      <c r="A65">
        <v>98004910</v>
      </c>
    </row>
    <row r="66" spans="1:22" x14ac:dyDescent="0.25">
      <c r="A66">
        <v>7103068</v>
      </c>
    </row>
    <row r="67" spans="1:22" x14ac:dyDescent="0.25">
      <c r="A67">
        <v>11240728</v>
      </c>
    </row>
    <row r="68" spans="1:22" x14ac:dyDescent="0.25">
      <c r="B68" s="6"/>
      <c r="C68" s="7"/>
      <c r="D68" s="7"/>
      <c r="E68" s="7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</row>
    <row r="69" spans="1:22" x14ac:dyDescent="0.25">
      <c r="A69" s="26" t="s">
        <v>170</v>
      </c>
    </row>
    <row r="70" spans="1:22" x14ac:dyDescent="0.25">
      <c r="A70" s="10" t="s">
        <v>143</v>
      </c>
    </row>
    <row r="71" spans="1:22" x14ac:dyDescent="0.25">
      <c r="A71">
        <v>5015869</v>
      </c>
    </row>
    <row r="72" spans="1:22" x14ac:dyDescent="0.25">
      <c r="A72">
        <v>5016969</v>
      </c>
    </row>
    <row r="73" spans="1:22" x14ac:dyDescent="0.25">
      <c r="A73">
        <v>6023231</v>
      </c>
    </row>
    <row r="74" spans="1:22" x14ac:dyDescent="0.25">
      <c r="A74">
        <v>6010712</v>
      </c>
    </row>
    <row r="75" spans="1:22" x14ac:dyDescent="0.25">
      <c r="A75">
        <v>6011198</v>
      </c>
    </row>
    <row r="76" spans="1:22" x14ac:dyDescent="0.25">
      <c r="A76">
        <v>6012681</v>
      </c>
    </row>
    <row r="77" spans="1:22" x14ac:dyDescent="0.25">
      <c r="A77">
        <v>6014511</v>
      </c>
    </row>
    <row r="78" spans="1:22" x14ac:dyDescent="0.25">
      <c r="A78">
        <v>6045127</v>
      </c>
    </row>
    <row r="79" spans="1:22" x14ac:dyDescent="0.25">
      <c r="A79">
        <v>7000458</v>
      </c>
    </row>
    <row r="80" spans="1:22" x14ac:dyDescent="0.25">
      <c r="A80">
        <v>7015502</v>
      </c>
    </row>
    <row r="81" spans="1:1" x14ac:dyDescent="0.25">
      <c r="A81">
        <v>7025847</v>
      </c>
    </row>
    <row r="82" spans="1:1" x14ac:dyDescent="0.25">
      <c r="A82">
        <v>7082707</v>
      </c>
    </row>
    <row r="83" spans="1:1" x14ac:dyDescent="0.25">
      <c r="A83">
        <v>7083159</v>
      </c>
    </row>
    <row r="84" spans="1:1" x14ac:dyDescent="0.25">
      <c r="A84">
        <v>7084659</v>
      </c>
    </row>
    <row r="85" spans="1:1" x14ac:dyDescent="0.25">
      <c r="A85">
        <v>7076814</v>
      </c>
    </row>
    <row r="86" spans="1:1" x14ac:dyDescent="0.25">
      <c r="A86">
        <v>7076815</v>
      </c>
    </row>
    <row r="87" spans="1:1" x14ac:dyDescent="0.25">
      <c r="A87">
        <v>7089231</v>
      </c>
    </row>
    <row r="88" spans="1:1" x14ac:dyDescent="0.25">
      <c r="A88">
        <v>7116004</v>
      </c>
    </row>
    <row r="89" spans="1:1" x14ac:dyDescent="0.25">
      <c r="A89">
        <v>8003819</v>
      </c>
    </row>
    <row r="90" spans="1:1" x14ac:dyDescent="0.25">
      <c r="A90">
        <v>8091779</v>
      </c>
    </row>
    <row r="91" spans="1:1" x14ac:dyDescent="0.25">
      <c r="A91">
        <v>8097989</v>
      </c>
    </row>
    <row r="92" spans="1:1" x14ac:dyDescent="0.25">
      <c r="A92">
        <v>8112522</v>
      </c>
    </row>
    <row r="93" spans="1:1" x14ac:dyDescent="0.25">
      <c r="A93">
        <v>8127397</v>
      </c>
    </row>
    <row r="94" spans="1:1" x14ac:dyDescent="0.25">
      <c r="A94">
        <v>8130998</v>
      </c>
    </row>
    <row r="95" spans="1:1" x14ac:dyDescent="0.25">
      <c r="A95">
        <v>9002836</v>
      </c>
    </row>
    <row r="96" spans="1:1" x14ac:dyDescent="0.25">
      <c r="A96">
        <v>9003331</v>
      </c>
    </row>
    <row r="97" spans="1:1" x14ac:dyDescent="0.25">
      <c r="A97">
        <v>9003370</v>
      </c>
    </row>
    <row r="98" spans="1:1" x14ac:dyDescent="0.25">
      <c r="A98">
        <v>9016278</v>
      </c>
    </row>
    <row r="99" spans="1:1" x14ac:dyDescent="0.25">
      <c r="A99">
        <v>9030684</v>
      </c>
    </row>
    <row r="100" spans="1:1" x14ac:dyDescent="0.25">
      <c r="A100">
        <v>9031387</v>
      </c>
    </row>
    <row r="101" spans="1:1" x14ac:dyDescent="0.25">
      <c r="A101">
        <v>9038676</v>
      </c>
    </row>
    <row r="102" spans="1:1" x14ac:dyDescent="0.25">
      <c r="A102">
        <v>9039416</v>
      </c>
    </row>
    <row r="103" spans="1:1" x14ac:dyDescent="0.25">
      <c r="A103">
        <v>9042861</v>
      </c>
    </row>
    <row r="104" spans="1:1" x14ac:dyDescent="0.25">
      <c r="A104">
        <v>9044899</v>
      </c>
    </row>
    <row r="105" spans="1:1" x14ac:dyDescent="0.25">
      <c r="A105">
        <v>9052398</v>
      </c>
    </row>
    <row r="106" spans="1:1" x14ac:dyDescent="0.25">
      <c r="A106">
        <v>9085204</v>
      </c>
    </row>
    <row r="107" spans="1:1" x14ac:dyDescent="0.25">
      <c r="A107">
        <v>9090323</v>
      </c>
    </row>
    <row r="108" spans="1:1" x14ac:dyDescent="0.25">
      <c r="A108">
        <v>9105492</v>
      </c>
    </row>
    <row r="109" spans="1:1" x14ac:dyDescent="0.25">
      <c r="A109">
        <v>9138470</v>
      </c>
    </row>
    <row r="110" spans="1:1" x14ac:dyDescent="0.25">
      <c r="A110">
        <v>9150676</v>
      </c>
    </row>
    <row r="111" spans="1:1" x14ac:dyDescent="0.25">
      <c r="A111">
        <v>10010926</v>
      </c>
    </row>
    <row r="112" spans="1:1" x14ac:dyDescent="0.25">
      <c r="A112">
        <v>10016588</v>
      </c>
    </row>
    <row r="113" spans="1:17" x14ac:dyDescent="0.25">
      <c r="A113">
        <v>10030897</v>
      </c>
    </row>
    <row r="114" spans="1:17" x14ac:dyDescent="0.25">
      <c r="A114">
        <v>324</v>
      </c>
      <c r="D114">
        <v>66000</v>
      </c>
      <c r="Q114">
        <v>6.2</v>
      </c>
    </row>
    <row r="115" spans="1:17" x14ac:dyDescent="0.25">
      <c r="A115">
        <v>3909</v>
      </c>
    </row>
    <row r="116" spans="1:17" x14ac:dyDescent="0.25">
      <c r="A116">
        <v>4663</v>
      </c>
    </row>
    <row r="117" spans="1:17" x14ac:dyDescent="0.25">
      <c r="A117">
        <v>1005522</v>
      </c>
    </row>
    <row r="118" spans="1:17" x14ac:dyDescent="0.25">
      <c r="A118">
        <v>1007631</v>
      </c>
    </row>
    <row r="119" spans="1:17" x14ac:dyDescent="0.25">
      <c r="A119">
        <v>1009760</v>
      </c>
      <c r="P119">
        <v>40000</v>
      </c>
    </row>
    <row r="120" spans="1:17" x14ac:dyDescent="0.25">
      <c r="A120">
        <v>2000646</v>
      </c>
    </row>
    <row r="121" spans="1:17" x14ac:dyDescent="0.25">
      <c r="A121">
        <v>2003761</v>
      </c>
    </row>
    <row r="122" spans="1:17" x14ac:dyDescent="0.25">
      <c r="A122">
        <v>2004061</v>
      </c>
    </row>
    <row r="123" spans="1:17" x14ac:dyDescent="0.25">
      <c r="A123">
        <v>2006469</v>
      </c>
    </row>
    <row r="124" spans="1:17" x14ac:dyDescent="0.25">
      <c r="A124">
        <v>3005132</v>
      </c>
    </row>
    <row r="125" spans="1:17" x14ac:dyDescent="0.25">
      <c r="A125">
        <v>3009119</v>
      </c>
    </row>
    <row r="126" spans="1:17" x14ac:dyDescent="0.25">
      <c r="A126">
        <v>3009936</v>
      </c>
    </row>
    <row r="127" spans="1:17" x14ac:dyDescent="0.25">
      <c r="A127">
        <v>3011094</v>
      </c>
    </row>
    <row r="128" spans="1:17" x14ac:dyDescent="0.25">
      <c r="A128">
        <v>3014643</v>
      </c>
    </row>
    <row r="129" spans="1:1" x14ac:dyDescent="0.25">
      <c r="A129">
        <v>3016056</v>
      </c>
    </row>
    <row r="130" spans="1:1" x14ac:dyDescent="0.25">
      <c r="A130">
        <v>3900219</v>
      </c>
    </row>
    <row r="131" spans="1:1" x14ac:dyDescent="0.25">
      <c r="A131">
        <v>4000158</v>
      </c>
    </row>
    <row r="132" spans="1:1" x14ac:dyDescent="0.25">
      <c r="A132">
        <v>4000304</v>
      </c>
    </row>
    <row r="133" spans="1:1" x14ac:dyDescent="0.25">
      <c r="A133">
        <v>4001905</v>
      </c>
    </row>
    <row r="134" spans="1:1" x14ac:dyDescent="0.25">
      <c r="A134">
        <v>4002206</v>
      </c>
    </row>
    <row r="135" spans="1:1" x14ac:dyDescent="0.25">
      <c r="A135">
        <v>4002715</v>
      </c>
    </row>
    <row r="136" spans="1:1" x14ac:dyDescent="0.25">
      <c r="A136">
        <v>4003924</v>
      </c>
    </row>
    <row r="137" spans="1:1" x14ac:dyDescent="0.25">
      <c r="A137">
        <v>4006051</v>
      </c>
    </row>
    <row r="138" spans="1:1" x14ac:dyDescent="0.25">
      <c r="A138">
        <v>4008140</v>
      </c>
    </row>
    <row r="139" spans="1:1" x14ac:dyDescent="0.25">
      <c r="A139">
        <v>4009906</v>
      </c>
    </row>
    <row r="140" spans="1:1" x14ac:dyDescent="0.25">
      <c r="A140">
        <v>4011027</v>
      </c>
    </row>
    <row r="141" spans="1:1" x14ac:dyDescent="0.25">
      <c r="A141">
        <v>4011920</v>
      </c>
    </row>
    <row r="142" spans="1:1" x14ac:dyDescent="0.25">
      <c r="A142">
        <v>4012248</v>
      </c>
    </row>
    <row r="143" spans="1:1" x14ac:dyDescent="0.25">
      <c r="A143">
        <v>4013603</v>
      </c>
    </row>
    <row r="144" spans="1:1" x14ac:dyDescent="0.25">
      <c r="A144">
        <v>5004654</v>
      </c>
    </row>
    <row r="145" spans="1:1" x14ac:dyDescent="0.25">
      <c r="A145" s="65"/>
    </row>
    <row r="146" spans="1:1" x14ac:dyDescent="0.25">
      <c r="A146" s="10" t="s">
        <v>146</v>
      </c>
    </row>
    <row r="147" spans="1:1" x14ac:dyDescent="0.25">
      <c r="A147">
        <v>4289</v>
      </c>
    </row>
    <row r="148" spans="1:1" x14ac:dyDescent="0.25">
      <c r="A148">
        <v>500245</v>
      </c>
    </row>
    <row r="149" spans="1:1" x14ac:dyDescent="0.25">
      <c r="A149">
        <v>2002573</v>
      </c>
    </row>
    <row r="150" spans="1:1" x14ac:dyDescent="0.25">
      <c r="A150">
        <v>2003539</v>
      </c>
    </row>
    <row r="151" spans="1:1" x14ac:dyDescent="0.25">
      <c r="A151">
        <v>2003649</v>
      </c>
    </row>
    <row r="152" spans="1:1" x14ac:dyDescent="0.25">
      <c r="A152">
        <v>2005572</v>
      </c>
    </row>
    <row r="153" spans="1:1" x14ac:dyDescent="0.25">
      <c r="A153">
        <v>2013117</v>
      </c>
    </row>
    <row r="154" spans="1:1" x14ac:dyDescent="0.25">
      <c r="A154">
        <v>3009633</v>
      </c>
    </row>
    <row r="155" spans="1:1" x14ac:dyDescent="0.25">
      <c r="A155">
        <v>3010583</v>
      </c>
    </row>
    <row r="156" spans="1:1" x14ac:dyDescent="0.25">
      <c r="A156" s="23">
        <v>3011892</v>
      </c>
    </row>
    <row r="157" spans="1:1" x14ac:dyDescent="0.25">
      <c r="A157">
        <v>4001382</v>
      </c>
    </row>
    <row r="158" spans="1:1" x14ac:dyDescent="0.25">
      <c r="A158">
        <v>5018675</v>
      </c>
    </row>
    <row r="159" spans="1:1" x14ac:dyDescent="0.25">
      <c r="A159">
        <v>6050168</v>
      </c>
    </row>
    <row r="160" spans="1:1" x14ac:dyDescent="0.25">
      <c r="A160">
        <v>5006592</v>
      </c>
    </row>
    <row r="161" spans="1:22" x14ac:dyDescent="0.25">
      <c r="A161">
        <v>5007274</v>
      </c>
    </row>
    <row r="162" spans="1:22" x14ac:dyDescent="0.25">
      <c r="A162">
        <v>5015851</v>
      </c>
      <c r="R162">
        <v>3960</v>
      </c>
      <c r="S162">
        <v>4380</v>
      </c>
      <c r="U162">
        <v>5760</v>
      </c>
      <c r="V162">
        <v>5520</v>
      </c>
    </row>
    <row r="163" spans="1:22" x14ac:dyDescent="0.25">
      <c r="A163">
        <v>6015647</v>
      </c>
      <c r="O163">
        <v>3100</v>
      </c>
    </row>
    <row r="164" spans="1:22" x14ac:dyDescent="0.25">
      <c r="A164">
        <v>6056633</v>
      </c>
    </row>
    <row r="165" spans="1:22" x14ac:dyDescent="0.25">
      <c r="A165">
        <v>7086224</v>
      </c>
    </row>
    <row r="166" spans="1:22" x14ac:dyDescent="0.25">
      <c r="A166">
        <v>8040959</v>
      </c>
    </row>
    <row r="167" spans="1:22" x14ac:dyDescent="0.25">
      <c r="A167">
        <v>8107048</v>
      </c>
    </row>
    <row r="168" spans="1:22" x14ac:dyDescent="0.25">
      <c r="A168">
        <v>8124044</v>
      </c>
    </row>
    <row r="169" spans="1:22" x14ac:dyDescent="0.25">
      <c r="A169">
        <v>8142949</v>
      </c>
    </row>
    <row r="170" spans="1:22" x14ac:dyDescent="0.25">
      <c r="A170">
        <v>9023306</v>
      </c>
    </row>
    <row r="171" spans="1:22" x14ac:dyDescent="0.25">
      <c r="A171">
        <v>9030615</v>
      </c>
    </row>
    <row r="172" spans="1:22" x14ac:dyDescent="0.25">
      <c r="A172">
        <v>9034464</v>
      </c>
    </row>
    <row r="173" spans="1:22" x14ac:dyDescent="0.25">
      <c r="A173">
        <v>9040167</v>
      </c>
    </row>
    <row r="174" spans="1:22" x14ac:dyDescent="0.25">
      <c r="A174">
        <v>9054567</v>
      </c>
    </row>
    <row r="175" spans="1:22" x14ac:dyDescent="0.25">
      <c r="A175">
        <v>9083682</v>
      </c>
    </row>
    <row r="176" spans="1:22" x14ac:dyDescent="0.25">
      <c r="A176">
        <v>9102044</v>
      </c>
    </row>
    <row r="177" spans="1:1" x14ac:dyDescent="0.25">
      <c r="A177">
        <v>9119854</v>
      </c>
    </row>
    <row r="178" spans="1:1" x14ac:dyDescent="0.25">
      <c r="A178">
        <v>9125126</v>
      </c>
    </row>
    <row r="179" spans="1:1" x14ac:dyDescent="0.25">
      <c r="A179">
        <v>9174811</v>
      </c>
    </row>
    <row r="180" spans="1:1" x14ac:dyDescent="0.25">
      <c r="A180">
        <v>10002875</v>
      </c>
    </row>
    <row r="181" spans="1:1" x14ac:dyDescent="0.25">
      <c r="A181">
        <v>10023080</v>
      </c>
    </row>
    <row r="182" spans="1:1" x14ac:dyDescent="0.25">
      <c r="A182">
        <v>10025212</v>
      </c>
    </row>
    <row r="183" spans="1:1" x14ac:dyDescent="0.25">
      <c r="A183">
        <v>10069407</v>
      </c>
    </row>
    <row r="184" spans="1:1" x14ac:dyDescent="0.25">
      <c r="A184">
        <v>10071135</v>
      </c>
    </row>
    <row r="185" spans="1:1" x14ac:dyDescent="0.25">
      <c r="A185">
        <v>10083649</v>
      </c>
    </row>
    <row r="186" spans="1:1" x14ac:dyDescent="0.25">
      <c r="A186">
        <v>10102021</v>
      </c>
    </row>
    <row r="187" spans="1:1" x14ac:dyDescent="0.25">
      <c r="A187">
        <v>10123729</v>
      </c>
    </row>
    <row r="188" spans="1:1" x14ac:dyDescent="0.25">
      <c r="A188">
        <v>10144736</v>
      </c>
    </row>
    <row r="189" spans="1:1" x14ac:dyDescent="0.25">
      <c r="A189">
        <v>10157275</v>
      </c>
    </row>
    <row r="190" spans="1:1" x14ac:dyDescent="0.25">
      <c r="A190" s="65"/>
    </row>
    <row r="191" spans="1:1" x14ac:dyDescent="0.25">
      <c r="A191" s="10" t="s">
        <v>120</v>
      </c>
    </row>
    <row r="192" spans="1:1" x14ac:dyDescent="0.25">
      <c r="A192">
        <v>5281</v>
      </c>
    </row>
    <row r="193" spans="1:16" x14ac:dyDescent="0.25">
      <c r="A193">
        <v>200085</v>
      </c>
      <c r="E193">
        <v>8.74</v>
      </c>
      <c r="H193">
        <v>5.89</v>
      </c>
      <c r="I193">
        <v>4.67</v>
      </c>
      <c r="J193">
        <v>5.54</v>
      </c>
      <c r="M193">
        <v>6.33</v>
      </c>
      <c r="N193">
        <v>6.55</v>
      </c>
      <c r="P193">
        <v>7.66</v>
      </c>
    </row>
    <row r="194" spans="1:16" x14ac:dyDescent="0.25">
      <c r="A194">
        <v>500129</v>
      </c>
    </row>
    <row r="195" spans="1:16" x14ac:dyDescent="0.25">
      <c r="A195" s="23">
        <v>1002033</v>
      </c>
    </row>
    <row r="196" spans="1:16" x14ac:dyDescent="0.25">
      <c r="A196">
        <v>1003457</v>
      </c>
    </row>
    <row r="197" spans="1:16" x14ac:dyDescent="0.25">
      <c r="A197">
        <v>2005223</v>
      </c>
    </row>
    <row r="198" spans="1:16" x14ac:dyDescent="0.25">
      <c r="A198">
        <v>2006107</v>
      </c>
    </row>
    <row r="199" spans="1:16" x14ac:dyDescent="0.25">
      <c r="A199">
        <v>2012014</v>
      </c>
      <c r="B199">
        <v>5100</v>
      </c>
    </row>
    <row r="200" spans="1:16" x14ac:dyDescent="0.25">
      <c r="A200">
        <v>3000152</v>
      </c>
      <c r="C200" s="14">
        <v>5391</v>
      </c>
    </row>
    <row r="201" spans="1:16" x14ac:dyDescent="0.25">
      <c r="A201">
        <v>3014566</v>
      </c>
    </row>
    <row r="202" spans="1:16" x14ac:dyDescent="0.25">
      <c r="A202">
        <v>3015058</v>
      </c>
      <c r="E202" t="s">
        <v>2516</v>
      </c>
      <c r="L202" t="s">
        <v>2517</v>
      </c>
    </row>
    <row r="203" spans="1:16" x14ac:dyDescent="0.25">
      <c r="A203" s="23">
        <v>4000996</v>
      </c>
      <c r="F203">
        <v>4020</v>
      </c>
      <c r="G203">
        <v>4200</v>
      </c>
      <c r="K203">
        <v>4380</v>
      </c>
    </row>
    <row r="204" spans="1:16" x14ac:dyDescent="0.25">
      <c r="A204">
        <v>4003768</v>
      </c>
    </row>
    <row r="205" spans="1:16" x14ac:dyDescent="0.25">
      <c r="A205">
        <v>4006540</v>
      </c>
    </row>
    <row r="206" spans="1:16" x14ac:dyDescent="0.25">
      <c r="A206">
        <v>4007054</v>
      </c>
    </row>
    <row r="207" spans="1:16" x14ac:dyDescent="0.25">
      <c r="A207">
        <v>4011002</v>
      </c>
    </row>
    <row r="208" spans="1:16" x14ac:dyDescent="0.25">
      <c r="A208">
        <v>4900268</v>
      </c>
    </row>
    <row r="209" spans="1:5" x14ac:dyDescent="0.25">
      <c r="A209">
        <v>5001097</v>
      </c>
    </row>
    <row r="210" spans="1:5" x14ac:dyDescent="0.25">
      <c r="A210">
        <v>5001098</v>
      </c>
    </row>
    <row r="211" spans="1:5" x14ac:dyDescent="0.25">
      <c r="A211">
        <v>5006152</v>
      </c>
    </row>
    <row r="212" spans="1:5" x14ac:dyDescent="0.25">
      <c r="A212">
        <v>6012361</v>
      </c>
    </row>
    <row r="213" spans="1:5" x14ac:dyDescent="0.25">
      <c r="A213">
        <v>6015793</v>
      </c>
    </row>
    <row r="214" spans="1:5" x14ac:dyDescent="0.25">
      <c r="A214">
        <v>6043619</v>
      </c>
    </row>
    <row r="215" spans="1:5" x14ac:dyDescent="0.25">
      <c r="A215">
        <v>7001097</v>
      </c>
    </row>
    <row r="216" spans="1:5" x14ac:dyDescent="0.25">
      <c r="A216">
        <v>7011435</v>
      </c>
    </row>
    <row r="217" spans="1:5" x14ac:dyDescent="0.25">
      <c r="A217">
        <v>7045811</v>
      </c>
    </row>
    <row r="218" spans="1:5" x14ac:dyDescent="0.25">
      <c r="A218">
        <v>7071198</v>
      </c>
    </row>
    <row r="219" spans="1:5" x14ac:dyDescent="0.25">
      <c r="A219">
        <v>7101143</v>
      </c>
    </row>
    <row r="220" spans="1:5" x14ac:dyDescent="0.25">
      <c r="A220">
        <v>8073350</v>
      </c>
    </row>
    <row r="221" spans="1:5" x14ac:dyDescent="0.25">
      <c r="A221">
        <v>8073645</v>
      </c>
      <c r="E221">
        <v>4058.5</v>
      </c>
    </row>
    <row r="222" spans="1:5" x14ac:dyDescent="0.25">
      <c r="A222" s="23">
        <v>8089666</v>
      </c>
    </row>
    <row r="223" spans="1:5" x14ac:dyDescent="0.25">
      <c r="A223">
        <v>8103536</v>
      </c>
    </row>
    <row r="224" spans="1:5" x14ac:dyDescent="0.25">
      <c r="A224">
        <v>8124816</v>
      </c>
    </row>
    <row r="225" spans="1:1" x14ac:dyDescent="0.25">
      <c r="A225">
        <v>9003267</v>
      </c>
    </row>
    <row r="226" spans="1:1" x14ac:dyDescent="0.25">
      <c r="A226">
        <v>9036964</v>
      </c>
    </row>
    <row r="227" spans="1:1" x14ac:dyDescent="0.25">
      <c r="A227">
        <v>9090287</v>
      </c>
    </row>
    <row r="228" spans="1:1" x14ac:dyDescent="0.25">
      <c r="A228">
        <v>9095148</v>
      </c>
    </row>
    <row r="229" spans="1:1" x14ac:dyDescent="0.25">
      <c r="A229">
        <v>9104979</v>
      </c>
    </row>
    <row r="230" spans="1:1" x14ac:dyDescent="0.25">
      <c r="A230">
        <v>9139514</v>
      </c>
    </row>
    <row r="231" spans="1:1" x14ac:dyDescent="0.25">
      <c r="A231">
        <v>10020659</v>
      </c>
    </row>
    <row r="232" spans="1:1" x14ac:dyDescent="0.25">
      <c r="A232">
        <v>10025902</v>
      </c>
    </row>
    <row r="233" spans="1:1" x14ac:dyDescent="0.25">
      <c r="A233">
        <v>10027654</v>
      </c>
    </row>
    <row r="234" spans="1:1" x14ac:dyDescent="0.25">
      <c r="A234">
        <v>10084485</v>
      </c>
    </row>
    <row r="235" spans="1:1" x14ac:dyDescent="0.25">
      <c r="A235">
        <v>10098420</v>
      </c>
    </row>
    <row r="236" spans="1:1" x14ac:dyDescent="0.25">
      <c r="A236">
        <v>10129565</v>
      </c>
    </row>
    <row r="237" spans="1:1" x14ac:dyDescent="0.25">
      <c r="A237">
        <v>10146828</v>
      </c>
    </row>
    <row r="238" spans="1:1" x14ac:dyDescent="0.25">
      <c r="A238">
        <v>10163776</v>
      </c>
    </row>
    <row r="239" spans="1:1" x14ac:dyDescent="0.25">
      <c r="A239">
        <v>10173664</v>
      </c>
    </row>
  </sheetData>
  <conditionalFormatting sqref="A19">
    <cfRule type="duplicateValues" dxfId="20" priority="1"/>
  </conditionalFormatting>
  <pageMargins left="0.7" right="0.7" top="0.78740157499999996" bottom="0.78740157499999996" header="0.3" footer="0.3"/>
  <tableParts count="1">
    <tablePart r:id="rId1"/>
  </tableParts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"/>
  <sheetViews>
    <sheetView workbookViewId="0">
      <selection activeCell="E25" sqref="E25"/>
    </sheetView>
  </sheetViews>
  <sheetFormatPr defaultColWidth="11.42578125" defaultRowHeight="15" x14ac:dyDescent="0.25"/>
  <cols>
    <col min="1" max="1" width="17.28515625" bestFit="1" customWidth="1"/>
    <col min="2" max="2" width="15.140625" bestFit="1" customWidth="1"/>
    <col min="3" max="3" width="81.140625" bestFit="1" customWidth="1"/>
    <col min="4" max="4" width="30.28515625" bestFit="1" customWidth="1"/>
  </cols>
  <sheetData>
    <row r="1" spans="1:4" x14ac:dyDescent="0.25">
      <c r="A1" s="66" t="s">
        <v>59</v>
      </c>
      <c r="B1" s="66" t="s">
        <v>3134</v>
      </c>
      <c r="C1" s="66" t="s">
        <v>2564</v>
      </c>
      <c r="D1" s="66" t="s">
        <v>2523</v>
      </c>
    </row>
    <row r="2" spans="1:4" x14ac:dyDescent="0.25">
      <c r="A2" s="66">
        <v>1003215</v>
      </c>
      <c r="B2" s="66" t="s">
        <v>3133</v>
      </c>
      <c r="C2" s="66" t="s">
        <v>1497</v>
      </c>
      <c r="D2" s="66">
        <v>1</v>
      </c>
    </row>
    <row r="3" spans="1:4" x14ac:dyDescent="0.25">
      <c r="A3" s="66">
        <v>96018835</v>
      </c>
      <c r="B3" s="66" t="s">
        <v>3133</v>
      </c>
      <c r="C3" s="66" t="s">
        <v>1498</v>
      </c>
      <c r="D3" s="66">
        <v>1</v>
      </c>
    </row>
    <row r="4" spans="1:4" x14ac:dyDescent="0.25">
      <c r="A4" s="66">
        <v>324</v>
      </c>
      <c r="B4" s="66" t="s">
        <v>3133</v>
      </c>
      <c r="C4" s="66" t="s">
        <v>3135</v>
      </c>
      <c r="D4" s="66">
        <v>2</v>
      </c>
    </row>
    <row r="5" spans="1:4" x14ac:dyDescent="0.25">
      <c r="A5" s="66">
        <v>1009760</v>
      </c>
      <c r="B5" s="66" t="s">
        <v>3133</v>
      </c>
      <c r="C5" s="66" t="s">
        <v>1500</v>
      </c>
      <c r="D5" s="66">
        <v>1</v>
      </c>
    </row>
    <row r="6" spans="1:4" x14ac:dyDescent="0.25">
      <c r="A6" s="66">
        <v>5015851</v>
      </c>
      <c r="B6" s="66" t="s">
        <v>3133</v>
      </c>
      <c r="C6" s="66" t="s">
        <v>3136</v>
      </c>
      <c r="D6" s="66">
        <v>4</v>
      </c>
    </row>
    <row r="7" spans="1:4" x14ac:dyDescent="0.25">
      <c r="A7" s="66">
        <v>6015647</v>
      </c>
      <c r="B7" s="66" t="s">
        <v>3133</v>
      </c>
      <c r="C7" s="66" t="s">
        <v>2122</v>
      </c>
      <c r="D7" s="66">
        <v>1</v>
      </c>
    </row>
    <row r="8" spans="1:4" x14ac:dyDescent="0.25">
      <c r="A8" s="66">
        <v>200085</v>
      </c>
      <c r="B8" s="66" t="s">
        <v>3133</v>
      </c>
      <c r="C8" s="66" t="s">
        <v>3137</v>
      </c>
      <c r="D8" s="66">
        <v>7</v>
      </c>
    </row>
    <row r="9" spans="1:4" x14ac:dyDescent="0.25">
      <c r="A9" s="66">
        <v>2012014</v>
      </c>
      <c r="B9" s="66" t="s">
        <v>3133</v>
      </c>
      <c r="C9" s="66" t="s">
        <v>1861</v>
      </c>
      <c r="D9" s="66">
        <v>1</v>
      </c>
    </row>
    <row r="10" spans="1:4" x14ac:dyDescent="0.25">
      <c r="A10" s="66">
        <v>3000152</v>
      </c>
      <c r="B10" s="66" t="s">
        <v>3133</v>
      </c>
      <c r="C10" s="66" t="s">
        <v>1497</v>
      </c>
      <c r="D10" s="66">
        <v>1</v>
      </c>
    </row>
    <row r="11" spans="1:4" x14ac:dyDescent="0.25">
      <c r="A11" s="66">
        <v>3015058</v>
      </c>
      <c r="B11" s="66" t="s">
        <v>3133</v>
      </c>
      <c r="C11" s="66" t="s">
        <v>3138</v>
      </c>
      <c r="D11" s="66">
        <v>2</v>
      </c>
    </row>
    <row r="12" spans="1:4" x14ac:dyDescent="0.25">
      <c r="A12" s="66">
        <v>4000996</v>
      </c>
      <c r="B12" s="66" t="s">
        <v>3133</v>
      </c>
      <c r="C12" s="66" t="s">
        <v>3139</v>
      </c>
      <c r="D12" s="66">
        <v>3</v>
      </c>
    </row>
    <row r="13" spans="1:4" x14ac:dyDescent="0.25">
      <c r="A13" s="66">
        <v>8073645</v>
      </c>
      <c r="B13" s="66" t="s">
        <v>3133</v>
      </c>
      <c r="C13" s="66" t="s">
        <v>1775</v>
      </c>
      <c r="D13" s="66">
        <v>1</v>
      </c>
    </row>
  </sheetData>
  <phoneticPr fontId="6" type="noConversion"/>
  <pageMargins left="0.7" right="0.7" top="0.78740157499999996" bottom="0.78740157499999996" header="0.3" footer="0.3"/>
  <tableParts count="1">
    <tablePart r:id="rId1"/>
  </tableParts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239"/>
  <sheetViews>
    <sheetView workbookViewId="0">
      <selection activeCell="B29" sqref="B29"/>
    </sheetView>
  </sheetViews>
  <sheetFormatPr defaultColWidth="11.42578125" defaultRowHeight="15" x14ac:dyDescent="0.25"/>
  <cols>
    <col min="1" max="1" width="17.140625" customWidth="1"/>
    <col min="2" max="3" width="45" customWidth="1"/>
    <col min="4" max="6" width="37.85546875" customWidth="1"/>
    <col min="7" max="7" width="44" customWidth="1"/>
    <col min="8" max="10" width="36.85546875" customWidth="1"/>
    <col min="11" max="11" width="44" customWidth="1"/>
    <col min="12" max="14" width="36.85546875" customWidth="1"/>
    <col min="15" max="15" width="35" customWidth="1"/>
    <col min="16" max="16" width="21.28515625" customWidth="1"/>
    <col min="17" max="17" width="14.140625" customWidth="1"/>
    <col min="18" max="18" width="14.5703125" customWidth="1"/>
    <col min="19" max="19" width="14.140625" customWidth="1"/>
    <col min="20" max="20" width="21.7109375" customWidth="1"/>
    <col min="21" max="22" width="14.140625" customWidth="1"/>
    <col min="23" max="23" width="24.28515625" customWidth="1"/>
    <col min="24" max="27" width="16.7109375" customWidth="1"/>
    <col min="28" max="29" width="24.28515625" customWidth="1"/>
    <col min="30" max="30" width="16.7109375" customWidth="1"/>
    <col min="31" max="31" width="24.28515625" customWidth="1"/>
    <col min="32" max="35" width="16.7109375" customWidth="1"/>
    <col min="36" max="36" width="24.28515625" customWidth="1"/>
    <col min="37" max="37" width="16.7109375" customWidth="1"/>
    <col min="38" max="38" width="27" customWidth="1"/>
    <col min="39" max="43" width="19.42578125" customWidth="1"/>
    <col min="44" max="44" width="27" customWidth="1"/>
  </cols>
  <sheetData>
    <row r="1" spans="1:44" ht="75" x14ac:dyDescent="0.25">
      <c r="A1" s="61" t="s">
        <v>59</v>
      </c>
      <c r="B1" s="62" t="s">
        <v>2360</v>
      </c>
      <c r="C1" s="62" t="s">
        <v>1502</v>
      </c>
      <c r="D1" s="62" t="s">
        <v>1106</v>
      </c>
      <c r="E1" s="62" t="s">
        <v>1983</v>
      </c>
      <c r="F1" s="62" t="s">
        <v>1853</v>
      </c>
      <c r="G1" s="62" t="s">
        <v>1503</v>
      </c>
      <c r="H1" s="62" t="s">
        <v>853</v>
      </c>
      <c r="I1" s="62" t="s">
        <v>1957</v>
      </c>
      <c r="J1" s="62" t="s">
        <v>1890</v>
      </c>
      <c r="K1" s="62" t="s">
        <v>1504</v>
      </c>
      <c r="L1" s="62" t="s">
        <v>502</v>
      </c>
      <c r="M1" s="62" t="s">
        <v>503</v>
      </c>
      <c r="N1" s="62" t="s">
        <v>1891</v>
      </c>
      <c r="O1" s="62" t="s">
        <v>1505</v>
      </c>
      <c r="P1" s="63" t="s">
        <v>504</v>
      </c>
      <c r="Q1" s="62" t="s">
        <v>915</v>
      </c>
      <c r="R1" s="62" t="s">
        <v>916</v>
      </c>
      <c r="S1" s="62" t="s">
        <v>39</v>
      </c>
      <c r="T1" s="62" t="s">
        <v>1506</v>
      </c>
      <c r="U1" s="62" t="s">
        <v>40</v>
      </c>
      <c r="V1" s="62" t="s">
        <v>505</v>
      </c>
      <c r="W1" s="62" t="s">
        <v>1507</v>
      </c>
      <c r="X1" s="62" t="s">
        <v>917</v>
      </c>
      <c r="Y1" s="62" t="s">
        <v>1156</v>
      </c>
      <c r="Z1" s="62" t="s">
        <v>68</v>
      </c>
      <c r="AA1" s="62" t="s">
        <v>76</v>
      </c>
      <c r="AB1" s="62" t="s">
        <v>1508</v>
      </c>
      <c r="AC1" s="62" t="s">
        <v>2352</v>
      </c>
      <c r="AD1" s="62" t="s">
        <v>38</v>
      </c>
      <c r="AE1" s="62" t="s">
        <v>1509</v>
      </c>
      <c r="AF1" s="62" t="s">
        <v>506</v>
      </c>
      <c r="AG1" s="62" t="s">
        <v>2200</v>
      </c>
      <c r="AH1" s="62" t="s">
        <v>813</v>
      </c>
      <c r="AI1" s="62" t="s">
        <v>80</v>
      </c>
      <c r="AJ1" s="62" t="s">
        <v>1510</v>
      </c>
      <c r="AK1" s="62" t="s">
        <v>1058</v>
      </c>
      <c r="AL1" s="62" t="s">
        <v>1798</v>
      </c>
      <c r="AM1" s="62" t="s">
        <v>1797</v>
      </c>
      <c r="AN1" s="62" t="s">
        <v>1796</v>
      </c>
      <c r="AO1" s="62" t="s">
        <v>2079</v>
      </c>
      <c r="AP1" s="62" t="s">
        <v>2312</v>
      </c>
      <c r="AQ1" s="62" t="s">
        <v>2085</v>
      </c>
      <c r="AR1" s="62" t="s">
        <v>1511</v>
      </c>
    </row>
    <row r="2" spans="1:44" x14ac:dyDescent="0.25">
      <c r="A2" s="40" t="s">
        <v>561</v>
      </c>
    </row>
    <row r="3" spans="1:44" x14ac:dyDescent="0.25">
      <c r="A3" s="10" t="s">
        <v>2519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7"/>
      <c r="P3" s="7"/>
      <c r="Q3" s="7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</row>
    <row r="4" spans="1:44" x14ac:dyDescent="0.25">
      <c r="A4">
        <v>7072184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>
        <v>2.4</v>
      </c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</row>
    <row r="5" spans="1:44" x14ac:dyDescent="0.25">
      <c r="A5">
        <v>9108231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7"/>
      <c r="P5" s="7"/>
      <c r="Q5" s="7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</row>
    <row r="6" spans="1:44" x14ac:dyDescent="0.25">
      <c r="A6">
        <v>12061933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7"/>
      <c r="P6" s="7"/>
      <c r="Q6" s="7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</row>
    <row r="7" spans="1:44" x14ac:dyDescent="0.25">
      <c r="A7">
        <v>95005911</v>
      </c>
    </row>
    <row r="8" spans="1:44" x14ac:dyDescent="0.25">
      <c r="A8">
        <v>99001908</v>
      </c>
    </row>
    <row r="9" spans="1:44" x14ac:dyDescent="0.25">
      <c r="A9">
        <v>99004067</v>
      </c>
      <c r="O9">
        <v>1.45</v>
      </c>
    </row>
    <row r="10" spans="1:44" x14ac:dyDescent="0.25">
      <c r="A10">
        <v>97002136</v>
      </c>
    </row>
    <row r="11" spans="1:44" x14ac:dyDescent="0.25">
      <c r="A11">
        <v>1502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7"/>
      <c r="P11" s="7"/>
      <c r="Q11" s="7"/>
      <c r="R11" s="6"/>
      <c r="S11" s="6"/>
      <c r="T11">
        <v>0.9</v>
      </c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</row>
    <row r="12" spans="1:44" x14ac:dyDescent="0.25">
      <c r="A12">
        <v>4003543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7"/>
      <c r="P12" s="7"/>
      <c r="Q12" s="7"/>
      <c r="R12" s="6"/>
      <c r="S12" s="6"/>
      <c r="U12" s="6"/>
      <c r="V12" s="6"/>
      <c r="W12">
        <v>1.2</v>
      </c>
      <c r="Z12" s="6"/>
      <c r="AA12">
        <v>0.9</v>
      </c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</row>
    <row r="13" spans="1:44" x14ac:dyDescent="0.25">
      <c r="A13">
        <v>4900261</v>
      </c>
      <c r="B13" s="6"/>
      <c r="C13" s="6"/>
      <c r="D13" s="6"/>
      <c r="E13" s="6"/>
      <c r="F13" s="6"/>
      <c r="G13" s="6"/>
      <c r="H13" s="6"/>
      <c r="I13" s="6"/>
      <c r="J13" s="6"/>
      <c r="K13">
        <v>0.76</v>
      </c>
      <c r="L13">
        <v>0.53</v>
      </c>
      <c r="M13">
        <v>0.86</v>
      </c>
      <c r="O13" s="7"/>
      <c r="P13">
        <v>0.71</v>
      </c>
      <c r="U13" s="6"/>
      <c r="V13">
        <v>0.79</v>
      </c>
      <c r="Z13" s="6"/>
      <c r="AA13" s="6"/>
      <c r="AD13" s="6"/>
      <c r="AE13" s="6"/>
      <c r="AF13">
        <v>0.69</v>
      </c>
      <c r="AL13" s="6"/>
      <c r="AM13" s="6"/>
      <c r="AN13" s="6"/>
      <c r="AO13" s="6"/>
      <c r="AP13" s="6"/>
      <c r="AQ13" s="6"/>
      <c r="AR13" s="6"/>
    </row>
    <row r="15" spans="1:44" x14ac:dyDescent="0.25">
      <c r="A15" s="10" t="s">
        <v>2520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7"/>
      <c r="P15" s="7"/>
      <c r="Q15" s="7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</row>
    <row r="16" spans="1:44" x14ac:dyDescent="0.25">
      <c r="A16">
        <v>14242856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7"/>
      <c r="P16" s="7"/>
      <c r="Q16" s="7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</row>
    <row r="17" spans="1:44" x14ac:dyDescent="0.25">
      <c r="A17">
        <v>99001183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7"/>
      <c r="P17" s="7"/>
      <c r="Q17" s="7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</row>
    <row r="18" spans="1:44" x14ac:dyDescent="0.25">
      <c r="A18">
        <v>3000983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7"/>
      <c r="P18" s="7"/>
      <c r="Q18" s="7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</row>
    <row r="19" spans="1:44" x14ac:dyDescent="0.25">
      <c r="A19">
        <v>10064335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7"/>
      <c r="P19" s="7"/>
      <c r="Q19" s="7"/>
      <c r="R19" s="6"/>
      <c r="S19" s="6"/>
      <c r="T19" s="6"/>
      <c r="U19" s="6"/>
      <c r="V19" s="6"/>
      <c r="W19" s="6"/>
      <c r="X19" s="6"/>
      <c r="Y19" s="6"/>
      <c r="Z19">
        <v>2.2599999999999998</v>
      </c>
      <c r="AD19">
        <v>1.6</v>
      </c>
      <c r="AE19">
        <v>1.51</v>
      </c>
      <c r="AI19" s="6"/>
      <c r="AJ19" s="6"/>
      <c r="AK19" s="6"/>
      <c r="AL19">
        <v>1.56</v>
      </c>
      <c r="AM19">
        <v>1.8</v>
      </c>
    </row>
    <row r="20" spans="1:44" x14ac:dyDescent="0.25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7"/>
      <c r="P20" s="7"/>
      <c r="Q20" s="7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</row>
    <row r="21" spans="1:44" x14ac:dyDescent="0.25">
      <c r="A21" s="10" t="s">
        <v>2521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7"/>
      <c r="P21" s="7"/>
      <c r="Q21" s="7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</row>
    <row r="22" spans="1:44" x14ac:dyDescent="0.25">
      <c r="A22">
        <v>1480</v>
      </c>
    </row>
    <row r="23" spans="1:44" x14ac:dyDescent="0.25">
      <c r="A23">
        <v>7063959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7"/>
      <c r="P23" s="7"/>
      <c r="Q23" s="7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</row>
    <row r="24" spans="1:44" x14ac:dyDescent="0.25">
      <c r="A24">
        <v>1003215</v>
      </c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7"/>
      <c r="P24" s="7"/>
      <c r="Q24" s="7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</row>
    <row r="25" spans="1:44" x14ac:dyDescent="0.25">
      <c r="A25">
        <v>99000802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7"/>
      <c r="P25" s="7"/>
      <c r="Q25" s="7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</row>
    <row r="26" spans="1:44" x14ac:dyDescent="0.25">
      <c r="A26">
        <v>99000892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7"/>
      <c r="P26" s="7"/>
      <c r="Q26" s="7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</row>
    <row r="27" spans="1:44" x14ac:dyDescent="0.25">
      <c r="A27">
        <v>1000192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7"/>
      <c r="P27" s="7"/>
      <c r="Q27" s="7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</row>
    <row r="28" spans="1:44" x14ac:dyDescent="0.25">
      <c r="A28">
        <v>1506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7"/>
      <c r="P28" s="7"/>
      <c r="Q28" s="7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</row>
    <row r="29" spans="1:44" x14ac:dyDescent="0.25">
      <c r="A29">
        <v>99000894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7"/>
      <c r="P29" s="7"/>
      <c r="Q29" s="7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</row>
    <row r="30" spans="1:44" x14ac:dyDescent="0.25">
      <c r="A30">
        <v>99000897</v>
      </c>
    </row>
    <row r="31" spans="1:44" x14ac:dyDescent="0.25">
      <c r="A31">
        <v>99001245</v>
      </c>
    </row>
    <row r="32" spans="1:44" x14ac:dyDescent="0.25">
      <c r="A32">
        <v>99001902</v>
      </c>
    </row>
    <row r="33" spans="1:44" x14ac:dyDescent="0.25">
      <c r="A33">
        <v>99001912</v>
      </c>
    </row>
    <row r="34" spans="1:44" x14ac:dyDescent="0.25">
      <c r="A34">
        <v>99001913</v>
      </c>
    </row>
    <row r="35" spans="1:44" x14ac:dyDescent="0.25">
      <c r="A35">
        <v>99001937</v>
      </c>
    </row>
    <row r="36" spans="1:44" x14ac:dyDescent="0.25">
      <c r="A36">
        <v>99001943</v>
      </c>
    </row>
    <row r="37" spans="1:44" x14ac:dyDescent="0.25">
      <c r="A37">
        <v>99001927</v>
      </c>
    </row>
    <row r="38" spans="1:44" x14ac:dyDescent="0.25">
      <c r="A38">
        <v>1505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7"/>
      <c r="P38" s="7"/>
      <c r="Q38" s="7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</row>
    <row r="39" spans="1:44" x14ac:dyDescent="0.25">
      <c r="A39">
        <v>1000197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7"/>
      <c r="P39" s="7"/>
      <c r="Q39" s="7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</row>
    <row r="40" spans="1:44" x14ac:dyDescent="0.25">
      <c r="A40">
        <v>96018835</v>
      </c>
      <c r="O40" s="7"/>
      <c r="P40" s="7"/>
      <c r="Q40" s="7"/>
      <c r="R40" s="6"/>
      <c r="S40" s="6"/>
      <c r="T40" s="6"/>
      <c r="U40">
        <v>1</v>
      </c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</row>
    <row r="41" spans="1:44" x14ac:dyDescent="0.25">
      <c r="A41">
        <v>98008326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7"/>
      <c r="P41" s="7"/>
      <c r="Q41" s="7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</row>
    <row r="42" spans="1:44" x14ac:dyDescent="0.25">
      <c r="A42">
        <v>99000717</v>
      </c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7"/>
      <c r="P42" s="7"/>
      <c r="Q42" s="7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</row>
    <row r="43" spans="1:44" x14ac:dyDescent="0.25"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7"/>
      <c r="P43" s="7"/>
      <c r="Q43" s="7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</row>
    <row r="44" spans="1:44" x14ac:dyDescent="0.25">
      <c r="A44" s="25" t="s">
        <v>169</v>
      </c>
    </row>
    <row r="45" spans="1:44" x14ac:dyDescent="0.25">
      <c r="A45" s="10" t="s">
        <v>143</v>
      </c>
    </row>
    <row r="46" spans="1:44" x14ac:dyDescent="0.25">
      <c r="A46">
        <v>6016435</v>
      </c>
    </row>
    <row r="47" spans="1:44" x14ac:dyDescent="0.25">
      <c r="A47">
        <v>8045149</v>
      </c>
    </row>
    <row r="48" spans="1:44" x14ac:dyDescent="0.25">
      <c r="A48">
        <v>10023001</v>
      </c>
    </row>
    <row r="49" spans="1:36" x14ac:dyDescent="0.25">
      <c r="A49">
        <v>10027526</v>
      </c>
    </row>
    <row r="50" spans="1:36" x14ac:dyDescent="0.25">
      <c r="A50">
        <v>14222171</v>
      </c>
    </row>
    <row r="51" spans="1:36" x14ac:dyDescent="0.25">
      <c r="A51">
        <v>1006143</v>
      </c>
    </row>
    <row r="52" spans="1:36" x14ac:dyDescent="0.25">
      <c r="A52">
        <v>6006917</v>
      </c>
    </row>
    <row r="54" spans="1:36" x14ac:dyDescent="0.25">
      <c r="A54" s="10" t="s">
        <v>146</v>
      </c>
    </row>
    <row r="55" spans="1:36" x14ac:dyDescent="0.25">
      <c r="A55">
        <v>8057159</v>
      </c>
    </row>
    <row r="56" spans="1:36" x14ac:dyDescent="0.25">
      <c r="A56">
        <v>9140312</v>
      </c>
    </row>
    <row r="57" spans="1:36" x14ac:dyDescent="0.25">
      <c r="A57">
        <v>12008230</v>
      </c>
    </row>
    <row r="58" spans="1:36" x14ac:dyDescent="0.25">
      <c r="A58">
        <v>12088444</v>
      </c>
    </row>
    <row r="59" spans="1:36" x14ac:dyDescent="0.25">
      <c r="A59">
        <v>13118872</v>
      </c>
    </row>
    <row r="60" spans="1:36" x14ac:dyDescent="0.25">
      <c r="A60">
        <v>12012030</v>
      </c>
      <c r="AJ60">
        <v>0.24</v>
      </c>
    </row>
    <row r="62" spans="1:36" x14ac:dyDescent="0.25">
      <c r="A62" s="10" t="s">
        <v>120</v>
      </c>
    </row>
    <row r="63" spans="1:36" x14ac:dyDescent="0.25">
      <c r="A63">
        <v>9074418</v>
      </c>
    </row>
    <row r="64" spans="1:36" x14ac:dyDescent="0.25">
      <c r="A64">
        <v>1263</v>
      </c>
    </row>
    <row r="65" spans="1:44" x14ac:dyDescent="0.25">
      <c r="A65">
        <v>98004910</v>
      </c>
    </row>
    <row r="66" spans="1:44" x14ac:dyDescent="0.25">
      <c r="A66">
        <v>7103068</v>
      </c>
    </row>
    <row r="67" spans="1:44" x14ac:dyDescent="0.25">
      <c r="A67">
        <v>11240728</v>
      </c>
    </row>
    <row r="68" spans="1:44" x14ac:dyDescent="0.25"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7"/>
      <c r="P68" s="7"/>
      <c r="Q68" s="7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</row>
    <row r="69" spans="1:44" x14ac:dyDescent="0.25">
      <c r="A69" s="26" t="s">
        <v>170</v>
      </c>
    </row>
    <row r="70" spans="1:44" x14ac:dyDescent="0.25">
      <c r="A70" s="10" t="s">
        <v>143</v>
      </c>
    </row>
    <row r="71" spans="1:44" x14ac:dyDescent="0.25">
      <c r="A71">
        <v>5015869</v>
      </c>
    </row>
    <row r="72" spans="1:44" x14ac:dyDescent="0.25">
      <c r="A72">
        <v>5016969</v>
      </c>
    </row>
    <row r="73" spans="1:44" x14ac:dyDescent="0.25">
      <c r="A73">
        <v>6023231</v>
      </c>
    </row>
    <row r="74" spans="1:44" x14ac:dyDescent="0.25">
      <c r="A74">
        <v>6010712</v>
      </c>
    </row>
    <row r="75" spans="1:44" x14ac:dyDescent="0.25">
      <c r="A75">
        <v>6011198</v>
      </c>
    </row>
    <row r="76" spans="1:44" x14ac:dyDescent="0.25">
      <c r="A76">
        <v>6012681</v>
      </c>
    </row>
    <row r="77" spans="1:44" x14ac:dyDescent="0.25">
      <c r="A77">
        <v>6014511</v>
      </c>
    </row>
    <row r="78" spans="1:44" x14ac:dyDescent="0.25">
      <c r="A78">
        <v>6045127</v>
      </c>
      <c r="O78">
        <v>7.3189000000000002</v>
      </c>
    </row>
    <row r="79" spans="1:44" x14ac:dyDescent="0.25">
      <c r="A79">
        <v>7000458</v>
      </c>
      <c r="U79">
        <v>1.03</v>
      </c>
    </row>
    <row r="80" spans="1:44" x14ac:dyDescent="0.25">
      <c r="A80">
        <v>7015502</v>
      </c>
    </row>
    <row r="81" spans="1:34" x14ac:dyDescent="0.25">
      <c r="A81">
        <v>7025847</v>
      </c>
      <c r="O81">
        <v>1.7</v>
      </c>
    </row>
    <row r="82" spans="1:34" x14ac:dyDescent="0.25">
      <c r="A82">
        <v>7082707</v>
      </c>
      <c r="AB82">
        <v>0.76919999999999999</v>
      </c>
    </row>
    <row r="83" spans="1:34" x14ac:dyDescent="0.25">
      <c r="A83">
        <v>7083159</v>
      </c>
    </row>
    <row r="84" spans="1:34" x14ac:dyDescent="0.25">
      <c r="A84">
        <v>7084659</v>
      </c>
      <c r="P84">
        <v>3.8121</v>
      </c>
    </row>
    <row r="85" spans="1:34" x14ac:dyDescent="0.25">
      <c r="A85">
        <v>7076814</v>
      </c>
    </row>
    <row r="86" spans="1:34" x14ac:dyDescent="0.25">
      <c r="A86">
        <v>7076815</v>
      </c>
    </row>
    <row r="87" spans="1:34" x14ac:dyDescent="0.25">
      <c r="A87">
        <v>7089231</v>
      </c>
    </row>
    <row r="88" spans="1:34" x14ac:dyDescent="0.25">
      <c r="A88">
        <v>7116004</v>
      </c>
    </row>
    <row r="89" spans="1:34" x14ac:dyDescent="0.25">
      <c r="A89">
        <v>8003819</v>
      </c>
    </row>
    <row r="90" spans="1:34" x14ac:dyDescent="0.25">
      <c r="A90">
        <v>8091779</v>
      </c>
    </row>
    <row r="91" spans="1:34" x14ac:dyDescent="0.25">
      <c r="A91">
        <v>8097989</v>
      </c>
    </row>
    <row r="92" spans="1:34" x14ac:dyDescent="0.25">
      <c r="A92">
        <v>8112522</v>
      </c>
    </row>
    <row r="93" spans="1:34" x14ac:dyDescent="0.25">
      <c r="A93">
        <v>8127397</v>
      </c>
    </row>
    <row r="94" spans="1:34" x14ac:dyDescent="0.25">
      <c r="A94">
        <v>8130998</v>
      </c>
    </row>
    <row r="95" spans="1:34" x14ac:dyDescent="0.25">
      <c r="A95">
        <v>9002836</v>
      </c>
    </row>
    <row r="96" spans="1:34" x14ac:dyDescent="0.25">
      <c r="A96">
        <v>9003331</v>
      </c>
      <c r="AH96">
        <v>4.2680999999999996</v>
      </c>
    </row>
    <row r="97" spans="1:34" x14ac:dyDescent="0.25">
      <c r="A97">
        <v>9003370</v>
      </c>
      <c r="P97">
        <v>0.98409999999999997</v>
      </c>
    </row>
    <row r="98" spans="1:34" x14ac:dyDescent="0.25">
      <c r="A98">
        <v>9016278</v>
      </c>
      <c r="H98" s="3">
        <v>1.9117</v>
      </c>
      <c r="I98" s="3"/>
      <c r="J98" s="3"/>
    </row>
    <row r="99" spans="1:34" x14ac:dyDescent="0.25">
      <c r="A99">
        <v>9030684</v>
      </c>
      <c r="P99" s="3">
        <v>1.4592000000000001</v>
      </c>
      <c r="Q99" s="3"/>
      <c r="U99">
        <v>0.84840000000000004</v>
      </c>
    </row>
    <row r="100" spans="1:34" x14ac:dyDescent="0.25">
      <c r="A100">
        <v>9031387</v>
      </c>
      <c r="AH100" s="3">
        <v>1.1537999999999999</v>
      </c>
    </row>
    <row r="101" spans="1:34" x14ac:dyDescent="0.25">
      <c r="A101">
        <v>9038676</v>
      </c>
      <c r="P101">
        <v>0.79179999999999995</v>
      </c>
      <c r="R101">
        <v>0.85970000000000002</v>
      </c>
    </row>
    <row r="102" spans="1:34" x14ac:dyDescent="0.25">
      <c r="A102">
        <v>9039416</v>
      </c>
      <c r="S102" s="3">
        <v>1.3008999999999999</v>
      </c>
    </row>
    <row r="103" spans="1:34" x14ac:dyDescent="0.25">
      <c r="A103">
        <v>9042861</v>
      </c>
      <c r="AE103">
        <v>0.8145</v>
      </c>
    </row>
    <row r="104" spans="1:34" x14ac:dyDescent="0.25">
      <c r="A104">
        <v>9044899</v>
      </c>
      <c r="G104">
        <v>0.9</v>
      </c>
    </row>
    <row r="105" spans="1:34" x14ac:dyDescent="0.25">
      <c r="A105">
        <v>9052398</v>
      </c>
      <c r="P105" s="3">
        <v>1.8552</v>
      </c>
      <c r="Q105" s="3"/>
      <c r="R105" s="3">
        <v>1.6267</v>
      </c>
    </row>
    <row r="106" spans="1:34" x14ac:dyDescent="0.25">
      <c r="A106">
        <v>9085204</v>
      </c>
    </row>
    <row r="107" spans="1:34" x14ac:dyDescent="0.25">
      <c r="A107">
        <v>9090323</v>
      </c>
    </row>
    <row r="108" spans="1:34" x14ac:dyDescent="0.25">
      <c r="A108">
        <v>9105492</v>
      </c>
    </row>
    <row r="109" spans="1:34" x14ac:dyDescent="0.25">
      <c r="A109">
        <v>9138470</v>
      </c>
    </row>
    <row r="110" spans="1:34" x14ac:dyDescent="0.25">
      <c r="A110">
        <v>9150676</v>
      </c>
    </row>
    <row r="111" spans="1:34" x14ac:dyDescent="0.25">
      <c r="A111">
        <v>10010926</v>
      </c>
      <c r="P111" s="3">
        <v>8.4388000000000005</v>
      </c>
      <c r="Q111" s="3">
        <v>5.7690999999999999</v>
      </c>
      <c r="R111">
        <v>2.4773000000000001</v>
      </c>
      <c r="X111" s="3">
        <v>1.1991000000000001</v>
      </c>
      <c r="Y111" s="3"/>
      <c r="AB111" s="3">
        <v>1.2103999999999999</v>
      </c>
      <c r="AC111" s="3"/>
    </row>
    <row r="112" spans="1:34" x14ac:dyDescent="0.25">
      <c r="A112">
        <v>10016588</v>
      </c>
    </row>
    <row r="113" spans="1:37" x14ac:dyDescent="0.25">
      <c r="A113">
        <v>10030897</v>
      </c>
    </row>
    <row r="114" spans="1:37" x14ac:dyDescent="0.25">
      <c r="A114">
        <v>324</v>
      </c>
      <c r="P114">
        <v>1.26</v>
      </c>
      <c r="AK114">
        <v>1.08</v>
      </c>
    </row>
    <row r="115" spans="1:37" x14ac:dyDescent="0.25">
      <c r="A115">
        <v>3909</v>
      </c>
      <c r="T115">
        <v>0.6</v>
      </c>
    </row>
    <row r="116" spans="1:37" x14ac:dyDescent="0.25">
      <c r="A116">
        <v>4663</v>
      </c>
    </row>
    <row r="117" spans="1:37" x14ac:dyDescent="0.25">
      <c r="A117">
        <v>1005522</v>
      </c>
      <c r="C117">
        <v>0.73</v>
      </c>
      <c r="D117">
        <v>0.7</v>
      </c>
      <c r="P117">
        <v>0.62</v>
      </c>
      <c r="X117">
        <v>0.68</v>
      </c>
      <c r="AD117">
        <v>0.77</v>
      </c>
    </row>
    <row r="118" spans="1:37" x14ac:dyDescent="0.25">
      <c r="A118">
        <v>1007631</v>
      </c>
      <c r="Q118">
        <v>1.7</v>
      </c>
    </row>
    <row r="119" spans="1:37" x14ac:dyDescent="0.25">
      <c r="A119">
        <v>1009760</v>
      </c>
      <c r="S119">
        <v>0.64</v>
      </c>
    </row>
    <row r="120" spans="1:37" x14ac:dyDescent="0.25">
      <c r="A120">
        <v>2000646</v>
      </c>
      <c r="P120">
        <v>1.75</v>
      </c>
      <c r="Q120">
        <v>1.6</v>
      </c>
      <c r="W120">
        <v>1.1000000000000001</v>
      </c>
      <c r="X120">
        <v>0.9</v>
      </c>
      <c r="Y120">
        <v>1</v>
      </c>
      <c r="Z120">
        <v>1</v>
      </c>
    </row>
    <row r="121" spans="1:37" x14ac:dyDescent="0.25">
      <c r="A121">
        <v>2003761</v>
      </c>
      <c r="M121">
        <v>7.2747000000000002</v>
      </c>
      <c r="P121" s="3">
        <v>7.2736000000000001</v>
      </c>
      <c r="Q121" s="3">
        <v>7.6921999999999997</v>
      </c>
    </row>
    <row r="122" spans="1:37" x14ac:dyDescent="0.25">
      <c r="A122">
        <v>2004061</v>
      </c>
    </row>
    <row r="123" spans="1:37" x14ac:dyDescent="0.25">
      <c r="A123">
        <v>2006469</v>
      </c>
    </row>
    <row r="124" spans="1:37" x14ac:dyDescent="0.25">
      <c r="A124">
        <v>3005132</v>
      </c>
      <c r="P124">
        <v>2.97</v>
      </c>
    </row>
    <row r="125" spans="1:37" x14ac:dyDescent="0.25">
      <c r="A125">
        <v>3009119</v>
      </c>
    </row>
    <row r="126" spans="1:37" x14ac:dyDescent="0.25">
      <c r="A126">
        <v>3009936</v>
      </c>
    </row>
    <row r="127" spans="1:37" x14ac:dyDescent="0.25">
      <c r="A127">
        <v>3011094</v>
      </c>
    </row>
    <row r="128" spans="1:37" x14ac:dyDescent="0.25">
      <c r="A128">
        <v>3014643</v>
      </c>
    </row>
    <row r="129" spans="1:44" x14ac:dyDescent="0.25">
      <c r="A129">
        <v>3016056</v>
      </c>
      <c r="AR129">
        <v>0.8</v>
      </c>
    </row>
    <row r="130" spans="1:44" x14ac:dyDescent="0.25">
      <c r="A130">
        <v>3900219</v>
      </c>
    </row>
    <row r="131" spans="1:44" x14ac:dyDescent="0.25">
      <c r="A131">
        <v>4000158</v>
      </c>
      <c r="Q131" s="3">
        <v>1.1662999999999999</v>
      </c>
    </row>
    <row r="132" spans="1:44" x14ac:dyDescent="0.25">
      <c r="A132">
        <v>4000304</v>
      </c>
      <c r="P132" s="3">
        <v>1.2556</v>
      </c>
    </row>
    <row r="133" spans="1:44" x14ac:dyDescent="0.25">
      <c r="A133">
        <v>4001905</v>
      </c>
      <c r="O133">
        <v>0.9</v>
      </c>
    </row>
    <row r="134" spans="1:44" x14ac:dyDescent="0.25">
      <c r="A134">
        <v>4002206</v>
      </c>
      <c r="P134">
        <v>0.86650000000000005</v>
      </c>
    </row>
    <row r="135" spans="1:44" x14ac:dyDescent="0.25">
      <c r="A135">
        <v>4002715</v>
      </c>
    </row>
    <row r="136" spans="1:44" x14ac:dyDescent="0.25">
      <c r="A136">
        <v>4003924</v>
      </c>
    </row>
    <row r="137" spans="1:44" x14ac:dyDescent="0.25">
      <c r="A137">
        <v>4006051</v>
      </c>
      <c r="P137">
        <v>2.2999999999999998</v>
      </c>
    </row>
    <row r="138" spans="1:44" x14ac:dyDescent="0.25">
      <c r="A138">
        <v>4008140</v>
      </c>
    </row>
    <row r="139" spans="1:44" x14ac:dyDescent="0.25">
      <c r="A139">
        <v>4009906</v>
      </c>
    </row>
    <row r="140" spans="1:44" x14ac:dyDescent="0.25">
      <c r="A140">
        <v>4011027</v>
      </c>
      <c r="Q140" s="3">
        <v>1.1312</v>
      </c>
      <c r="R140">
        <v>1.2556</v>
      </c>
    </row>
    <row r="141" spans="1:44" x14ac:dyDescent="0.25">
      <c r="A141">
        <v>4011920</v>
      </c>
    </row>
    <row r="142" spans="1:44" x14ac:dyDescent="0.25">
      <c r="A142">
        <v>4012248</v>
      </c>
    </row>
    <row r="143" spans="1:44" x14ac:dyDescent="0.25">
      <c r="A143">
        <v>4013603</v>
      </c>
    </row>
    <row r="144" spans="1:44" x14ac:dyDescent="0.25">
      <c r="A144">
        <v>5004654</v>
      </c>
      <c r="V144">
        <v>0.61080000000000001</v>
      </c>
    </row>
    <row r="145" spans="1:30" x14ac:dyDescent="0.25">
      <c r="A145" s="65"/>
    </row>
    <row r="146" spans="1:30" x14ac:dyDescent="0.25">
      <c r="A146" s="10" t="s">
        <v>146</v>
      </c>
    </row>
    <row r="147" spans="1:30" x14ac:dyDescent="0.25">
      <c r="A147">
        <v>4289</v>
      </c>
      <c r="Q147">
        <v>2.7</v>
      </c>
      <c r="R147">
        <v>5</v>
      </c>
    </row>
    <row r="148" spans="1:30" x14ac:dyDescent="0.25">
      <c r="A148">
        <v>500245</v>
      </c>
      <c r="P148" s="3">
        <v>1.4682999999999999</v>
      </c>
      <c r="Y148">
        <v>0.92869999999999997</v>
      </c>
    </row>
    <row r="149" spans="1:30" x14ac:dyDescent="0.25">
      <c r="A149">
        <v>2002573</v>
      </c>
      <c r="W149">
        <v>0.67869999999999997</v>
      </c>
    </row>
    <row r="150" spans="1:30" x14ac:dyDescent="0.25">
      <c r="A150">
        <v>2003539</v>
      </c>
    </row>
    <row r="151" spans="1:30" x14ac:dyDescent="0.25">
      <c r="A151">
        <v>2003649</v>
      </c>
    </row>
    <row r="152" spans="1:30" x14ac:dyDescent="0.25">
      <c r="A152">
        <v>2005572</v>
      </c>
      <c r="P152" s="3">
        <v>0.81330000000000002</v>
      </c>
      <c r="U152" s="3">
        <v>0.64590000000000003</v>
      </c>
    </row>
    <row r="153" spans="1:30" x14ac:dyDescent="0.25">
      <c r="A153">
        <v>2013117</v>
      </c>
    </row>
    <row r="154" spans="1:30" x14ac:dyDescent="0.25">
      <c r="A154">
        <v>3009633</v>
      </c>
      <c r="AD154">
        <v>0.85519999999999996</v>
      </c>
    </row>
    <row r="155" spans="1:30" x14ac:dyDescent="0.25">
      <c r="A155">
        <v>3010583</v>
      </c>
    </row>
    <row r="156" spans="1:30" x14ac:dyDescent="0.25">
      <c r="A156" s="23">
        <v>3011892</v>
      </c>
      <c r="Y156">
        <v>0.74890000000000001</v>
      </c>
    </row>
    <row r="157" spans="1:30" x14ac:dyDescent="0.25">
      <c r="A157">
        <v>4001382</v>
      </c>
    </row>
    <row r="158" spans="1:30" x14ac:dyDescent="0.25">
      <c r="A158">
        <v>5018675</v>
      </c>
      <c r="V158">
        <v>0.8</v>
      </c>
    </row>
    <row r="159" spans="1:30" x14ac:dyDescent="0.25">
      <c r="A159">
        <v>6050168</v>
      </c>
    </row>
    <row r="160" spans="1:30" x14ac:dyDescent="0.25">
      <c r="A160">
        <v>5006592</v>
      </c>
    </row>
    <row r="161" spans="1:43" x14ac:dyDescent="0.25">
      <c r="A161">
        <v>5007274</v>
      </c>
    </row>
    <row r="162" spans="1:43" x14ac:dyDescent="0.25">
      <c r="A162">
        <v>5015851</v>
      </c>
      <c r="AO162">
        <v>0.75790000000000002</v>
      </c>
      <c r="AQ162" s="3">
        <v>4.2096</v>
      </c>
    </row>
    <row r="163" spans="1:43" x14ac:dyDescent="0.25">
      <c r="A163">
        <v>6015647</v>
      </c>
      <c r="P163">
        <v>0.9</v>
      </c>
      <c r="Q163">
        <v>0.9</v>
      </c>
      <c r="S163">
        <v>0.9</v>
      </c>
      <c r="V163">
        <v>1</v>
      </c>
      <c r="Y163">
        <v>0.8</v>
      </c>
    </row>
    <row r="164" spans="1:43" x14ac:dyDescent="0.25">
      <c r="A164">
        <v>6056633</v>
      </c>
    </row>
    <row r="165" spans="1:43" x14ac:dyDescent="0.25">
      <c r="A165">
        <v>7086224</v>
      </c>
      <c r="Z165">
        <v>0.82579999999999998</v>
      </c>
      <c r="AI165" s="3">
        <v>1.1425000000000001</v>
      </c>
    </row>
    <row r="166" spans="1:43" x14ac:dyDescent="0.25">
      <c r="A166">
        <v>8040959</v>
      </c>
    </row>
    <row r="167" spans="1:43" x14ac:dyDescent="0.25">
      <c r="A167">
        <v>8107048</v>
      </c>
    </row>
    <row r="168" spans="1:43" x14ac:dyDescent="0.25">
      <c r="A168">
        <v>8124044</v>
      </c>
    </row>
    <row r="169" spans="1:43" x14ac:dyDescent="0.25">
      <c r="A169">
        <v>8142949</v>
      </c>
    </row>
    <row r="170" spans="1:43" x14ac:dyDescent="0.25">
      <c r="A170">
        <v>9023306</v>
      </c>
      <c r="S170">
        <v>0.85970000000000002</v>
      </c>
    </row>
    <row r="171" spans="1:43" x14ac:dyDescent="0.25">
      <c r="A171">
        <v>9030615</v>
      </c>
      <c r="S171">
        <v>63</v>
      </c>
    </row>
    <row r="172" spans="1:43" x14ac:dyDescent="0.25">
      <c r="A172">
        <v>9034464</v>
      </c>
    </row>
    <row r="173" spans="1:43" x14ac:dyDescent="0.25">
      <c r="A173">
        <v>9040167</v>
      </c>
      <c r="M173">
        <v>0.88229999999999997</v>
      </c>
      <c r="P173">
        <v>0.85970000000000002</v>
      </c>
    </row>
    <row r="174" spans="1:43" x14ac:dyDescent="0.25">
      <c r="A174">
        <v>9054567</v>
      </c>
    </row>
    <row r="175" spans="1:43" x14ac:dyDescent="0.25">
      <c r="A175">
        <v>9083682</v>
      </c>
      <c r="O175">
        <v>0.7</v>
      </c>
    </row>
    <row r="176" spans="1:43" x14ac:dyDescent="0.25">
      <c r="A176">
        <v>9102044</v>
      </c>
    </row>
    <row r="177" spans="1:33" x14ac:dyDescent="0.25">
      <c r="A177">
        <v>9119854</v>
      </c>
    </row>
    <row r="178" spans="1:33" x14ac:dyDescent="0.25">
      <c r="A178">
        <v>9125126</v>
      </c>
    </row>
    <row r="179" spans="1:33" x14ac:dyDescent="0.25">
      <c r="A179">
        <v>9174811</v>
      </c>
    </row>
    <row r="180" spans="1:33" x14ac:dyDescent="0.25">
      <c r="A180">
        <v>10002875</v>
      </c>
    </row>
    <row r="181" spans="1:33" x14ac:dyDescent="0.25">
      <c r="A181">
        <v>10023080</v>
      </c>
    </row>
    <row r="182" spans="1:33" x14ac:dyDescent="0.25">
      <c r="A182">
        <v>10025212</v>
      </c>
    </row>
    <row r="183" spans="1:33" x14ac:dyDescent="0.25">
      <c r="A183">
        <v>10069407</v>
      </c>
    </row>
    <row r="184" spans="1:33" x14ac:dyDescent="0.25">
      <c r="A184">
        <v>10071135</v>
      </c>
      <c r="AB184" s="3">
        <v>3.6833999999999998</v>
      </c>
      <c r="AC184" s="3"/>
      <c r="AE184" s="3">
        <v>4.4435000000000002</v>
      </c>
      <c r="AG184" s="3">
        <v>4.4435000000000002</v>
      </c>
    </row>
    <row r="185" spans="1:33" x14ac:dyDescent="0.25">
      <c r="A185">
        <v>10083649</v>
      </c>
    </row>
    <row r="186" spans="1:33" x14ac:dyDescent="0.25">
      <c r="A186">
        <v>10102021</v>
      </c>
    </row>
    <row r="187" spans="1:33" x14ac:dyDescent="0.25">
      <c r="A187">
        <v>10123729</v>
      </c>
    </row>
    <row r="188" spans="1:33" x14ac:dyDescent="0.25">
      <c r="A188">
        <v>10144736</v>
      </c>
    </row>
    <row r="189" spans="1:33" x14ac:dyDescent="0.25">
      <c r="A189">
        <v>10157275</v>
      </c>
    </row>
    <row r="190" spans="1:33" x14ac:dyDescent="0.25">
      <c r="A190" s="65"/>
    </row>
    <row r="191" spans="1:33" x14ac:dyDescent="0.25">
      <c r="A191" s="10" t="s">
        <v>120</v>
      </c>
    </row>
    <row r="192" spans="1:33" x14ac:dyDescent="0.25">
      <c r="A192">
        <v>5281</v>
      </c>
    </row>
    <row r="193" spans="1:40" x14ac:dyDescent="0.25">
      <c r="A193">
        <v>200085</v>
      </c>
    </row>
    <row r="194" spans="1:40" x14ac:dyDescent="0.25">
      <c r="A194">
        <v>500129</v>
      </c>
      <c r="U194">
        <v>0.88229999999999997</v>
      </c>
      <c r="Y194">
        <v>0.8054</v>
      </c>
      <c r="AA194">
        <v>0.6663</v>
      </c>
      <c r="AB194">
        <v>0.58030000000000004</v>
      </c>
      <c r="AN194">
        <v>0.69</v>
      </c>
    </row>
    <row r="195" spans="1:40" x14ac:dyDescent="0.25">
      <c r="A195" s="23">
        <v>1002033</v>
      </c>
    </row>
    <row r="196" spans="1:40" x14ac:dyDescent="0.25">
      <c r="A196">
        <v>1003457</v>
      </c>
    </row>
    <row r="197" spans="1:40" x14ac:dyDescent="0.25">
      <c r="A197">
        <v>2005223</v>
      </c>
    </row>
    <row r="198" spans="1:40" x14ac:dyDescent="0.25">
      <c r="A198">
        <v>2006107</v>
      </c>
    </row>
    <row r="199" spans="1:40" x14ac:dyDescent="0.25">
      <c r="A199">
        <v>2012014</v>
      </c>
      <c r="F199">
        <v>0.7</v>
      </c>
    </row>
    <row r="200" spans="1:40" x14ac:dyDescent="0.25">
      <c r="A200">
        <v>3000152</v>
      </c>
      <c r="O200">
        <v>74</v>
      </c>
    </row>
    <row r="201" spans="1:40" x14ac:dyDescent="0.25">
      <c r="A201">
        <v>3014566</v>
      </c>
    </row>
    <row r="202" spans="1:40" x14ac:dyDescent="0.25">
      <c r="A202">
        <v>3015058</v>
      </c>
      <c r="F202">
        <v>2.2000000000000002</v>
      </c>
      <c r="G202">
        <v>1.95</v>
      </c>
      <c r="H202">
        <v>2.1</v>
      </c>
      <c r="J202">
        <v>1.5</v>
      </c>
      <c r="N202">
        <v>1</v>
      </c>
      <c r="Q202">
        <v>1.1000000000000001</v>
      </c>
      <c r="R202">
        <v>1.1000000000000001</v>
      </c>
      <c r="V202">
        <v>1</v>
      </c>
      <c r="X202">
        <v>1</v>
      </c>
    </row>
    <row r="203" spans="1:40" x14ac:dyDescent="0.25">
      <c r="A203" s="23">
        <v>4000996</v>
      </c>
      <c r="Q203">
        <v>0.31830000000000003</v>
      </c>
      <c r="S203">
        <v>0.3664</v>
      </c>
    </row>
    <row r="204" spans="1:40" x14ac:dyDescent="0.25">
      <c r="A204">
        <v>4003768</v>
      </c>
    </row>
    <row r="205" spans="1:40" x14ac:dyDescent="0.25">
      <c r="A205">
        <v>4006540</v>
      </c>
      <c r="Z205" s="3">
        <v>1.1086</v>
      </c>
    </row>
    <row r="206" spans="1:40" x14ac:dyDescent="0.25">
      <c r="A206">
        <v>4007054</v>
      </c>
      <c r="T206">
        <v>0.59160000000000001</v>
      </c>
    </row>
    <row r="207" spans="1:40" x14ac:dyDescent="0.25">
      <c r="A207">
        <v>4011002</v>
      </c>
      <c r="P207" s="3">
        <v>1.2330000000000001</v>
      </c>
      <c r="Q207" s="3">
        <v>1.0407</v>
      </c>
      <c r="X207">
        <v>0.9728</v>
      </c>
    </row>
    <row r="208" spans="1:40" x14ac:dyDescent="0.25">
      <c r="A208">
        <v>4900268</v>
      </c>
    </row>
    <row r="209" spans="1:31" x14ac:dyDescent="0.25">
      <c r="A209">
        <v>5001097</v>
      </c>
      <c r="H209">
        <v>1</v>
      </c>
      <c r="I209">
        <v>1</v>
      </c>
      <c r="P209">
        <v>0.9</v>
      </c>
      <c r="X209">
        <v>0.9</v>
      </c>
    </row>
    <row r="210" spans="1:31" x14ac:dyDescent="0.25">
      <c r="A210">
        <v>5001098</v>
      </c>
      <c r="E210">
        <v>1</v>
      </c>
      <c r="F210">
        <v>1</v>
      </c>
      <c r="H210">
        <v>0.9</v>
      </c>
    </row>
    <row r="211" spans="1:31" x14ac:dyDescent="0.25">
      <c r="A211">
        <v>5006152</v>
      </c>
      <c r="M211">
        <v>0.70130000000000003</v>
      </c>
      <c r="Q211" s="3">
        <v>1.9796</v>
      </c>
    </row>
    <row r="212" spans="1:31" x14ac:dyDescent="0.25">
      <c r="A212">
        <v>6012361</v>
      </c>
      <c r="O212" s="3">
        <v>1.8099000000000001</v>
      </c>
    </row>
    <row r="213" spans="1:31" x14ac:dyDescent="0.25">
      <c r="A213">
        <v>6015793</v>
      </c>
    </row>
    <row r="214" spans="1:31" x14ac:dyDescent="0.25">
      <c r="A214">
        <v>6043619</v>
      </c>
    </row>
    <row r="215" spans="1:31" x14ac:dyDescent="0.25">
      <c r="A215">
        <v>7001097</v>
      </c>
      <c r="M215">
        <v>1.2</v>
      </c>
      <c r="N215">
        <v>1.99</v>
      </c>
      <c r="O215">
        <v>2.1</v>
      </c>
      <c r="P215">
        <v>2.1</v>
      </c>
      <c r="Q215">
        <v>1.9</v>
      </c>
      <c r="R215">
        <v>1.46</v>
      </c>
      <c r="S215">
        <v>1.68</v>
      </c>
      <c r="T215">
        <v>2.08</v>
      </c>
      <c r="U215">
        <v>2.09</v>
      </c>
      <c r="X215">
        <v>0.98</v>
      </c>
      <c r="Y215">
        <v>1.35</v>
      </c>
      <c r="AB215">
        <v>1.17</v>
      </c>
      <c r="AC215">
        <v>1.03</v>
      </c>
      <c r="AD215">
        <v>1.08</v>
      </c>
      <c r="AE215">
        <v>0.96</v>
      </c>
    </row>
    <row r="216" spans="1:31" x14ac:dyDescent="0.25">
      <c r="A216">
        <v>7011435</v>
      </c>
    </row>
    <row r="217" spans="1:31" x14ac:dyDescent="0.25">
      <c r="A217">
        <v>7045811</v>
      </c>
      <c r="P217">
        <v>0.94289999999999996</v>
      </c>
      <c r="AA217">
        <v>0.64259999999999995</v>
      </c>
    </row>
    <row r="218" spans="1:31" x14ac:dyDescent="0.25">
      <c r="A218">
        <v>7071198</v>
      </c>
      <c r="B218">
        <v>1.1599999999999999</v>
      </c>
    </row>
    <row r="219" spans="1:31" x14ac:dyDescent="0.25">
      <c r="A219">
        <v>7101143</v>
      </c>
    </row>
    <row r="220" spans="1:31" x14ac:dyDescent="0.25">
      <c r="A220">
        <v>8073350</v>
      </c>
    </row>
    <row r="221" spans="1:31" x14ac:dyDescent="0.25">
      <c r="A221">
        <v>8073645</v>
      </c>
      <c r="Q221">
        <v>0.75</v>
      </c>
    </row>
    <row r="222" spans="1:31" x14ac:dyDescent="0.25">
      <c r="A222" s="23">
        <v>8089666</v>
      </c>
      <c r="L222">
        <v>0.34</v>
      </c>
      <c r="M222" s="14">
        <v>0.29499999999999998</v>
      </c>
      <c r="N222">
        <v>0.4</v>
      </c>
      <c r="P222" s="47">
        <v>0.73499999999999999</v>
      </c>
      <c r="Q222">
        <v>1.1499999999999999</v>
      </c>
    </row>
    <row r="223" spans="1:31" x14ac:dyDescent="0.25">
      <c r="A223">
        <v>8103536</v>
      </c>
      <c r="O223">
        <v>0.65039999999999998</v>
      </c>
    </row>
    <row r="224" spans="1:31" x14ac:dyDescent="0.25">
      <c r="A224">
        <v>8124816</v>
      </c>
      <c r="P224">
        <v>0.6</v>
      </c>
      <c r="S224">
        <v>0.7</v>
      </c>
      <c r="W224">
        <v>0.6</v>
      </c>
      <c r="AC224">
        <v>0.7</v>
      </c>
    </row>
    <row r="225" spans="1:27" x14ac:dyDescent="0.25">
      <c r="A225">
        <v>9003267</v>
      </c>
      <c r="Q225">
        <v>0.85970000000000002</v>
      </c>
    </row>
    <row r="226" spans="1:27" x14ac:dyDescent="0.25">
      <c r="A226">
        <v>9036964</v>
      </c>
    </row>
    <row r="227" spans="1:27" x14ac:dyDescent="0.25">
      <c r="A227">
        <v>9090287</v>
      </c>
      <c r="R227">
        <v>0.88009999999999999</v>
      </c>
      <c r="S227">
        <v>0.76470000000000005</v>
      </c>
    </row>
    <row r="228" spans="1:27" x14ac:dyDescent="0.25">
      <c r="A228">
        <v>9095148</v>
      </c>
      <c r="P228">
        <v>0.7</v>
      </c>
      <c r="Q228">
        <v>0.65</v>
      </c>
      <c r="R228">
        <v>0.68</v>
      </c>
      <c r="S228">
        <v>0.65</v>
      </c>
    </row>
    <row r="229" spans="1:27" x14ac:dyDescent="0.25">
      <c r="A229">
        <v>9104979</v>
      </c>
    </row>
    <row r="230" spans="1:27" x14ac:dyDescent="0.25">
      <c r="A230">
        <v>9139514</v>
      </c>
    </row>
    <row r="231" spans="1:27" x14ac:dyDescent="0.25">
      <c r="A231">
        <v>10020659</v>
      </c>
      <c r="P231" s="3">
        <v>1.1086</v>
      </c>
    </row>
    <row r="232" spans="1:27" x14ac:dyDescent="0.25">
      <c r="A232">
        <v>10025902</v>
      </c>
      <c r="P232">
        <v>0.96150000000000002</v>
      </c>
    </row>
    <row r="233" spans="1:27" x14ac:dyDescent="0.25">
      <c r="A233">
        <v>10027654</v>
      </c>
    </row>
    <row r="234" spans="1:27" x14ac:dyDescent="0.25">
      <c r="A234">
        <v>10084485</v>
      </c>
    </row>
    <row r="235" spans="1:27" x14ac:dyDescent="0.25">
      <c r="A235">
        <v>10098420</v>
      </c>
      <c r="P235">
        <v>1.48</v>
      </c>
      <c r="Q235">
        <v>2.09</v>
      </c>
      <c r="S235">
        <v>5.26</v>
      </c>
    </row>
    <row r="236" spans="1:27" x14ac:dyDescent="0.25">
      <c r="A236">
        <v>10129565</v>
      </c>
      <c r="R236">
        <v>0.8145</v>
      </c>
      <c r="AA236">
        <v>0.78049999999999997</v>
      </c>
    </row>
    <row r="237" spans="1:27" x14ac:dyDescent="0.25">
      <c r="A237">
        <v>10146828</v>
      </c>
    </row>
    <row r="238" spans="1:27" x14ac:dyDescent="0.25">
      <c r="A238">
        <v>10163776</v>
      </c>
    </row>
    <row r="239" spans="1:27" x14ac:dyDescent="0.25">
      <c r="A239">
        <v>10173664</v>
      </c>
      <c r="S239">
        <v>0.73980000000000001</v>
      </c>
    </row>
  </sheetData>
  <conditionalFormatting sqref="A19">
    <cfRule type="duplicateValues" dxfId="19" priority="1"/>
  </conditionalFormatting>
  <pageMargins left="0.7" right="0.7" top="0.78740157499999996" bottom="0.78740157499999996" header="0.3" footer="0.3"/>
  <tableParts count="1">
    <tablePart r:id="rId1"/>
  </tableParts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3"/>
  <sheetViews>
    <sheetView workbookViewId="0">
      <selection activeCell="F24" sqref="F24"/>
    </sheetView>
  </sheetViews>
  <sheetFormatPr defaultColWidth="11.42578125" defaultRowHeight="15" x14ac:dyDescent="0.25"/>
  <cols>
    <col min="1" max="1" width="17.28515625" bestFit="1" customWidth="1"/>
    <col min="3" max="3" width="81.140625" bestFit="1" customWidth="1"/>
    <col min="4" max="4" width="30.28515625" bestFit="1" customWidth="1"/>
  </cols>
  <sheetData>
    <row r="1" spans="1:4" x14ac:dyDescent="0.25">
      <c r="A1" s="66" t="s">
        <v>59</v>
      </c>
      <c r="B1" s="66" t="s">
        <v>3140</v>
      </c>
      <c r="C1" s="66" t="s">
        <v>2564</v>
      </c>
      <c r="D1" s="66" t="s">
        <v>2523</v>
      </c>
    </row>
    <row r="2" spans="1:4" x14ac:dyDescent="0.25">
      <c r="A2" s="66">
        <v>7072184</v>
      </c>
      <c r="B2" s="66" t="s">
        <v>3140</v>
      </c>
      <c r="C2" s="66" t="s">
        <v>1505</v>
      </c>
      <c r="D2" s="66">
        <v>1</v>
      </c>
    </row>
    <row r="3" spans="1:4" x14ac:dyDescent="0.25">
      <c r="A3" s="66">
        <v>99004067</v>
      </c>
      <c r="B3" s="66" t="s">
        <v>3140</v>
      </c>
      <c r="C3" s="66" t="s">
        <v>1505</v>
      </c>
      <c r="D3" s="66">
        <v>1</v>
      </c>
    </row>
    <row r="4" spans="1:4" x14ac:dyDescent="0.25">
      <c r="A4" s="66">
        <v>1502</v>
      </c>
      <c r="B4" s="66" t="s">
        <v>3140</v>
      </c>
      <c r="C4" s="66" t="s">
        <v>1506</v>
      </c>
      <c r="D4" s="66">
        <v>1</v>
      </c>
    </row>
    <row r="5" spans="1:4" x14ac:dyDescent="0.25">
      <c r="A5" s="66">
        <v>4003543</v>
      </c>
      <c r="B5" s="66" t="s">
        <v>3140</v>
      </c>
      <c r="C5" s="66" t="s">
        <v>3141</v>
      </c>
      <c r="D5" s="66">
        <v>2</v>
      </c>
    </row>
    <row r="6" spans="1:4" x14ac:dyDescent="0.25">
      <c r="A6" s="66">
        <v>4900261</v>
      </c>
      <c r="B6" s="66" t="s">
        <v>3140</v>
      </c>
      <c r="C6" s="66" t="s">
        <v>3142</v>
      </c>
      <c r="D6" s="66">
        <v>6</v>
      </c>
    </row>
    <row r="7" spans="1:4" x14ac:dyDescent="0.25">
      <c r="A7" s="66">
        <v>10064335</v>
      </c>
      <c r="B7" s="66" t="s">
        <v>3140</v>
      </c>
      <c r="C7" s="66" t="s">
        <v>3143</v>
      </c>
      <c r="D7" s="66">
        <v>5</v>
      </c>
    </row>
    <row r="8" spans="1:4" x14ac:dyDescent="0.25">
      <c r="A8" s="66">
        <v>96018835</v>
      </c>
      <c r="B8" s="66" t="s">
        <v>3140</v>
      </c>
      <c r="C8" s="66" t="s">
        <v>40</v>
      </c>
      <c r="D8" s="66">
        <v>1</v>
      </c>
    </row>
    <row r="9" spans="1:4" x14ac:dyDescent="0.25">
      <c r="A9" s="66">
        <v>12012030</v>
      </c>
      <c r="B9" s="66" t="s">
        <v>3140</v>
      </c>
      <c r="C9" s="66" t="s">
        <v>1510</v>
      </c>
      <c r="D9" s="66">
        <v>1</v>
      </c>
    </row>
    <row r="10" spans="1:4" x14ac:dyDescent="0.25">
      <c r="A10" s="66">
        <v>6045127</v>
      </c>
      <c r="B10" s="66" t="s">
        <v>3140</v>
      </c>
      <c r="C10" s="66" t="s">
        <v>1505</v>
      </c>
      <c r="D10" s="66">
        <v>1</v>
      </c>
    </row>
    <row r="11" spans="1:4" x14ac:dyDescent="0.25">
      <c r="A11" s="66">
        <v>7000458</v>
      </c>
      <c r="B11" s="66" t="s">
        <v>3140</v>
      </c>
      <c r="C11" s="66" t="s">
        <v>40</v>
      </c>
      <c r="D11" s="66">
        <v>1</v>
      </c>
    </row>
    <row r="12" spans="1:4" x14ac:dyDescent="0.25">
      <c r="A12" s="66">
        <v>7025847</v>
      </c>
      <c r="B12" s="66" t="s">
        <v>3140</v>
      </c>
      <c r="C12" s="66" t="s">
        <v>1505</v>
      </c>
      <c r="D12" s="66">
        <v>1</v>
      </c>
    </row>
    <row r="13" spans="1:4" x14ac:dyDescent="0.25">
      <c r="A13" s="66">
        <v>7082707</v>
      </c>
      <c r="B13" s="66" t="s">
        <v>3140</v>
      </c>
      <c r="C13" s="66" t="s">
        <v>1508</v>
      </c>
      <c r="D13" s="66">
        <v>1</v>
      </c>
    </row>
    <row r="14" spans="1:4" x14ac:dyDescent="0.25">
      <c r="A14" s="66">
        <v>7084659</v>
      </c>
      <c r="B14" s="66" t="s">
        <v>3140</v>
      </c>
      <c r="C14" s="66" t="s">
        <v>504</v>
      </c>
      <c r="D14" s="66">
        <v>1</v>
      </c>
    </row>
    <row r="15" spans="1:4" x14ac:dyDescent="0.25">
      <c r="A15" s="66">
        <v>9003331</v>
      </c>
      <c r="B15" s="66" t="s">
        <v>3140</v>
      </c>
      <c r="C15" s="66" t="s">
        <v>813</v>
      </c>
      <c r="D15" s="66">
        <v>1</v>
      </c>
    </row>
    <row r="16" spans="1:4" x14ac:dyDescent="0.25">
      <c r="A16" s="66">
        <v>9003370</v>
      </c>
      <c r="B16" s="66" t="s">
        <v>3140</v>
      </c>
      <c r="C16" s="66" t="s">
        <v>504</v>
      </c>
      <c r="D16" s="66">
        <v>1</v>
      </c>
    </row>
    <row r="17" spans="1:4" x14ac:dyDescent="0.25">
      <c r="A17" s="66">
        <v>9016278</v>
      </c>
      <c r="B17" s="66" t="s">
        <v>3140</v>
      </c>
      <c r="C17" s="66" t="s">
        <v>853</v>
      </c>
      <c r="D17" s="66">
        <v>1</v>
      </c>
    </row>
    <row r="18" spans="1:4" x14ac:dyDescent="0.25">
      <c r="A18" s="66">
        <v>9030684</v>
      </c>
      <c r="B18" s="66" t="s">
        <v>3140</v>
      </c>
      <c r="C18" s="66" t="s">
        <v>3144</v>
      </c>
      <c r="D18" s="66">
        <v>2</v>
      </c>
    </row>
    <row r="19" spans="1:4" x14ac:dyDescent="0.25">
      <c r="A19" s="66">
        <v>9031387</v>
      </c>
      <c r="B19" s="66" t="s">
        <v>3140</v>
      </c>
      <c r="C19" s="66" t="s">
        <v>813</v>
      </c>
      <c r="D19" s="66">
        <v>1</v>
      </c>
    </row>
    <row r="20" spans="1:4" x14ac:dyDescent="0.25">
      <c r="A20" s="66">
        <v>9038676</v>
      </c>
      <c r="B20" s="66" t="s">
        <v>3140</v>
      </c>
      <c r="C20" s="66" t="s">
        <v>3145</v>
      </c>
      <c r="D20" s="66">
        <v>2</v>
      </c>
    </row>
    <row r="21" spans="1:4" x14ac:dyDescent="0.25">
      <c r="A21" s="66">
        <v>9039416</v>
      </c>
      <c r="B21" s="66" t="s">
        <v>3140</v>
      </c>
      <c r="C21" s="66" t="s">
        <v>39</v>
      </c>
      <c r="D21" s="66">
        <v>1</v>
      </c>
    </row>
    <row r="22" spans="1:4" x14ac:dyDescent="0.25">
      <c r="A22" s="66">
        <v>9042861</v>
      </c>
      <c r="B22" s="66" t="s">
        <v>3140</v>
      </c>
      <c r="C22" s="66" t="s">
        <v>1509</v>
      </c>
      <c r="D22" s="66">
        <v>1</v>
      </c>
    </row>
    <row r="23" spans="1:4" x14ac:dyDescent="0.25">
      <c r="A23" s="66">
        <v>9044899</v>
      </c>
      <c r="B23" s="66" t="s">
        <v>3140</v>
      </c>
      <c r="C23" s="66" t="s">
        <v>1503</v>
      </c>
      <c r="D23" s="66">
        <v>1</v>
      </c>
    </row>
    <row r="24" spans="1:4" x14ac:dyDescent="0.25">
      <c r="A24" s="66">
        <v>9052398</v>
      </c>
      <c r="B24" s="66" t="s">
        <v>3140</v>
      </c>
      <c r="C24" s="66" t="s">
        <v>3145</v>
      </c>
      <c r="D24" s="66">
        <v>2</v>
      </c>
    </row>
    <row r="25" spans="1:4" x14ac:dyDescent="0.25">
      <c r="A25" s="66">
        <v>10010926</v>
      </c>
      <c r="B25" s="66" t="s">
        <v>3140</v>
      </c>
      <c r="C25" s="66" t="s">
        <v>3146</v>
      </c>
      <c r="D25" s="66">
        <v>5</v>
      </c>
    </row>
    <row r="26" spans="1:4" x14ac:dyDescent="0.25">
      <c r="A26" s="66">
        <v>324</v>
      </c>
      <c r="B26" s="66" t="s">
        <v>3140</v>
      </c>
      <c r="C26" s="66" t="s">
        <v>3147</v>
      </c>
      <c r="D26" s="66">
        <v>2</v>
      </c>
    </row>
    <row r="27" spans="1:4" x14ac:dyDescent="0.25">
      <c r="A27" s="66">
        <v>3909</v>
      </c>
      <c r="B27" s="66" t="s">
        <v>3140</v>
      </c>
      <c r="C27" s="66" t="s">
        <v>1506</v>
      </c>
      <c r="D27" s="66">
        <v>1</v>
      </c>
    </row>
    <row r="28" spans="1:4" x14ac:dyDescent="0.25">
      <c r="A28" s="66">
        <v>1005522</v>
      </c>
      <c r="B28" s="66" t="s">
        <v>3140</v>
      </c>
      <c r="C28" s="66" t="s">
        <v>3148</v>
      </c>
      <c r="D28" s="66">
        <v>5</v>
      </c>
    </row>
    <row r="29" spans="1:4" x14ac:dyDescent="0.25">
      <c r="A29" s="66">
        <v>1007631</v>
      </c>
      <c r="B29" s="66" t="s">
        <v>3140</v>
      </c>
      <c r="C29" s="66" t="s">
        <v>915</v>
      </c>
      <c r="D29" s="66">
        <v>1</v>
      </c>
    </row>
    <row r="30" spans="1:4" x14ac:dyDescent="0.25">
      <c r="A30" s="66">
        <v>1009760</v>
      </c>
      <c r="B30" s="66" t="s">
        <v>3140</v>
      </c>
      <c r="C30" s="66" t="s">
        <v>39</v>
      </c>
      <c r="D30" s="66">
        <v>1</v>
      </c>
    </row>
    <row r="31" spans="1:4" x14ac:dyDescent="0.25">
      <c r="A31" s="66">
        <v>2000646</v>
      </c>
      <c r="B31" s="66" t="s">
        <v>3140</v>
      </c>
      <c r="C31" s="66" t="s">
        <v>3149</v>
      </c>
      <c r="D31" s="66">
        <v>6</v>
      </c>
    </row>
    <row r="32" spans="1:4" x14ac:dyDescent="0.25">
      <c r="A32" s="66">
        <v>2003761</v>
      </c>
      <c r="B32" s="66" t="s">
        <v>3140</v>
      </c>
      <c r="C32" s="66" t="s">
        <v>3150</v>
      </c>
      <c r="D32" s="66">
        <v>3</v>
      </c>
    </row>
    <row r="33" spans="1:4" x14ac:dyDescent="0.25">
      <c r="A33" s="66">
        <v>3005132</v>
      </c>
      <c r="B33" s="66" t="s">
        <v>3140</v>
      </c>
      <c r="C33" s="66" t="s">
        <v>504</v>
      </c>
      <c r="D33" s="66">
        <v>1</v>
      </c>
    </row>
    <row r="34" spans="1:4" x14ac:dyDescent="0.25">
      <c r="A34" s="66">
        <v>3016056</v>
      </c>
      <c r="B34" s="66" t="s">
        <v>3140</v>
      </c>
      <c r="C34" s="66" t="s">
        <v>1511</v>
      </c>
      <c r="D34" s="66">
        <v>1</v>
      </c>
    </row>
    <row r="35" spans="1:4" x14ac:dyDescent="0.25">
      <c r="A35" s="66">
        <v>4000158</v>
      </c>
      <c r="B35" s="66" t="s">
        <v>3140</v>
      </c>
      <c r="C35" s="66" t="s">
        <v>915</v>
      </c>
      <c r="D35" s="66">
        <v>1</v>
      </c>
    </row>
    <row r="36" spans="1:4" x14ac:dyDescent="0.25">
      <c r="A36" s="66">
        <v>4000304</v>
      </c>
      <c r="B36" s="66" t="s">
        <v>3140</v>
      </c>
      <c r="C36" s="66" t="s">
        <v>504</v>
      </c>
      <c r="D36" s="66">
        <v>1</v>
      </c>
    </row>
    <row r="37" spans="1:4" x14ac:dyDescent="0.25">
      <c r="A37" s="66">
        <v>4001905</v>
      </c>
      <c r="B37" s="66" t="s">
        <v>3140</v>
      </c>
      <c r="C37" s="66" t="s">
        <v>1505</v>
      </c>
      <c r="D37" s="66">
        <v>1</v>
      </c>
    </row>
    <row r="38" spans="1:4" x14ac:dyDescent="0.25">
      <c r="A38" s="66">
        <v>4002206</v>
      </c>
      <c r="B38" s="66" t="s">
        <v>3140</v>
      </c>
      <c r="C38" s="66" t="s">
        <v>504</v>
      </c>
      <c r="D38" s="66">
        <v>1</v>
      </c>
    </row>
    <row r="39" spans="1:4" x14ac:dyDescent="0.25">
      <c r="A39" s="66">
        <v>4006051</v>
      </c>
      <c r="B39" s="66" t="s">
        <v>3140</v>
      </c>
      <c r="C39" s="66" t="s">
        <v>504</v>
      </c>
      <c r="D39" s="66">
        <v>1</v>
      </c>
    </row>
    <row r="40" spans="1:4" x14ac:dyDescent="0.25">
      <c r="A40" s="66">
        <v>4011027</v>
      </c>
      <c r="B40" s="66" t="s">
        <v>3140</v>
      </c>
      <c r="C40" s="66" t="s">
        <v>3151</v>
      </c>
      <c r="D40" s="66">
        <v>2</v>
      </c>
    </row>
    <row r="41" spans="1:4" x14ac:dyDescent="0.25">
      <c r="A41" s="66">
        <v>5004654</v>
      </c>
      <c r="B41" s="66" t="s">
        <v>3140</v>
      </c>
      <c r="C41" s="66" t="s">
        <v>505</v>
      </c>
      <c r="D41" s="66">
        <v>1</v>
      </c>
    </row>
    <row r="42" spans="1:4" x14ac:dyDescent="0.25">
      <c r="A42" s="66">
        <v>4289</v>
      </c>
      <c r="B42" s="66" t="s">
        <v>3140</v>
      </c>
      <c r="C42" s="66" t="s">
        <v>3151</v>
      </c>
      <c r="D42" s="66">
        <v>2</v>
      </c>
    </row>
    <row r="43" spans="1:4" x14ac:dyDescent="0.25">
      <c r="A43" s="66">
        <v>500245</v>
      </c>
      <c r="B43" s="66" t="s">
        <v>3140</v>
      </c>
      <c r="C43" s="66" t="s">
        <v>3152</v>
      </c>
      <c r="D43" s="66">
        <v>2</v>
      </c>
    </row>
    <row r="44" spans="1:4" x14ac:dyDescent="0.25">
      <c r="A44" s="66">
        <v>2002573</v>
      </c>
      <c r="B44" s="66" t="s">
        <v>3140</v>
      </c>
      <c r="C44" s="66" t="s">
        <v>1507</v>
      </c>
      <c r="D44" s="66">
        <v>1</v>
      </c>
    </row>
    <row r="45" spans="1:4" x14ac:dyDescent="0.25">
      <c r="A45" s="66">
        <v>2005572</v>
      </c>
      <c r="B45" s="66" t="s">
        <v>3140</v>
      </c>
      <c r="C45" s="66" t="s">
        <v>3144</v>
      </c>
      <c r="D45" s="66">
        <v>2</v>
      </c>
    </row>
    <row r="46" spans="1:4" x14ac:dyDescent="0.25">
      <c r="A46" s="66">
        <v>3009633</v>
      </c>
      <c r="B46" s="66" t="s">
        <v>3140</v>
      </c>
      <c r="C46" s="66" t="s">
        <v>38</v>
      </c>
      <c r="D46" s="66">
        <v>1</v>
      </c>
    </row>
    <row r="47" spans="1:4" x14ac:dyDescent="0.25">
      <c r="A47" s="66">
        <v>3011892</v>
      </c>
      <c r="B47" s="66" t="s">
        <v>3140</v>
      </c>
      <c r="C47" s="66" t="s">
        <v>1156</v>
      </c>
      <c r="D47" s="66">
        <v>1</v>
      </c>
    </row>
    <row r="48" spans="1:4" x14ac:dyDescent="0.25">
      <c r="A48" s="66">
        <v>5018675</v>
      </c>
      <c r="B48" s="66" t="s">
        <v>3140</v>
      </c>
      <c r="C48" s="66" t="s">
        <v>505</v>
      </c>
      <c r="D48" s="66">
        <v>1</v>
      </c>
    </row>
    <row r="49" spans="1:4" x14ac:dyDescent="0.25">
      <c r="A49" s="66">
        <v>5015851</v>
      </c>
      <c r="B49" s="66" t="s">
        <v>3140</v>
      </c>
      <c r="C49" s="66" t="s">
        <v>3153</v>
      </c>
      <c r="D49" s="66">
        <v>2</v>
      </c>
    </row>
    <row r="50" spans="1:4" x14ac:dyDescent="0.25">
      <c r="A50" s="66">
        <v>6015647</v>
      </c>
      <c r="B50" s="66" t="s">
        <v>3140</v>
      </c>
      <c r="C50" s="66" t="s">
        <v>3154</v>
      </c>
      <c r="D50" s="66">
        <v>5</v>
      </c>
    </row>
    <row r="51" spans="1:4" x14ac:dyDescent="0.25">
      <c r="A51">
        <v>7086224</v>
      </c>
      <c r="B51" s="66" t="s">
        <v>3140</v>
      </c>
      <c r="C51" t="s">
        <v>3155</v>
      </c>
      <c r="D51">
        <v>2</v>
      </c>
    </row>
    <row r="52" spans="1:4" x14ac:dyDescent="0.25">
      <c r="A52">
        <v>9023306</v>
      </c>
      <c r="B52" s="66" t="s">
        <v>3140</v>
      </c>
      <c r="C52" t="s">
        <v>39</v>
      </c>
      <c r="D52">
        <v>1</v>
      </c>
    </row>
    <row r="53" spans="1:4" x14ac:dyDescent="0.25">
      <c r="A53">
        <v>9030615</v>
      </c>
      <c r="B53" s="66" t="s">
        <v>3140</v>
      </c>
      <c r="C53" t="s">
        <v>39</v>
      </c>
      <c r="D53">
        <v>1</v>
      </c>
    </row>
    <row r="54" spans="1:4" x14ac:dyDescent="0.25">
      <c r="A54">
        <v>9040167</v>
      </c>
      <c r="B54" s="66" t="s">
        <v>3140</v>
      </c>
      <c r="C54" t="s">
        <v>3156</v>
      </c>
      <c r="D54">
        <v>2</v>
      </c>
    </row>
    <row r="55" spans="1:4" x14ac:dyDescent="0.25">
      <c r="A55">
        <v>9083682</v>
      </c>
      <c r="B55" s="66" t="s">
        <v>3140</v>
      </c>
      <c r="C55" t="s">
        <v>1505</v>
      </c>
      <c r="D55">
        <v>1</v>
      </c>
    </row>
    <row r="56" spans="1:4" x14ac:dyDescent="0.25">
      <c r="A56">
        <v>10071135</v>
      </c>
      <c r="B56" s="66" t="s">
        <v>3140</v>
      </c>
      <c r="C56" t="s">
        <v>3157</v>
      </c>
      <c r="D56">
        <v>3</v>
      </c>
    </row>
    <row r="57" spans="1:4" x14ac:dyDescent="0.25">
      <c r="A57">
        <v>500129</v>
      </c>
      <c r="B57" s="66" t="s">
        <v>3140</v>
      </c>
      <c r="C57" t="s">
        <v>3158</v>
      </c>
      <c r="D57">
        <v>5</v>
      </c>
    </row>
    <row r="58" spans="1:4" x14ac:dyDescent="0.25">
      <c r="A58">
        <v>2012014</v>
      </c>
      <c r="B58" s="66" t="s">
        <v>3140</v>
      </c>
      <c r="C58" t="s">
        <v>1853</v>
      </c>
      <c r="D58">
        <v>1</v>
      </c>
    </row>
    <row r="59" spans="1:4" x14ac:dyDescent="0.25">
      <c r="A59">
        <v>3000152</v>
      </c>
      <c r="B59" s="66" t="s">
        <v>3140</v>
      </c>
      <c r="C59" t="s">
        <v>1505</v>
      </c>
      <c r="D59">
        <v>1</v>
      </c>
    </row>
    <row r="60" spans="1:4" x14ac:dyDescent="0.25">
      <c r="A60">
        <v>3015058</v>
      </c>
      <c r="B60" s="66" t="s">
        <v>3140</v>
      </c>
      <c r="C60" t="s">
        <v>3159</v>
      </c>
      <c r="D60">
        <v>9</v>
      </c>
    </row>
    <row r="61" spans="1:4" x14ac:dyDescent="0.25">
      <c r="A61">
        <v>4000996</v>
      </c>
      <c r="B61" s="66" t="s">
        <v>3140</v>
      </c>
      <c r="C61" t="s">
        <v>3160</v>
      </c>
      <c r="D61">
        <v>2</v>
      </c>
    </row>
    <row r="62" spans="1:4" x14ac:dyDescent="0.25">
      <c r="A62">
        <v>4006540</v>
      </c>
      <c r="B62" s="66" t="s">
        <v>3140</v>
      </c>
      <c r="C62" t="s">
        <v>68</v>
      </c>
      <c r="D62">
        <v>1</v>
      </c>
    </row>
    <row r="63" spans="1:4" x14ac:dyDescent="0.25">
      <c r="A63">
        <v>4007054</v>
      </c>
      <c r="B63" s="66" t="s">
        <v>3140</v>
      </c>
      <c r="C63" t="s">
        <v>1506</v>
      </c>
      <c r="D63">
        <v>1</v>
      </c>
    </row>
    <row r="64" spans="1:4" x14ac:dyDescent="0.25">
      <c r="A64">
        <v>4011002</v>
      </c>
      <c r="B64" s="66" t="s">
        <v>3140</v>
      </c>
      <c r="C64" t="s">
        <v>3161</v>
      </c>
      <c r="D64">
        <v>3</v>
      </c>
    </row>
    <row r="65" spans="1:4" x14ac:dyDescent="0.25">
      <c r="A65">
        <v>5001097</v>
      </c>
      <c r="B65" s="66" t="s">
        <v>3140</v>
      </c>
      <c r="C65" t="s">
        <v>3162</v>
      </c>
      <c r="D65">
        <v>4</v>
      </c>
    </row>
    <row r="66" spans="1:4" x14ac:dyDescent="0.25">
      <c r="A66">
        <v>5001098</v>
      </c>
      <c r="B66" s="66" t="s">
        <v>3140</v>
      </c>
      <c r="C66" t="s">
        <v>3163</v>
      </c>
      <c r="D66">
        <v>3</v>
      </c>
    </row>
    <row r="67" spans="1:4" x14ac:dyDescent="0.25">
      <c r="A67">
        <v>5006152</v>
      </c>
      <c r="B67" s="66" t="s">
        <v>3140</v>
      </c>
      <c r="C67" t="s">
        <v>3164</v>
      </c>
      <c r="D67">
        <v>2</v>
      </c>
    </row>
    <row r="68" spans="1:4" x14ac:dyDescent="0.25">
      <c r="A68">
        <v>6012361</v>
      </c>
      <c r="B68" s="66" t="s">
        <v>3140</v>
      </c>
      <c r="C68" t="s">
        <v>1505</v>
      </c>
      <c r="D68">
        <v>1</v>
      </c>
    </row>
    <row r="69" spans="1:4" x14ac:dyDescent="0.25">
      <c r="A69">
        <v>7001097</v>
      </c>
      <c r="B69" s="66" t="s">
        <v>3140</v>
      </c>
      <c r="C69" t="s">
        <v>3165</v>
      </c>
      <c r="D69">
        <v>15</v>
      </c>
    </row>
    <row r="70" spans="1:4" x14ac:dyDescent="0.25">
      <c r="A70">
        <v>7045811</v>
      </c>
      <c r="B70" s="66" t="s">
        <v>3140</v>
      </c>
      <c r="C70" t="s">
        <v>3166</v>
      </c>
      <c r="D70">
        <v>2</v>
      </c>
    </row>
    <row r="71" spans="1:4" x14ac:dyDescent="0.25">
      <c r="A71">
        <v>7071198</v>
      </c>
      <c r="B71" s="66" t="s">
        <v>3140</v>
      </c>
      <c r="C71" t="s">
        <v>2360</v>
      </c>
      <c r="D71">
        <v>1</v>
      </c>
    </row>
    <row r="72" spans="1:4" x14ac:dyDescent="0.25">
      <c r="A72">
        <v>8073645</v>
      </c>
      <c r="B72" s="66" t="s">
        <v>3140</v>
      </c>
      <c r="C72" t="s">
        <v>915</v>
      </c>
      <c r="D72">
        <v>1</v>
      </c>
    </row>
    <row r="73" spans="1:4" x14ac:dyDescent="0.25">
      <c r="A73">
        <v>8089666</v>
      </c>
      <c r="B73" s="66" t="s">
        <v>3140</v>
      </c>
      <c r="C73" t="s">
        <v>3167</v>
      </c>
      <c r="D73">
        <v>5</v>
      </c>
    </row>
    <row r="74" spans="1:4" x14ac:dyDescent="0.25">
      <c r="A74">
        <v>8103536</v>
      </c>
      <c r="B74" s="66" t="s">
        <v>3140</v>
      </c>
      <c r="C74" t="s">
        <v>1505</v>
      </c>
      <c r="D74">
        <v>1</v>
      </c>
    </row>
    <row r="75" spans="1:4" x14ac:dyDescent="0.25">
      <c r="A75">
        <v>8124816</v>
      </c>
      <c r="B75" s="66" t="s">
        <v>3140</v>
      </c>
      <c r="C75" t="s">
        <v>3168</v>
      </c>
      <c r="D75">
        <v>4</v>
      </c>
    </row>
    <row r="76" spans="1:4" x14ac:dyDescent="0.25">
      <c r="A76">
        <v>9003267</v>
      </c>
      <c r="B76" s="66" t="s">
        <v>3140</v>
      </c>
      <c r="C76" t="s">
        <v>915</v>
      </c>
      <c r="D76">
        <v>1</v>
      </c>
    </row>
    <row r="77" spans="1:4" x14ac:dyDescent="0.25">
      <c r="A77">
        <v>9090287</v>
      </c>
      <c r="B77" s="66" t="s">
        <v>3140</v>
      </c>
      <c r="C77" t="s">
        <v>3169</v>
      </c>
      <c r="D77">
        <v>2</v>
      </c>
    </row>
    <row r="78" spans="1:4" x14ac:dyDescent="0.25">
      <c r="A78">
        <v>9095148</v>
      </c>
      <c r="B78" s="66" t="s">
        <v>3140</v>
      </c>
      <c r="C78" t="s">
        <v>3170</v>
      </c>
      <c r="D78">
        <v>4</v>
      </c>
    </row>
    <row r="79" spans="1:4" x14ac:dyDescent="0.25">
      <c r="A79">
        <v>10020659</v>
      </c>
      <c r="B79" s="66" t="s">
        <v>3140</v>
      </c>
      <c r="C79" t="s">
        <v>504</v>
      </c>
      <c r="D79">
        <v>1</v>
      </c>
    </row>
    <row r="80" spans="1:4" x14ac:dyDescent="0.25">
      <c r="A80">
        <v>10025902</v>
      </c>
      <c r="B80" s="66" t="s">
        <v>3140</v>
      </c>
      <c r="C80" t="s">
        <v>504</v>
      </c>
      <c r="D80">
        <v>1</v>
      </c>
    </row>
    <row r="81" spans="1:4" x14ac:dyDescent="0.25">
      <c r="A81">
        <v>10098420</v>
      </c>
      <c r="B81" s="66" t="s">
        <v>3140</v>
      </c>
      <c r="C81" t="s">
        <v>3171</v>
      </c>
      <c r="D81">
        <v>3</v>
      </c>
    </row>
    <row r="82" spans="1:4" x14ac:dyDescent="0.25">
      <c r="A82">
        <v>10129565</v>
      </c>
      <c r="B82" s="66" t="s">
        <v>3140</v>
      </c>
      <c r="C82" t="s">
        <v>3172</v>
      </c>
      <c r="D82">
        <v>2</v>
      </c>
    </row>
    <row r="83" spans="1:4" x14ac:dyDescent="0.25">
      <c r="A83">
        <v>10173664</v>
      </c>
      <c r="B83" s="66" t="s">
        <v>3140</v>
      </c>
      <c r="C83" t="s">
        <v>39</v>
      </c>
      <c r="D83">
        <v>1</v>
      </c>
    </row>
  </sheetData>
  <phoneticPr fontId="6" type="noConversion"/>
  <pageMargins left="0.7" right="0.7" top="0.78740157499999996" bottom="0.78740157499999996" header="0.3" footer="0.3"/>
  <tableParts count="1">
    <tablePart r:id="rId1"/>
  </tableParts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39"/>
  <sheetViews>
    <sheetView workbookViewId="0">
      <selection activeCell="C8" sqref="C8"/>
    </sheetView>
  </sheetViews>
  <sheetFormatPr defaultColWidth="11.42578125" defaultRowHeight="15" x14ac:dyDescent="0.25"/>
  <cols>
    <col min="1" max="1" width="17.140625" customWidth="1"/>
    <col min="2" max="3" width="36.7109375" customWidth="1"/>
    <col min="4" max="4" width="35.5703125" customWidth="1"/>
    <col min="5" max="5" width="27.28515625" customWidth="1"/>
    <col min="6" max="6" width="18.5703125" customWidth="1"/>
    <col min="7" max="7" width="14" customWidth="1"/>
    <col min="8" max="9" width="13.5703125" customWidth="1"/>
    <col min="10" max="10" width="19" customWidth="1"/>
    <col min="11" max="11" width="13.5703125" customWidth="1"/>
    <col min="12" max="13" width="16.140625" customWidth="1"/>
    <col min="14" max="14" width="21.5703125" customWidth="1"/>
    <col min="15" max="17" width="16.140625" customWidth="1"/>
    <col min="18" max="18" width="21.5703125" customWidth="1"/>
    <col min="19" max="19" width="16.140625" customWidth="1"/>
    <col min="20" max="22" width="18.85546875" customWidth="1"/>
    <col min="23" max="23" width="24.28515625" customWidth="1"/>
  </cols>
  <sheetData>
    <row r="1" spans="1:23" ht="60" x14ac:dyDescent="0.25">
      <c r="A1" s="61" t="s">
        <v>59</v>
      </c>
      <c r="B1" s="62" t="s">
        <v>2378</v>
      </c>
      <c r="C1" s="62" t="s">
        <v>1995</v>
      </c>
      <c r="D1" s="62" t="s">
        <v>2379</v>
      </c>
      <c r="E1" s="62" t="s">
        <v>63</v>
      </c>
      <c r="F1" s="63" t="s">
        <v>1052</v>
      </c>
      <c r="G1" s="62" t="s">
        <v>1512</v>
      </c>
      <c r="H1" s="62" t="s">
        <v>41</v>
      </c>
      <c r="I1" s="62" t="s">
        <v>42</v>
      </c>
      <c r="J1" s="62" t="s">
        <v>1513</v>
      </c>
      <c r="K1" s="62" t="s">
        <v>43</v>
      </c>
      <c r="L1" s="62" t="s">
        <v>2514</v>
      </c>
      <c r="M1" s="62" t="s">
        <v>100</v>
      </c>
      <c r="N1" s="62" t="s">
        <v>1514</v>
      </c>
      <c r="O1" s="62" t="s">
        <v>101</v>
      </c>
      <c r="P1" s="62" t="s">
        <v>167</v>
      </c>
      <c r="Q1" s="62" t="s">
        <v>1321</v>
      </c>
      <c r="R1" s="62" t="s">
        <v>1515</v>
      </c>
      <c r="S1" s="62" t="s">
        <v>2203</v>
      </c>
      <c r="T1" s="62" t="s">
        <v>1199</v>
      </c>
      <c r="U1" s="62" t="s">
        <v>1813</v>
      </c>
      <c r="V1" s="62" t="s">
        <v>1200</v>
      </c>
      <c r="W1" s="62" t="s">
        <v>1516</v>
      </c>
    </row>
    <row r="2" spans="1:23" x14ac:dyDescent="0.25">
      <c r="A2" s="40" t="s">
        <v>561</v>
      </c>
    </row>
    <row r="3" spans="1:23" x14ac:dyDescent="0.25">
      <c r="A3" s="10" t="s">
        <v>2519</v>
      </c>
      <c r="B3" s="6"/>
      <c r="C3" s="6"/>
      <c r="D3" s="6"/>
      <c r="E3" s="7"/>
      <c r="F3" s="7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</row>
    <row r="4" spans="1:23" x14ac:dyDescent="0.25">
      <c r="A4">
        <v>7072184</v>
      </c>
      <c r="B4" s="6"/>
      <c r="C4" s="6"/>
      <c r="D4" s="6"/>
      <c r="E4" s="7"/>
      <c r="F4" s="7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</row>
    <row r="5" spans="1:23" x14ac:dyDescent="0.25">
      <c r="A5">
        <v>9108231</v>
      </c>
      <c r="B5" s="6"/>
      <c r="C5" s="6"/>
      <c r="D5" s="6"/>
      <c r="E5" s="7"/>
      <c r="F5" s="7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</row>
    <row r="6" spans="1:23" x14ac:dyDescent="0.25">
      <c r="A6">
        <v>12061933</v>
      </c>
      <c r="B6" s="6"/>
      <c r="C6" s="6"/>
      <c r="D6" s="6"/>
      <c r="E6" s="7"/>
      <c r="F6" s="7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</row>
    <row r="7" spans="1:23" x14ac:dyDescent="0.25">
      <c r="A7">
        <v>95005911</v>
      </c>
    </row>
    <row r="8" spans="1:23" x14ac:dyDescent="0.25">
      <c r="A8">
        <v>99001908</v>
      </c>
    </row>
    <row r="9" spans="1:23" x14ac:dyDescent="0.25">
      <c r="A9">
        <v>99004067</v>
      </c>
    </row>
    <row r="10" spans="1:23" x14ac:dyDescent="0.25">
      <c r="A10">
        <v>97002136</v>
      </c>
    </row>
    <row r="11" spans="1:23" x14ac:dyDescent="0.25">
      <c r="A11">
        <v>1502</v>
      </c>
      <c r="B11" s="6"/>
      <c r="C11" s="6"/>
      <c r="D11" s="6"/>
      <c r="E11" s="7"/>
      <c r="F11" s="7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</row>
    <row r="12" spans="1:23" x14ac:dyDescent="0.25">
      <c r="A12">
        <v>4003543</v>
      </c>
      <c r="B12" s="6"/>
      <c r="C12" s="6"/>
      <c r="D12" s="6"/>
      <c r="E12" s="7"/>
      <c r="F12" s="7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</row>
    <row r="13" spans="1:23" x14ac:dyDescent="0.25">
      <c r="A13">
        <v>4900261</v>
      </c>
      <c r="B13" s="6"/>
      <c r="C13" s="6"/>
      <c r="D13" s="6"/>
      <c r="E13" s="7"/>
      <c r="F13" s="7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</row>
    <row r="15" spans="1:23" x14ac:dyDescent="0.25">
      <c r="A15" s="10" t="s">
        <v>2520</v>
      </c>
      <c r="B15" s="6"/>
      <c r="C15" s="6"/>
      <c r="D15" s="6"/>
      <c r="E15" s="7"/>
      <c r="F15" s="7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</row>
    <row r="16" spans="1:23" x14ac:dyDescent="0.25">
      <c r="A16">
        <v>14242856</v>
      </c>
      <c r="B16" s="6"/>
      <c r="C16" s="6"/>
      <c r="D16" s="6"/>
      <c r="E16" s="7"/>
      <c r="F16" s="7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</row>
    <row r="17" spans="1:23" x14ac:dyDescent="0.25">
      <c r="A17">
        <v>99001183</v>
      </c>
      <c r="B17" s="6"/>
      <c r="C17" s="6"/>
      <c r="D17" s="6"/>
      <c r="E17" s="7"/>
      <c r="F17" s="7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</row>
    <row r="18" spans="1:23" x14ac:dyDescent="0.25">
      <c r="A18">
        <v>3000983</v>
      </c>
      <c r="B18" s="6"/>
      <c r="C18" s="6"/>
      <c r="D18" s="6"/>
      <c r="E18" s="7"/>
      <c r="F18" s="7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</row>
    <row r="19" spans="1:23" x14ac:dyDescent="0.25">
      <c r="A19">
        <v>10064335</v>
      </c>
      <c r="E19" s="7"/>
      <c r="F19" s="7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</row>
    <row r="20" spans="1:23" x14ac:dyDescent="0.25">
      <c r="A20" s="6"/>
      <c r="B20" s="6"/>
      <c r="C20" s="6"/>
      <c r="D20" s="6"/>
      <c r="E20" s="7"/>
      <c r="F20" s="7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</row>
    <row r="21" spans="1:23" x14ac:dyDescent="0.25">
      <c r="A21" s="10" t="s">
        <v>2521</v>
      </c>
      <c r="B21" s="6"/>
      <c r="C21" s="6"/>
      <c r="D21" s="6"/>
      <c r="E21" s="7"/>
      <c r="F21" s="7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</row>
    <row r="22" spans="1:23" x14ac:dyDescent="0.25">
      <c r="A22">
        <v>1480</v>
      </c>
    </row>
    <row r="23" spans="1:23" x14ac:dyDescent="0.25">
      <c r="A23">
        <v>7063959</v>
      </c>
      <c r="B23" s="6"/>
      <c r="C23" s="6"/>
      <c r="D23" s="6"/>
      <c r="E23" s="7"/>
      <c r="F23" s="7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</row>
    <row r="24" spans="1:23" x14ac:dyDescent="0.25">
      <c r="A24">
        <v>1003215</v>
      </c>
      <c r="B24" s="6"/>
      <c r="C24" s="6"/>
      <c r="D24" s="6"/>
      <c r="E24">
        <v>196</v>
      </c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</row>
    <row r="25" spans="1:23" x14ac:dyDescent="0.25">
      <c r="A25">
        <v>99000802</v>
      </c>
      <c r="B25" s="6"/>
      <c r="C25" s="6"/>
      <c r="D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</row>
    <row r="26" spans="1:23" x14ac:dyDescent="0.25">
      <c r="A26">
        <v>99000892</v>
      </c>
      <c r="B26" s="6"/>
      <c r="C26" s="6"/>
      <c r="D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</row>
    <row r="27" spans="1:23" x14ac:dyDescent="0.25">
      <c r="A27">
        <v>1000192</v>
      </c>
      <c r="B27" s="6"/>
      <c r="C27" s="6"/>
      <c r="D27" s="6"/>
      <c r="E27" s="7"/>
      <c r="F27" s="7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</row>
    <row r="28" spans="1:23" x14ac:dyDescent="0.25">
      <c r="A28">
        <v>1506</v>
      </c>
      <c r="B28" s="6"/>
      <c r="C28" s="6"/>
      <c r="D28" s="6"/>
      <c r="E28" s="7"/>
      <c r="F28" s="7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</row>
    <row r="29" spans="1:23" x14ac:dyDescent="0.25">
      <c r="A29">
        <v>99000894</v>
      </c>
      <c r="B29" s="6"/>
      <c r="C29" s="6"/>
      <c r="D29" s="6"/>
      <c r="E29" s="7"/>
      <c r="F29" s="7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</row>
    <row r="30" spans="1:23" x14ac:dyDescent="0.25">
      <c r="A30">
        <v>99000897</v>
      </c>
    </row>
    <row r="31" spans="1:23" x14ac:dyDescent="0.25">
      <c r="A31">
        <v>99001245</v>
      </c>
    </row>
    <row r="32" spans="1:23" x14ac:dyDescent="0.25">
      <c r="A32">
        <v>99001902</v>
      </c>
    </row>
    <row r="33" spans="1:23" x14ac:dyDescent="0.25">
      <c r="A33">
        <v>99001912</v>
      </c>
    </row>
    <row r="34" spans="1:23" x14ac:dyDescent="0.25">
      <c r="A34">
        <v>99001913</v>
      </c>
    </row>
    <row r="35" spans="1:23" x14ac:dyDescent="0.25">
      <c r="A35">
        <v>99001937</v>
      </c>
    </row>
    <row r="36" spans="1:23" x14ac:dyDescent="0.25">
      <c r="A36">
        <v>99001943</v>
      </c>
    </row>
    <row r="37" spans="1:23" x14ac:dyDescent="0.25">
      <c r="A37">
        <v>99001927</v>
      </c>
    </row>
    <row r="38" spans="1:23" x14ac:dyDescent="0.25">
      <c r="A38">
        <v>1505</v>
      </c>
      <c r="B38" s="6"/>
      <c r="C38" s="6"/>
      <c r="D38" s="6"/>
      <c r="E38" s="7"/>
      <c r="F38" s="7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</row>
    <row r="39" spans="1:23" x14ac:dyDescent="0.25">
      <c r="A39">
        <v>1000197</v>
      </c>
      <c r="B39" s="6"/>
      <c r="C39" s="6"/>
      <c r="D39" s="6"/>
      <c r="E39" s="7"/>
      <c r="F39" s="7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</row>
    <row r="40" spans="1:23" x14ac:dyDescent="0.25">
      <c r="A40">
        <v>96018835</v>
      </c>
      <c r="B40" s="6"/>
      <c r="C40" s="6"/>
      <c r="D40" s="6"/>
      <c r="E40" s="7"/>
      <c r="F40" s="7"/>
      <c r="G40">
        <v>1400</v>
      </c>
      <c r="H40">
        <v>1988</v>
      </c>
      <c r="I40">
        <v>1758</v>
      </c>
      <c r="K40">
        <v>332</v>
      </c>
      <c r="M40">
        <v>24</v>
      </c>
      <c r="O40">
        <v>90</v>
      </c>
      <c r="P40">
        <v>99</v>
      </c>
    </row>
    <row r="41" spans="1:23" x14ac:dyDescent="0.25">
      <c r="A41">
        <v>98008326</v>
      </c>
      <c r="B41" s="6"/>
      <c r="C41" s="6"/>
      <c r="D41" s="6"/>
      <c r="E41" s="7"/>
      <c r="F41" s="7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</row>
    <row r="42" spans="1:23" x14ac:dyDescent="0.25">
      <c r="A42">
        <v>99000717</v>
      </c>
      <c r="B42" s="6"/>
      <c r="C42" s="6"/>
      <c r="D42" s="6"/>
      <c r="E42" s="7"/>
      <c r="F42" s="7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</row>
    <row r="43" spans="1:23" x14ac:dyDescent="0.25">
      <c r="B43" s="6"/>
      <c r="C43" s="6"/>
      <c r="D43" s="6"/>
      <c r="E43" s="7"/>
      <c r="F43" s="7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</row>
    <row r="44" spans="1:23" x14ac:dyDescent="0.25">
      <c r="A44" s="25" t="s">
        <v>169</v>
      </c>
    </row>
    <row r="45" spans="1:23" x14ac:dyDescent="0.25">
      <c r="A45" s="10" t="s">
        <v>143</v>
      </c>
    </row>
    <row r="46" spans="1:23" x14ac:dyDescent="0.25">
      <c r="A46">
        <v>6016435</v>
      </c>
    </row>
    <row r="47" spans="1:23" x14ac:dyDescent="0.25">
      <c r="A47">
        <v>8045149</v>
      </c>
    </row>
    <row r="48" spans="1:23" x14ac:dyDescent="0.25">
      <c r="A48">
        <v>10023001</v>
      </c>
    </row>
    <row r="49" spans="1:1" x14ac:dyDescent="0.25">
      <c r="A49">
        <v>10027526</v>
      </c>
    </row>
    <row r="50" spans="1:1" x14ac:dyDescent="0.25">
      <c r="A50">
        <v>14222171</v>
      </c>
    </row>
    <row r="51" spans="1:1" x14ac:dyDescent="0.25">
      <c r="A51">
        <v>1006143</v>
      </c>
    </row>
    <row r="52" spans="1:1" x14ac:dyDescent="0.25">
      <c r="A52">
        <v>6006917</v>
      </c>
    </row>
    <row r="54" spans="1:1" x14ac:dyDescent="0.25">
      <c r="A54" s="10" t="s">
        <v>146</v>
      </c>
    </row>
    <row r="55" spans="1:1" x14ac:dyDescent="0.25">
      <c r="A55">
        <v>8057159</v>
      </c>
    </row>
    <row r="56" spans="1:1" x14ac:dyDescent="0.25">
      <c r="A56">
        <v>9140312</v>
      </c>
    </row>
    <row r="57" spans="1:1" x14ac:dyDescent="0.25">
      <c r="A57">
        <v>12008230</v>
      </c>
    </row>
    <row r="58" spans="1:1" x14ac:dyDescent="0.25">
      <c r="A58">
        <v>12088444</v>
      </c>
    </row>
    <row r="59" spans="1:1" x14ac:dyDescent="0.25">
      <c r="A59">
        <v>13118872</v>
      </c>
    </row>
    <row r="60" spans="1:1" x14ac:dyDescent="0.25">
      <c r="A60">
        <v>12012030</v>
      </c>
    </row>
    <row r="62" spans="1:1" x14ac:dyDescent="0.25">
      <c r="A62" s="10" t="s">
        <v>120</v>
      </c>
    </row>
    <row r="63" spans="1:1" x14ac:dyDescent="0.25">
      <c r="A63">
        <v>9074418</v>
      </c>
    </row>
    <row r="64" spans="1:1" x14ac:dyDescent="0.25">
      <c r="A64">
        <v>1263</v>
      </c>
    </row>
    <row r="65" spans="1:23" x14ac:dyDescent="0.25">
      <c r="A65">
        <v>98004910</v>
      </c>
    </row>
    <row r="66" spans="1:23" x14ac:dyDescent="0.25">
      <c r="A66">
        <v>7103068</v>
      </c>
    </row>
    <row r="67" spans="1:23" x14ac:dyDescent="0.25">
      <c r="A67">
        <v>11240728</v>
      </c>
    </row>
    <row r="68" spans="1:23" x14ac:dyDescent="0.25">
      <c r="B68" s="6"/>
      <c r="C68" s="6"/>
      <c r="D68" s="6"/>
      <c r="E68" s="7"/>
      <c r="F68" s="7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</row>
    <row r="69" spans="1:23" x14ac:dyDescent="0.25">
      <c r="A69" s="26" t="s">
        <v>170</v>
      </c>
    </row>
    <row r="70" spans="1:23" x14ac:dyDescent="0.25">
      <c r="A70" s="10" t="s">
        <v>143</v>
      </c>
    </row>
    <row r="71" spans="1:23" x14ac:dyDescent="0.25">
      <c r="A71">
        <v>5015869</v>
      </c>
    </row>
    <row r="72" spans="1:23" x14ac:dyDescent="0.25">
      <c r="A72">
        <v>5016969</v>
      </c>
    </row>
    <row r="73" spans="1:23" x14ac:dyDescent="0.25">
      <c r="A73">
        <v>6023231</v>
      </c>
    </row>
    <row r="74" spans="1:23" x14ac:dyDescent="0.25">
      <c r="A74">
        <v>6010712</v>
      </c>
    </row>
    <row r="75" spans="1:23" x14ac:dyDescent="0.25">
      <c r="A75">
        <v>6011198</v>
      </c>
    </row>
    <row r="76" spans="1:23" x14ac:dyDescent="0.25">
      <c r="A76">
        <v>6012681</v>
      </c>
    </row>
    <row r="77" spans="1:23" x14ac:dyDescent="0.25">
      <c r="A77">
        <v>6014511</v>
      </c>
    </row>
    <row r="78" spans="1:23" x14ac:dyDescent="0.25">
      <c r="A78">
        <v>6045127</v>
      </c>
    </row>
    <row r="79" spans="1:23" x14ac:dyDescent="0.25">
      <c r="A79">
        <v>7000458</v>
      </c>
    </row>
    <row r="80" spans="1:23" x14ac:dyDescent="0.25">
      <c r="A80">
        <v>7015502</v>
      </c>
    </row>
    <row r="81" spans="1:1" x14ac:dyDescent="0.25">
      <c r="A81">
        <v>7025847</v>
      </c>
    </row>
    <row r="82" spans="1:1" x14ac:dyDescent="0.25">
      <c r="A82">
        <v>7082707</v>
      </c>
    </row>
    <row r="83" spans="1:1" x14ac:dyDescent="0.25">
      <c r="A83">
        <v>7083159</v>
      </c>
    </row>
    <row r="84" spans="1:1" x14ac:dyDescent="0.25">
      <c r="A84">
        <v>7084659</v>
      </c>
    </row>
    <row r="85" spans="1:1" x14ac:dyDescent="0.25">
      <c r="A85">
        <v>7076814</v>
      </c>
    </row>
    <row r="86" spans="1:1" x14ac:dyDescent="0.25">
      <c r="A86">
        <v>7076815</v>
      </c>
    </row>
    <row r="87" spans="1:1" x14ac:dyDescent="0.25">
      <c r="A87">
        <v>7089231</v>
      </c>
    </row>
    <row r="88" spans="1:1" x14ac:dyDescent="0.25">
      <c r="A88">
        <v>7116004</v>
      </c>
    </row>
    <row r="89" spans="1:1" x14ac:dyDescent="0.25">
      <c r="A89">
        <v>8003819</v>
      </c>
    </row>
    <row r="90" spans="1:1" x14ac:dyDescent="0.25">
      <c r="A90">
        <v>8091779</v>
      </c>
    </row>
    <row r="91" spans="1:1" x14ac:dyDescent="0.25">
      <c r="A91">
        <v>8097989</v>
      </c>
    </row>
    <row r="92" spans="1:1" x14ac:dyDescent="0.25">
      <c r="A92">
        <v>8112522</v>
      </c>
    </row>
    <row r="93" spans="1:1" x14ac:dyDescent="0.25">
      <c r="A93">
        <v>8127397</v>
      </c>
    </row>
    <row r="94" spans="1:1" x14ac:dyDescent="0.25">
      <c r="A94">
        <v>8130998</v>
      </c>
    </row>
    <row r="95" spans="1:1" x14ac:dyDescent="0.25">
      <c r="A95">
        <v>9002836</v>
      </c>
    </row>
    <row r="96" spans="1:1" x14ac:dyDescent="0.25">
      <c r="A96">
        <v>9003331</v>
      </c>
    </row>
    <row r="97" spans="1:10" x14ac:dyDescent="0.25">
      <c r="A97">
        <v>9003370</v>
      </c>
    </row>
    <row r="98" spans="1:10" x14ac:dyDescent="0.25">
      <c r="A98">
        <v>9016278</v>
      </c>
    </row>
    <row r="99" spans="1:10" x14ac:dyDescent="0.25">
      <c r="A99">
        <v>9030684</v>
      </c>
    </row>
    <row r="100" spans="1:10" x14ac:dyDescent="0.25">
      <c r="A100">
        <v>9031387</v>
      </c>
    </row>
    <row r="101" spans="1:10" x14ac:dyDescent="0.25">
      <c r="A101">
        <v>9038676</v>
      </c>
    </row>
    <row r="102" spans="1:10" x14ac:dyDescent="0.25">
      <c r="A102">
        <v>9039416</v>
      </c>
      <c r="J102">
        <v>39.6</v>
      </c>
    </row>
    <row r="103" spans="1:10" x14ac:dyDescent="0.25">
      <c r="A103">
        <v>9042861</v>
      </c>
    </row>
    <row r="104" spans="1:10" x14ac:dyDescent="0.25">
      <c r="A104">
        <v>9044899</v>
      </c>
    </row>
    <row r="105" spans="1:10" x14ac:dyDescent="0.25">
      <c r="A105">
        <v>9052398</v>
      </c>
    </row>
    <row r="106" spans="1:10" x14ac:dyDescent="0.25">
      <c r="A106">
        <v>9085204</v>
      </c>
    </row>
    <row r="107" spans="1:10" x14ac:dyDescent="0.25">
      <c r="A107">
        <v>9090323</v>
      </c>
    </row>
    <row r="108" spans="1:10" x14ac:dyDescent="0.25">
      <c r="A108">
        <v>9105492</v>
      </c>
    </row>
    <row r="109" spans="1:10" x14ac:dyDescent="0.25">
      <c r="A109">
        <v>9138470</v>
      </c>
    </row>
    <row r="110" spans="1:10" x14ac:dyDescent="0.25">
      <c r="A110">
        <v>9150676</v>
      </c>
    </row>
    <row r="111" spans="1:10" x14ac:dyDescent="0.25">
      <c r="A111">
        <v>10010926</v>
      </c>
    </row>
    <row r="112" spans="1:10" x14ac:dyDescent="0.25">
      <c r="A112">
        <v>10016588</v>
      </c>
    </row>
    <row r="113" spans="1:14" x14ac:dyDescent="0.25">
      <c r="A113">
        <v>10030897</v>
      </c>
    </row>
    <row r="114" spans="1:14" x14ac:dyDescent="0.25">
      <c r="A114">
        <v>324</v>
      </c>
      <c r="F114">
        <v>96</v>
      </c>
    </row>
    <row r="115" spans="1:14" x14ac:dyDescent="0.25">
      <c r="A115">
        <v>3909</v>
      </c>
    </row>
    <row r="116" spans="1:14" x14ac:dyDescent="0.25">
      <c r="A116">
        <v>4663</v>
      </c>
    </row>
    <row r="117" spans="1:14" x14ac:dyDescent="0.25">
      <c r="A117">
        <v>1005522</v>
      </c>
    </row>
    <row r="118" spans="1:14" x14ac:dyDescent="0.25">
      <c r="A118">
        <v>1007631</v>
      </c>
    </row>
    <row r="119" spans="1:14" x14ac:dyDescent="0.25">
      <c r="A119">
        <v>1009760</v>
      </c>
    </row>
    <row r="120" spans="1:14" x14ac:dyDescent="0.25">
      <c r="A120">
        <v>2000646</v>
      </c>
      <c r="F120">
        <v>23</v>
      </c>
      <c r="G120">
        <v>39</v>
      </c>
      <c r="N120">
        <v>158</v>
      </c>
    </row>
    <row r="121" spans="1:14" x14ac:dyDescent="0.25">
      <c r="A121">
        <v>2003761</v>
      </c>
    </row>
    <row r="122" spans="1:14" x14ac:dyDescent="0.25">
      <c r="A122">
        <v>2004061</v>
      </c>
    </row>
    <row r="123" spans="1:14" x14ac:dyDescent="0.25">
      <c r="A123">
        <v>2006469</v>
      </c>
    </row>
    <row r="124" spans="1:14" x14ac:dyDescent="0.25">
      <c r="A124">
        <v>3005132</v>
      </c>
    </row>
    <row r="125" spans="1:14" x14ac:dyDescent="0.25">
      <c r="A125">
        <v>3009119</v>
      </c>
    </row>
    <row r="126" spans="1:14" x14ac:dyDescent="0.25">
      <c r="A126">
        <v>3009936</v>
      </c>
    </row>
    <row r="127" spans="1:14" x14ac:dyDescent="0.25">
      <c r="A127">
        <v>3011094</v>
      </c>
    </row>
    <row r="128" spans="1:14" x14ac:dyDescent="0.25">
      <c r="A128">
        <v>3014643</v>
      </c>
    </row>
    <row r="129" spans="1:22" x14ac:dyDescent="0.25">
      <c r="A129">
        <v>3016056</v>
      </c>
    </row>
    <row r="130" spans="1:22" x14ac:dyDescent="0.25">
      <c r="A130">
        <v>3900219</v>
      </c>
    </row>
    <row r="131" spans="1:22" x14ac:dyDescent="0.25">
      <c r="A131">
        <v>4000158</v>
      </c>
    </row>
    <row r="132" spans="1:22" x14ac:dyDescent="0.25">
      <c r="A132">
        <v>4000304</v>
      </c>
    </row>
    <row r="133" spans="1:22" x14ac:dyDescent="0.25">
      <c r="A133">
        <v>4001905</v>
      </c>
    </row>
    <row r="134" spans="1:22" x14ac:dyDescent="0.25">
      <c r="A134">
        <v>4002206</v>
      </c>
    </row>
    <row r="135" spans="1:22" x14ac:dyDescent="0.25">
      <c r="A135">
        <v>4002715</v>
      </c>
    </row>
    <row r="136" spans="1:22" x14ac:dyDescent="0.25">
      <c r="A136">
        <v>4003924</v>
      </c>
    </row>
    <row r="137" spans="1:22" x14ac:dyDescent="0.25">
      <c r="A137">
        <v>4006051</v>
      </c>
    </row>
    <row r="138" spans="1:22" x14ac:dyDescent="0.25">
      <c r="A138">
        <v>4008140</v>
      </c>
    </row>
    <row r="139" spans="1:22" x14ac:dyDescent="0.25">
      <c r="A139">
        <v>4009906</v>
      </c>
      <c r="G139">
        <v>64</v>
      </c>
      <c r="P139">
        <v>56</v>
      </c>
      <c r="T139">
        <v>63</v>
      </c>
      <c r="V139">
        <v>33</v>
      </c>
    </row>
    <row r="140" spans="1:22" x14ac:dyDescent="0.25">
      <c r="A140">
        <v>4011027</v>
      </c>
      <c r="G140" s="3">
        <v>108.6</v>
      </c>
    </row>
    <row r="141" spans="1:22" x14ac:dyDescent="0.25">
      <c r="A141">
        <v>4011920</v>
      </c>
    </row>
    <row r="142" spans="1:22" x14ac:dyDescent="0.25">
      <c r="A142">
        <v>4012248</v>
      </c>
    </row>
    <row r="143" spans="1:22" x14ac:dyDescent="0.25">
      <c r="A143">
        <v>4013603</v>
      </c>
    </row>
    <row r="144" spans="1:22" x14ac:dyDescent="0.25">
      <c r="A144">
        <v>5004654</v>
      </c>
    </row>
    <row r="145" spans="1:18" x14ac:dyDescent="0.25">
      <c r="A145" s="65"/>
    </row>
    <row r="146" spans="1:18" x14ac:dyDescent="0.25">
      <c r="A146" s="10" t="s">
        <v>146</v>
      </c>
    </row>
    <row r="147" spans="1:18" x14ac:dyDescent="0.25">
      <c r="A147">
        <v>4289</v>
      </c>
    </row>
    <row r="148" spans="1:18" x14ac:dyDescent="0.25">
      <c r="A148">
        <v>500245</v>
      </c>
    </row>
    <row r="149" spans="1:18" x14ac:dyDescent="0.25">
      <c r="A149">
        <v>2002573</v>
      </c>
      <c r="L149">
        <v>92</v>
      </c>
    </row>
    <row r="150" spans="1:18" x14ac:dyDescent="0.25">
      <c r="A150">
        <v>2003539</v>
      </c>
    </row>
    <row r="151" spans="1:18" x14ac:dyDescent="0.25">
      <c r="A151">
        <v>2003649</v>
      </c>
    </row>
    <row r="152" spans="1:18" x14ac:dyDescent="0.25">
      <c r="A152">
        <v>2005572</v>
      </c>
    </row>
    <row r="153" spans="1:18" x14ac:dyDescent="0.25">
      <c r="A153">
        <v>2013117</v>
      </c>
    </row>
    <row r="154" spans="1:18" x14ac:dyDescent="0.25">
      <c r="A154">
        <v>3009633</v>
      </c>
    </row>
    <row r="155" spans="1:18" x14ac:dyDescent="0.25">
      <c r="A155">
        <v>3010583</v>
      </c>
      <c r="F155">
        <v>22</v>
      </c>
    </row>
    <row r="156" spans="1:18" x14ac:dyDescent="0.25">
      <c r="A156" s="23">
        <v>3011892</v>
      </c>
    </row>
    <row r="157" spans="1:18" x14ac:dyDescent="0.25">
      <c r="A157">
        <v>4001382</v>
      </c>
      <c r="Q157" s="14">
        <v>203.5</v>
      </c>
      <c r="R157" s="14">
        <v>609.5</v>
      </c>
    </row>
    <row r="158" spans="1:18" x14ac:dyDescent="0.25">
      <c r="A158">
        <v>5018675</v>
      </c>
    </row>
    <row r="159" spans="1:18" x14ac:dyDescent="0.25">
      <c r="A159">
        <v>6050168</v>
      </c>
    </row>
    <row r="160" spans="1:18" x14ac:dyDescent="0.25">
      <c r="A160">
        <v>5006592</v>
      </c>
    </row>
    <row r="161" spans="1:6" x14ac:dyDescent="0.25">
      <c r="A161">
        <v>5007274</v>
      </c>
    </row>
    <row r="162" spans="1:6" x14ac:dyDescent="0.25">
      <c r="A162">
        <v>5015851</v>
      </c>
      <c r="F162" s="14">
        <v>45</v>
      </c>
    </row>
    <row r="163" spans="1:6" x14ac:dyDescent="0.25">
      <c r="A163">
        <v>6015647</v>
      </c>
    </row>
    <row r="164" spans="1:6" x14ac:dyDescent="0.25">
      <c r="A164">
        <v>6056633</v>
      </c>
    </row>
    <row r="165" spans="1:6" x14ac:dyDescent="0.25">
      <c r="A165">
        <v>7086224</v>
      </c>
    </row>
    <row r="166" spans="1:6" x14ac:dyDescent="0.25">
      <c r="A166">
        <v>8040959</v>
      </c>
    </row>
    <row r="167" spans="1:6" x14ac:dyDescent="0.25">
      <c r="A167">
        <v>8107048</v>
      </c>
    </row>
    <row r="168" spans="1:6" x14ac:dyDescent="0.25">
      <c r="A168">
        <v>8124044</v>
      </c>
    </row>
    <row r="169" spans="1:6" x14ac:dyDescent="0.25">
      <c r="A169">
        <v>8142949</v>
      </c>
    </row>
    <row r="170" spans="1:6" x14ac:dyDescent="0.25">
      <c r="A170">
        <v>9023306</v>
      </c>
    </row>
    <row r="171" spans="1:6" x14ac:dyDescent="0.25">
      <c r="A171">
        <v>9030615</v>
      </c>
    </row>
    <row r="172" spans="1:6" x14ac:dyDescent="0.25">
      <c r="A172">
        <v>9034464</v>
      </c>
    </row>
    <row r="173" spans="1:6" x14ac:dyDescent="0.25">
      <c r="A173">
        <v>9040167</v>
      </c>
    </row>
    <row r="174" spans="1:6" x14ac:dyDescent="0.25">
      <c r="A174">
        <v>9054567</v>
      </c>
    </row>
    <row r="175" spans="1:6" x14ac:dyDescent="0.25">
      <c r="A175">
        <v>9083682</v>
      </c>
    </row>
    <row r="176" spans="1:6" x14ac:dyDescent="0.25">
      <c r="A176">
        <v>9102044</v>
      </c>
    </row>
    <row r="177" spans="1:19" x14ac:dyDescent="0.25">
      <c r="A177">
        <v>9119854</v>
      </c>
    </row>
    <row r="178" spans="1:19" x14ac:dyDescent="0.25">
      <c r="A178">
        <v>9125126</v>
      </c>
    </row>
    <row r="179" spans="1:19" x14ac:dyDescent="0.25">
      <c r="A179">
        <v>9174811</v>
      </c>
    </row>
    <row r="180" spans="1:19" x14ac:dyDescent="0.25">
      <c r="A180">
        <v>10002875</v>
      </c>
    </row>
    <row r="181" spans="1:19" x14ac:dyDescent="0.25">
      <c r="A181">
        <v>10023080</v>
      </c>
    </row>
    <row r="182" spans="1:19" x14ac:dyDescent="0.25">
      <c r="A182">
        <v>10025212</v>
      </c>
    </row>
    <row r="183" spans="1:19" x14ac:dyDescent="0.25">
      <c r="A183">
        <v>10069407</v>
      </c>
    </row>
    <row r="184" spans="1:19" x14ac:dyDescent="0.25">
      <c r="A184">
        <v>10071135</v>
      </c>
      <c r="S184">
        <v>145.80000000000001</v>
      </c>
    </row>
    <row r="185" spans="1:19" x14ac:dyDescent="0.25">
      <c r="A185">
        <v>10083649</v>
      </c>
    </row>
    <row r="186" spans="1:19" x14ac:dyDescent="0.25">
      <c r="A186">
        <v>10102021</v>
      </c>
    </row>
    <row r="187" spans="1:19" x14ac:dyDescent="0.25">
      <c r="A187">
        <v>10123729</v>
      </c>
    </row>
    <row r="188" spans="1:19" x14ac:dyDescent="0.25">
      <c r="A188">
        <v>10144736</v>
      </c>
    </row>
    <row r="189" spans="1:19" x14ac:dyDescent="0.25">
      <c r="A189">
        <v>10157275</v>
      </c>
      <c r="E189">
        <v>110</v>
      </c>
    </row>
    <row r="190" spans="1:19" x14ac:dyDescent="0.25">
      <c r="A190" s="65"/>
    </row>
    <row r="191" spans="1:19" x14ac:dyDescent="0.25">
      <c r="A191" s="10" t="s">
        <v>120</v>
      </c>
    </row>
    <row r="192" spans="1:19" x14ac:dyDescent="0.25">
      <c r="A192">
        <v>5281</v>
      </c>
    </row>
    <row r="193" spans="1:21" x14ac:dyDescent="0.25">
      <c r="A193">
        <v>200085</v>
      </c>
    </row>
    <row r="194" spans="1:21" x14ac:dyDescent="0.25">
      <c r="A194">
        <v>500129</v>
      </c>
      <c r="K194">
        <v>152</v>
      </c>
      <c r="U194">
        <v>142</v>
      </c>
    </row>
    <row r="195" spans="1:21" x14ac:dyDescent="0.25">
      <c r="A195" s="23">
        <v>1002033</v>
      </c>
    </row>
    <row r="196" spans="1:21" x14ac:dyDescent="0.25">
      <c r="A196">
        <v>1003457</v>
      </c>
    </row>
    <row r="197" spans="1:21" x14ac:dyDescent="0.25">
      <c r="A197">
        <v>2005223</v>
      </c>
    </row>
    <row r="198" spans="1:21" x14ac:dyDescent="0.25">
      <c r="A198">
        <v>2006107</v>
      </c>
    </row>
    <row r="199" spans="1:21" x14ac:dyDescent="0.25">
      <c r="A199">
        <v>2012014</v>
      </c>
    </row>
    <row r="200" spans="1:21" x14ac:dyDescent="0.25">
      <c r="A200">
        <v>3000152</v>
      </c>
    </row>
    <row r="201" spans="1:21" x14ac:dyDescent="0.25">
      <c r="A201">
        <v>3014566</v>
      </c>
    </row>
    <row r="202" spans="1:21" x14ac:dyDescent="0.25">
      <c r="A202">
        <v>3015058</v>
      </c>
      <c r="H202">
        <v>71</v>
      </c>
      <c r="M202">
        <v>51</v>
      </c>
    </row>
    <row r="203" spans="1:21" x14ac:dyDescent="0.25">
      <c r="A203" s="23">
        <v>4000996</v>
      </c>
      <c r="Q203">
        <v>15</v>
      </c>
    </row>
    <row r="204" spans="1:21" x14ac:dyDescent="0.25">
      <c r="A204">
        <v>4003768</v>
      </c>
    </row>
    <row r="205" spans="1:21" x14ac:dyDescent="0.25">
      <c r="A205">
        <v>4006540</v>
      </c>
    </row>
    <row r="206" spans="1:21" x14ac:dyDescent="0.25">
      <c r="A206">
        <v>4007054</v>
      </c>
    </row>
    <row r="207" spans="1:21" x14ac:dyDescent="0.25">
      <c r="A207">
        <v>4011002</v>
      </c>
    </row>
    <row r="208" spans="1:21" x14ac:dyDescent="0.25">
      <c r="A208">
        <v>4900268</v>
      </c>
    </row>
    <row r="209" spans="1:14" x14ac:dyDescent="0.25">
      <c r="A209">
        <v>5001097</v>
      </c>
    </row>
    <row r="210" spans="1:14" x14ac:dyDescent="0.25">
      <c r="A210">
        <v>5001098</v>
      </c>
    </row>
    <row r="211" spans="1:14" x14ac:dyDescent="0.25">
      <c r="A211">
        <v>5006152</v>
      </c>
      <c r="C211">
        <v>16.2</v>
      </c>
    </row>
    <row r="212" spans="1:14" x14ac:dyDescent="0.25">
      <c r="A212">
        <v>6012361</v>
      </c>
    </row>
    <row r="213" spans="1:14" x14ac:dyDescent="0.25">
      <c r="A213">
        <v>6015793</v>
      </c>
    </row>
    <row r="214" spans="1:14" x14ac:dyDescent="0.25">
      <c r="A214">
        <v>6043619</v>
      </c>
    </row>
    <row r="215" spans="1:14" x14ac:dyDescent="0.25">
      <c r="A215">
        <v>7001097</v>
      </c>
    </row>
    <row r="216" spans="1:14" x14ac:dyDescent="0.25">
      <c r="A216">
        <v>7011435</v>
      </c>
    </row>
    <row r="217" spans="1:14" x14ac:dyDescent="0.25">
      <c r="A217">
        <v>7045811</v>
      </c>
    </row>
    <row r="218" spans="1:14" x14ac:dyDescent="0.25">
      <c r="A218">
        <v>7071198</v>
      </c>
    </row>
    <row r="219" spans="1:14" x14ac:dyDescent="0.25">
      <c r="A219">
        <v>7101143</v>
      </c>
      <c r="F219">
        <v>56.6</v>
      </c>
      <c r="I219">
        <v>50.4</v>
      </c>
      <c r="N219">
        <v>56.5</v>
      </c>
    </row>
    <row r="220" spans="1:14" x14ac:dyDescent="0.25">
      <c r="A220">
        <v>8073350</v>
      </c>
    </row>
    <row r="221" spans="1:14" x14ac:dyDescent="0.25">
      <c r="A221">
        <v>8073645</v>
      </c>
    </row>
    <row r="222" spans="1:14" x14ac:dyDescent="0.25">
      <c r="A222" s="23">
        <v>8089666</v>
      </c>
      <c r="B222">
        <v>7</v>
      </c>
      <c r="C222">
        <v>12</v>
      </c>
      <c r="D222">
        <v>8</v>
      </c>
      <c r="F222" s="14">
        <v>9.75</v>
      </c>
      <c r="G222">
        <v>13</v>
      </c>
    </row>
    <row r="223" spans="1:14" x14ac:dyDescent="0.25">
      <c r="A223">
        <v>8103536</v>
      </c>
    </row>
    <row r="224" spans="1:14" x14ac:dyDescent="0.25">
      <c r="A224">
        <v>8124816</v>
      </c>
    </row>
    <row r="225" spans="1:1" x14ac:dyDescent="0.25">
      <c r="A225">
        <v>9003267</v>
      </c>
    </row>
    <row r="226" spans="1:1" x14ac:dyDescent="0.25">
      <c r="A226">
        <v>9036964</v>
      </c>
    </row>
    <row r="227" spans="1:1" x14ac:dyDescent="0.25">
      <c r="A227">
        <v>9090287</v>
      </c>
    </row>
    <row r="228" spans="1:1" x14ac:dyDescent="0.25">
      <c r="A228">
        <v>9095148</v>
      </c>
    </row>
    <row r="229" spans="1:1" x14ac:dyDescent="0.25">
      <c r="A229">
        <v>9104979</v>
      </c>
    </row>
    <row r="230" spans="1:1" x14ac:dyDescent="0.25">
      <c r="A230">
        <v>9139514</v>
      </c>
    </row>
    <row r="231" spans="1:1" x14ac:dyDescent="0.25">
      <c r="A231">
        <v>10020659</v>
      </c>
    </row>
    <row r="232" spans="1:1" x14ac:dyDescent="0.25">
      <c r="A232">
        <v>10025902</v>
      </c>
    </row>
    <row r="233" spans="1:1" x14ac:dyDescent="0.25">
      <c r="A233">
        <v>10027654</v>
      </c>
    </row>
    <row r="234" spans="1:1" x14ac:dyDescent="0.25">
      <c r="A234">
        <v>10084485</v>
      </c>
    </row>
    <row r="235" spans="1:1" x14ac:dyDescent="0.25">
      <c r="A235">
        <v>10098420</v>
      </c>
    </row>
    <row r="236" spans="1:1" x14ac:dyDescent="0.25">
      <c r="A236">
        <v>10129565</v>
      </c>
    </row>
    <row r="237" spans="1:1" x14ac:dyDescent="0.25">
      <c r="A237">
        <v>10146828</v>
      </c>
    </row>
    <row r="238" spans="1:1" x14ac:dyDescent="0.25">
      <c r="A238">
        <v>10163776</v>
      </c>
    </row>
    <row r="239" spans="1:1" x14ac:dyDescent="0.25">
      <c r="A239">
        <v>10173664</v>
      </c>
    </row>
  </sheetData>
  <conditionalFormatting sqref="A19">
    <cfRule type="duplicateValues" dxfId="18" priority="1"/>
  </conditionalFormatting>
  <pageMargins left="0.7" right="0.7" top="0.78740157499999996" bottom="0.78740157499999996" header="0.3" footer="0.3"/>
  <tableParts count="1">
    <tablePart r:id="rId1"/>
  </tableParts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0"/>
  <sheetViews>
    <sheetView workbookViewId="0">
      <selection activeCell="G33" sqref="G33"/>
    </sheetView>
  </sheetViews>
  <sheetFormatPr defaultColWidth="11.42578125" defaultRowHeight="15" x14ac:dyDescent="0.25"/>
  <cols>
    <col min="1" max="1" width="17.28515625" bestFit="1" customWidth="1"/>
    <col min="2" max="2" width="10.85546875" bestFit="1" customWidth="1"/>
    <col min="3" max="3" width="81.140625" bestFit="1" customWidth="1"/>
    <col min="4" max="4" width="30.28515625" bestFit="1" customWidth="1"/>
  </cols>
  <sheetData>
    <row r="1" spans="1:4" x14ac:dyDescent="0.25">
      <c r="A1" s="66" t="s">
        <v>59</v>
      </c>
      <c r="B1" s="66" t="s">
        <v>3173</v>
      </c>
      <c r="C1" s="66" t="s">
        <v>2564</v>
      </c>
      <c r="D1" s="66" t="s">
        <v>2523</v>
      </c>
    </row>
    <row r="2" spans="1:4" x14ac:dyDescent="0.25">
      <c r="A2" s="66">
        <v>1003215</v>
      </c>
      <c r="B2" s="66" t="s">
        <v>3173</v>
      </c>
      <c r="C2" s="66" t="s">
        <v>63</v>
      </c>
      <c r="D2" s="66">
        <v>1</v>
      </c>
    </row>
    <row r="3" spans="1:4" x14ac:dyDescent="0.25">
      <c r="A3" s="66">
        <v>96018835</v>
      </c>
      <c r="B3" s="66" t="s">
        <v>3173</v>
      </c>
      <c r="C3" s="66" t="s">
        <v>3174</v>
      </c>
      <c r="D3" s="66">
        <v>7</v>
      </c>
    </row>
    <row r="4" spans="1:4" x14ac:dyDescent="0.25">
      <c r="A4" s="66">
        <v>9039416</v>
      </c>
      <c r="B4" s="66" t="s">
        <v>3173</v>
      </c>
      <c r="C4" s="66" t="s">
        <v>1513</v>
      </c>
      <c r="D4" s="66">
        <v>1</v>
      </c>
    </row>
    <row r="5" spans="1:4" x14ac:dyDescent="0.25">
      <c r="A5" s="66">
        <v>324</v>
      </c>
      <c r="B5" s="66" t="s">
        <v>3173</v>
      </c>
      <c r="C5" s="66" t="s">
        <v>1052</v>
      </c>
      <c r="D5" s="66">
        <v>1</v>
      </c>
    </row>
    <row r="6" spans="1:4" x14ac:dyDescent="0.25">
      <c r="A6" s="66">
        <v>2000646</v>
      </c>
      <c r="B6" s="66" t="s">
        <v>3173</v>
      </c>
      <c r="C6" s="66" t="s">
        <v>3175</v>
      </c>
      <c r="D6" s="66">
        <v>3</v>
      </c>
    </row>
    <row r="7" spans="1:4" x14ac:dyDescent="0.25">
      <c r="A7" s="66">
        <v>4009906</v>
      </c>
      <c r="B7" s="66" t="s">
        <v>3173</v>
      </c>
      <c r="C7" s="66" t="s">
        <v>3176</v>
      </c>
      <c r="D7" s="66">
        <v>4</v>
      </c>
    </row>
    <row r="8" spans="1:4" x14ac:dyDescent="0.25">
      <c r="A8" s="66">
        <v>4011027</v>
      </c>
      <c r="B8" s="66" t="s">
        <v>3173</v>
      </c>
      <c r="C8" s="66" t="s">
        <v>1512</v>
      </c>
      <c r="D8" s="66">
        <v>1</v>
      </c>
    </row>
    <row r="9" spans="1:4" x14ac:dyDescent="0.25">
      <c r="A9" s="66">
        <v>2002573</v>
      </c>
      <c r="B9" s="66" t="s">
        <v>3173</v>
      </c>
      <c r="C9" s="66" t="s">
        <v>2514</v>
      </c>
      <c r="D9" s="66">
        <v>1</v>
      </c>
    </row>
    <row r="10" spans="1:4" x14ac:dyDescent="0.25">
      <c r="A10" s="66">
        <v>3010583</v>
      </c>
      <c r="B10" s="66" t="s">
        <v>3173</v>
      </c>
      <c r="C10" s="66" t="s">
        <v>1052</v>
      </c>
      <c r="D10" s="66">
        <v>1</v>
      </c>
    </row>
    <row r="11" spans="1:4" x14ac:dyDescent="0.25">
      <c r="A11" s="66">
        <v>4001382</v>
      </c>
      <c r="B11" s="66" t="s">
        <v>3173</v>
      </c>
      <c r="C11" s="66" t="s">
        <v>3177</v>
      </c>
      <c r="D11" s="66">
        <v>2</v>
      </c>
    </row>
    <row r="12" spans="1:4" x14ac:dyDescent="0.25">
      <c r="A12" s="66">
        <v>5015851</v>
      </c>
      <c r="B12" s="66" t="s">
        <v>3173</v>
      </c>
      <c r="C12" s="66" t="s">
        <v>1052</v>
      </c>
      <c r="D12" s="66">
        <v>1</v>
      </c>
    </row>
    <row r="13" spans="1:4" x14ac:dyDescent="0.25">
      <c r="A13" s="66">
        <v>10071135</v>
      </c>
      <c r="B13" s="66" t="s">
        <v>3173</v>
      </c>
      <c r="C13" s="66" t="s">
        <v>2203</v>
      </c>
      <c r="D13" s="66">
        <v>1</v>
      </c>
    </row>
    <row r="14" spans="1:4" x14ac:dyDescent="0.25">
      <c r="A14" s="66">
        <v>10157275</v>
      </c>
      <c r="B14" s="66" t="s">
        <v>3173</v>
      </c>
      <c r="C14" s="66" t="s">
        <v>63</v>
      </c>
      <c r="D14" s="66">
        <v>1</v>
      </c>
    </row>
    <row r="15" spans="1:4" x14ac:dyDescent="0.25">
      <c r="A15" s="66">
        <v>500129</v>
      </c>
      <c r="B15" s="66" t="s">
        <v>3173</v>
      </c>
      <c r="C15" s="66" t="s">
        <v>3178</v>
      </c>
      <c r="D15" s="66">
        <v>2</v>
      </c>
    </row>
    <row r="16" spans="1:4" x14ac:dyDescent="0.25">
      <c r="A16" s="66">
        <v>3015058</v>
      </c>
      <c r="B16" s="66" t="s">
        <v>3173</v>
      </c>
      <c r="C16" s="66" t="s">
        <v>3179</v>
      </c>
      <c r="D16" s="66">
        <v>2</v>
      </c>
    </row>
    <row r="17" spans="1:4" x14ac:dyDescent="0.25">
      <c r="A17" s="66">
        <v>4000996</v>
      </c>
      <c r="B17" s="66" t="s">
        <v>3173</v>
      </c>
      <c r="C17" s="66" t="s">
        <v>1321</v>
      </c>
      <c r="D17" s="66">
        <v>1</v>
      </c>
    </row>
    <row r="18" spans="1:4" x14ac:dyDescent="0.25">
      <c r="A18" s="66">
        <v>5006152</v>
      </c>
      <c r="B18" s="66" t="s">
        <v>3173</v>
      </c>
      <c r="C18" s="66" t="s">
        <v>1995</v>
      </c>
      <c r="D18" s="66">
        <v>1</v>
      </c>
    </row>
    <row r="19" spans="1:4" x14ac:dyDescent="0.25">
      <c r="A19" s="66">
        <v>7101143</v>
      </c>
      <c r="B19" s="66" t="s">
        <v>3173</v>
      </c>
      <c r="C19" s="66" t="s">
        <v>3180</v>
      </c>
      <c r="D19" s="66">
        <v>3</v>
      </c>
    </row>
    <row r="20" spans="1:4" x14ac:dyDescent="0.25">
      <c r="A20" s="66">
        <v>8089666</v>
      </c>
      <c r="B20" s="66" t="s">
        <v>3173</v>
      </c>
      <c r="C20" s="66" t="s">
        <v>3181</v>
      </c>
      <c r="D20" s="66">
        <v>5</v>
      </c>
    </row>
  </sheetData>
  <phoneticPr fontId="6" type="noConversion"/>
  <pageMargins left="0.7" right="0.7" top="0.78740157499999996" bottom="0.78740157499999996" header="0.3" footer="0.3"/>
  <tableParts count="1">
    <tablePart r:id="rId1"/>
  </tableParts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239"/>
  <sheetViews>
    <sheetView workbookViewId="0">
      <selection sqref="A1:AH239"/>
    </sheetView>
  </sheetViews>
  <sheetFormatPr defaultColWidth="11.42578125" defaultRowHeight="15" x14ac:dyDescent="0.25"/>
  <cols>
    <col min="1" max="1" width="17.140625" customWidth="1"/>
    <col min="2" max="2" width="40.85546875" customWidth="1"/>
    <col min="3" max="5" width="34.7109375" customWidth="1"/>
    <col min="6" max="6" width="33.5703125" customWidth="1"/>
    <col min="7" max="7" width="30.28515625" customWidth="1"/>
    <col min="8" max="8" width="17" customWidth="1"/>
    <col min="9" max="9" width="12" customWidth="1"/>
    <col min="10" max="11" width="11.5703125" customWidth="1"/>
    <col min="12" max="12" width="17" customWidth="1"/>
    <col min="13" max="13" width="11.5703125" customWidth="1"/>
    <col min="14" max="18" width="14.140625" customWidth="1"/>
    <col min="19" max="19" width="19.5703125" customWidth="1"/>
    <col min="20" max="24" width="14.140625" customWidth="1"/>
    <col min="25" max="25" width="19.5703125" customWidth="1"/>
    <col min="26" max="33" width="16.85546875" customWidth="1"/>
    <col min="34" max="34" width="22.28515625" customWidth="1"/>
  </cols>
  <sheetData>
    <row r="1" spans="1:34" ht="75" x14ac:dyDescent="0.25">
      <c r="A1" s="61" t="s">
        <v>59</v>
      </c>
      <c r="B1" s="62" t="s">
        <v>1517</v>
      </c>
      <c r="C1" s="62" t="s">
        <v>1961</v>
      </c>
      <c r="D1" s="62" t="s">
        <v>2380</v>
      </c>
      <c r="E1" s="62" t="s">
        <v>850</v>
      </c>
      <c r="F1" s="62" t="s">
        <v>2309</v>
      </c>
      <c r="G1" s="62" t="s">
        <v>1518</v>
      </c>
      <c r="H1" s="63" t="s">
        <v>786</v>
      </c>
      <c r="I1" s="62" t="s">
        <v>787</v>
      </c>
      <c r="J1" s="62" t="s">
        <v>44</v>
      </c>
      <c r="K1" s="62" t="s">
        <v>1914</v>
      </c>
      <c r="L1" s="62" t="s">
        <v>1519</v>
      </c>
      <c r="M1" s="62" t="s">
        <v>45</v>
      </c>
      <c r="N1" s="62" t="s">
        <v>1915</v>
      </c>
      <c r="O1" s="62" t="s">
        <v>1259</v>
      </c>
      <c r="P1" s="62" t="s">
        <v>2230</v>
      </c>
      <c r="Q1" s="62" t="s">
        <v>1922</v>
      </c>
      <c r="R1" s="62" t="s">
        <v>2204</v>
      </c>
      <c r="S1" s="62" t="s">
        <v>1520</v>
      </c>
      <c r="T1" s="62" t="s">
        <v>1322</v>
      </c>
      <c r="U1" s="62" t="s">
        <v>1323</v>
      </c>
      <c r="V1" s="62" t="s">
        <v>1260</v>
      </c>
      <c r="W1" s="62" t="s">
        <v>1828</v>
      </c>
      <c r="X1" s="62" t="s">
        <v>2205</v>
      </c>
      <c r="Y1" s="62" t="s">
        <v>1521</v>
      </c>
      <c r="Z1" s="62" t="s">
        <v>1222</v>
      </c>
      <c r="AA1" s="62" t="s">
        <v>2429</v>
      </c>
      <c r="AB1" s="62" t="s">
        <v>1814</v>
      </c>
      <c r="AC1" s="62" t="s">
        <v>2430</v>
      </c>
      <c r="AD1" s="62" t="s">
        <v>2166</v>
      </c>
      <c r="AE1" s="62" t="s">
        <v>2167</v>
      </c>
      <c r="AF1" s="62" t="s">
        <v>1223</v>
      </c>
      <c r="AG1" s="62" t="s">
        <v>1065</v>
      </c>
      <c r="AH1" s="62" t="s">
        <v>1522</v>
      </c>
    </row>
    <row r="2" spans="1:34" x14ac:dyDescent="0.25">
      <c r="A2" s="40" t="s">
        <v>561</v>
      </c>
    </row>
    <row r="3" spans="1:34" x14ac:dyDescent="0.25">
      <c r="A3" s="10" t="s">
        <v>2519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</row>
    <row r="4" spans="1:34" x14ac:dyDescent="0.25">
      <c r="A4">
        <v>7072184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</row>
    <row r="5" spans="1:34" x14ac:dyDescent="0.25">
      <c r="A5">
        <v>9108231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</row>
    <row r="6" spans="1:34" x14ac:dyDescent="0.25">
      <c r="A6">
        <v>12061933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</row>
    <row r="7" spans="1:34" x14ac:dyDescent="0.25">
      <c r="A7">
        <v>95005911</v>
      </c>
    </row>
    <row r="8" spans="1:34" x14ac:dyDescent="0.25">
      <c r="A8">
        <v>99001908</v>
      </c>
    </row>
    <row r="9" spans="1:34" x14ac:dyDescent="0.25">
      <c r="A9">
        <v>99004067</v>
      </c>
    </row>
    <row r="10" spans="1:34" x14ac:dyDescent="0.25">
      <c r="A10">
        <v>97002136</v>
      </c>
    </row>
    <row r="11" spans="1:34" x14ac:dyDescent="0.25">
      <c r="A11">
        <v>1502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</row>
    <row r="12" spans="1:34" x14ac:dyDescent="0.25">
      <c r="A12">
        <v>4003543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</row>
    <row r="13" spans="1:34" x14ac:dyDescent="0.25">
      <c r="A13">
        <v>4900261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</row>
    <row r="15" spans="1:34" x14ac:dyDescent="0.25">
      <c r="A15" s="10" t="s">
        <v>2520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</row>
    <row r="16" spans="1:34" x14ac:dyDescent="0.25">
      <c r="A16">
        <v>14242856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</row>
    <row r="17" spans="1:34" x14ac:dyDescent="0.25">
      <c r="A17">
        <v>99001183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</row>
    <row r="18" spans="1:34" x14ac:dyDescent="0.25">
      <c r="A18">
        <v>3000983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>
        <v>632</v>
      </c>
      <c r="Y18">
        <v>162</v>
      </c>
    </row>
    <row r="19" spans="1:34" x14ac:dyDescent="0.25">
      <c r="A19">
        <v>10064335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</row>
    <row r="20" spans="1:34" x14ac:dyDescent="0.25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</row>
    <row r="21" spans="1:34" x14ac:dyDescent="0.25">
      <c r="A21" s="10" t="s">
        <v>2521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</row>
    <row r="22" spans="1:34" x14ac:dyDescent="0.25">
      <c r="A22">
        <v>1480</v>
      </c>
    </row>
    <row r="23" spans="1:34" x14ac:dyDescent="0.25">
      <c r="A23">
        <v>7063959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</row>
    <row r="24" spans="1:34" x14ac:dyDescent="0.25">
      <c r="A24">
        <v>1003215</v>
      </c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</row>
    <row r="25" spans="1:34" x14ac:dyDescent="0.25">
      <c r="A25">
        <v>99000802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</row>
    <row r="26" spans="1:34" x14ac:dyDescent="0.25">
      <c r="A26">
        <v>99000892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</row>
    <row r="27" spans="1:34" x14ac:dyDescent="0.25">
      <c r="A27">
        <v>1000192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</row>
    <row r="28" spans="1:34" x14ac:dyDescent="0.25">
      <c r="A28">
        <v>1506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</row>
    <row r="29" spans="1:34" x14ac:dyDescent="0.25">
      <c r="A29">
        <v>99000894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</row>
    <row r="30" spans="1:34" x14ac:dyDescent="0.25">
      <c r="A30">
        <v>99000897</v>
      </c>
    </row>
    <row r="31" spans="1:34" x14ac:dyDescent="0.25">
      <c r="A31">
        <v>99001245</v>
      </c>
    </row>
    <row r="32" spans="1:34" x14ac:dyDescent="0.25">
      <c r="A32">
        <v>99001902</v>
      </c>
    </row>
    <row r="33" spans="1:34" x14ac:dyDescent="0.25">
      <c r="A33">
        <v>99001912</v>
      </c>
    </row>
    <row r="34" spans="1:34" x14ac:dyDescent="0.25">
      <c r="A34">
        <v>99001913</v>
      </c>
    </row>
    <row r="35" spans="1:34" x14ac:dyDescent="0.25">
      <c r="A35">
        <v>99001937</v>
      </c>
    </row>
    <row r="36" spans="1:34" x14ac:dyDescent="0.25">
      <c r="A36">
        <v>99001943</v>
      </c>
    </row>
    <row r="37" spans="1:34" x14ac:dyDescent="0.25">
      <c r="A37">
        <v>99001927</v>
      </c>
    </row>
    <row r="38" spans="1:34" x14ac:dyDescent="0.25">
      <c r="A38">
        <v>1505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</row>
    <row r="39" spans="1:34" x14ac:dyDescent="0.25">
      <c r="A39">
        <v>1000197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</row>
    <row r="40" spans="1:34" x14ac:dyDescent="0.25">
      <c r="A40">
        <v>96018835</v>
      </c>
      <c r="I40">
        <v>273</v>
      </c>
      <c r="J40">
        <v>1000</v>
      </c>
      <c r="M40" s="6">
        <v>892</v>
      </c>
      <c r="N40" s="6"/>
      <c r="O40" s="6"/>
      <c r="P40" s="6"/>
      <c r="Q40" s="6"/>
      <c r="R40" s="6"/>
      <c r="S40" s="6">
        <v>342</v>
      </c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</row>
    <row r="41" spans="1:34" x14ac:dyDescent="0.25">
      <c r="A41">
        <v>98008326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</row>
    <row r="42" spans="1:34" x14ac:dyDescent="0.25">
      <c r="A42">
        <v>99000717</v>
      </c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</row>
    <row r="43" spans="1:34" x14ac:dyDescent="0.25"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</row>
    <row r="44" spans="1:34" x14ac:dyDescent="0.25">
      <c r="A44" s="25" t="s">
        <v>169</v>
      </c>
    </row>
    <row r="45" spans="1:34" x14ac:dyDescent="0.25">
      <c r="A45" s="10" t="s">
        <v>143</v>
      </c>
    </row>
    <row r="46" spans="1:34" x14ac:dyDescent="0.25">
      <c r="A46">
        <v>6016435</v>
      </c>
    </row>
    <row r="47" spans="1:34" x14ac:dyDescent="0.25">
      <c r="A47">
        <v>8045149</v>
      </c>
    </row>
    <row r="48" spans="1:34" x14ac:dyDescent="0.25">
      <c r="A48">
        <v>10023001</v>
      </c>
    </row>
    <row r="49" spans="1:1" x14ac:dyDescent="0.25">
      <c r="A49">
        <v>10027526</v>
      </c>
    </row>
    <row r="50" spans="1:1" x14ac:dyDescent="0.25">
      <c r="A50">
        <v>14222171</v>
      </c>
    </row>
    <row r="51" spans="1:1" x14ac:dyDescent="0.25">
      <c r="A51">
        <v>1006143</v>
      </c>
    </row>
    <row r="52" spans="1:1" x14ac:dyDescent="0.25">
      <c r="A52">
        <v>6006917</v>
      </c>
    </row>
    <row r="54" spans="1:1" x14ac:dyDescent="0.25">
      <c r="A54" s="10" t="s">
        <v>146</v>
      </c>
    </row>
    <row r="55" spans="1:1" x14ac:dyDescent="0.25">
      <c r="A55">
        <v>8057159</v>
      </c>
    </row>
    <row r="56" spans="1:1" x14ac:dyDescent="0.25">
      <c r="A56">
        <v>9140312</v>
      </c>
    </row>
    <row r="57" spans="1:1" x14ac:dyDescent="0.25">
      <c r="A57">
        <v>12008230</v>
      </c>
    </row>
    <row r="58" spans="1:1" x14ac:dyDescent="0.25">
      <c r="A58">
        <v>12088444</v>
      </c>
    </row>
    <row r="59" spans="1:1" x14ac:dyDescent="0.25">
      <c r="A59">
        <v>13118872</v>
      </c>
    </row>
    <row r="60" spans="1:1" x14ac:dyDescent="0.25">
      <c r="A60">
        <v>12012030</v>
      </c>
    </row>
    <row r="62" spans="1:1" x14ac:dyDescent="0.25">
      <c r="A62" s="10" t="s">
        <v>120</v>
      </c>
    </row>
    <row r="63" spans="1:1" x14ac:dyDescent="0.25">
      <c r="A63">
        <v>9074418</v>
      </c>
    </row>
    <row r="64" spans="1:1" x14ac:dyDescent="0.25">
      <c r="A64">
        <v>1263</v>
      </c>
    </row>
    <row r="65" spans="1:34" x14ac:dyDescent="0.25">
      <c r="A65">
        <v>98004910</v>
      </c>
    </row>
    <row r="66" spans="1:34" x14ac:dyDescent="0.25">
      <c r="A66">
        <v>7103068</v>
      </c>
    </row>
    <row r="67" spans="1:34" x14ac:dyDescent="0.25">
      <c r="A67">
        <v>11240728</v>
      </c>
    </row>
    <row r="68" spans="1:34" x14ac:dyDescent="0.25"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</row>
    <row r="69" spans="1:34" x14ac:dyDescent="0.25">
      <c r="A69" s="26" t="s">
        <v>170</v>
      </c>
    </row>
    <row r="70" spans="1:34" x14ac:dyDescent="0.25">
      <c r="A70" s="10" t="s">
        <v>143</v>
      </c>
    </row>
    <row r="71" spans="1:34" x14ac:dyDescent="0.25">
      <c r="A71">
        <v>5015869</v>
      </c>
    </row>
    <row r="72" spans="1:34" x14ac:dyDescent="0.25">
      <c r="A72">
        <v>5016969</v>
      </c>
    </row>
    <row r="73" spans="1:34" x14ac:dyDescent="0.25">
      <c r="A73">
        <v>6023231</v>
      </c>
    </row>
    <row r="74" spans="1:34" x14ac:dyDescent="0.25">
      <c r="A74">
        <v>6010712</v>
      </c>
    </row>
    <row r="75" spans="1:34" x14ac:dyDescent="0.25">
      <c r="A75">
        <v>6011198</v>
      </c>
    </row>
    <row r="76" spans="1:34" x14ac:dyDescent="0.25">
      <c r="A76">
        <v>6012681</v>
      </c>
    </row>
    <row r="77" spans="1:34" x14ac:dyDescent="0.25">
      <c r="A77">
        <v>6014511</v>
      </c>
    </row>
    <row r="78" spans="1:34" x14ac:dyDescent="0.25">
      <c r="A78">
        <v>6045127</v>
      </c>
    </row>
    <row r="79" spans="1:34" x14ac:dyDescent="0.25">
      <c r="A79">
        <v>7000458</v>
      </c>
      <c r="M79">
        <v>3490</v>
      </c>
    </row>
    <row r="80" spans="1:34" x14ac:dyDescent="0.25">
      <c r="A80">
        <v>7015502</v>
      </c>
    </row>
    <row r="81" spans="1:1" x14ac:dyDescent="0.25">
      <c r="A81">
        <v>7025847</v>
      </c>
    </row>
    <row r="82" spans="1:1" x14ac:dyDescent="0.25">
      <c r="A82">
        <v>7082707</v>
      </c>
    </row>
    <row r="83" spans="1:1" x14ac:dyDescent="0.25">
      <c r="A83">
        <v>7083159</v>
      </c>
    </row>
    <row r="84" spans="1:1" x14ac:dyDescent="0.25">
      <c r="A84">
        <v>7084659</v>
      </c>
    </row>
    <row r="85" spans="1:1" x14ac:dyDescent="0.25">
      <c r="A85">
        <v>7076814</v>
      </c>
    </row>
    <row r="86" spans="1:1" x14ac:dyDescent="0.25">
      <c r="A86">
        <v>7076815</v>
      </c>
    </row>
    <row r="87" spans="1:1" x14ac:dyDescent="0.25">
      <c r="A87">
        <v>7089231</v>
      </c>
    </row>
    <row r="88" spans="1:1" x14ac:dyDescent="0.25">
      <c r="A88">
        <v>7116004</v>
      </c>
    </row>
    <row r="89" spans="1:1" x14ac:dyDescent="0.25">
      <c r="A89">
        <v>8003819</v>
      </c>
    </row>
    <row r="90" spans="1:1" x14ac:dyDescent="0.25">
      <c r="A90">
        <v>8091779</v>
      </c>
    </row>
    <row r="91" spans="1:1" x14ac:dyDescent="0.25">
      <c r="A91">
        <v>8097989</v>
      </c>
    </row>
    <row r="92" spans="1:1" x14ac:dyDescent="0.25">
      <c r="A92">
        <v>8112522</v>
      </c>
    </row>
    <row r="93" spans="1:1" x14ac:dyDescent="0.25">
      <c r="A93">
        <v>8127397</v>
      </c>
    </row>
    <row r="94" spans="1:1" x14ac:dyDescent="0.25">
      <c r="A94">
        <v>8130998</v>
      </c>
    </row>
    <row r="95" spans="1:1" x14ac:dyDescent="0.25">
      <c r="A95">
        <v>9002836</v>
      </c>
    </row>
    <row r="96" spans="1:1" x14ac:dyDescent="0.25">
      <c r="A96">
        <v>9003331</v>
      </c>
    </row>
    <row r="97" spans="1:12" x14ac:dyDescent="0.25">
      <c r="A97">
        <v>9003370</v>
      </c>
    </row>
    <row r="98" spans="1:12" x14ac:dyDescent="0.25">
      <c r="A98">
        <v>9016278</v>
      </c>
      <c r="B98">
        <v>113.4</v>
      </c>
      <c r="E98">
        <v>100.8</v>
      </c>
    </row>
    <row r="99" spans="1:12" x14ac:dyDescent="0.25">
      <c r="A99">
        <v>9030684</v>
      </c>
    </row>
    <row r="100" spans="1:12" x14ac:dyDescent="0.25">
      <c r="A100">
        <v>9031387</v>
      </c>
    </row>
    <row r="101" spans="1:12" x14ac:dyDescent="0.25">
      <c r="A101">
        <v>9038676</v>
      </c>
    </row>
    <row r="102" spans="1:12" x14ac:dyDescent="0.25">
      <c r="A102">
        <v>9039416</v>
      </c>
      <c r="L102">
        <v>21.6</v>
      </c>
    </row>
    <row r="103" spans="1:12" x14ac:dyDescent="0.25">
      <c r="A103">
        <v>9042861</v>
      </c>
    </row>
    <row r="104" spans="1:12" x14ac:dyDescent="0.25">
      <c r="A104">
        <v>9044899</v>
      </c>
    </row>
    <row r="105" spans="1:12" x14ac:dyDescent="0.25">
      <c r="A105">
        <v>9052398</v>
      </c>
    </row>
    <row r="106" spans="1:12" x14ac:dyDescent="0.25">
      <c r="A106">
        <v>9085204</v>
      </c>
    </row>
    <row r="107" spans="1:12" x14ac:dyDescent="0.25">
      <c r="A107">
        <v>9090323</v>
      </c>
    </row>
    <row r="108" spans="1:12" x14ac:dyDescent="0.25">
      <c r="A108">
        <v>9105492</v>
      </c>
    </row>
    <row r="109" spans="1:12" x14ac:dyDescent="0.25">
      <c r="A109">
        <v>9138470</v>
      </c>
    </row>
    <row r="110" spans="1:12" x14ac:dyDescent="0.25">
      <c r="A110">
        <v>9150676</v>
      </c>
    </row>
    <row r="111" spans="1:12" x14ac:dyDescent="0.25">
      <c r="A111">
        <v>10010926</v>
      </c>
    </row>
    <row r="112" spans="1:12" x14ac:dyDescent="0.25">
      <c r="A112">
        <v>10016588</v>
      </c>
    </row>
    <row r="113" spans="1:33" x14ac:dyDescent="0.25">
      <c r="A113">
        <v>10030897</v>
      </c>
    </row>
    <row r="114" spans="1:33" x14ac:dyDescent="0.25">
      <c r="A114">
        <v>324</v>
      </c>
      <c r="H114">
        <v>30</v>
      </c>
    </row>
    <row r="115" spans="1:33" x14ac:dyDescent="0.25">
      <c r="A115">
        <v>3909</v>
      </c>
      <c r="AG115">
        <v>177</v>
      </c>
    </row>
    <row r="116" spans="1:33" x14ac:dyDescent="0.25">
      <c r="A116">
        <v>4663</v>
      </c>
    </row>
    <row r="117" spans="1:33" x14ac:dyDescent="0.25">
      <c r="A117">
        <v>1005522</v>
      </c>
    </row>
    <row r="118" spans="1:33" x14ac:dyDescent="0.25">
      <c r="A118">
        <v>1007631</v>
      </c>
      <c r="I118">
        <v>39</v>
      </c>
    </row>
    <row r="119" spans="1:33" x14ac:dyDescent="0.25">
      <c r="A119">
        <v>1009760</v>
      </c>
    </row>
    <row r="120" spans="1:33" x14ac:dyDescent="0.25">
      <c r="A120">
        <v>2000646</v>
      </c>
    </row>
    <row r="121" spans="1:33" x14ac:dyDescent="0.25">
      <c r="A121">
        <v>2003761</v>
      </c>
    </row>
    <row r="122" spans="1:33" x14ac:dyDescent="0.25">
      <c r="A122">
        <v>2004061</v>
      </c>
    </row>
    <row r="123" spans="1:33" x14ac:dyDescent="0.25">
      <c r="A123">
        <v>2006469</v>
      </c>
    </row>
    <row r="124" spans="1:33" x14ac:dyDescent="0.25">
      <c r="A124">
        <v>3005132</v>
      </c>
    </row>
    <row r="125" spans="1:33" x14ac:dyDescent="0.25">
      <c r="A125">
        <v>3009119</v>
      </c>
    </row>
    <row r="126" spans="1:33" x14ac:dyDescent="0.25">
      <c r="A126">
        <v>3009936</v>
      </c>
    </row>
    <row r="127" spans="1:33" x14ac:dyDescent="0.25">
      <c r="A127">
        <v>3011094</v>
      </c>
    </row>
    <row r="128" spans="1:33" x14ac:dyDescent="0.25">
      <c r="A128">
        <v>3014643</v>
      </c>
    </row>
    <row r="129" spans="1:34" x14ac:dyDescent="0.25">
      <c r="A129">
        <v>3016056</v>
      </c>
    </row>
    <row r="130" spans="1:34" x14ac:dyDescent="0.25">
      <c r="A130">
        <v>3900219</v>
      </c>
    </row>
    <row r="131" spans="1:34" x14ac:dyDescent="0.25">
      <c r="A131">
        <v>4000158</v>
      </c>
    </row>
    <row r="132" spans="1:34" x14ac:dyDescent="0.25">
      <c r="A132">
        <v>4000304</v>
      </c>
    </row>
    <row r="133" spans="1:34" x14ac:dyDescent="0.25">
      <c r="A133">
        <v>4001905</v>
      </c>
    </row>
    <row r="134" spans="1:34" x14ac:dyDescent="0.25">
      <c r="A134">
        <v>4002206</v>
      </c>
    </row>
    <row r="135" spans="1:34" x14ac:dyDescent="0.25">
      <c r="A135">
        <v>4002715</v>
      </c>
    </row>
    <row r="136" spans="1:34" x14ac:dyDescent="0.25">
      <c r="A136">
        <v>4003924</v>
      </c>
    </row>
    <row r="137" spans="1:34" x14ac:dyDescent="0.25">
      <c r="A137">
        <v>4006051</v>
      </c>
    </row>
    <row r="138" spans="1:34" x14ac:dyDescent="0.25">
      <c r="A138">
        <v>4008140</v>
      </c>
    </row>
    <row r="139" spans="1:34" x14ac:dyDescent="0.25">
      <c r="A139">
        <v>4009906</v>
      </c>
      <c r="I139">
        <v>82</v>
      </c>
      <c r="Z139">
        <v>43</v>
      </c>
      <c r="AF139">
        <v>74</v>
      </c>
      <c r="AH139">
        <v>29</v>
      </c>
    </row>
    <row r="140" spans="1:34" x14ac:dyDescent="0.25">
      <c r="A140">
        <v>4011027</v>
      </c>
    </row>
    <row r="141" spans="1:34" x14ac:dyDescent="0.25">
      <c r="A141">
        <v>4011920</v>
      </c>
    </row>
    <row r="142" spans="1:34" x14ac:dyDescent="0.25">
      <c r="A142">
        <v>4012248</v>
      </c>
    </row>
    <row r="143" spans="1:34" x14ac:dyDescent="0.25">
      <c r="A143">
        <v>4013603</v>
      </c>
      <c r="H143">
        <v>84</v>
      </c>
    </row>
    <row r="144" spans="1:34" x14ac:dyDescent="0.25">
      <c r="A144">
        <v>5004654</v>
      </c>
      <c r="I144">
        <v>220</v>
      </c>
      <c r="O144">
        <v>215</v>
      </c>
      <c r="V144">
        <v>188</v>
      </c>
    </row>
    <row r="145" spans="1:21" x14ac:dyDescent="0.25">
      <c r="A145" s="65"/>
    </row>
    <row r="146" spans="1:21" x14ac:dyDescent="0.25">
      <c r="A146" s="10" t="s">
        <v>146</v>
      </c>
    </row>
    <row r="147" spans="1:21" x14ac:dyDescent="0.25">
      <c r="A147">
        <v>4289</v>
      </c>
    </row>
    <row r="148" spans="1:21" x14ac:dyDescent="0.25">
      <c r="A148">
        <v>500245</v>
      </c>
      <c r="H148">
        <v>98</v>
      </c>
    </row>
    <row r="149" spans="1:21" x14ac:dyDescent="0.25">
      <c r="A149">
        <v>2002573</v>
      </c>
      <c r="N149">
        <v>163</v>
      </c>
    </row>
    <row r="150" spans="1:21" x14ac:dyDescent="0.25">
      <c r="A150">
        <v>2003539</v>
      </c>
    </row>
    <row r="151" spans="1:21" x14ac:dyDescent="0.25">
      <c r="A151">
        <v>2003649</v>
      </c>
    </row>
    <row r="152" spans="1:21" x14ac:dyDescent="0.25">
      <c r="A152">
        <v>2005572</v>
      </c>
    </row>
    <row r="153" spans="1:21" x14ac:dyDescent="0.25">
      <c r="A153">
        <v>2013117</v>
      </c>
    </row>
    <row r="154" spans="1:21" x14ac:dyDescent="0.25">
      <c r="A154">
        <v>3009633</v>
      </c>
    </row>
    <row r="155" spans="1:21" x14ac:dyDescent="0.25">
      <c r="A155">
        <v>3010583</v>
      </c>
    </row>
    <row r="156" spans="1:21" x14ac:dyDescent="0.25">
      <c r="A156" s="23">
        <v>3011892</v>
      </c>
    </row>
    <row r="157" spans="1:21" x14ac:dyDescent="0.25">
      <c r="A157">
        <v>4001382</v>
      </c>
      <c r="U157" s="14">
        <v>1618.5</v>
      </c>
    </row>
    <row r="158" spans="1:21" x14ac:dyDescent="0.25">
      <c r="A158">
        <v>5018675</v>
      </c>
    </row>
    <row r="159" spans="1:21" x14ac:dyDescent="0.25">
      <c r="A159">
        <v>6050168</v>
      </c>
    </row>
    <row r="160" spans="1:21" x14ac:dyDescent="0.25">
      <c r="A160">
        <v>5006592</v>
      </c>
    </row>
    <row r="161" spans="1:31" x14ac:dyDescent="0.25">
      <c r="A161">
        <v>5007274</v>
      </c>
    </row>
    <row r="162" spans="1:31" x14ac:dyDescent="0.25">
      <c r="A162">
        <v>5015851</v>
      </c>
      <c r="H162">
        <v>29.4</v>
      </c>
    </row>
    <row r="163" spans="1:31" x14ac:dyDescent="0.25">
      <c r="A163">
        <v>6015647</v>
      </c>
      <c r="H163">
        <v>117</v>
      </c>
      <c r="I163">
        <v>132</v>
      </c>
      <c r="J163">
        <v>161</v>
      </c>
      <c r="L163">
        <v>139</v>
      </c>
      <c r="P163">
        <v>188</v>
      </c>
    </row>
    <row r="164" spans="1:31" x14ac:dyDescent="0.25">
      <c r="A164">
        <v>6056633</v>
      </c>
    </row>
    <row r="165" spans="1:31" x14ac:dyDescent="0.25">
      <c r="A165">
        <v>7086224</v>
      </c>
    </row>
    <row r="166" spans="1:31" x14ac:dyDescent="0.25">
      <c r="A166">
        <v>8040959</v>
      </c>
    </row>
    <row r="167" spans="1:31" x14ac:dyDescent="0.25">
      <c r="A167">
        <v>8107048</v>
      </c>
    </row>
    <row r="168" spans="1:31" x14ac:dyDescent="0.25">
      <c r="A168">
        <v>8124044</v>
      </c>
      <c r="AD168">
        <v>721</v>
      </c>
      <c r="AE168">
        <v>53</v>
      </c>
    </row>
    <row r="169" spans="1:31" x14ac:dyDescent="0.25">
      <c r="A169">
        <v>8142949</v>
      </c>
    </row>
    <row r="170" spans="1:31" x14ac:dyDescent="0.25">
      <c r="A170">
        <v>9023306</v>
      </c>
    </row>
    <row r="171" spans="1:31" x14ac:dyDescent="0.25">
      <c r="A171">
        <v>9030615</v>
      </c>
    </row>
    <row r="172" spans="1:31" x14ac:dyDescent="0.25">
      <c r="A172">
        <v>9034464</v>
      </c>
    </row>
    <row r="173" spans="1:31" x14ac:dyDescent="0.25">
      <c r="A173">
        <v>9040167</v>
      </c>
    </row>
    <row r="174" spans="1:31" x14ac:dyDescent="0.25">
      <c r="A174">
        <v>9054567</v>
      </c>
    </row>
    <row r="175" spans="1:31" x14ac:dyDescent="0.25">
      <c r="A175">
        <v>9083682</v>
      </c>
      <c r="G175">
        <v>53</v>
      </c>
      <c r="H175">
        <v>64</v>
      </c>
    </row>
    <row r="176" spans="1:31" x14ac:dyDescent="0.25">
      <c r="A176">
        <v>9102044</v>
      </c>
    </row>
    <row r="177" spans="1:24" x14ac:dyDescent="0.25">
      <c r="A177">
        <v>9119854</v>
      </c>
    </row>
    <row r="178" spans="1:24" x14ac:dyDescent="0.25">
      <c r="A178">
        <v>9125126</v>
      </c>
    </row>
    <row r="179" spans="1:24" x14ac:dyDescent="0.25">
      <c r="A179">
        <v>9174811</v>
      </c>
    </row>
    <row r="180" spans="1:24" x14ac:dyDescent="0.25">
      <c r="A180">
        <v>10002875</v>
      </c>
    </row>
    <row r="181" spans="1:24" x14ac:dyDescent="0.25">
      <c r="A181">
        <v>10023080</v>
      </c>
    </row>
    <row r="182" spans="1:24" x14ac:dyDescent="0.25">
      <c r="A182">
        <v>10025212</v>
      </c>
    </row>
    <row r="183" spans="1:24" x14ac:dyDescent="0.25">
      <c r="A183">
        <v>10069407</v>
      </c>
    </row>
    <row r="184" spans="1:24" x14ac:dyDescent="0.25">
      <c r="A184">
        <v>10071135</v>
      </c>
      <c r="R184">
        <v>486</v>
      </c>
      <c r="T184">
        <v>138</v>
      </c>
      <c r="V184">
        <v>174</v>
      </c>
      <c r="X184">
        <v>216</v>
      </c>
    </row>
    <row r="185" spans="1:24" x14ac:dyDescent="0.25">
      <c r="A185">
        <v>10083649</v>
      </c>
    </row>
    <row r="186" spans="1:24" x14ac:dyDescent="0.25">
      <c r="A186">
        <v>10102021</v>
      </c>
    </row>
    <row r="187" spans="1:24" x14ac:dyDescent="0.25">
      <c r="A187">
        <v>10123729</v>
      </c>
    </row>
    <row r="188" spans="1:24" x14ac:dyDescent="0.25">
      <c r="A188">
        <v>10144736</v>
      </c>
    </row>
    <row r="189" spans="1:24" x14ac:dyDescent="0.25">
      <c r="A189">
        <v>10157275</v>
      </c>
      <c r="G189">
        <v>92</v>
      </c>
    </row>
    <row r="190" spans="1:24" x14ac:dyDescent="0.25">
      <c r="A190" s="65"/>
    </row>
    <row r="191" spans="1:24" x14ac:dyDescent="0.25">
      <c r="A191" s="10" t="s">
        <v>120</v>
      </c>
    </row>
    <row r="192" spans="1:24" x14ac:dyDescent="0.25">
      <c r="A192">
        <v>5281</v>
      </c>
    </row>
    <row r="193" spans="1:28" x14ac:dyDescent="0.25">
      <c r="A193">
        <v>200085</v>
      </c>
    </row>
    <row r="194" spans="1:28" x14ac:dyDescent="0.25">
      <c r="A194">
        <v>500129</v>
      </c>
      <c r="AB194">
        <v>200</v>
      </c>
    </row>
    <row r="195" spans="1:28" x14ac:dyDescent="0.25">
      <c r="A195" s="23">
        <v>1002033</v>
      </c>
    </row>
    <row r="196" spans="1:28" x14ac:dyDescent="0.25">
      <c r="A196">
        <v>1003457</v>
      </c>
    </row>
    <row r="197" spans="1:28" x14ac:dyDescent="0.25">
      <c r="A197">
        <v>2005223</v>
      </c>
    </row>
    <row r="198" spans="1:28" x14ac:dyDescent="0.25">
      <c r="A198">
        <v>2006107</v>
      </c>
    </row>
    <row r="199" spans="1:28" x14ac:dyDescent="0.25">
      <c r="A199">
        <v>2012014</v>
      </c>
    </row>
    <row r="200" spans="1:28" x14ac:dyDescent="0.25">
      <c r="A200">
        <v>3000152</v>
      </c>
    </row>
    <row r="201" spans="1:28" x14ac:dyDescent="0.25">
      <c r="A201">
        <v>3014566</v>
      </c>
    </row>
    <row r="202" spans="1:28" x14ac:dyDescent="0.25">
      <c r="A202">
        <v>3015058</v>
      </c>
      <c r="J202">
        <v>483</v>
      </c>
      <c r="O202">
        <v>184</v>
      </c>
    </row>
    <row r="203" spans="1:28" x14ac:dyDescent="0.25">
      <c r="A203" s="23">
        <v>4000996</v>
      </c>
      <c r="I203" s="3">
        <v>20.399999999999999</v>
      </c>
      <c r="K203">
        <v>17.399999999999999</v>
      </c>
      <c r="N203">
        <v>33</v>
      </c>
      <c r="T203">
        <v>19.2</v>
      </c>
    </row>
    <row r="204" spans="1:28" x14ac:dyDescent="0.25">
      <c r="A204">
        <v>4003768</v>
      </c>
    </row>
    <row r="205" spans="1:28" x14ac:dyDescent="0.25">
      <c r="A205">
        <v>4006540</v>
      </c>
      <c r="Q205" s="3">
        <v>55.8</v>
      </c>
      <c r="R205" s="3"/>
    </row>
    <row r="206" spans="1:28" x14ac:dyDescent="0.25">
      <c r="A206">
        <v>4007054</v>
      </c>
      <c r="L206">
        <v>48</v>
      </c>
    </row>
    <row r="207" spans="1:28" x14ac:dyDescent="0.25">
      <c r="A207">
        <v>4011002</v>
      </c>
    </row>
    <row r="208" spans="1:28" x14ac:dyDescent="0.25">
      <c r="A208">
        <v>4900268</v>
      </c>
    </row>
    <row r="209" spans="1:12" x14ac:dyDescent="0.25">
      <c r="A209">
        <v>5001097</v>
      </c>
      <c r="C209" s="14">
        <v>171.5</v>
      </c>
    </row>
    <row r="210" spans="1:12" x14ac:dyDescent="0.25">
      <c r="A210">
        <v>5001098</v>
      </c>
      <c r="B210">
        <v>267</v>
      </c>
      <c r="H210">
        <v>252</v>
      </c>
    </row>
    <row r="211" spans="1:12" x14ac:dyDescent="0.25">
      <c r="A211">
        <v>5006152</v>
      </c>
      <c r="E211">
        <v>27</v>
      </c>
    </row>
    <row r="212" spans="1:12" x14ac:dyDescent="0.25">
      <c r="A212">
        <v>6012361</v>
      </c>
      <c r="G212">
        <v>138</v>
      </c>
    </row>
    <row r="213" spans="1:12" x14ac:dyDescent="0.25">
      <c r="A213">
        <v>6015793</v>
      </c>
      <c r="F213">
        <v>121</v>
      </c>
      <c r="H213">
        <v>520</v>
      </c>
      <c r="I213">
        <v>449</v>
      </c>
      <c r="L213">
        <v>1.091</v>
      </c>
    </row>
    <row r="214" spans="1:12" x14ac:dyDescent="0.25">
      <c r="A214">
        <v>6043619</v>
      </c>
    </row>
    <row r="215" spans="1:12" x14ac:dyDescent="0.25">
      <c r="A215">
        <v>7001097</v>
      </c>
    </row>
    <row r="216" spans="1:12" x14ac:dyDescent="0.25">
      <c r="A216">
        <v>7011435</v>
      </c>
      <c r="H216">
        <v>99.8</v>
      </c>
    </row>
    <row r="217" spans="1:12" x14ac:dyDescent="0.25">
      <c r="A217">
        <v>7045811</v>
      </c>
    </row>
    <row r="218" spans="1:12" x14ac:dyDescent="0.25">
      <c r="A218">
        <v>7071198</v>
      </c>
    </row>
    <row r="219" spans="1:12" x14ac:dyDescent="0.25">
      <c r="A219">
        <v>7101143</v>
      </c>
    </row>
    <row r="220" spans="1:12" x14ac:dyDescent="0.25">
      <c r="A220">
        <v>8073350</v>
      </c>
    </row>
    <row r="221" spans="1:12" x14ac:dyDescent="0.25">
      <c r="A221">
        <v>8073645</v>
      </c>
    </row>
    <row r="222" spans="1:12" x14ac:dyDescent="0.25">
      <c r="A222" s="23">
        <v>8089666</v>
      </c>
      <c r="D222">
        <v>19</v>
      </c>
      <c r="E222">
        <v>10</v>
      </c>
      <c r="F222">
        <v>10</v>
      </c>
      <c r="H222" s="14">
        <v>14</v>
      </c>
      <c r="I222">
        <v>14</v>
      </c>
    </row>
    <row r="223" spans="1:12" x14ac:dyDescent="0.25">
      <c r="A223">
        <v>8103536</v>
      </c>
    </row>
    <row r="224" spans="1:12" x14ac:dyDescent="0.25">
      <c r="A224">
        <v>8124816</v>
      </c>
    </row>
    <row r="225" spans="1:29" x14ac:dyDescent="0.25">
      <c r="A225">
        <v>9003267</v>
      </c>
    </row>
    <row r="226" spans="1:29" x14ac:dyDescent="0.25">
      <c r="A226">
        <v>9036964</v>
      </c>
    </row>
    <row r="227" spans="1:29" x14ac:dyDescent="0.25">
      <c r="A227">
        <v>9090287</v>
      </c>
    </row>
    <row r="228" spans="1:29" x14ac:dyDescent="0.25">
      <c r="A228">
        <v>9095148</v>
      </c>
    </row>
    <row r="229" spans="1:29" x14ac:dyDescent="0.25">
      <c r="A229">
        <v>9104979</v>
      </c>
      <c r="AA229">
        <v>3598</v>
      </c>
      <c r="AC229">
        <v>68</v>
      </c>
    </row>
    <row r="230" spans="1:29" x14ac:dyDescent="0.25">
      <c r="A230">
        <v>9139514</v>
      </c>
    </row>
    <row r="231" spans="1:29" x14ac:dyDescent="0.25">
      <c r="A231">
        <v>10020659</v>
      </c>
    </row>
    <row r="232" spans="1:29" x14ac:dyDescent="0.25">
      <c r="A232">
        <v>10025902</v>
      </c>
    </row>
    <row r="233" spans="1:29" x14ac:dyDescent="0.25">
      <c r="A233">
        <v>10027654</v>
      </c>
    </row>
    <row r="234" spans="1:29" x14ac:dyDescent="0.25">
      <c r="A234">
        <v>10084485</v>
      </c>
    </row>
    <row r="235" spans="1:29" x14ac:dyDescent="0.25">
      <c r="A235">
        <v>10098420</v>
      </c>
      <c r="H235">
        <v>97</v>
      </c>
      <c r="I235">
        <v>127</v>
      </c>
      <c r="K235">
        <v>323</v>
      </c>
    </row>
    <row r="236" spans="1:29" x14ac:dyDescent="0.25">
      <c r="A236">
        <v>10129565</v>
      </c>
    </row>
    <row r="237" spans="1:29" x14ac:dyDescent="0.25">
      <c r="A237">
        <v>10146828</v>
      </c>
    </row>
    <row r="238" spans="1:29" x14ac:dyDescent="0.25">
      <c r="A238">
        <v>10163776</v>
      </c>
    </row>
    <row r="239" spans="1:29" x14ac:dyDescent="0.25">
      <c r="A239">
        <v>10173664</v>
      </c>
    </row>
  </sheetData>
  <conditionalFormatting sqref="A19">
    <cfRule type="duplicateValues" dxfId="17" priority="1"/>
  </conditionalFormatting>
  <pageMargins left="0.7" right="0.7" top="0.78740157499999996" bottom="0.78740157499999996" header="0.3" footer="0.3"/>
  <tableParts count="1">
    <tablePart r:id="rId1"/>
  </tableParts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5"/>
  <sheetViews>
    <sheetView workbookViewId="0">
      <selection sqref="A1:D35"/>
    </sheetView>
  </sheetViews>
  <sheetFormatPr defaultColWidth="11.42578125" defaultRowHeight="15" x14ac:dyDescent="0.25"/>
  <cols>
    <col min="1" max="1" width="17.28515625" bestFit="1" customWidth="1"/>
    <col min="2" max="2" width="8.85546875" bestFit="1" customWidth="1"/>
    <col min="3" max="3" width="81.140625" bestFit="1" customWidth="1"/>
    <col min="4" max="4" width="30.28515625" bestFit="1" customWidth="1"/>
  </cols>
  <sheetData>
    <row r="1" spans="1:4" x14ac:dyDescent="0.25">
      <c r="A1" s="66" t="s">
        <v>59</v>
      </c>
      <c r="B1" s="66" t="s">
        <v>3182</v>
      </c>
      <c r="C1" s="66" t="s">
        <v>2564</v>
      </c>
      <c r="D1" s="66" t="s">
        <v>2523</v>
      </c>
    </row>
    <row r="2" spans="1:4" x14ac:dyDescent="0.25">
      <c r="A2" s="66">
        <v>3000983</v>
      </c>
      <c r="B2" s="66" t="s">
        <v>3182</v>
      </c>
      <c r="C2" s="66" t="s">
        <v>3183</v>
      </c>
      <c r="D2" s="66">
        <v>2</v>
      </c>
    </row>
    <row r="3" spans="1:4" x14ac:dyDescent="0.25">
      <c r="A3" s="66">
        <v>96018835</v>
      </c>
      <c r="B3" s="66" t="s">
        <v>3182</v>
      </c>
      <c r="C3" s="66" t="s">
        <v>3184</v>
      </c>
      <c r="D3" s="66">
        <v>4</v>
      </c>
    </row>
    <row r="4" spans="1:4" x14ac:dyDescent="0.25">
      <c r="A4" s="66">
        <v>7000458</v>
      </c>
      <c r="B4" s="66" t="s">
        <v>3182</v>
      </c>
      <c r="C4" s="66" t="s">
        <v>45</v>
      </c>
      <c r="D4" s="66">
        <v>1</v>
      </c>
    </row>
    <row r="5" spans="1:4" x14ac:dyDescent="0.25">
      <c r="A5" s="66">
        <v>9016278</v>
      </c>
      <c r="B5" s="66" t="s">
        <v>3182</v>
      </c>
      <c r="C5" s="66" t="s">
        <v>3185</v>
      </c>
      <c r="D5" s="66">
        <v>2</v>
      </c>
    </row>
    <row r="6" spans="1:4" x14ac:dyDescent="0.25">
      <c r="A6" s="66">
        <v>9039416</v>
      </c>
      <c r="B6" s="66" t="s">
        <v>3182</v>
      </c>
      <c r="C6" s="66" t="s">
        <v>1519</v>
      </c>
      <c r="D6" s="66">
        <v>1</v>
      </c>
    </row>
    <row r="7" spans="1:4" x14ac:dyDescent="0.25">
      <c r="A7" s="66">
        <v>324</v>
      </c>
      <c r="B7" s="66" t="s">
        <v>3182</v>
      </c>
      <c r="C7" s="66" t="s">
        <v>786</v>
      </c>
      <c r="D7" s="66">
        <v>1</v>
      </c>
    </row>
    <row r="8" spans="1:4" x14ac:dyDescent="0.25">
      <c r="A8" s="66">
        <v>3909</v>
      </c>
      <c r="B8" s="66" t="s">
        <v>3182</v>
      </c>
      <c r="C8" s="66" t="s">
        <v>1065</v>
      </c>
      <c r="D8" s="66">
        <v>1</v>
      </c>
    </row>
    <row r="9" spans="1:4" x14ac:dyDescent="0.25">
      <c r="A9" s="66">
        <v>1007631</v>
      </c>
      <c r="B9" s="66" t="s">
        <v>3182</v>
      </c>
      <c r="C9" s="66" t="s">
        <v>787</v>
      </c>
      <c r="D9" s="66">
        <v>1</v>
      </c>
    </row>
    <row r="10" spans="1:4" x14ac:dyDescent="0.25">
      <c r="A10" s="66">
        <v>4009906</v>
      </c>
      <c r="B10" s="66" t="s">
        <v>3182</v>
      </c>
      <c r="C10" s="66" t="s">
        <v>3186</v>
      </c>
      <c r="D10" s="66">
        <v>4</v>
      </c>
    </row>
    <row r="11" spans="1:4" x14ac:dyDescent="0.25">
      <c r="A11" s="66">
        <v>4013603</v>
      </c>
      <c r="B11" s="66" t="s">
        <v>3182</v>
      </c>
      <c r="C11" s="66" t="s">
        <v>786</v>
      </c>
      <c r="D11" s="66">
        <v>1</v>
      </c>
    </row>
    <row r="12" spans="1:4" x14ac:dyDescent="0.25">
      <c r="A12" s="66">
        <v>5004654</v>
      </c>
      <c r="B12" s="66" t="s">
        <v>3182</v>
      </c>
      <c r="C12" s="66" t="s">
        <v>3187</v>
      </c>
      <c r="D12" s="66">
        <v>3</v>
      </c>
    </row>
    <row r="13" spans="1:4" x14ac:dyDescent="0.25">
      <c r="A13" s="66">
        <v>500245</v>
      </c>
      <c r="B13" s="66" t="s">
        <v>3182</v>
      </c>
      <c r="C13" s="66" t="s">
        <v>786</v>
      </c>
      <c r="D13" s="66">
        <v>1</v>
      </c>
    </row>
    <row r="14" spans="1:4" x14ac:dyDescent="0.25">
      <c r="A14" s="66">
        <v>2002573</v>
      </c>
      <c r="B14" s="66" t="s">
        <v>3182</v>
      </c>
      <c r="C14" s="66" t="s">
        <v>1915</v>
      </c>
      <c r="D14" s="66">
        <v>1</v>
      </c>
    </row>
    <row r="15" spans="1:4" x14ac:dyDescent="0.25">
      <c r="A15" s="66">
        <v>4001382</v>
      </c>
      <c r="B15" s="66" t="s">
        <v>3182</v>
      </c>
      <c r="C15" s="66" t="s">
        <v>1323</v>
      </c>
      <c r="D15" s="66">
        <v>1</v>
      </c>
    </row>
    <row r="16" spans="1:4" x14ac:dyDescent="0.25">
      <c r="A16" s="66">
        <v>5015851</v>
      </c>
      <c r="B16" s="66" t="s">
        <v>3182</v>
      </c>
      <c r="C16" s="66" t="s">
        <v>786</v>
      </c>
      <c r="D16" s="66">
        <v>1</v>
      </c>
    </row>
    <row r="17" spans="1:4" x14ac:dyDescent="0.25">
      <c r="A17" s="66">
        <v>6015647</v>
      </c>
      <c r="B17" s="66" t="s">
        <v>3182</v>
      </c>
      <c r="C17" s="66" t="s">
        <v>3188</v>
      </c>
      <c r="D17" s="66">
        <v>5</v>
      </c>
    </row>
    <row r="18" spans="1:4" x14ac:dyDescent="0.25">
      <c r="A18" s="66">
        <v>8124044</v>
      </c>
      <c r="B18" s="66" t="s">
        <v>3182</v>
      </c>
      <c r="C18" s="66" t="s">
        <v>3189</v>
      </c>
      <c r="D18" s="66">
        <v>2</v>
      </c>
    </row>
    <row r="19" spans="1:4" x14ac:dyDescent="0.25">
      <c r="A19" s="66">
        <v>9083682</v>
      </c>
      <c r="B19" s="66" t="s">
        <v>3182</v>
      </c>
      <c r="C19" s="66" t="s">
        <v>3190</v>
      </c>
      <c r="D19" s="66">
        <v>2</v>
      </c>
    </row>
    <row r="20" spans="1:4" x14ac:dyDescent="0.25">
      <c r="A20" s="66">
        <v>10071135</v>
      </c>
      <c r="B20" s="66" t="s">
        <v>3182</v>
      </c>
      <c r="C20" s="66" t="s">
        <v>3191</v>
      </c>
      <c r="D20" s="66">
        <v>4</v>
      </c>
    </row>
    <row r="21" spans="1:4" x14ac:dyDescent="0.25">
      <c r="A21" s="66">
        <v>10157275</v>
      </c>
      <c r="B21" s="66" t="s">
        <v>3182</v>
      </c>
      <c r="C21" s="66" t="s">
        <v>1518</v>
      </c>
      <c r="D21" s="66">
        <v>1</v>
      </c>
    </row>
    <row r="22" spans="1:4" x14ac:dyDescent="0.25">
      <c r="A22" s="66">
        <v>500129</v>
      </c>
      <c r="B22" s="66" t="s">
        <v>3182</v>
      </c>
      <c r="C22" s="66" t="s">
        <v>1814</v>
      </c>
      <c r="D22" s="66">
        <v>1</v>
      </c>
    </row>
    <row r="23" spans="1:4" x14ac:dyDescent="0.25">
      <c r="A23" s="66">
        <v>3015058</v>
      </c>
      <c r="B23" s="66" t="s">
        <v>3182</v>
      </c>
      <c r="C23" s="66" t="s">
        <v>3192</v>
      </c>
      <c r="D23" s="66">
        <v>2</v>
      </c>
    </row>
    <row r="24" spans="1:4" x14ac:dyDescent="0.25">
      <c r="A24" s="66">
        <v>4000996</v>
      </c>
      <c r="B24" s="66" t="s">
        <v>3182</v>
      </c>
      <c r="C24" s="66" t="s">
        <v>3193</v>
      </c>
      <c r="D24" s="66">
        <v>4</v>
      </c>
    </row>
    <row r="25" spans="1:4" x14ac:dyDescent="0.25">
      <c r="A25" s="66">
        <v>4006540</v>
      </c>
      <c r="B25" s="66" t="s">
        <v>3182</v>
      </c>
      <c r="C25" s="66" t="s">
        <v>1922</v>
      </c>
      <c r="D25" s="66">
        <v>1</v>
      </c>
    </row>
    <row r="26" spans="1:4" x14ac:dyDescent="0.25">
      <c r="A26" s="66">
        <v>4007054</v>
      </c>
      <c r="B26" s="66" t="s">
        <v>3182</v>
      </c>
      <c r="C26" s="66" t="s">
        <v>1519</v>
      </c>
      <c r="D26" s="66">
        <v>1</v>
      </c>
    </row>
    <row r="27" spans="1:4" x14ac:dyDescent="0.25">
      <c r="A27" s="66">
        <v>5001097</v>
      </c>
      <c r="B27" s="66" t="s">
        <v>3182</v>
      </c>
      <c r="C27" s="66" t="s">
        <v>1961</v>
      </c>
      <c r="D27" s="66">
        <v>1</v>
      </c>
    </row>
    <row r="28" spans="1:4" x14ac:dyDescent="0.25">
      <c r="A28" s="66">
        <v>5001098</v>
      </c>
      <c r="B28" s="66" t="s">
        <v>3182</v>
      </c>
      <c r="C28" s="66" t="s">
        <v>3194</v>
      </c>
      <c r="D28" s="66">
        <v>2</v>
      </c>
    </row>
    <row r="29" spans="1:4" x14ac:dyDescent="0.25">
      <c r="A29" s="66">
        <v>5006152</v>
      </c>
      <c r="B29" s="66" t="s">
        <v>3182</v>
      </c>
      <c r="C29" s="66" t="s">
        <v>850</v>
      </c>
      <c r="D29" s="66">
        <v>1</v>
      </c>
    </row>
    <row r="30" spans="1:4" x14ac:dyDescent="0.25">
      <c r="A30" s="66">
        <v>6012361</v>
      </c>
      <c r="B30" s="66" t="s">
        <v>3182</v>
      </c>
      <c r="C30" s="66" t="s">
        <v>1518</v>
      </c>
      <c r="D30" s="66">
        <v>1</v>
      </c>
    </row>
    <row r="31" spans="1:4" x14ac:dyDescent="0.25">
      <c r="A31" s="66">
        <v>6015793</v>
      </c>
      <c r="B31" s="66" t="s">
        <v>3182</v>
      </c>
      <c r="C31" s="66" t="s">
        <v>3195</v>
      </c>
      <c r="D31" s="66">
        <v>4</v>
      </c>
    </row>
    <row r="32" spans="1:4" x14ac:dyDescent="0.25">
      <c r="A32" s="66">
        <v>7011435</v>
      </c>
      <c r="B32" s="66" t="s">
        <v>3182</v>
      </c>
      <c r="C32" s="66" t="s">
        <v>786</v>
      </c>
      <c r="D32" s="66">
        <v>1</v>
      </c>
    </row>
    <row r="33" spans="1:4" x14ac:dyDescent="0.25">
      <c r="A33" s="66">
        <v>8089666</v>
      </c>
      <c r="B33" s="66" t="s">
        <v>3182</v>
      </c>
      <c r="C33" s="66" t="s">
        <v>3196</v>
      </c>
      <c r="D33" s="66">
        <v>5</v>
      </c>
    </row>
    <row r="34" spans="1:4" x14ac:dyDescent="0.25">
      <c r="A34" s="66">
        <v>9104979</v>
      </c>
      <c r="B34" s="66" t="s">
        <v>3182</v>
      </c>
      <c r="C34" s="66" t="s">
        <v>3197</v>
      </c>
      <c r="D34" s="66">
        <v>2</v>
      </c>
    </row>
    <row r="35" spans="1:4" x14ac:dyDescent="0.25">
      <c r="A35" s="66">
        <v>10098420</v>
      </c>
      <c r="B35" s="66" t="s">
        <v>3182</v>
      </c>
      <c r="C35" s="66" t="s">
        <v>3198</v>
      </c>
      <c r="D35" s="66">
        <v>3</v>
      </c>
    </row>
  </sheetData>
  <phoneticPr fontId="6" type="noConversion"/>
  <pageMargins left="0.7" right="0.7" top="0.78740157499999996" bottom="0.78740157499999996" header="0.3" footer="0.3"/>
  <tableParts count="1">
    <tablePart r:id="rId1"/>
  </tableParts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239"/>
  <sheetViews>
    <sheetView workbookViewId="0">
      <selection sqref="A1:AO239"/>
    </sheetView>
  </sheetViews>
  <sheetFormatPr defaultColWidth="11.42578125" defaultRowHeight="15" x14ac:dyDescent="0.25"/>
  <cols>
    <col min="1" max="1" width="17.140625" customWidth="1"/>
    <col min="2" max="3" width="33.140625" customWidth="1"/>
    <col min="4" max="4" width="32.140625" customWidth="1"/>
    <col min="5" max="5" width="38.140625" customWidth="1"/>
    <col min="6" max="10" width="32.140625" customWidth="1"/>
    <col min="11" max="11" width="29.140625" customWidth="1"/>
    <col min="12" max="12" width="15.42578125" customWidth="1"/>
    <col min="16" max="16" width="15.85546875" customWidth="1"/>
    <col min="19" max="19" width="12.42578125" customWidth="1"/>
    <col min="20" max="20" width="18.85546875" customWidth="1"/>
    <col min="21" max="24" width="12" customWidth="1"/>
    <col min="25" max="25" width="18.42578125" customWidth="1"/>
    <col min="26" max="29" width="12" customWidth="1"/>
    <col min="30" max="30" width="18.42578125" customWidth="1"/>
    <col min="31" max="34" width="12" customWidth="1"/>
    <col min="35" max="36" width="18.42578125" customWidth="1"/>
    <col min="37" max="37" width="21.140625" customWidth="1"/>
    <col min="38" max="38" width="14.7109375" customWidth="1"/>
    <col min="39" max="40" width="21" customWidth="1"/>
    <col min="41" max="41" width="14.7109375" customWidth="1"/>
  </cols>
  <sheetData>
    <row r="1" spans="1:41" ht="75" x14ac:dyDescent="0.25">
      <c r="A1" s="61" t="s">
        <v>59</v>
      </c>
      <c r="B1" s="62" t="s">
        <v>1976</v>
      </c>
      <c r="C1" s="62" t="s">
        <v>1836</v>
      </c>
      <c r="D1" s="62" t="s">
        <v>1977</v>
      </c>
      <c r="E1" s="62" t="s">
        <v>1524</v>
      </c>
      <c r="F1" s="62" t="s">
        <v>1951</v>
      </c>
      <c r="G1" s="62" t="s">
        <v>1913</v>
      </c>
      <c r="H1" s="62" t="s">
        <v>1952</v>
      </c>
      <c r="I1" s="62" t="s">
        <v>854</v>
      </c>
      <c r="J1" s="62" t="s">
        <v>2311</v>
      </c>
      <c r="K1" s="62" t="s">
        <v>1523</v>
      </c>
      <c r="L1" s="63" t="s">
        <v>577</v>
      </c>
      <c r="M1" s="62" t="s">
        <v>1108</v>
      </c>
      <c r="N1" s="62" t="s">
        <v>585</v>
      </c>
      <c r="O1" s="62" t="s">
        <v>586</v>
      </c>
      <c r="P1" s="62" t="s">
        <v>1525</v>
      </c>
      <c r="Q1" s="62" t="s">
        <v>175</v>
      </c>
      <c r="R1" s="62" t="s">
        <v>580</v>
      </c>
      <c r="S1" s="62" t="s">
        <v>168</v>
      </c>
      <c r="T1" s="62" t="s">
        <v>1526</v>
      </c>
      <c r="U1" s="62" t="s">
        <v>605</v>
      </c>
      <c r="V1" s="62" t="s">
        <v>581</v>
      </c>
      <c r="W1" s="62" t="s">
        <v>75</v>
      </c>
      <c r="X1" s="62" t="s">
        <v>2202</v>
      </c>
      <c r="Y1" s="62" t="s">
        <v>1527</v>
      </c>
      <c r="Z1" s="62" t="s">
        <v>910</v>
      </c>
      <c r="AA1" s="62" t="s">
        <v>1131</v>
      </c>
      <c r="AB1" s="62" t="s">
        <v>895</v>
      </c>
      <c r="AC1" s="62" t="s">
        <v>2170</v>
      </c>
      <c r="AD1" s="62" t="s">
        <v>1528</v>
      </c>
      <c r="AE1" s="62" t="s">
        <v>2190</v>
      </c>
      <c r="AF1" s="62" t="s">
        <v>2191</v>
      </c>
      <c r="AG1" s="62" t="s">
        <v>1317</v>
      </c>
      <c r="AH1" s="62" t="s">
        <v>2192</v>
      </c>
      <c r="AI1" s="62" t="s">
        <v>1530</v>
      </c>
      <c r="AJ1" s="62" t="s">
        <v>1529</v>
      </c>
      <c r="AK1" s="62" t="s">
        <v>2080</v>
      </c>
      <c r="AL1" s="62" t="s">
        <v>1069</v>
      </c>
      <c r="AM1" s="62" t="s">
        <v>1532</v>
      </c>
      <c r="AN1" s="62" t="s">
        <v>2086</v>
      </c>
      <c r="AO1" s="62" t="s">
        <v>1531</v>
      </c>
    </row>
    <row r="2" spans="1:41" x14ac:dyDescent="0.25">
      <c r="A2" s="40" t="s">
        <v>561</v>
      </c>
    </row>
    <row r="3" spans="1:41" x14ac:dyDescent="0.25">
      <c r="A3" s="10" t="s">
        <v>2519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</row>
    <row r="4" spans="1:41" x14ac:dyDescent="0.25">
      <c r="A4">
        <v>7072184</v>
      </c>
      <c r="B4" s="6"/>
      <c r="C4" s="6"/>
      <c r="D4" s="6"/>
      <c r="E4" s="6"/>
      <c r="F4" s="6"/>
      <c r="G4" s="6"/>
      <c r="H4" s="6"/>
      <c r="I4" s="6"/>
      <c r="J4" s="6"/>
      <c r="K4" s="6">
        <v>537</v>
      </c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</row>
    <row r="5" spans="1:41" x14ac:dyDescent="0.25">
      <c r="A5">
        <v>9108231</v>
      </c>
      <c r="B5" s="6"/>
      <c r="C5" s="6"/>
      <c r="D5" s="6"/>
      <c r="K5">
        <v>193</v>
      </c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</row>
    <row r="6" spans="1:41" x14ac:dyDescent="0.25">
      <c r="A6">
        <v>12061933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</row>
    <row r="7" spans="1:41" x14ac:dyDescent="0.25">
      <c r="A7">
        <v>95005911</v>
      </c>
      <c r="K7">
        <v>5.3</v>
      </c>
    </row>
    <row r="8" spans="1:41" x14ac:dyDescent="0.25">
      <c r="A8">
        <v>99001908</v>
      </c>
    </row>
    <row r="9" spans="1:41" x14ac:dyDescent="0.25">
      <c r="A9">
        <v>99004067</v>
      </c>
    </row>
    <row r="10" spans="1:41" x14ac:dyDescent="0.25">
      <c r="A10">
        <v>97002136</v>
      </c>
    </row>
    <row r="11" spans="1:41" x14ac:dyDescent="0.25">
      <c r="A11">
        <v>1502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</row>
    <row r="12" spans="1:41" x14ac:dyDescent="0.25">
      <c r="A12">
        <v>4003543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>
        <v>71.2</v>
      </c>
      <c r="T12" s="6"/>
      <c r="U12" s="6"/>
      <c r="V12" s="6"/>
      <c r="W12" s="6">
        <v>10.3</v>
      </c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</row>
    <row r="13" spans="1:41" x14ac:dyDescent="0.25">
      <c r="A13">
        <v>4900261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</row>
    <row r="15" spans="1:41" x14ac:dyDescent="0.25">
      <c r="A15" s="10" t="s">
        <v>2520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</row>
    <row r="16" spans="1:41" x14ac:dyDescent="0.25">
      <c r="A16">
        <v>14242856</v>
      </c>
      <c r="B16" s="6"/>
      <c r="C16" s="6"/>
      <c r="D16" s="6"/>
      <c r="E16" s="6"/>
      <c r="F16" s="6"/>
      <c r="G16" s="6"/>
      <c r="H16" s="6"/>
      <c r="I16" s="6"/>
      <c r="J16" s="6"/>
      <c r="K16" s="6">
        <v>330</v>
      </c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</row>
    <row r="17" spans="1:41" x14ac:dyDescent="0.25">
      <c r="A17">
        <v>99001183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</row>
    <row r="18" spans="1:41" x14ac:dyDescent="0.25">
      <c r="A18">
        <v>3000983</v>
      </c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>
        <v>182</v>
      </c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</row>
    <row r="19" spans="1:41" x14ac:dyDescent="0.25">
      <c r="A19">
        <v>10064335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</row>
    <row r="20" spans="1:41" x14ac:dyDescent="0.25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</row>
    <row r="21" spans="1:41" x14ac:dyDescent="0.25">
      <c r="A21" s="10" t="s">
        <v>2521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</row>
    <row r="22" spans="1:41" x14ac:dyDescent="0.25">
      <c r="A22">
        <v>1480</v>
      </c>
    </row>
    <row r="23" spans="1:41" x14ac:dyDescent="0.25">
      <c r="A23">
        <v>7063959</v>
      </c>
      <c r="B23" s="6"/>
      <c r="C23" s="6"/>
      <c r="D23" s="6"/>
      <c r="E23" s="6"/>
      <c r="F23" s="6"/>
      <c r="G23" s="6"/>
      <c r="H23" s="6"/>
      <c r="I23" s="6"/>
      <c r="J23" s="6"/>
      <c r="K23" s="6">
        <v>66</v>
      </c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</row>
    <row r="24" spans="1:41" x14ac:dyDescent="0.25">
      <c r="A24">
        <v>1003215</v>
      </c>
      <c r="B24" s="6"/>
      <c r="C24" s="6"/>
      <c r="D24" s="6"/>
      <c r="E24" s="6"/>
      <c r="F24" s="6"/>
      <c r="G24" s="6"/>
      <c r="H24" s="6"/>
      <c r="I24" s="6"/>
      <c r="J24" s="6"/>
      <c r="K24" s="6">
        <v>225</v>
      </c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</row>
    <row r="25" spans="1:41" x14ac:dyDescent="0.25">
      <c r="A25">
        <v>99000802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</row>
    <row r="26" spans="1:41" x14ac:dyDescent="0.25">
      <c r="A26">
        <v>99000892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</row>
    <row r="27" spans="1:41" x14ac:dyDescent="0.25">
      <c r="A27">
        <v>1000192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>
        <v>11</v>
      </c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</row>
    <row r="28" spans="1:41" x14ac:dyDescent="0.25">
      <c r="A28">
        <v>1506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</row>
    <row r="29" spans="1:41" x14ac:dyDescent="0.25">
      <c r="A29">
        <v>99000894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</row>
    <row r="30" spans="1:41" x14ac:dyDescent="0.25">
      <c r="A30">
        <v>99000897</v>
      </c>
    </row>
    <row r="31" spans="1:41" x14ac:dyDescent="0.25">
      <c r="A31">
        <v>99001245</v>
      </c>
    </row>
    <row r="32" spans="1:41" x14ac:dyDescent="0.25">
      <c r="A32">
        <v>99001902</v>
      </c>
    </row>
    <row r="33" spans="1:41" x14ac:dyDescent="0.25">
      <c r="A33">
        <v>99001912</v>
      </c>
    </row>
    <row r="34" spans="1:41" x14ac:dyDescent="0.25">
      <c r="A34">
        <v>99001913</v>
      </c>
    </row>
    <row r="35" spans="1:41" x14ac:dyDescent="0.25">
      <c r="A35">
        <v>99001937</v>
      </c>
    </row>
    <row r="36" spans="1:41" x14ac:dyDescent="0.25">
      <c r="A36">
        <v>99001943</v>
      </c>
    </row>
    <row r="37" spans="1:41" x14ac:dyDescent="0.25">
      <c r="A37">
        <v>99001927</v>
      </c>
    </row>
    <row r="38" spans="1:41" x14ac:dyDescent="0.25">
      <c r="A38">
        <v>1505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</row>
    <row r="39" spans="1:41" x14ac:dyDescent="0.25">
      <c r="A39">
        <v>1000197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</row>
    <row r="40" spans="1:41" x14ac:dyDescent="0.25">
      <c r="A40">
        <v>96018835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</row>
    <row r="41" spans="1:41" x14ac:dyDescent="0.25">
      <c r="A41">
        <v>98008326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</row>
    <row r="42" spans="1:41" x14ac:dyDescent="0.25">
      <c r="A42">
        <v>99000717</v>
      </c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</row>
    <row r="43" spans="1:41" x14ac:dyDescent="0.25"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</row>
    <row r="44" spans="1:41" x14ac:dyDescent="0.25">
      <c r="A44" s="25" t="s">
        <v>169</v>
      </c>
    </row>
    <row r="45" spans="1:41" x14ac:dyDescent="0.25">
      <c r="A45" s="10" t="s">
        <v>143</v>
      </c>
    </row>
    <row r="46" spans="1:41" x14ac:dyDescent="0.25">
      <c r="A46">
        <v>6016435</v>
      </c>
    </row>
    <row r="47" spans="1:41" x14ac:dyDescent="0.25">
      <c r="A47">
        <v>8045149</v>
      </c>
    </row>
    <row r="48" spans="1:41" x14ac:dyDescent="0.25">
      <c r="A48">
        <v>10023001</v>
      </c>
    </row>
    <row r="49" spans="1:41" x14ac:dyDescent="0.25">
      <c r="A49">
        <v>10027526</v>
      </c>
      <c r="L49">
        <v>1583</v>
      </c>
    </row>
    <row r="50" spans="1:41" x14ac:dyDescent="0.25">
      <c r="A50">
        <v>14222171</v>
      </c>
      <c r="K50">
        <v>20.6</v>
      </c>
    </row>
    <row r="51" spans="1:41" x14ac:dyDescent="0.25">
      <c r="A51">
        <v>1006143</v>
      </c>
    </row>
    <row r="52" spans="1:41" x14ac:dyDescent="0.25">
      <c r="A52">
        <v>6006917</v>
      </c>
      <c r="K52">
        <v>240</v>
      </c>
    </row>
    <row r="54" spans="1:41" x14ac:dyDescent="0.25">
      <c r="A54" s="10" t="s">
        <v>146</v>
      </c>
    </row>
    <row r="55" spans="1:41" x14ac:dyDescent="0.25">
      <c r="A55">
        <v>8057159</v>
      </c>
      <c r="R55">
        <v>93.3</v>
      </c>
      <c r="T55">
        <v>117</v>
      </c>
      <c r="V55">
        <v>32</v>
      </c>
    </row>
    <row r="56" spans="1:41" x14ac:dyDescent="0.25">
      <c r="A56">
        <v>9140312</v>
      </c>
      <c r="N56">
        <v>11.6</v>
      </c>
      <c r="O56">
        <v>8</v>
      </c>
      <c r="P56">
        <v>4.7</v>
      </c>
    </row>
    <row r="57" spans="1:41" x14ac:dyDescent="0.25">
      <c r="A57">
        <v>12008230</v>
      </c>
    </row>
    <row r="58" spans="1:41" x14ac:dyDescent="0.25">
      <c r="A58">
        <v>12088444</v>
      </c>
      <c r="O58">
        <v>35.5</v>
      </c>
      <c r="U58">
        <v>1.8</v>
      </c>
      <c r="AM58">
        <v>1.3</v>
      </c>
      <c r="AO58">
        <v>0.6</v>
      </c>
    </row>
    <row r="59" spans="1:41" x14ac:dyDescent="0.25">
      <c r="A59">
        <v>13118872</v>
      </c>
      <c r="P59">
        <v>118.79</v>
      </c>
    </row>
    <row r="60" spans="1:41" x14ac:dyDescent="0.25">
      <c r="A60">
        <v>12012030</v>
      </c>
      <c r="Y60">
        <v>5</v>
      </c>
    </row>
    <row r="62" spans="1:41" x14ac:dyDescent="0.25">
      <c r="A62" s="10" t="s">
        <v>120</v>
      </c>
    </row>
    <row r="63" spans="1:41" x14ac:dyDescent="0.25">
      <c r="A63">
        <v>9074418</v>
      </c>
      <c r="N63">
        <v>250</v>
      </c>
    </row>
    <row r="64" spans="1:41" x14ac:dyDescent="0.25">
      <c r="A64">
        <v>1263</v>
      </c>
    </row>
    <row r="65" spans="1:41" x14ac:dyDescent="0.25">
      <c r="A65">
        <v>98004910</v>
      </c>
    </row>
    <row r="66" spans="1:41" x14ac:dyDescent="0.25">
      <c r="A66">
        <v>7103068</v>
      </c>
      <c r="K66">
        <v>185</v>
      </c>
    </row>
    <row r="67" spans="1:41" x14ac:dyDescent="0.25">
      <c r="A67">
        <v>11240728</v>
      </c>
    </row>
    <row r="68" spans="1:41" x14ac:dyDescent="0.25"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</row>
    <row r="69" spans="1:41" x14ac:dyDescent="0.25">
      <c r="A69" s="26" t="s">
        <v>170</v>
      </c>
    </row>
    <row r="70" spans="1:41" x14ac:dyDescent="0.25">
      <c r="A70" s="10" t="s">
        <v>143</v>
      </c>
    </row>
    <row r="71" spans="1:41" x14ac:dyDescent="0.25">
      <c r="A71">
        <v>5015869</v>
      </c>
    </row>
    <row r="72" spans="1:41" x14ac:dyDescent="0.25">
      <c r="A72">
        <v>5016969</v>
      </c>
    </row>
    <row r="73" spans="1:41" x14ac:dyDescent="0.25">
      <c r="A73">
        <v>6023231</v>
      </c>
      <c r="K73">
        <v>560</v>
      </c>
    </row>
    <row r="74" spans="1:41" x14ac:dyDescent="0.25">
      <c r="A74">
        <v>6010712</v>
      </c>
    </row>
    <row r="75" spans="1:41" x14ac:dyDescent="0.25">
      <c r="A75">
        <v>6011198</v>
      </c>
    </row>
    <row r="76" spans="1:41" x14ac:dyDescent="0.25">
      <c r="A76">
        <v>6012681</v>
      </c>
    </row>
    <row r="77" spans="1:41" x14ac:dyDescent="0.25">
      <c r="A77">
        <v>6014511</v>
      </c>
    </row>
    <row r="78" spans="1:41" x14ac:dyDescent="0.25">
      <c r="A78">
        <v>6045127</v>
      </c>
      <c r="K78">
        <v>365.4</v>
      </c>
    </row>
    <row r="79" spans="1:41" x14ac:dyDescent="0.25">
      <c r="A79">
        <v>7000458</v>
      </c>
      <c r="Q79">
        <v>3</v>
      </c>
    </row>
    <row r="80" spans="1:41" x14ac:dyDescent="0.25">
      <c r="A80">
        <v>7015502</v>
      </c>
    </row>
    <row r="81" spans="1:1" x14ac:dyDescent="0.25">
      <c r="A81">
        <v>7025847</v>
      </c>
    </row>
    <row r="82" spans="1:1" x14ac:dyDescent="0.25">
      <c r="A82">
        <v>7082707</v>
      </c>
    </row>
    <row r="83" spans="1:1" x14ac:dyDescent="0.25">
      <c r="A83">
        <v>7083159</v>
      </c>
    </row>
    <row r="84" spans="1:1" x14ac:dyDescent="0.25">
      <c r="A84">
        <v>7084659</v>
      </c>
    </row>
    <row r="85" spans="1:1" x14ac:dyDescent="0.25">
      <c r="A85">
        <v>7076814</v>
      </c>
    </row>
    <row r="86" spans="1:1" x14ac:dyDescent="0.25">
      <c r="A86">
        <v>7076815</v>
      </c>
    </row>
    <row r="87" spans="1:1" x14ac:dyDescent="0.25">
      <c r="A87">
        <v>7089231</v>
      </c>
    </row>
    <row r="88" spans="1:1" x14ac:dyDescent="0.25">
      <c r="A88">
        <v>7116004</v>
      </c>
    </row>
    <row r="89" spans="1:1" x14ac:dyDescent="0.25">
      <c r="A89">
        <v>8003819</v>
      </c>
    </row>
    <row r="90" spans="1:1" x14ac:dyDescent="0.25">
      <c r="A90">
        <v>8091779</v>
      </c>
    </row>
    <row r="91" spans="1:1" x14ac:dyDescent="0.25">
      <c r="A91">
        <v>8097989</v>
      </c>
    </row>
    <row r="92" spans="1:1" x14ac:dyDescent="0.25">
      <c r="A92">
        <v>8112522</v>
      </c>
    </row>
    <row r="93" spans="1:1" x14ac:dyDescent="0.25">
      <c r="A93">
        <v>8127397</v>
      </c>
    </row>
    <row r="94" spans="1:1" x14ac:dyDescent="0.25">
      <c r="A94">
        <v>8130998</v>
      </c>
    </row>
    <row r="95" spans="1:1" x14ac:dyDescent="0.25">
      <c r="A95">
        <v>9002836</v>
      </c>
    </row>
    <row r="96" spans="1:1" x14ac:dyDescent="0.25">
      <c r="A96">
        <v>9003331</v>
      </c>
    </row>
    <row r="97" spans="1:30" x14ac:dyDescent="0.25">
      <c r="A97">
        <v>9003370</v>
      </c>
    </row>
    <row r="98" spans="1:30" x14ac:dyDescent="0.25">
      <c r="A98">
        <v>9016278</v>
      </c>
      <c r="E98">
        <v>72.5</v>
      </c>
      <c r="I98">
        <v>35.6</v>
      </c>
      <c r="N98">
        <v>62.7</v>
      </c>
    </row>
    <row r="99" spans="1:30" x14ac:dyDescent="0.25">
      <c r="A99">
        <v>9030684</v>
      </c>
    </row>
    <row r="100" spans="1:30" x14ac:dyDescent="0.25">
      <c r="A100">
        <v>9031387</v>
      </c>
    </row>
    <row r="101" spans="1:30" x14ac:dyDescent="0.25">
      <c r="A101">
        <v>9038676</v>
      </c>
    </row>
    <row r="102" spans="1:30" x14ac:dyDescent="0.25">
      <c r="A102">
        <v>9039416</v>
      </c>
      <c r="O102">
        <v>136</v>
      </c>
      <c r="P102">
        <v>111</v>
      </c>
      <c r="R102">
        <v>42.9</v>
      </c>
    </row>
    <row r="103" spans="1:30" x14ac:dyDescent="0.25">
      <c r="A103">
        <v>9042861</v>
      </c>
      <c r="O103">
        <v>192</v>
      </c>
      <c r="AB103">
        <v>3.3</v>
      </c>
      <c r="AD103">
        <v>2</v>
      </c>
    </row>
    <row r="104" spans="1:30" x14ac:dyDescent="0.25">
      <c r="A104">
        <v>9044899</v>
      </c>
    </row>
    <row r="105" spans="1:30" x14ac:dyDescent="0.25">
      <c r="A105">
        <v>9052398</v>
      </c>
      <c r="N105">
        <v>29.1</v>
      </c>
    </row>
    <row r="106" spans="1:30" x14ac:dyDescent="0.25">
      <c r="A106">
        <v>9085204</v>
      </c>
      <c r="Z106">
        <v>124</v>
      </c>
    </row>
    <row r="107" spans="1:30" x14ac:dyDescent="0.25">
      <c r="A107">
        <v>9090323</v>
      </c>
    </row>
    <row r="108" spans="1:30" x14ac:dyDescent="0.25">
      <c r="A108">
        <v>9105492</v>
      </c>
    </row>
    <row r="109" spans="1:30" x14ac:dyDescent="0.25">
      <c r="A109">
        <v>9138470</v>
      </c>
    </row>
    <row r="110" spans="1:30" x14ac:dyDescent="0.25">
      <c r="A110">
        <v>9150676</v>
      </c>
    </row>
    <row r="111" spans="1:30" x14ac:dyDescent="0.25">
      <c r="A111">
        <v>10010926</v>
      </c>
    </row>
    <row r="112" spans="1:30" x14ac:dyDescent="0.25">
      <c r="A112">
        <v>10016588</v>
      </c>
    </row>
    <row r="113" spans="1:36" x14ac:dyDescent="0.25">
      <c r="A113">
        <v>10030897</v>
      </c>
      <c r="L113">
        <v>153.91</v>
      </c>
      <c r="N113">
        <v>135.88</v>
      </c>
      <c r="Q113">
        <v>34</v>
      </c>
      <c r="Y113">
        <v>5.73</v>
      </c>
      <c r="AI113">
        <v>3.75</v>
      </c>
      <c r="AJ113">
        <v>4.29</v>
      </c>
    </row>
    <row r="114" spans="1:36" x14ac:dyDescent="0.25">
      <c r="A114">
        <v>324</v>
      </c>
    </row>
    <row r="115" spans="1:36" x14ac:dyDescent="0.25">
      <c r="A115">
        <v>3909</v>
      </c>
    </row>
    <row r="116" spans="1:36" x14ac:dyDescent="0.25">
      <c r="A116">
        <v>4663</v>
      </c>
    </row>
    <row r="117" spans="1:36" x14ac:dyDescent="0.25">
      <c r="A117">
        <v>1005522</v>
      </c>
    </row>
    <row r="118" spans="1:36" x14ac:dyDescent="0.25">
      <c r="A118">
        <v>1007631</v>
      </c>
      <c r="M118">
        <v>17</v>
      </c>
    </row>
    <row r="119" spans="1:36" x14ac:dyDescent="0.25">
      <c r="A119">
        <v>1009760</v>
      </c>
      <c r="O119">
        <v>8.4</v>
      </c>
      <c r="Q119">
        <v>11.5</v>
      </c>
      <c r="U119">
        <v>14.8</v>
      </c>
      <c r="AA119">
        <v>5.0999999999999996</v>
      </c>
    </row>
    <row r="120" spans="1:36" x14ac:dyDescent="0.25">
      <c r="A120">
        <v>2000646</v>
      </c>
      <c r="L120">
        <v>6.5</v>
      </c>
      <c r="M120">
        <v>20</v>
      </c>
      <c r="T120">
        <v>8</v>
      </c>
      <c r="U120">
        <v>5</v>
      </c>
      <c r="V120">
        <v>5</v>
      </c>
    </row>
    <row r="121" spans="1:36" x14ac:dyDescent="0.25">
      <c r="A121">
        <v>2003761</v>
      </c>
    </row>
    <row r="122" spans="1:36" x14ac:dyDescent="0.25">
      <c r="A122">
        <v>2004061</v>
      </c>
    </row>
    <row r="123" spans="1:36" x14ac:dyDescent="0.25">
      <c r="A123">
        <v>2006469</v>
      </c>
    </row>
    <row r="124" spans="1:36" x14ac:dyDescent="0.25">
      <c r="A124">
        <v>3005132</v>
      </c>
      <c r="L124">
        <v>247</v>
      </c>
    </row>
    <row r="125" spans="1:36" x14ac:dyDescent="0.25">
      <c r="A125">
        <v>3009119</v>
      </c>
    </row>
    <row r="126" spans="1:36" x14ac:dyDescent="0.25">
      <c r="A126">
        <v>3009936</v>
      </c>
    </row>
    <row r="127" spans="1:36" x14ac:dyDescent="0.25">
      <c r="A127">
        <v>3011094</v>
      </c>
    </row>
    <row r="128" spans="1:36" x14ac:dyDescent="0.25">
      <c r="A128">
        <v>3014643</v>
      </c>
    </row>
    <row r="129" spans="1:26" x14ac:dyDescent="0.25">
      <c r="A129">
        <v>3016056</v>
      </c>
    </row>
    <row r="130" spans="1:26" x14ac:dyDescent="0.25">
      <c r="A130">
        <v>3900219</v>
      </c>
      <c r="E130">
        <v>0.2</v>
      </c>
    </row>
    <row r="131" spans="1:26" x14ac:dyDescent="0.25">
      <c r="A131">
        <v>4000158</v>
      </c>
    </row>
    <row r="132" spans="1:26" x14ac:dyDescent="0.25">
      <c r="A132">
        <v>4000304</v>
      </c>
    </row>
    <row r="133" spans="1:26" x14ac:dyDescent="0.25">
      <c r="A133">
        <v>4001905</v>
      </c>
    </row>
    <row r="134" spans="1:26" x14ac:dyDescent="0.25">
      <c r="A134">
        <v>4002206</v>
      </c>
    </row>
    <row r="135" spans="1:26" x14ac:dyDescent="0.25">
      <c r="A135">
        <v>4002715</v>
      </c>
    </row>
    <row r="136" spans="1:26" x14ac:dyDescent="0.25">
      <c r="A136">
        <v>4003924</v>
      </c>
    </row>
    <row r="137" spans="1:26" x14ac:dyDescent="0.25">
      <c r="A137">
        <v>4006051</v>
      </c>
    </row>
    <row r="138" spans="1:26" x14ac:dyDescent="0.25">
      <c r="A138">
        <v>4008140</v>
      </c>
      <c r="K138">
        <v>8</v>
      </c>
    </row>
    <row r="139" spans="1:26" x14ac:dyDescent="0.25">
      <c r="A139">
        <v>4009906</v>
      </c>
      <c r="M139">
        <v>1</v>
      </c>
    </row>
    <row r="140" spans="1:26" x14ac:dyDescent="0.25">
      <c r="A140">
        <v>4011027</v>
      </c>
      <c r="N140">
        <v>14</v>
      </c>
    </row>
    <row r="141" spans="1:26" x14ac:dyDescent="0.25">
      <c r="A141">
        <v>4011920</v>
      </c>
    </row>
    <row r="142" spans="1:26" x14ac:dyDescent="0.25">
      <c r="A142">
        <v>4012248</v>
      </c>
    </row>
    <row r="143" spans="1:26" x14ac:dyDescent="0.25">
      <c r="A143">
        <v>4013603</v>
      </c>
    </row>
    <row r="144" spans="1:26" x14ac:dyDescent="0.25">
      <c r="A144">
        <v>5004654</v>
      </c>
      <c r="M144">
        <v>17.8</v>
      </c>
      <c r="R144">
        <v>14.5</v>
      </c>
      <c r="T144">
        <v>11.4</v>
      </c>
      <c r="Z144">
        <v>8.5</v>
      </c>
    </row>
    <row r="145" spans="1:33" x14ac:dyDescent="0.25">
      <c r="A145" s="65"/>
    </row>
    <row r="146" spans="1:33" x14ac:dyDescent="0.25">
      <c r="A146" s="10" t="s">
        <v>146</v>
      </c>
    </row>
    <row r="147" spans="1:33" x14ac:dyDescent="0.25">
      <c r="A147">
        <v>4289</v>
      </c>
    </row>
    <row r="148" spans="1:33" x14ac:dyDescent="0.25">
      <c r="A148">
        <v>500245</v>
      </c>
      <c r="N148">
        <v>216</v>
      </c>
      <c r="O148">
        <v>129</v>
      </c>
      <c r="U148">
        <v>38.299999999999997</v>
      </c>
    </row>
    <row r="149" spans="1:33" x14ac:dyDescent="0.25">
      <c r="A149">
        <v>2002573</v>
      </c>
    </row>
    <row r="150" spans="1:33" x14ac:dyDescent="0.25">
      <c r="A150">
        <v>2003539</v>
      </c>
    </row>
    <row r="151" spans="1:33" x14ac:dyDescent="0.25">
      <c r="A151">
        <v>2003649</v>
      </c>
    </row>
    <row r="152" spans="1:33" x14ac:dyDescent="0.25">
      <c r="A152">
        <v>2005572</v>
      </c>
      <c r="L152">
        <v>7.9</v>
      </c>
      <c r="Q152">
        <v>3.1</v>
      </c>
    </row>
    <row r="153" spans="1:33" x14ac:dyDescent="0.25">
      <c r="A153">
        <v>2013117</v>
      </c>
    </row>
    <row r="154" spans="1:33" x14ac:dyDescent="0.25">
      <c r="A154">
        <v>3009633</v>
      </c>
    </row>
    <row r="155" spans="1:33" x14ac:dyDescent="0.25">
      <c r="A155">
        <v>3010583</v>
      </c>
      <c r="L155">
        <v>36</v>
      </c>
    </row>
    <row r="156" spans="1:33" x14ac:dyDescent="0.25">
      <c r="A156" s="23">
        <v>3011892</v>
      </c>
      <c r="U156">
        <v>13.1</v>
      </c>
      <c r="AG156">
        <v>1.58</v>
      </c>
    </row>
    <row r="157" spans="1:33" x14ac:dyDescent="0.25">
      <c r="A157">
        <v>4001382</v>
      </c>
      <c r="Z157" s="14">
        <v>6.5</v>
      </c>
      <c r="AA157" s="14">
        <v>28</v>
      </c>
    </row>
    <row r="158" spans="1:33" x14ac:dyDescent="0.25">
      <c r="A158">
        <v>5018675</v>
      </c>
    </row>
    <row r="159" spans="1:33" x14ac:dyDescent="0.25">
      <c r="A159">
        <v>6050168</v>
      </c>
    </row>
    <row r="160" spans="1:33" x14ac:dyDescent="0.25">
      <c r="A160">
        <v>5006592</v>
      </c>
    </row>
    <row r="161" spans="1:40" x14ac:dyDescent="0.25">
      <c r="A161">
        <v>5007274</v>
      </c>
    </row>
    <row r="162" spans="1:40" x14ac:dyDescent="0.25">
      <c r="A162">
        <v>5015851</v>
      </c>
      <c r="AK162">
        <v>2</v>
      </c>
      <c r="AN162">
        <v>2</v>
      </c>
    </row>
    <row r="163" spans="1:40" x14ac:dyDescent="0.25">
      <c r="A163">
        <v>6015647</v>
      </c>
      <c r="L163" s="3">
        <v>13.6</v>
      </c>
      <c r="M163">
        <v>16</v>
      </c>
      <c r="O163">
        <v>15</v>
      </c>
      <c r="P163">
        <v>15</v>
      </c>
      <c r="R163">
        <v>15.2</v>
      </c>
      <c r="U163">
        <v>21</v>
      </c>
    </row>
    <row r="164" spans="1:40" x14ac:dyDescent="0.25">
      <c r="A164">
        <v>6056633</v>
      </c>
    </row>
    <row r="165" spans="1:40" x14ac:dyDescent="0.25">
      <c r="A165">
        <v>7086224</v>
      </c>
    </row>
    <row r="166" spans="1:40" x14ac:dyDescent="0.25">
      <c r="A166">
        <v>8040959</v>
      </c>
    </row>
    <row r="167" spans="1:40" x14ac:dyDescent="0.25">
      <c r="A167">
        <v>8107048</v>
      </c>
    </row>
    <row r="168" spans="1:40" x14ac:dyDescent="0.25">
      <c r="A168">
        <v>8124044</v>
      </c>
    </row>
    <row r="169" spans="1:40" x14ac:dyDescent="0.25">
      <c r="A169">
        <v>8142949</v>
      </c>
    </row>
    <row r="170" spans="1:40" x14ac:dyDescent="0.25">
      <c r="A170">
        <v>9023306</v>
      </c>
    </row>
    <row r="171" spans="1:40" x14ac:dyDescent="0.25">
      <c r="A171">
        <v>9030615</v>
      </c>
      <c r="O171">
        <v>23.3</v>
      </c>
      <c r="AC171">
        <v>23.3</v>
      </c>
    </row>
    <row r="172" spans="1:40" x14ac:dyDescent="0.25">
      <c r="A172">
        <v>9034464</v>
      </c>
      <c r="M172">
        <v>177</v>
      </c>
      <c r="N172">
        <v>134.30000000000001</v>
      </c>
      <c r="P172">
        <v>139.1</v>
      </c>
      <c r="R172">
        <v>63.1</v>
      </c>
    </row>
    <row r="173" spans="1:40" x14ac:dyDescent="0.25">
      <c r="A173">
        <v>9040167</v>
      </c>
      <c r="I173">
        <v>2.4900000000000002</v>
      </c>
    </row>
    <row r="174" spans="1:40" x14ac:dyDescent="0.25">
      <c r="A174">
        <v>9054567</v>
      </c>
    </row>
    <row r="175" spans="1:40" x14ac:dyDescent="0.25">
      <c r="A175">
        <v>9083682</v>
      </c>
      <c r="K175">
        <v>2.5</v>
      </c>
    </row>
    <row r="176" spans="1:40" x14ac:dyDescent="0.25">
      <c r="A176">
        <v>9102044</v>
      </c>
    </row>
    <row r="177" spans="1:34" x14ac:dyDescent="0.25">
      <c r="A177">
        <v>9119854</v>
      </c>
    </row>
    <row r="178" spans="1:34" x14ac:dyDescent="0.25">
      <c r="A178">
        <v>9125126</v>
      </c>
    </row>
    <row r="179" spans="1:34" x14ac:dyDescent="0.25">
      <c r="A179">
        <v>9174811</v>
      </c>
    </row>
    <row r="180" spans="1:34" x14ac:dyDescent="0.25">
      <c r="A180">
        <v>10002875</v>
      </c>
      <c r="M180">
        <v>2.2999999999999998</v>
      </c>
      <c r="AB180">
        <v>56.7</v>
      </c>
      <c r="AE180">
        <v>33.9</v>
      </c>
      <c r="AF180">
        <v>28.2</v>
      </c>
      <c r="AH180">
        <v>22.2</v>
      </c>
    </row>
    <row r="181" spans="1:34" x14ac:dyDescent="0.25">
      <c r="A181">
        <v>10023080</v>
      </c>
    </row>
    <row r="182" spans="1:34" x14ac:dyDescent="0.25">
      <c r="A182">
        <v>10025212</v>
      </c>
    </row>
    <row r="183" spans="1:34" x14ac:dyDescent="0.25">
      <c r="A183">
        <v>10069407</v>
      </c>
    </row>
    <row r="184" spans="1:34" x14ac:dyDescent="0.25">
      <c r="A184">
        <v>10071135</v>
      </c>
      <c r="X184">
        <v>3</v>
      </c>
      <c r="Z184">
        <v>63.9</v>
      </c>
      <c r="AB184">
        <v>18.5</v>
      </c>
      <c r="AE184">
        <v>3</v>
      </c>
    </row>
    <row r="185" spans="1:34" x14ac:dyDescent="0.25">
      <c r="A185">
        <v>10083649</v>
      </c>
    </row>
    <row r="186" spans="1:34" x14ac:dyDescent="0.25">
      <c r="A186">
        <v>10102021</v>
      </c>
      <c r="L186">
        <v>31.2</v>
      </c>
      <c r="O186">
        <v>3.51</v>
      </c>
    </row>
    <row r="187" spans="1:34" x14ac:dyDescent="0.25">
      <c r="A187">
        <v>10123729</v>
      </c>
    </row>
    <row r="188" spans="1:34" x14ac:dyDescent="0.25">
      <c r="A188">
        <v>10144736</v>
      </c>
    </row>
    <row r="189" spans="1:34" x14ac:dyDescent="0.25">
      <c r="A189">
        <v>10157275</v>
      </c>
    </row>
    <row r="190" spans="1:34" x14ac:dyDescent="0.25">
      <c r="A190" s="65"/>
    </row>
    <row r="191" spans="1:34" x14ac:dyDescent="0.25">
      <c r="A191" s="10" t="s">
        <v>120</v>
      </c>
    </row>
    <row r="192" spans="1:34" x14ac:dyDescent="0.25">
      <c r="A192">
        <v>5281</v>
      </c>
    </row>
    <row r="193" spans="1:22" x14ac:dyDescent="0.25">
      <c r="A193">
        <v>200085</v>
      </c>
    </row>
    <row r="194" spans="1:22" x14ac:dyDescent="0.25">
      <c r="A194">
        <v>500129</v>
      </c>
      <c r="Q194">
        <v>54</v>
      </c>
    </row>
    <row r="195" spans="1:22" x14ac:dyDescent="0.25">
      <c r="A195" s="23">
        <v>1002033</v>
      </c>
    </row>
    <row r="196" spans="1:22" x14ac:dyDescent="0.25">
      <c r="A196">
        <v>1003457</v>
      </c>
    </row>
    <row r="197" spans="1:22" x14ac:dyDescent="0.25">
      <c r="A197">
        <v>2005223</v>
      </c>
      <c r="L197">
        <v>237.3</v>
      </c>
    </row>
    <row r="198" spans="1:22" x14ac:dyDescent="0.25">
      <c r="A198">
        <v>2006107</v>
      </c>
    </row>
    <row r="199" spans="1:22" x14ac:dyDescent="0.25">
      <c r="A199">
        <v>2012014</v>
      </c>
      <c r="C199">
        <v>4.8</v>
      </c>
    </row>
    <row r="200" spans="1:22" x14ac:dyDescent="0.25">
      <c r="A200">
        <v>3000152</v>
      </c>
      <c r="K200">
        <v>0.3</v>
      </c>
    </row>
    <row r="201" spans="1:22" x14ac:dyDescent="0.25">
      <c r="A201">
        <v>3014566</v>
      </c>
      <c r="L201">
        <v>7</v>
      </c>
    </row>
    <row r="202" spans="1:22" x14ac:dyDescent="0.25">
      <c r="A202">
        <v>3015058</v>
      </c>
      <c r="C202">
        <v>13.8</v>
      </c>
      <c r="E202">
        <v>228.2</v>
      </c>
      <c r="G202">
        <v>155.80000000000001</v>
      </c>
      <c r="M202">
        <v>63.7</v>
      </c>
      <c r="N202">
        <v>45.4</v>
      </c>
      <c r="R202">
        <v>164.9</v>
      </c>
      <c r="T202">
        <v>40</v>
      </c>
    </row>
    <row r="203" spans="1:22" x14ac:dyDescent="0.25">
      <c r="A203" s="23">
        <v>4000996</v>
      </c>
      <c r="M203">
        <v>135.1</v>
      </c>
    </row>
    <row r="204" spans="1:22" x14ac:dyDescent="0.25">
      <c r="A204">
        <v>4003768</v>
      </c>
      <c r="S204">
        <v>71.599999999999994</v>
      </c>
    </row>
    <row r="205" spans="1:22" x14ac:dyDescent="0.25">
      <c r="A205">
        <v>4006540</v>
      </c>
      <c r="V205">
        <v>5</v>
      </c>
    </row>
    <row r="206" spans="1:22" x14ac:dyDescent="0.25">
      <c r="A206">
        <v>4007054</v>
      </c>
      <c r="P206">
        <v>59.3</v>
      </c>
    </row>
    <row r="207" spans="1:22" x14ac:dyDescent="0.25">
      <c r="A207">
        <v>4011002</v>
      </c>
      <c r="L207">
        <v>241</v>
      </c>
      <c r="M207">
        <v>180</v>
      </c>
      <c r="Q207">
        <v>49</v>
      </c>
      <c r="T207">
        <v>12.9</v>
      </c>
    </row>
    <row r="208" spans="1:22" x14ac:dyDescent="0.25">
      <c r="A208">
        <v>4900268</v>
      </c>
    </row>
    <row r="209" spans="1:29" x14ac:dyDescent="0.25">
      <c r="A209">
        <v>5001097</v>
      </c>
      <c r="E209">
        <v>11</v>
      </c>
      <c r="H209">
        <v>3</v>
      </c>
      <c r="L209">
        <v>2</v>
      </c>
      <c r="T209">
        <v>2</v>
      </c>
    </row>
    <row r="210" spans="1:29" x14ac:dyDescent="0.25">
      <c r="A210">
        <v>5001098</v>
      </c>
      <c r="B210">
        <v>45</v>
      </c>
      <c r="D210">
        <v>10</v>
      </c>
      <c r="E210">
        <v>5</v>
      </c>
    </row>
    <row r="211" spans="1:29" x14ac:dyDescent="0.25">
      <c r="A211">
        <v>5006152</v>
      </c>
    </row>
    <row r="212" spans="1:29" x14ac:dyDescent="0.25">
      <c r="A212">
        <v>6012361</v>
      </c>
      <c r="O212">
        <v>315</v>
      </c>
      <c r="AC212">
        <v>100</v>
      </c>
    </row>
    <row r="213" spans="1:29" x14ac:dyDescent="0.25">
      <c r="A213">
        <v>6015793</v>
      </c>
      <c r="J213">
        <v>183</v>
      </c>
      <c r="L213">
        <v>260</v>
      </c>
      <c r="M213">
        <v>139</v>
      </c>
      <c r="P213">
        <v>41</v>
      </c>
    </row>
    <row r="214" spans="1:29" x14ac:dyDescent="0.25">
      <c r="A214">
        <v>6043619</v>
      </c>
    </row>
    <row r="215" spans="1:29" x14ac:dyDescent="0.25">
      <c r="A215">
        <v>7001097</v>
      </c>
    </row>
    <row r="216" spans="1:29" x14ac:dyDescent="0.25">
      <c r="A216">
        <v>7011435</v>
      </c>
      <c r="L216">
        <v>117</v>
      </c>
      <c r="N216">
        <v>54</v>
      </c>
      <c r="R216">
        <v>20</v>
      </c>
    </row>
    <row r="217" spans="1:29" x14ac:dyDescent="0.25">
      <c r="A217">
        <v>7045811</v>
      </c>
    </row>
    <row r="218" spans="1:29" x14ac:dyDescent="0.25">
      <c r="A218">
        <v>7071198</v>
      </c>
    </row>
    <row r="219" spans="1:29" x14ac:dyDescent="0.25">
      <c r="A219">
        <v>7101143</v>
      </c>
    </row>
    <row r="220" spans="1:29" x14ac:dyDescent="0.25">
      <c r="A220">
        <v>8073350</v>
      </c>
    </row>
    <row r="221" spans="1:29" x14ac:dyDescent="0.25">
      <c r="A221">
        <v>8073645</v>
      </c>
    </row>
    <row r="222" spans="1:29" x14ac:dyDescent="0.25">
      <c r="A222" s="23">
        <v>8089666</v>
      </c>
      <c r="H222">
        <v>173</v>
      </c>
      <c r="I222">
        <v>35</v>
      </c>
      <c r="J222">
        <v>120</v>
      </c>
      <c r="L222" s="14">
        <v>43</v>
      </c>
      <c r="M222">
        <v>41</v>
      </c>
    </row>
    <row r="223" spans="1:29" x14ac:dyDescent="0.25">
      <c r="A223">
        <v>8103536</v>
      </c>
    </row>
    <row r="224" spans="1:29" x14ac:dyDescent="0.25">
      <c r="A224">
        <v>8124816</v>
      </c>
    </row>
    <row r="225" spans="1:30" x14ac:dyDescent="0.25">
      <c r="A225">
        <v>9003267</v>
      </c>
      <c r="M225">
        <v>53.5</v>
      </c>
      <c r="U225">
        <v>9.1999999999999993</v>
      </c>
    </row>
    <row r="226" spans="1:30" x14ac:dyDescent="0.25">
      <c r="A226">
        <v>9036964</v>
      </c>
      <c r="M226">
        <v>20.100000000000001</v>
      </c>
      <c r="N226">
        <v>17.7</v>
      </c>
    </row>
    <row r="227" spans="1:30" x14ac:dyDescent="0.25">
      <c r="A227">
        <v>9090287</v>
      </c>
      <c r="N227">
        <v>36.200000000000003</v>
      </c>
      <c r="O227">
        <v>40.5</v>
      </c>
    </row>
    <row r="228" spans="1:30" x14ac:dyDescent="0.25">
      <c r="A228">
        <v>9095148</v>
      </c>
      <c r="L228">
        <v>41</v>
      </c>
      <c r="M228">
        <v>32.1</v>
      </c>
      <c r="N228">
        <v>46.1</v>
      </c>
      <c r="O228">
        <v>85.1</v>
      </c>
    </row>
    <row r="229" spans="1:30" x14ac:dyDescent="0.25">
      <c r="A229">
        <v>9104979</v>
      </c>
    </row>
    <row r="230" spans="1:30" x14ac:dyDescent="0.25">
      <c r="A230">
        <v>9139514</v>
      </c>
    </row>
    <row r="231" spans="1:30" x14ac:dyDescent="0.25">
      <c r="A231">
        <v>10020659</v>
      </c>
      <c r="L231">
        <v>2</v>
      </c>
    </row>
    <row r="232" spans="1:30" x14ac:dyDescent="0.25">
      <c r="A232">
        <v>10025902</v>
      </c>
      <c r="L232">
        <v>41.8</v>
      </c>
      <c r="M232">
        <v>34</v>
      </c>
      <c r="S232">
        <v>9</v>
      </c>
      <c r="AD232">
        <v>38.5</v>
      </c>
    </row>
    <row r="233" spans="1:30" x14ac:dyDescent="0.25">
      <c r="A233">
        <v>10027654</v>
      </c>
    </row>
    <row r="234" spans="1:30" x14ac:dyDescent="0.25">
      <c r="A234">
        <v>10084485</v>
      </c>
    </row>
    <row r="235" spans="1:30" x14ac:dyDescent="0.25">
      <c r="A235">
        <v>10098420</v>
      </c>
    </row>
    <row r="236" spans="1:30" x14ac:dyDescent="0.25">
      <c r="A236">
        <v>10129565</v>
      </c>
      <c r="M236">
        <v>85.3</v>
      </c>
      <c r="N236">
        <v>56.9</v>
      </c>
      <c r="W236">
        <v>3.3</v>
      </c>
    </row>
    <row r="237" spans="1:30" x14ac:dyDescent="0.25">
      <c r="A237">
        <v>10146828</v>
      </c>
    </row>
    <row r="238" spans="1:30" x14ac:dyDescent="0.25">
      <c r="A238">
        <v>10163776</v>
      </c>
      <c r="L238">
        <v>18.7</v>
      </c>
    </row>
    <row r="239" spans="1:30" x14ac:dyDescent="0.25">
      <c r="A239">
        <v>10173664</v>
      </c>
      <c r="O239">
        <v>2.1</v>
      </c>
      <c r="V239">
        <v>1.5</v>
      </c>
    </row>
  </sheetData>
  <conditionalFormatting sqref="A19">
    <cfRule type="duplicateValues" dxfId="16" priority="1"/>
  </conditionalFormatting>
  <pageMargins left="0.7" right="0.7" top="0.78740157499999996" bottom="0.78740157499999996" header="0.3" footer="0.3"/>
  <tableParts count="1">
    <tablePart r:id="rId1"/>
  </tableParts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8"/>
  <sheetViews>
    <sheetView workbookViewId="0">
      <selection sqref="A1:D78"/>
    </sheetView>
  </sheetViews>
  <sheetFormatPr defaultColWidth="11.42578125" defaultRowHeight="15" x14ac:dyDescent="0.25"/>
  <cols>
    <col min="1" max="1" width="17.28515625" bestFit="1" customWidth="1"/>
    <col min="2" max="2" width="23" bestFit="1" customWidth="1"/>
    <col min="3" max="3" width="81.140625" bestFit="1" customWidth="1"/>
    <col min="4" max="4" width="30.28515625" bestFit="1" customWidth="1"/>
  </cols>
  <sheetData>
    <row r="1" spans="1:4" x14ac:dyDescent="0.25">
      <c r="A1" s="66" t="s">
        <v>59</v>
      </c>
      <c r="B1" s="66" t="s">
        <v>3200</v>
      </c>
      <c r="C1" s="66" t="s">
        <v>2564</v>
      </c>
      <c r="D1" s="66" t="s">
        <v>2523</v>
      </c>
    </row>
    <row r="2" spans="1:4" x14ac:dyDescent="0.25">
      <c r="A2" s="66">
        <v>7072184</v>
      </c>
      <c r="B2" s="66" t="s">
        <v>3199</v>
      </c>
      <c r="C2" s="66" t="s">
        <v>1523</v>
      </c>
      <c r="D2" s="66">
        <v>1</v>
      </c>
    </row>
    <row r="3" spans="1:4" x14ac:dyDescent="0.25">
      <c r="A3" s="66">
        <v>9108231</v>
      </c>
      <c r="B3" s="66" t="s">
        <v>3199</v>
      </c>
      <c r="C3" s="66" t="s">
        <v>1523</v>
      </c>
      <c r="D3" s="66">
        <v>1</v>
      </c>
    </row>
    <row r="4" spans="1:4" x14ac:dyDescent="0.25">
      <c r="A4" s="66">
        <v>95005911</v>
      </c>
      <c r="B4" s="66" t="s">
        <v>3199</v>
      </c>
      <c r="C4" s="66" t="s">
        <v>1523</v>
      </c>
      <c r="D4" s="66">
        <v>1</v>
      </c>
    </row>
    <row r="5" spans="1:4" x14ac:dyDescent="0.25">
      <c r="A5" s="66">
        <v>4003543</v>
      </c>
      <c r="B5" s="66" t="s">
        <v>3199</v>
      </c>
      <c r="C5" s="66" t="s">
        <v>3201</v>
      </c>
      <c r="D5" s="66">
        <v>2</v>
      </c>
    </row>
    <row r="6" spans="1:4" x14ac:dyDescent="0.25">
      <c r="A6" s="66">
        <v>14242856</v>
      </c>
      <c r="B6" s="66" t="s">
        <v>3199</v>
      </c>
      <c r="C6" s="66" t="s">
        <v>1523</v>
      </c>
      <c r="D6" s="66">
        <v>1</v>
      </c>
    </row>
    <row r="7" spans="1:4" x14ac:dyDescent="0.25">
      <c r="A7" s="66">
        <v>3000983</v>
      </c>
      <c r="B7" s="66" t="s">
        <v>3199</v>
      </c>
      <c r="C7" s="66" t="s">
        <v>175</v>
      </c>
      <c r="D7" s="66">
        <v>1</v>
      </c>
    </row>
    <row r="8" spans="1:4" x14ac:dyDescent="0.25">
      <c r="A8" s="66">
        <v>7063959</v>
      </c>
      <c r="B8" s="66" t="s">
        <v>3199</v>
      </c>
      <c r="C8" s="66" t="s">
        <v>1523</v>
      </c>
      <c r="D8" s="66">
        <v>1</v>
      </c>
    </row>
    <row r="9" spans="1:4" x14ac:dyDescent="0.25">
      <c r="A9" s="66">
        <v>1003215</v>
      </c>
      <c r="B9" s="66" t="s">
        <v>3199</v>
      </c>
      <c r="C9" s="66" t="s">
        <v>1523</v>
      </c>
      <c r="D9" s="66">
        <v>1</v>
      </c>
    </row>
    <row r="10" spans="1:4" x14ac:dyDescent="0.25">
      <c r="A10" s="66">
        <v>1000192</v>
      </c>
      <c r="B10" s="66" t="s">
        <v>3199</v>
      </c>
      <c r="C10" s="66" t="s">
        <v>586</v>
      </c>
      <c r="D10" s="66">
        <v>1</v>
      </c>
    </row>
    <row r="11" spans="1:4" x14ac:dyDescent="0.25">
      <c r="A11" s="66">
        <v>10027526</v>
      </c>
      <c r="B11" s="66" t="s">
        <v>3199</v>
      </c>
      <c r="C11" s="66" t="s">
        <v>577</v>
      </c>
      <c r="D11" s="66">
        <v>1</v>
      </c>
    </row>
    <row r="12" spans="1:4" x14ac:dyDescent="0.25">
      <c r="A12" s="66">
        <v>14222171</v>
      </c>
      <c r="B12" s="66" t="s">
        <v>3199</v>
      </c>
      <c r="C12" s="66" t="s">
        <v>1523</v>
      </c>
      <c r="D12" s="66">
        <v>1</v>
      </c>
    </row>
    <row r="13" spans="1:4" x14ac:dyDescent="0.25">
      <c r="A13" s="66">
        <v>6006917</v>
      </c>
      <c r="B13" s="66" t="s">
        <v>3199</v>
      </c>
      <c r="C13" s="66" t="s">
        <v>1523</v>
      </c>
      <c r="D13" s="66">
        <v>1</v>
      </c>
    </row>
    <row r="14" spans="1:4" x14ac:dyDescent="0.25">
      <c r="A14" s="66">
        <v>8057159</v>
      </c>
      <c r="B14" s="66" t="s">
        <v>3199</v>
      </c>
      <c r="C14" s="66" t="s">
        <v>3202</v>
      </c>
      <c r="D14" s="66">
        <v>3</v>
      </c>
    </row>
    <row r="15" spans="1:4" x14ac:dyDescent="0.25">
      <c r="A15" s="66">
        <v>9140312</v>
      </c>
      <c r="B15" s="66" t="s">
        <v>3199</v>
      </c>
      <c r="C15" s="66" t="s">
        <v>3203</v>
      </c>
      <c r="D15" s="66">
        <v>3</v>
      </c>
    </row>
    <row r="16" spans="1:4" x14ac:dyDescent="0.25">
      <c r="A16" s="66">
        <v>12088444</v>
      </c>
      <c r="B16" s="66" t="s">
        <v>3199</v>
      </c>
      <c r="C16" s="66" t="s">
        <v>3204</v>
      </c>
      <c r="D16" s="66">
        <v>4</v>
      </c>
    </row>
    <row r="17" spans="1:4" x14ac:dyDescent="0.25">
      <c r="A17" s="66">
        <v>13118872</v>
      </c>
      <c r="B17" s="66" t="s">
        <v>3199</v>
      </c>
      <c r="C17" s="66" t="s">
        <v>1525</v>
      </c>
      <c r="D17" s="66">
        <v>1</v>
      </c>
    </row>
    <row r="18" spans="1:4" x14ac:dyDescent="0.25">
      <c r="A18" s="66">
        <v>12012030</v>
      </c>
      <c r="B18" s="66" t="s">
        <v>3199</v>
      </c>
      <c r="C18" s="66" t="s">
        <v>1527</v>
      </c>
      <c r="D18" s="66">
        <v>1</v>
      </c>
    </row>
    <row r="19" spans="1:4" x14ac:dyDescent="0.25">
      <c r="A19" s="66">
        <v>9074418</v>
      </c>
      <c r="B19" s="66" t="s">
        <v>3199</v>
      </c>
      <c r="C19" s="66" t="s">
        <v>585</v>
      </c>
      <c r="D19" s="66">
        <v>1</v>
      </c>
    </row>
    <row r="20" spans="1:4" x14ac:dyDescent="0.25">
      <c r="A20" s="66">
        <v>7103068</v>
      </c>
      <c r="B20" s="66" t="s">
        <v>3199</v>
      </c>
      <c r="C20" s="66" t="s">
        <v>1523</v>
      </c>
      <c r="D20" s="66">
        <v>1</v>
      </c>
    </row>
    <row r="21" spans="1:4" x14ac:dyDescent="0.25">
      <c r="A21" s="66">
        <v>6023231</v>
      </c>
      <c r="B21" s="66" t="s">
        <v>3199</v>
      </c>
      <c r="C21" s="66" t="s">
        <v>1523</v>
      </c>
      <c r="D21" s="66">
        <v>1</v>
      </c>
    </row>
    <row r="22" spans="1:4" x14ac:dyDescent="0.25">
      <c r="A22" s="66">
        <v>6045127</v>
      </c>
      <c r="B22" s="66" t="s">
        <v>3199</v>
      </c>
      <c r="C22" s="66" t="s">
        <v>1523</v>
      </c>
      <c r="D22" s="66">
        <v>1</v>
      </c>
    </row>
    <row r="23" spans="1:4" x14ac:dyDescent="0.25">
      <c r="A23" s="66">
        <v>7000458</v>
      </c>
      <c r="B23" s="66" t="s">
        <v>3199</v>
      </c>
      <c r="C23" s="66" t="s">
        <v>175</v>
      </c>
      <c r="D23" s="66">
        <v>1</v>
      </c>
    </row>
    <row r="24" spans="1:4" x14ac:dyDescent="0.25">
      <c r="A24" s="66">
        <v>9016278</v>
      </c>
      <c r="B24" s="66" t="s">
        <v>3199</v>
      </c>
      <c r="C24" s="66" t="s">
        <v>3205</v>
      </c>
      <c r="D24" s="66">
        <v>3</v>
      </c>
    </row>
    <row r="25" spans="1:4" x14ac:dyDescent="0.25">
      <c r="A25" s="66">
        <v>9039416</v>
      </c>
      <c r="B25" s="66" t="s">
        <v>3199</v>
      </c>
      <c r="C25" s="66" t="s">
        <v>3206</v>
      </c>
      <c r="D25" s="66">
        <v>3</v>
      </c>
    </row>
    <row r="26" spans="1:4" x14ac:dyDescent="0.25">
      <c r="A26" s="66">
        <v>9042861</v>
      </c>
      <c r="B26" s="66" t="s">
        <v>3199</v>
      </c>
      <c r="C26" s="66" t="s">
        <v>3207</v>
      </c>
      <c r="D26" s="66">
        <v>3</v>
      </c>
    </row>
    <row r="27" spans="1:4" x14ac:dyDescent="0.25">
      <c r="A27" s="66">
        <v>9052398</v>
      </c>
      <c r="B27" s="66" t="s">
        <v>3199</v>
      </c>
      <c r="C27" s="66" t="s">
        <v>585</v>
      </c>
      <c r="D27" s="66">
        <v>1</v>
      </c>
    </row>
    <row r="28" spans="1:4" x14ac:dyDescent="0.25">
      <c r="A28" s="66">
        <v>9085204</v>
      </c>
      <c r="B28" s="66" t="s">
        <v>3199</v>
      </c>
      <c r="C28" s="66" t="s">
        <v>910</v>
      </c>
      <c r="D28" s="66">
        <v>1</v>
      </c>
    </row>
    <row r="29" spans="1:4" x14ac:dyDescent="0.25">
      <c r="A29" s="66">
        <v>10030897</v>
      </c>
      <c r="B29" s="66" t="s">
        <v>3199</v>
      </c>
      <c r="C29" s="66" t="s">
        <v>3208</v>
      </c>
      <c r="D29" s="66">
        <v>6</v>
      </c>
    </row>
    <row r="30" spans="1:4" x14ac:dyDescent="0.25">
      <c r="A30" s="66">
        <v>1007631</v>
      </c>
      <c r="B30" s="66" t="s">
        <v>3199</v>
      </c>
      <c r="C30" s="66" t="s">
        <v>1108</v>
      </c>
      <c r="D30" s="66">
        <v>1</v>
      </c>
    </row>
    <row r="31" spans="1:4" x14ac:dyDescent="0.25">
      <c r="A31" s="66">
        <v>1009760</v>
      </c>
      <c r="B31" s="66" t="s">
        <v>3199</v>
      </c>
      <c r="C31" s="66" t="s">
        <v>3209</v>
      </c>
      <c r="D31" s="66">
        <v>4</v>
      </c>
    </row>
    <row r="32" spans="1:4" x14ac:dyDescent="0.25">
      <c r="A32" s="66">
        <v>2000646</v>
      </c>
      <c r="B32" s="66" t="s">
        <v>3199</v>
      </c>
      <c r="C32" s="66" t="s">
        <v>3210</v>
      </c>
      <c r="D32" s="66">
        <v>5</v>
      </c>
    </row>
    <row r="33" spans="1:4" x14ac:dyDescent="0.25">
      <c r="A33" s="66">
        <v>3005132</v>
      </c>
      <c r="B33" s="66" t="s">
        <v>3199</v>
      </c>
      <c r="C33" s="66" t="s">
        <v>577</v>
      </c>
      <c r="D33" s="66">
        <v>1</v>
      </c>
    </row>
    <row r="34" spans="1:4" x14ac:dyDescent="0.25">
      <c r="A34" s="66">
        <v>3900219</v>
      </c>
      <c r="B34" s="66" t="s">
        <v>3199</v>
      </c>
      <c r="C34" s="66" t="s">
        <v>1524</v>
      </c>
      <c r="D34" s="66">
        <v>1</v>
      </c>
    </row>
    <row r="35" spans="1:4" x14ac:dyDescent="0.25">
      <c r="A35" s="66">
        <v>4008140</v>
      </c>
      <c r="B35" s="66" t="s">
        <v>3199</v>
      </c>
      <c r="C35" s="66" t="s">
        <v>1523</v>
      </c>
      <c r="D35" s="66">
        <v>1</v>
      </c>
    </row>
    <row r="36" spans="1:4" x14ac:dyDescent="0.25">
      <c r="A36" s="66">
        <v>4009906</v>
      </c>
      <c r="B36" s="66" t="s">
        <v>3199</v>
      </c>
      <c r="C36" s="66" t="s">
        <v>1108</v>
      </c>
      <c r="D36" s="66">
        <v>1</v>
      </c>
    </row>
    <row r="37" spans="1:4" x14ac:dyDescent="0.25">
      <c r="A37" s="66">
        <v>4011027</v>
      </c>
      <c r="B37" s="66" t="s">
        <v>3199</v>
      </c>
      <c r="C37" s="66" t="s">
        <v>585</v>
      </c>
      <c r="D37" s="66">
        <v>1</v>
      </c>
    </row>
    <row r="38" spans="1:4" x14ac:dyDescent="0.25">
      <c r="A38" s="66">
        <v>5004654</v>
      </c>
      <c r="B38" s="66" t="s">
        <v>3199</v>
      </c>
      <c r="C38" s="66" t="s">
        <v>3211</v>
      </c>
      <c r="D38" s="66">
        <v>4</v>
      </c>
    </row>
    <row r="39" spans="1:4" x14ac:dyDescent="0.25">
      <c r="A39" s="66">
        <v>500245</v>
      </c>
      <c r="B39" s="66" t="s">
        <v>3199</v>
      </c>
      <c r="C39" s="66" t="s">
        <v>3212</v>
      </c>
      <c r="D39" s="66">
        <v>3</v>
      </c>
    </row>
    <row r="40" spans="1:4" x14ac:dyDescent="0.25">
      <c r="A40" s="66">
        <v>2005572</v>
      </c>
      <c r="B40" s="66" t="s">
        <v>3199</v>
      </c>
      <c r="C40" s="66" t="s">
        <v>3213</v>
      </c>
      <c r="D40" s="66">
        <v>2</v>
      </c>
    </row>
    <row r="41" spans="1:4" x14ac:dyDescent="0.25">
      <c r="A41" s="66">
        <v>3010583</v>
      </c>
      <c r="B41" s="66" t="s">
        <v>3199</v>
      </c>
      <c r="C41" s="66" t="s">
        <v>577</v>
      </c>
      <c r="D41" s="66">
        <v>1</v>
      </c>
    </row>
    <row r="42" spans="1:4" x14ac:dyDescent="0.25">
      <c r="A42" s="66">
        <v>3011892</v>
      </c>
      <c r="B42" s="66" t="s">
        <v>3199</v>
      </c>
      <c r="C42" s="66" t="s">
        <v>3214</v>
      </c>
      <c r="D42" s="66">
        <v>2</v>
      </c>
    </row>
    <row r="43" spans="1:4" x14ac:dyDescent="0.25">
      <c r="A43" s="66">
        <v>4001382</v>
      </c>
      <c r="B43" s="66" t="s">
        <v>3199</v>
      </c>
      <c r="C43" s="66" t="s">
        <v>3215</v>
      </c>
      <c r="D43" s="66">
        <v>2</v>
      </c>
    </row>
    <row r="44" spans="1:4" x14ac:dyDescent="0.25">
      <c r="A44" s="66">
        <v>5015851</v>
      </c>
      <c r="B44" s="66" t="s">
        <v>3199</v>
      </c>
      <c r="C44" s="66" t="s">
        <v>3216</v>
      </c>
      <c r="D44" s="66">
        <v>2</v>
      </c>
    </row>
    <row r="45" spans="1:4" x14ac:dyDescent="0.25">
      <c r="A45" s="66">
        <v>6015647</v>
      </c>
      <c r="B45" s="66" t="s">
        <v>3199</v>
      </c>
      <c r="C45" s="66" t="s">
        <v>3217</v>
      </c>
      <c r="D45" s="66">
        <v>6</v>
      </c>
    </row>
    <row r="46" spans="1:4" x14ac:dyDescent="0.25">
      <c r="A46" s="66">
        <v>9030615</v>
      </c>
      <c r="B46" s="66" t="s">
        <v>3199</v>
      </c>
      <c r="C46" s="66" t="s">
        <v>3218</v>
      </c>
      <c r="D46" s="66">
        <v>2</v>
      </c>
    </row>
    <row r="47" spans="1:4" x14ac:dyDescent="0.25">
      <c r="A47" s="66">
        <v>9034464</v>
      </c>
      <c r="B47" s="66" t="s">
        <v>3199</v>
      </c>
      <c r="C47" s="66" t="s">
        <v>3219</v>
      </c>
      <c r="D47" s="66">
        <v>4</v>
      </c>
    </row>
    <row r="48" spans="1:4" x14ac:dyDescent="0.25">
      <c r="A48" s="66">
        <v>9040167</v>
      </c>
      <c r="B48" s="66" t="s">
        <v>3199</v>
      </c>
      <c r="C48" s="66" t="s">
        <v>854</v>
      </c>
      <c r="D48" s="66">
        <v>1</v>
      </c>
    </row>
    <row r="49" spans="1:4" x14ac:dyDescent="0.25">
      <c r="A49" s="66">
        <v>9083682</v>
      </c>
      <c r="B49" s="66" t="s">
        <v>3199</v>
      </c>
      <c r="C49" s="66" t="s">
        <v>1523</v>
      </c>
      <c r="D49" s="66">
        <v>1</v>
      </c>
    </row>
    <row r="50" spans="1:4" x14ac:dyDescent="0.25">
      <c r="A50" s="66">
        <v>10002875</v>
      </c>
      <c r="B50" s="66" t="s">
        <v>3199</v>
      </c>
      <c r="C50" s="66" t="s">
        <v>3220</v>
      </c>
      <c r="D50" s="66">
        <v>5</v>
      </c>
    </row>
    <row r="51" spans="1:4" x14ac:dyDescent="0.25">
      <c r="A51">
        <v>10071135</v>
      </c>
      <c r="B51" s="66" t="s">
        <v>3199</v>
      </c>
      <c r="C51" t="s">
        <v>3221</v>
      </c>
      <c r="D51">
        <v>4</v>
      </c>
    </row>
    <row r="52" spans="1:4" x14ac:dyDescent="0.25">
      <c r="A52">
        <v>10102021</v>
      </c>
      <c r="B52" s="66" t="s">
        <v>3199</v>
      </c>
      <c r="C52" t="s">
        <v>3222</v>
      </c>
      <c r="D52">
        <v>2</v>
      </c>
    </row>
    <row r="53" spans="1:4" x14ac:dyDescent="0.25">
      <c r="A53">
        <v>500129</v>
      </c>
      <c r="B53" s="66" t="s">
        <v>3199</v>
      </c>
      <c r="C53" t="s">
        <v>175</v>
      </c>
      <c r="D53">
        <v>1</v>
      </c>
    </row>
    <row r="54" spans="1:4" x14ac:dyDescent="0.25">
      <c r="A54">
        <v>2005223</v>
      </c>
      <c r="B54" s="66" t="s">
        <v>3199</v>
      </c>
      <c r="C54" t="s">
        <v>577</v>
      </c>
      <c r="D54">
        <v>1</v>
      </c>
    </row>
    <row r="55" spans="1:4" x14ac:dyDescent="0.25">
      <c r="A55">
        <v>2012014</v>
      </c>
      <c r="B55" s="66" t="s">
        <v>3199</v>
      </c>
      <c r="C55" t="s">
        <v>1836</v>
      </c>
      <c r="D55">
        <v>1</v>
      </c>
    </row>
    <row r="56" spans="1:4" x14ac:dyDescent="0.25">
      <c r="A56">
        <v>3000152</v>
      </c>
      <c r="B56" s="66" t="s">
        <v>3199</v>
      </c>
      <c r="C56" t="s">
        <v>1523</v>
      </c>
      <c r="D56">
        <v>1</v>
      </c>
    </row>
    <row r="57" spans="1:4" x14ac:dyDescent="0.25">
      <c r="A57">
        <v>3014566</v>
      </c>
      <c r="B57" s="66" t="s">
        <v>3199</v>
      </c>
      <c r="C57" t="s">
        <v>577</v>
      </c>
      <c r="D57">
        <v>1</v>
      </c>
    </row>
    <row r="58" spans="1:4" x14ac:dyDescent="0.25">
      <c r="A58">
        <v>3015058</v>
      </c>
      <c r="B58" s="66" t="s">
        <v>3199</v>
      </c>
      <c r="C58" t="s">
        <v>3223</v>
      </c>
      <c r="D58">
        <v>7</v>
      </c>
    </row>
    <row r="59" spans="1:4" x14ac:dyDescent="0.25">
      <c r="A59">
        <v>4000996</v>
      </c>
      <c r="B59" s="66" t="s">
        <v>3199</v>
      </c>
      <c r="C59" t="s">
        <v>1108</v>
      </c>
      <c r="D59">
        <v>1</v>
      </c>
    </row>
    <row r="60" spans="1:4" x14ac:dyDescent="0.25">
      <c r="A60">
        <v>4003768</v>
      </c>
      <c r="B60" s="66" t="s">
        <v>3199</v>
      </c>
      <c r="C60" t="s">
        <v>168</v>
      </c>
      <c r="D60">
        <v>1</v>
      </c>
    </row>
    <row r="61" spans="1:4" x14ac:dyDescent="0.25">
      <c r="A61">
        <v>4006540</v>
      </c>
      <c r="B61" s="66" t="s">
        <v>3199</v>
      </c>
      <c r="C61" t="s">
        <v>581</v>
      </c>
      <c r="D61">
        <v>1</v>
      </c>
    </row>
    <row r="62" spans="1:4" x14ac:dyDescent="0.25">
      <c r="A62">
        <v>4007054</v>
      </c>
      <c r="B62" s="66" t="s">
        <v>3199</v>
      </c>
      <c r="C62" t="s">
        <v>1525</v>
      </c>
      <c r="D62">
        <v>1</v>
      </c>
    </row>
    <row r="63" spans="1:4" x14ac:dyDescent="0.25">
      <c r="A63">
        <v>4011002</v>
      </c>
      <c r="B63" s="66" t="s">
        <v>3199</v>
      </c>
      <c r="C63" t="s">
        <v>3224</v>
      </c>
      <c r="D63">
        <v>4</v>
      </c>
    </row>
    <row r="64" spans="1:4" x14ac:dyDescent="0.25">
      <c r="A64">
        <v>5001097</v>
      </c>
      <c r="B64" s="66" t="s">
        <v>3199</v>
      </c>
      <c r="C64" t="s">
        <v>3225</v>
      </c>
      <c r="D64">
        <v>4</v>
      </c>
    </row>
    <row r="65" spans="1:4" x14ac:dyDescent="0.25">
      <c r="A65">
        <v>5001098</v>
      </c>
      <c r="B65" s="66" t="s">
        <v>3199</v>
      </c>
      <c r="C65" t="s">
        <v>3226</v>
      </c>
      <c r="D65">
        <v>3</v>
      </c>
    </row>
    <row r="66" spans="1:4" x14ac:dyDescent="0.25">
      <c r="A66">
        <v>6012361</v>
      </c>
      <c r="B66" s="66" t="s">
        <v>3199</v>
      </c>
      <c r="C66" t="s">
        <v>3218</v>
      </c>
      <c r="D66">
        <v>2</v>
      </c>
    </row>
    <row r="67" spans="1:4" x14ac:dyDescent="0.25">
      <c r="A67">
        <v>6015793</v>
      </c>
      <c r="B67" s="66" t="s">
        <v>3199</v>
      </c>
      <c r="C67" t="s">
        <v>3227</v>
      </c>
      <c r="D67">
        <v>4</v>
      </c>
    </row>
    <row r="68" spans="1:4" x14ac:dyDescent="0.25">
      <c r="A68">
        <v>7011435</v>
      </c>
      <c r="B68" s="66" t="s">
        <v>3199</v>
      </c>
      <c r="C68" t="s">
        <v>3228</v>
      </c>
      <c r="D68">
        <v>3</v>
      </c>
    </row>
    <row r="69" spans="1:4" x14ac:dyDescent="0.25">
      <c r="A69">
        <v>8089666</v>
      </c>
      <c r="B69" s="66" t="s">
        <v>3199</v>
      </c>
      <c r="C69" t="s">
        <v>3229</v>
      </c>
      <c r="D69">
        <v>5</v>
      </c>
    </row>
    <row r="70" spans="1:4" x14ac:dyDescent="0.25">
      <c r="A70">
        <v>9003267</v>
      </c>
      <c r="B70" s="66" t="s">
        <v>3199</v>
      </c>
      <c r="C70" t="s">
        <v>3230</v>
      </c>
      <c r="D70">
        <v>2</v>
      </c>
    </row>
    <row r="71" spans="1:4" x14ac:dyDescent="0.25">
      <c r="A71">
        <v>9036964</v>
      </c>
      <c r="B71" s="66" t="s">
        <v>3199</v>
      </c>
      <c r="C71" t="s">
        <v>3231</v>
      </c>
      <c r="D71">
        <v>2</v>
      </c>
    </row>
    <row r="72" spans="1:4" x14ac:dyDescent="0.25">
      <c r="A72">
        <v>9090287</v>
      </c>
      <c r="B72" s="66" t="s">
        <v>3199</v>
      </c>
      <c r="C72" t="s">
        <v>3232</v>
      </c>
      <c r="D72">
        <v>2</v>
      </c>
    </row>
    <row r="73" spans="1:4" x14ac:dyDescent="0.25">
      <c r="A73">
        <v>9095148</v>
      </c>
      <c r="B73" s="66" t="s">
        <v>3199</v>
      </c>
      <c r="C73" t="s">
        <v>3233</v>
      </c>
      <c r="D73">
        <v>4</v>
      </c>
    </row>
    <row r="74" spans="1:4" x14ac:dyDescent="0.25">
      <c r="A74">
        <v>10020659</v>
      </c>
      <c r="B74" s="66" t="s">
        <v>3199</v>
      </c>
      <c r="C74" t="s">
        <v>577</v>
      </c>
      <c r="D74">
        <v>1</v>
      </c>
    </row>
    <row r="75" spans="1:4" x14ac:dyDescent="0.25">
      <c r="A75">
        <v>10025902</v>
      </c>
      <c r="B75" s="66" t="s">
        <v>3199</v>
      </c>
      <c r="C75" t="s">
        <v>3234</v>
      </c>
      <c r="D75">
        <v>4</v>
      </c>
    </row>
    <row r="76" spans="1:4" x14ac:dyDescent="0.25">
      <c r="A76">
        <v>10129565</v>
      </c>
      <c r="B76" s="66" t="s">
        <v>3199</v>
      </c>
      <c r="C76" t="s">
        <v>3235</v>
      </c>
      <c r="D76">
        <v>3</v>
      </c>
    </row>
    <row r="77" spans="1:4" x14ac:dyDescent="0.25">
      <c r="A77">
        <v>10163776</v>
      </c>
      <c r="B77" s="66" t="s">
        <v>3199</v>
      </c>
      <c r="C77" t="s">
        <v>577</v>
      </c>
      <c r="D77">
        <v>1</v>
      </c>
    </row>
    <row r="78" spans="1:4" x14ac:dyDescent="0.25">
      <c r="A78">
        <v>10173664</v>
      </c>
      <c r="B78" s="66" t="s">
        <v>3199</v>
      </c>
      <c r="C78" t="s">
        <v>3236</v>
      </c>
      <c r="D78">
        <v>2</v>
      </c>
    </row>
  </sheetData>
  <phoneticPr fontId="6" type="noConversion"/>
  <pageMargins left="0.7" right="0.7" top="0.78740157499999996" bottom="0.78740157499999996" header="0.3" footer="0.3"/>
  <tableParts count="1">
    <tablePart r:id="rId1"/>
  </tableParts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239"/>
  <sheetViews>
    <sheetView workbookViewId="0">
      <selection sqref="A1:AE239"/>
    </sheetView>
  </sheetViews>
  <sheetFormatPr defaultColWidth="11.42578125" defaultRowHeight="15" x14ac:dyDescent="0.25"/>
  <cols>
    <col min="1" max="1" width="17.140625" customWidth="1"/>
    <col min="2" max="2" width="45.140625" customWidth="1"/>
    <col min="3" max="4" width="44.140625" customWidth="1"/>
    <col min="5" max="8" width="37" customWidth="1"/>
    <col min="9" max="9" width="35.85546875" customWidth="1"/>
    <col min="10" max="10" width="35.140625" customWidth="1"/>
    <col min="11" max="11" width="26.5703125" customWidth="1"/>
    <col min="12" max="14" width="14.28515625" customWidth="1"/>
    <col min="15" max="15" width="21.85546875" customWidth="1"/>
    <col min="16" max="16" width="14.28515625" customWidth="1"/>
    <col min="17" max="18" width="17.28515625" customWidth="1"/>
    <col min="19" max="19" width="24.85546875" customWidth="1"/>
    <col min="20" max="21" width="17.28515625" customWidth="1"/>
    <col min="22" max="22" width="16.85546875" customWidth="1"/>
    <col min="23" max="23" width="24.42578125" customWidth="1"/>
    <col min="24" max="25" width="16.85546875" customWidth="1"/>
    <col min="26" max="26" width="24.42578125" customWidth="1"/>
    <col min="27" max="27" width="16.85546875" customWidth="1"/>
    <col min="28" max="30" width="19.5703125" customWidth="1"/>
    <col min="31" max="31" width="27.140625" customWidth="1"/>
  </cols>
  <sheetData>
    <row r="1" spans="1:31" ht="75" x14ac:dyDescent="0.25">
      <c r="A1" s="61" t="s">
        <v>59</v>
      </c>
      <c r="B1" s="62" t="s">
        <v>1886</v>
      </c>
      <c r="C1" s="62" t="s">
        <v>1887</v>
      </c>
      <c r="D1" s="62" t="s">
        <v>1533</v>
      </c>
      <c r="E1" s="62" t="s">
        <v>1958</v>
      </c>
      <c r="F1" s="62" t="s">
        <v>1888</v>
      </c>
      <c r="G1" s="62" t="s">
        <v>2403</v>
      </c>
      <c r="H1" s="62" t="s">
        <v>859</v>
      </c>
      <c r="I1" s="62" t="s">
        <v>2404</v>
      </c>
      <c r="J1" s="62" t="s">
        <v>1534</v>
      </c>
      <c r="K1" s="63" t="s">
        <v>1154</v>
      </c>
      <c r="L1" s="62" t="s">
        <v>918</v>
      </c>
      <c r="M1" s="62" t="s">
        <v>860</v>
      </c>
      <c r="N1" s="62" t="s">
        <v>1269</v>
      </c>
      <c r="O1" s="62" t="s">
        <v>1535</v>
      </c>
      <c r="P1" s="62" t="s">
        <v>1889</v>
      </c>
      <c r="Q1" s="62" t="s">
        <v>919</v>
      </c>
      <c r="R1" s="62" t="s">
        <v>1155</v>
      </c>
      <c r="S1" s="62" t="s">
        <v>1536</v>
      </c>
      <c r="T1" s="62" t="s">
        <v>920</v>
      </c>
      <c r="U1" s="62" t="s">
        <v>647</v>
      </c>
      <c r="V1" s="62" t="s">
        <v>73</v>
      </c>
      <c r="W1" s="62" t="s">
        <v>1537</v>
      </c>
      <c r="X1" s="62" t="s">
        <v>74</v>
      </c>
      <c r="Y1" s="62" t="s">
        <v>880</v>
      </c>
      <c r="Z1" s="62" t="s">
        <v>1538</v>
      </c>
      <c r="AA1" s="62" t="s">
        <v>1059</v>
      </c>
      <c r="AB1" s="62" t="s">
        <v>1820</v>
      </c>
      <c r="AC1" s="62" t="s">
        <v>1821</v>
      </c>
      <c r="AD1" s="62" t="s">
        <v>2313</v>
      </c>
      <c r="AE1" s="62" t="s">
        <v>1539</v>
      </c>
    </row>
    <row r="2" spans="1:31" x14ac:dyDescent="0.25">
      <c r="A2" s="40" t="s">
        <v>561</v>
      </c>
    </row>
    <row r="3" spans="1:31" x14ac:dyDescent="0.25">
      <c r="A3" s="10" t="s">
        <v>2519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</row>
    <row r="4" spans="1:31" x14ac:dyDescent="0.25">
      <c r="A4">
        <v>7072184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</row>
    <row r="5" spans="1:31" x14ac:dyDescent="0.25">
      <c r="A5">
        <v>9108231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</row>
    <row r="6" spans="1:31" x14ac:dyDescent="0.25">
      <c r="A6">
        <v>12061933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</row>
    <row r="7" spans="1:31" x14ac:dyDescent="0.25">
      <c r="A7">
        <v>95005911</v>
      </c>
    </row>
    <row r="8" spans="1:31" x14ac:dyDescent="0.25">
      <c r="A8">
        <v>99001908</v>
      </c>
    </row>
    <row r="9" spans="1:31" x14ac:dyDescent="0.25">
      <c r="A9">
        <v>99004067</v>
      </c>
      <c r="J9">
        <v>114.2</v>
      </c>
    </row>
    <row r="10" spans="1:31" x14ac:dyDescent="0.25">
      <c r="A10">
        <v>97002136</v>
      </c>
    </row>
    <row r="11" spans="1:31" x14ac:dyDescent="0.25">
      <c r="A11">
        <v>1502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</row>
    <row r="12" spans="1:31" x14ac:dyDescent="0.25">
      <c r="A12">
        <v>4003543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</row>
    <row r="13" spans="1:31" x14ac:dyDescent="0.25">
      <c r="A13">
        <v>4900261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</row>
    <row r="15" spans="1:31" x14ac:dyDescent="0.25">
      <c r="A15" s="10" t="s">
        <v>2520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</row>
    <row r="16" spans="1:31" x14ac:dyDescent="0.25">
      <c r="A16">
        <v>14242856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</row>
    <row r="17" spans="1:31" x14ac:dyDescent="0.25">
      <c r="A17">
        <v>99001183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</row>
    <row r="18" spans="1:31" x14ac:dyDescent="0.25">
      <c r="A18">
        <v>3000983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</row>
    <row r="19" spans="1:31" x14ac:dyDescent="0.25">
      <c r="A19">
        <v>10064335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>
        <v>125</v>
      </c>
      <c r="V19">
        <v>140</v>
      </c>
      <c r="X19">
        <v>107</v>
      </c>
      <c r="AB19">
        <v>98</v>
      </c>
    </row>
    <row r="20" spans="1:31" x14ac:dyDescent="0.25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</row>
    <row r="21" spans="1:31" x14ac:dyDescent="0.25">
      <c r="A21" s="10" t="s">
        <v>2521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</row>
    <row r="22" spans="1:31" x14ac:dyDescent="0.25">
      <c r="A22">
        <v>1480</v>
      </c>
    </row>
    <row r="23" spans="1:31" x14ac:dyDescent="0.25">
      <c r="A23">
        <v>7063959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</row>
    <row r="24" spans="1:31" x14ac:dyDescent="0.25">
      <c r="A24">
        <v>1003215</v>
      </c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</row>
    <row r="25" spans="1:31" x14ac:dyDescent="0.25">
      <c r="A25">
        <v>99000802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</row>
    <row r="26" spans="1:31" x14ac:dyDescent="0.25">
      <c r="A26">
        <v>99000892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</row>
    <row r="27" spans="1:31" x14ac:dyDescent="0.25">
      <c r="A27">
        <v>1000192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</row>
    <row r="28" spans="1:31" x14ac:dyDescent="0.25">
      <c r="A28">
        <v>1506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</row>
    <row r="29" spans="1:31" x14ac:dyDescent="0.25">
      <c r="A29">
        <v>99000894</v>
      </c>
      <c r="B29" s="6"/>
      <c r="C29" s="6"/>
      <c r="J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</row>
    <row r="30" spans="1:31" x14ac:dyDescent="0.25">
      <c r="A30">
        <v>99000897</v>
      </c>
    </row>
    <row r="31" spans="1:31" x14ac:dyDescent="0.25">
      <c r="A31">
        <v>99001245</v>
      </c>
    </row>
    <row r="32" spans="1:31" x14ac:dyDescent="0.25">
      <c r="A32">
        <v>99001902</v>
      </c>
    </row>
    <row r="33" spans="1:31" x14ac:dyDescent="0.25">
      <c r="A33">
        <v>99001912</v>
      </c>
    </row>
    <row r="34" spans="1:31" x14ac:dyDescent="0.25">
      <c r="A34">
        <v>99001913</v>
      </c>
    </row>
    <row r="35" spans="1:31" x14ac:dyDescent="0.25">
      <c r="A35">
        <v>99001937</v>
      </c>
    </row>
    <row r="36" spans="1:31" x14ac:dyDescent="0.25">
      <c r="A36">
        <v>99001943</v>
      </c>
    </row>
    <row r="37" spans="1:31" x14ac:dyDescent="0.25">
      <c r="A37">
        <v>99001927</v>
      </c>
    </row>
    <row r="38" spans="1:31" x14ac:dyDescent="0.25">
      <c r="A38">
        <v>1505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</row>
    <row r="39" spans="1:31" x14ac:dyDescent="0.25">
      <c r="A39">
        <v>1000197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</row>
    <row r="40" spans="1:31" x14ac:dyDescent="0.25">
      <c r="A40">
        <v>96018835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>
        <v>32.5</v>
      </c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</row>
    <row r="41" spans="1:31" x14ac:dyDescent="0.25">
      <c r="A41">
        <v>98008326</v>
      </c>
      <c r="B41" s="6"/>
      <c r="C41" s="6"/>
      <c r="D41">
        <v>25.4</v>
      </c>
      <c r="J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</row>
    <row r="42" spans="1:31" x14ac:dyDescent="0.25">
      <c r="A42">
        <v>99000717</v>
      </c>
      <c r="B42" s="6"/>
      <c r="C42" s="6"/>
      <c r="J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</row>
    <row r="43" spans="1:31" x14ac:dyDescent="0.25">
      <c r="B43" s="6"/>
      <c r="C43" s="6"/>
      <c r="J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</row>
    <row r="44" spans="1:31" x14ac:dyDescent="0.25">
      <c r="A44" s="25" t="s">
        <v>169</v>
      </c>
    </row>
    <row r="45" spans="1:31" x14ac:dyDescent="0.25">
      <c r="A45" s="10" t="s">
        <v>143</v>
      </c>
    </row>
    <row r="46" spans="1:31" x14ac:dyDescent="0.25">
      <c r="A46">
        <v>6016435</v>
      </c>
    </row>
    <row r="47" spans="1:31" x14ac:dyDescent="0.25">
      <c r="A47">
        <v>8045149</v>
      </c>
    </row>
    <row r="48" spans="1:31" x14ac:dyDescent="0.25">
      <c r="A48">
        <v>10023001</v>
      </c>
    </row>
    <row r="49" spans="1:26" x14ac:dyDescent="0.25">
      <c r="A49">
        <v>10027526</v>
      </c>
    </row>
    <row r="50" spans="1:26" x14ac:dyDescent="0.25">
      <c r="A50">
        <v>14222171</v>
      </c>
    </row>
    <row r="51" spans="1:26" x14ac:dyDescent="0.25">
      <c r="A51">
        <v>1006143</v>
      </c>
    </row>
    <row r="52" spans="1:26" x14ac:dyDescent="0.25">
      <c r="A52">
        <v>6006917</v>
      </c>
    </row>
    <row r="54" spans="1:26" x14ac:dyDescent="0.25">
      <c r="A54" s="10" t="s">
        <v>146</v>
      </c>
    </row>
    <row r="55" spans="1:26" x14ac:dyDescent="0.25">
      <c r="A55">
        <v>8057159</v>
      </c>
    </row>
    <row r="56" spans="1:26" x14ac:dyDescent="0.25">
      <c r="A56">
        <v>9140312</v>
      </c>
    </row>
    <row r="57" spans="1:26" x14ac:dyDescent="0.25">
      <c r="A57">
        <v>12008230</v>
      </c>
    </row>
    <row r="58" spans="1:26" x14ac:dyDescent="0.25">
      <c r="A58">
        <v>12088444</v>
      </c>
    </row>
    <row r="59" spans="1:26" x14ac:dyDescent="0.25">
      <c r="A59">
        <v>13118872</v>
      </c>
    </row>
    <row r="60" spans="1:26" x14ac:dyDescent="0.25">
      <c r="A60">
        <v>12012030</v>
      </c>
      <c r="U60">
        <v>33</v>
      </c>
      <c r="Z60">
        <v>33</v>
      </c>
    </row>
    <row r="62" spans="1:26" x14ac:dyDescent="0.25">
      <c r="A62" s="10" t="s">
        <v>120</v>
      </c>
    </row>
    <row r="63" spans="1:26" x14ac:dyDescent="0.25">
      <c r="A63">
        <v>9074418</v>
      </c>
    </row>
    <row r="64" spans="1:26" x14ac:dyDescent="0.25">
      <c r="A64">
        <v>1263</v>
      </c>
    </row>
    <row r="65" spans="1:31" x14ac:dyDescent="0.25">
      <c r="A65">
        <v>98004910</v>
      </c>
    </row>
    <row r="66" spans="1:31" x14ac:dyDescent="0.25">
      <c r="A66">
        <v>7103068</v>
      </c>
    </row>
    <row r="67" spans="1:31" x14ac:dyDescent="0.25">
      <c r="A67">
        <v>11240728</v>
      </c>
    </row>
    <row r="68" spans="1:31" x14ac:dyDescent="0.25">
      <c r="B68" s="6"/>
      <c r="C68" s="6"/>
      <c r="J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</row>
    <row r="69" spans="1:31" x14ac:dyDescent="0.25">
      <c r="A69" s="26" t="s">
        <v>170</v>
      </c>
    </row>
    <row r="70" spans="1:31" x14ac:dyDescent="0.25">
      <c r="A70" s="10" t="s">
        <v>143</v>
      </c>
    </row>
    <row r="71" spans="1:31" x14ac:dyDescent="0.25">
      <c r="A71">
        <v>5015869</v>
      </c>
    </row>
    <row r="72" spans="1:31" x14ac:dyDescent="0.25">
      <c r="A72">
        <v>5016969</v>
      </c>
    </row>
    <row r="73" spans="1:31" x14ac:dyDescent="0.25">
      <c r="A73">
        <v>6023231</v>
      </c>
    </row>
    <row r="74" spans="1:31" x14ac:dyDescent="0.25">
      <c r="A74">
        <v>6010712</v>
      </c>
    </row>
    <row r="75" spans="1:31" x14ac:dyDescent="0.25">
      <c r="A75">
        <v>6011198</v>
      </c>
    </row>
    <row r="76" spans="1:31" x14ac:dyDescent="0.25">
      <c r="A76">
        <v>6012681</v>
      </c>
    </row>
    <row r="77" spans="1:31" x14ac:dyDescent="0.25">
      <c r="A77">
        <v>6014511</v>
      </c>
    </row>
    <row r="78" spans="1:31" x14ac:dyDescent="0.25">
      <c r="A78">
        <v>6045127</v>
      </c>
      <c r="J78" s="3">
        <v>157.35720000000001</v>
      </c>
    </row>
    <row r="79" spans="1:31" x14ac:dyDescent="0.25">
      <c r="A79">
        <v>7000458</v>
      </c>
    </row>
    <row r="80" spans="1:31" x14ac:dyDescent="0.25">
      <c r="A80">
        <v>7015502</v>
      </c>
    </row>
    <row r="81" spans="1:1" x14ac:dyDescent="0.25">
      <c r="A81">
        <v>7025847</v>
      </c>
    </row>
    <row r="82" spans="1:1" x14ac:dyDescent="0.25">
      <c r="A82">
        <v>7082707</v>
      </c>
    </row>
    <row r="83" spans="1:1" x14ac:dyDescent="0.25">
      <c r="A83">
        <v>7083159</v>
      </c>
    </row>
    <row r="84" spans="1:1" x14ac:dyDescent="0.25">
      <c r="A84">
        <v>7084659</v>
      </c>
    </row>
    <row r="85" spans="1:1" x14ac:dyDescent="0.25">
      <c r="A85">
        <v>7076814</v>
      </c>
    </row>
    <row r="86" spans="1:1" x14ac:dyDescent="0.25">
      <c r="A86">
        <v>7076815</v>
      </c>
    </row>
    <row r="87" spans="1:1" x14ac:dyDescent="0.25">
      <c r="A87">
        <v>7089231</v>
      </c>
    </row>
    <row r="88" spans="1:1" x14ac:dyDescent="0.25">
      <c r="A88">
        <v>7116004</v>
      </c>
    </row>
    <row r="89" spans="1:1" x14ac:dyDescent="0.25">
      <c r="A89">
        <v>8003819</v>
      </c>
    </row>
    <row r="90" spans="1:1" x14ac:dyDescent="0.25">
      <c r="A90">
        <v>8091779</v>
      </c>
    </row>
    <row r="91" spans="1:1" x14ac:dyDescent="0.25">
      <c r="A91">
        <v>8097989</v>
      </c>
    </row>
    <row r="92" spans="1:1" x14ac:dyDescent="0.25">
      <c r="A92">
        <v>8112522</v>
      </c>
    </row>
    <row r="93" spans="1:1" x14ac:dyDescent="0.25">
      <c r="A93">
        <v>8127397</v>
      </c>
    </row>
    <row r="94" spans="1:1" x14ac:dyDescent="0.25">
      <c r="A94">
        <v>8130998</v>
      </c>
    </row>
    <row r="95" spans="1:1" x14ac:dyDescent="0.25">
      <c r="A95">
        <v>9002836</v>
      </c>
    </row>
    <row r="96" spans="1:1" x14ac:dyDescent="0.25">
      <c r="A96">
        <v>9003331</v>
      </c>
    </row>
    <row r="97" spans="1:25" x14ac:dyDescent="0.25">
      <c r="A97">
        <v>9003370</v>
      </c>
      <c r="K97" s="3">
        <v>37.837800000000001</v>
      </c>
      <c r="L97" s="3"/>
      <c r="M97" s="3"/>
      <c r="N97" s="3"/>
    </row>
    <row r="98" spans="1:25" x14ac:dyDescent="0.25">
      <c r="A98">
        <v>9016278</v>
      </c>
      <c r="D98" s="3">
        <v>72.072000000000003</v>
      </c>
      <c r="H98" s="3">
        <v>56.456400000000002</v>
      </c>
      <c r="M98" s="3">
        <v>54.654600000000002</v>
      </c>
    </row>
    <row r="99" spans="1:25" x14ac:dyDescent="0.25">
      <c r="A99">
        <v>9030684</v>
      </c>
      <c r="K99" s="3">
        <v>142.34219999999999</v>
      </c>
      <c r="O99" s="3">
        <v>29.429400000000001</v>
      </c>
    </row>
    <row r="100" spans="1:25" x14ac:dyDescent="0.25">
      <c r="A100">
        <v>9031387</v>
      </c>
      <c r="Y100" s="3">
        <v>64.864800000000002</v>
      </c>
    </row>
    <row r="101" spans="1:25" x14ac:dyDescent="0.25">
      <c r="A101">
        <v>9038676</v>
      </c>
    </row>
    <row r="102" spans="1:25" x14ac:dyDescent="0.25">
      <c r="A102">
        <v>9039416</v>
      </c>
    </row>
    <row r="103" spans="1:25" x14ac:dyDescent="0.25">
      <c r="A103">
        <v>9042861</v>
      </c>
    </row>
    <row r="104" spans="1:25" x14ac:dyDescent="0.25">
      <c r="A104">
        <v>9044899</v>
      </c>
    </row>
    <row r="105" spans="1:25" x14ac:dyDescent="0.25">
      <c r="A105">
        <v>9052398</v>
      </c>
      <c r="K105" s="3">
        <v>70.270200000000003</v>
      </c>
      <c r="L105" s="3"/>
      <c r="M105" s="3">
        <v>45.045000000000002</v>
      </c>
    </row>
    <row r="106" spans="1:25" x14ac:dyDescent="0.25">
      <c r="A106">
        <v>9085204</v>
      </c>
    </row>
    <row r="107" spans="1:25" x14ac:dyDescent="0.25">
      <c r="A107">
        <v>9090323</v>
      </c>
    </row>
    <row r="108" spans="1:25" x14ac:dyDescent="0.25">
      <c r="A108">
        <v>9105492</v>
      </c>
    </row>
    <row r="109" spans="1:25" x14ac:dyDescent="0.25">
      <c r="A109">
        <v>9138470</v>
      </c>
    </row>
    <row r="110" spans="1:25" x14ac:dyDescent="0.25">
      <c r="A110">
        <v>9150676</v>
      </c>
    </row>
    <row r="111" spans="1:25" x14ac:dyDescent="0.25">
      <c r="A111">
        <v>10010926</v>
      </c>
      <c r="L111" s="3">
        <v>324.32400000000001</v>
      </c>
      <c r="M111" s="3">
        <v>180.78059999999999</v>
      </c>
      <c r="N111" s="3"/>
      <c r="Q111" s="3">
        <v>345.94600000000003</v>
      </c>
      <c r="R111" s="3"/>
      <c r="T111" s="3">
        <v>329.72899999999998</v>
      </c>
    </row>
    <row r="112" spans="1:25" x14ac:dyDescent="0.25">
      <c r="A112">
        <v>10016588</v>
      </c>
    </row>
    <row r="113" spans="1:31" x14ac:dyDescent="0.25">
      <c r="A113">
        <v>10030897</v>
      </c>
    </row>
    <row r="114" spans="1:31" x14ac:dyDescent="0.25">
      <c r="A114">
        <v>324</v>
      </c>
      <c r="K114">
        <v>33</v>
      </c>
      <c r="AA114">
        <v>30.7</v>
      </c>
    </row>
    <row r="115" spans="1:31" x14ac:dyDescent="0.25">
      <c r="A115">
        <v>3909</v>
      </c>
      <c r="AE115">
        <v>49</v>
      </c>
    </row>
    <row r="116" spans="1:31" x14ac:dyDescent="0.25">
      <c r="A116">
        <v>4663</v>
      </c>
    </row>
    <row r="117" spans="1:31" x14ac:dyDescent="0.25">
      <c r="A117">
        <v>1005522</v>
      </c>
    </row>
    <row r="118" spans="1:31" x14ac:dyDescent="0.25">
      <c r="A118">
        <v>1007631</v>
      </c>
    </row>
    <row r="119" spans="1:31" x14ac:dyDescent="0.25">
      <c r="A119">
        <v>1009760</v>
      </c>
    </row>
    <row r="120" spans="1:31" x14ac:dyDescent="0.25">
      <c r="A120">
        <v>2000646</v>
      </c>
      <c r="K120">
        <v>45.5</v>
      </c>
      <c r="L120">
        <v>55</v>
      </c>
      <c r="Q120">
        <v>50</v>
      </c>
      <c r="R120">
        <v>42</v>
      </c>
      <c r="S120">
        <v>45</v>
      </c>
    </row>
    <row r="121" spans="1:31" x14ac:dyDescent="0.25">
      <c r="A121">
        <v>2003761</v>
      </c>
    </row>
    <row r="122" spans="1:31" x14ac:dyDescent="0.25">
      <c r="A122">
        <v>2004061</v>
      </c>
    </row>
    <row r="123" spans="1:31" x14ac:dyDescent="0.25">
      <c r="A123">
        <v>2006469</v>
      </c>
    </row>
    <row r="124" spans="1:31" x14ac:dyDescent="0.25">
      <c r="A124">
        <v>3005132</v>
      </c>
    </row>
    <row r="125" spans="1:31" x14ac:dyDescent="0.25">
      <c r="A125">
        <v>3009119</v>
      </c>
    </row>
    <row r="126" spans="1:31" x14ac:dyDescent="0.25">
      <c r="A126">
        <v>3009936</v>
      </c>
    </row>
    <row r="127" spans="1:31" x14ac:dyDescent="0.25">
      <c r="A127">
        <v>3011094</v>
      </c>
    </row>
    <row r="128" spans="1:31" x14ac:dyDescent="0.25">
      <c r="A128">
        <v>3014643</v>
      </c>
    </row>
    <row r="129" spans="1:17" x14ac:dyDescent="0.25">
      <c r="A129">
        <v>3016056</v>
      </c>
    </row>
    <row r="130" spans="1:17" x14ac:dyDescent="0.25">
      <c r="A130">
        <v>3900219</v>
      </c>
    </row>
    <row r="131" spans="1:17" x14ac:dyDescent="0.25">
      <c r="A131">
        <v>4000158</v>
      </c>
    </row>
    <row r="132" spans="1:17" x14ac:dyDescent="0.25">
      <c r="A132">
        <v>4000304</v>
      </c>
    </row>
    <row r="133" spans="1:17" x14ac:dyDescent="0.25">
      <c r="A133">
        <v>4001905</v>
      </c>
    </row>
    <row r="134" spans="1:17" x14ac:dyDescent="0.25">
      <c r="A134">
        <v>4002206</v>
      </c>
    </row>
    <row r="135" spans="1:17" x14ac:dyDescent="0.25">
      <c r="A135">
        <v>4002715</v>
      </c>
    </row>
    <row r="136" spans="1:17" x14ac:dyDescent="0.25">
      <c r="A136">
        <v>4003924</v>
      </c>
    </row>
    <row r="137" spans="1:17" x14ac:dyDescent="0.25">
      <c r="A137">
        <v>4006051</v>
      </c>
    </row>
    <row r="138" spans="1:17" x14ac:dyDescent="0.25">
      <c r="A138">
        <v>4008140</v>
      </c>
    </row>
    <row r="139" spans="1:17" x14ac:dyDescent="0.25">
      <c r="A139">
        <v>4009906</v>
      </c>
    </row>
    <row r="140" spans="1:17" x14ac:dyDescent="0.25">
      <c r="A140">
        <v>4011027</v>
      </c>
      <c r="M140" s="3">
        <v>67.872</v>
      </c>
      <c r="N140" s="3"/>
    </row>
    <row r="141" spans="1:17" x14ac:dyDescent="0.25">
      <c r="A141">
        <v>4011920</v>
      </c>
    </row>
    <row r="142" spans="1:17" x14ac:dyDescent="0.25">
      <c r="A142">
        <v>4012248</v>
      </c>
    </row>
    <row r="143" spans="1:17" x14ac:dyDescent="0.25">
      <c r="A143">
        <v>4013603</v>
      </c>
    </row>
    <row r="144" spans="1:17" x14ac:dyDescent="0.25">
      <c r="A144">
        <v>5004654</v>
      </c>
      <c r="L144" s="3">
        <v>3.6684999999999999</v>
      </c>
      <c r="Q144" s="3">
        <v>34.234200000000001</v>
      </c>
    </row>
    <row r="145" spans="1:23" x14ac:dyDescent="0.25">
      <c r="A145" s="65"/>
    </row>
    <row r="146" spans="1:23" x14ac:dyDescent="0.25">
      <c r="A146" s="10" t="s">
        <v>146</v>
      </c>
    </row>
    <row r="147" spans="1:23" x14ac:dyDescent="0.25">
      <c r="A147">
        <v>4289</v>
      </c>
      <c r="K147">
        <v>22</v>
      </c>
      <c r="L147">
        <v>73</v>
      </c>
      <c r="M147">
        <v>142</v>
      </c>
    </row>
    <row r="148" spans="1:23" x14ac:dyDescent="0.25">
      <c r="A148">
        <v>500245</v>
      </c>
      <c r="N148">
        <v>68</v>
      </c>
    </row>
    <row r="149" spans="1:23" x14ac:dyDescent="0.25">
      <c r="A149">
        <v>2002573</v>
      </c>
    </row>
    <row r="150" spans="1:23" x14ac:dyDescent="0.25">
      <c r="A150">
        <v>2003539</v>
      </c>
    </row>
    <row r="151" spans="1:23" x14ac:dyDescent="0.25">
      <c r="A151">
        <v>2003649</v>
      </c>
    </row>
    <row r="152" spans="1:23" x14ac:dyDescent="0.25">
      <c r="A152">
        <v>2005572</v>
      </c>
      <c r="K152" s="3">
        <v>29.184999999999999</v>
      </c>
    </row>
    <row r="153" spans="1:23" x14ac:dyDescent="0.25">
      <c r="A153">
        <v>2013117</v>
      </c>
    </row>
    <row r="154" spans="1:23" x14ac:dyDescent="0.25">
      <c r="A154">
        <v>3009633</v>
      </c>
    </row>
    <row r="155" spans="1:23" x14ac:dyDescent="0.25">
      <c r="A155">
        <v>3010583</v>
      </c>
    </row>
    <row r="156" spans="1:23" x14ac:dyDescent="0.25">
      <c r="A156" s="23">
        <v>3011892</v>
      </c>
      <c r="R156" s="3">
        <v>45.247999999999998</v>
      </c>
    </row>
    <row r="157" spans="1:23" x14ac:dyDescent="0.25">
      <c r="A157">
        <v>4001382</v>
      </c>
      <c r="V157" s="14">
        <v>5.5</v>
      </c>
      <c r="W157" s="14">
        <v>9.6666000000000007</v>
      </c>
    </row>
    <row r="158" spans="1:23" x14ac:dyDescent="0.25">
      <c r="A158">
        <v>5018675</v>
      </c>
    </row>
    <row r="159" spans="1:23" x14ac:dyDescent="0.25">
      <c r="A159">
        <v>6050168</v>
      </c>
    </row>
    <row r="160" spans="1:23" x14ac:dyDescent="0.25">
      <c r="A160">
        <v>5006592</v>
      </c>
    </row>
    <row r="161" spans="1:19" x14ac:dyDescent="0.25">
      <c r="A161">
        <v>5007274</v>
      </c>
    </row>
    <row r="162" spans="1:19" x14ac:dyDescent="0.25">
      <c r="A162">
        <v>5015851</v>
      </c>
    </row>
    <row r="163" spans="1:19" x14ac:dyDescent="0.25">
      <c r="A163">
        <v>6015647</v>
      </c>
      <c r="K163">
        <v>16.399999999999999</v>
      </c>
      <c r="L163">
        <v>14</v>
      </c>
      <c r="N163">
        <v>16</v>
      </c>
      <c r="P163">
        <v>18.600000000000001</v>
      </c>
      <c r="R163">
        <v>18</v>
      </c>
    </row>
    <row r="164" spans="1:19" x14ac:dyDescent="0.25">
      <c r="A164">
        <v>6056633</v>
      </c>
    </row>
    <row r="165" spans="1:19" x14ac:dyDescent="0.25">
      <c r="A165">
        <v>7086224</v>
      </c>
      <c r="S165" s="3">
        <v>58.822400000000002</v>
      </c>
    </row>
    <row r="166" spans="1:19" x14ac:dyDescent="0.25">
      <c r="A166">
        <v>8040959</v>
      </c>
    </row>
    <row r="167" spans="1:19" x14ac:dyDescent="0.25">
      <c r="A167">
        <v>8107048</v>
      </c>
    </row>
    <row r="168" spans="1:19" x14ac:dyDescent="0.25">
      <c r="A168">
        <v>8124044</v>
      </c>
    </row>
    <row r="169" spans="1:19" x14ac:dyDescent="0.25">
      <c r="A169">
        <v>8142949</v>
      </c>
    </row>
    <row r="170" spans="1:19" x14ac:dyDescent="0.25">
      <c r="A170">
        <v>9023306</v>
      </c>
    </row>
    <row r="171" spans="1:19" x14ac:dyDescent="0.25">
      <c r="A171">
        <v>9030615</v>
      </c>
      <c r="N171" s="3">
        <v>19.819800000000001</v>
      </c>
    </row>
    <row r="172" spans="1:19" x14ac:dyDescent="0.25">
      <c r="A172">
        <v>9034464</v>
      </c>
    </row>
    <row r="173" spans="1:19" x14ac:dyDescent="0.25">
      <c r="A173">
        <v>9040167</v>
      </c>
    </row>
    <row r="174" spans="1:19" x14ac:dyDescent="0.25">
      <c r="A174">
        <v>9054567</v>
      </c>
    </row>
    <row r="175" spans="1:19" x14ac:dyDescent="0.25">
      <c r="A175">
        <v>9083682</v>
      </c>
    </row>
    <row r="176" spans="1:19" x14ac:dyDescent="0.25">
      <c r="A176">
        <v>9102044</v>
      </c>
    </row>
    <row r="177" spans="1:1" x14ac:dyDescent="0.25">
      <c r="A177">
        <v>9119854</v>
      </c>
    </row>
    <row r="178" spans="1:1" x14ac:dyDescent="0.25">
      <c r="A178">
        <v>9125126</v>
      </c>
    </row>
    <row r="179" spans="1:1" x14ac:dyDescent="0.25">
      <c r="A179">
        <v>9174811</v>
      </c>
    </row>
    <row r="180" spans="1:1" x14ac:dyDescent="0.25">
      <c r="A180">
        <v>10002875</v>
      </c>
    </row>
    <row r="181" spans="1:1" x14ac:dyDescent="0.25">
      <c r="A181">
        <v>10023080</v>
      </c>
    </row>
    <row r="182" spans="1:1" x14ac:dyDescent="0.25">
      <c r="A182">
        <v>10025212</v>
      </c>
    </row>
    <row r="183" spans="1:1" x14ac:dyDescent="0.25">
      <c r="A183">
        <v>10069407</v>
      </c>
    </row>
    <row r="184" spans="1:1" x14ac:dyDescent="0.25">
      <c r="A184">
        <v>10071135</v>
      </c>
    </row>
    <row r="185" spans="1:1" x14ac:dyDescent="0.25">
      <c r="A185">
        <v>10083649</v>
      </c>
    </row>
    <row r="186" spans="1:1" x14ac:dyDescent="0.25">
      <c r="A186">
        <v>10102021</v>
      </c>
    </row>
    <row r="187" spans="1:1" x14ac:dyDescent="0.25">
      <c r="A187">
        <v>10123729</v>
      </c>
    </row>
    <row r="188" spans="1:1" x14ac:dyDescent="0.25">
      <c r="A188">
        <v>10144736</v>
      </c>
    </row>
    <row r="189" spans="1:1" x14ac:dyDescent="0.25">
      <c r="A189">
        <v>10157275</v>
      </c>
    </row>
    <row r="190" spans="1:1" x14ac:dyDescent="0.25">
      <c r="A190" s="65"/>
    </row>
    <row r="191" spans="1:1" x14ac:dyDescent="0.25">
      <c r="A191" s="10" t="s">
        <v>120</v>
      </c>
    </row>
    <row r="192" spans="1:1" x14ac:dyDescent="0.25">
      <c r="A192">
        <v>5281</v>
      </c>
    </row>
    <row r="193" spans="1:30" x14ac:dyDescent="0.25">
      <c r="A193">
        <v>200085</v>
      </c>
    </row>
    <row r="194" spans="1:30" x14ac:dyDescent="0.25">
      <c r="A194">
        <v>500129</v>
      </c>
      <c r="AC194" s="3">
        <v>52.6008</v>
      </c>
      <c r="AD194" s="3"/>
    </row>
    <row r="195" spans="1:30" x14ac:dyDescent="0.25">
      <c r="A195" s="23">
        <v>1002033</v>
      </c>
    </row>
    <row r="196" spans="1:30" x14ac:dyDescent="0.25">
      <c r="A196">
        <v>1003457</v>
      </c>
    </row>
    <row r="197" spans="1:30" x14ac:dyDescent="0.25">
      <c r="A197">
        <v>2005223</v>
      </c>
    </row>
    <row r="198" spans="1:30" x14ac:dyDescent="0.25">
      <c r="A198">
        <v>2006107</v>
      </c>
    </row>
    <row r="199" spans="1:30" x14ac:dyDescent="0.25">
      <c r="A199">
        <v>2012014</v>
      </c>
    </row>
    <row r="200" spans="1:30" x14ac:dyDescent="0.25">
      <c r="A200">
        <v>3000152</v>
      </c>
      <c r="J200">
        <v>5.69</v>
      </c>
    </row>
    <row r="201" spans="1:30" x14ac:dyDescent="0.25">
      <c r="A201">
        <v>3014566</v>
      </c>
    </row>
    <row r="202" spans="1:30" x14ac:dyDescent="0.25">
      <c r="A202">
        <v>3015058</v>
      </c>
      <c r="B202">
        <v>32</v>
      </c>
      <c r="C202" s="14">
        <v>19.5</v>
      </c>
      <c r="D202">
        <v>17</v>
      </c>
      <c r="F202">
        <v>16</v>
      </c>
      <c r="L202">
        <v>5</v>
      </c>
      <c r="M202">
        <v>7</v>
      </c>
      <c r="P202">
        <v>9</v>
      </c>
      <c r="Q202">
        <v>7</v>
      </c>
    </row>
    <row r="203" spans="1:30" x14ac:dyDescent="0.25">
      <c r="A203" s="23">
        <v>4000996</v>
      </c>
      <c r="L203" s="3">
        <v>12.6126</v>
      </c>
      <c r="N203" s="3">
        <v>10.8108</v>
      </c>
      <c r="V203" s="3">
        <v>12.012</v>
      </c>
    </row>
    <row r="204" spans="1:30" x14ac:dyDescent="0.25">
      <c r="A204">
        <v>4003768</v>
      </c>
    </row>
    <row r="205" spans="1:30" x14ac:dyDescent="0.25">
      <c r="A205">
        <v>4006540</v>
      </c>
    </row>
    <row r="206" spans="1:30" x14ac:dyDescent="0.25">
      <c r="A206">
        <v>4007054</v>
      </c>
    </row>
    <row r="207" spans="1:30" x14ac:dyDescent="0.25">
      <c r="A207">
        <v>4011002</v>
      </c>
    </row>
    <row r="208" spans="1:30" x14ac:dyDescent="0.25">
      <c r="A208">
        <v>4900268</v>
      </c>
    </row>
    <row r="209" spans="1:12" x14ac:dyDescent="0.25">
      <c r="A209">
        <v>5001097</v>
      </c>
      <c r="E209">
        <v>38</v>
      </c>
    </row>
    <row r="210" spans="1:12" x14ac:dyDescent="0.25">
      <c r="A210">
        <v>5001098</v>
      </c>
    </row>
    <row r="211" spans="1:12" x14ac:dyDescent="0.25">
      <c r="A211">
        <v>5006152</v>
      </c>
      <c r="H211" s="3">
        <v>61.424199999999999</v>
      </c>
      <c r="I211" s="3"/>
      <c r="L211" s="3">
        <v>119.2285</v>
      </c>
    </row>
    <row r="212" spans="1:12" x14ac:dyDescent="0.25">
      <c r="A212">
        <v>6012361</v>
      </c>
    </row>
    <row r="213" spans="1:12" x14ac:dyDescent="0.25">
      <c r="A213">
        <v>6015793</v>
      </c>
    </row>
    <row r="214" spans="1:12" x14ac:dyDescent="0.25">
      <c r="A214">
        <v>6043619</v>
      </c>
    </row>
    <row r="215" spans="1:12" x14ac:dyDescent="0.25">
      <c r="A215">
        <v>7001097</v>
      </c>
    </row>
    <row r="216" spans="1:12" x14ac:dyDescent="0.25">
      <c r="A216">
        <v>7011435</v>
      </c>
    </row>
    <row r="217" spans="1:12" x14ac:dyDescent="0.25">
      <c r="A217">
        <v>7045811</v>
      </c>
    </row>
    <row r="218" spans="1:12" x14ac:dyDescent="0.25">
      <c r="A218">
        <v>7071198</v>
      </c>
    </row>
    <row r="219" spans="1:12" x14ac:dyDescent="0.25">
      <c r="A219">
        <v>7101143</v>
      </c>
    </row>
    <row r="220" spans="1:12" x14ac:dyDescent="0.25">
      <c r="A220">
        <v>8073350</v>
      </c>
    </row>
    <row r="221" spans="1:12" x14ac:dyDescent="0.25">
      <c r="A221">
        <v>8073645</v>
      </c>
      <c r="L221">
        <v>17</v>
      </c>
    </row>
    <row r="222" spans="1:12" x14ac:dyDescent="0.25">
      <c r="A222" s="23">
        <v>8089666</v>
      </c>
      <c r="G222">
        <v>28</v>
      </c>
      <c r="H222" s="14">
        <v>14</v>
      </c>
      <c r="I222">
        <v>17</v>
      </c>
      <c r="K222" s="14">
        <v>25.5</v>
      </c>
      <c r="L222">
        <v>24</v>
      </c>
    </row>
    <row r="223" spans="1:12" x14ac:dyDescent="0.25">
      <c r="A223">
        <v>8103536</v>
      </c>
    </row>
    <row r="224" spans="1:12" x14ac:dyDescent="0.25">
      <c r="A224">
        <v>8124816</v>
      </c>
    </row>
    <row r="225" spans="1:14" x14ac:dyDescent="0.25">
      <c r="A225">
        <v>9003267</v>
      </c>
      <c r="L225" s="3">
        <v>12.6126</v>
      </c>
    </row>
    <row r="226" spans="1:14" x14ac:dyDescent="0.25">
      <c r="A226">
        <v>9036964</v>
      </c>
    </row>
    <row r="227" spans="1:14" x14ac:dyDescent="0.25">
      <c r="A227">
        <v>9090287</v>
      </c>
      <c r="N227" s="3">
        <v>37.329599999999999</v>
      </c>
    </row>
    <row r="228" spans="1:14" x14ac:dyDescent="0.25">
      <c r="A228">
        <v>9095148</v>
      </c>
      <c r="L228">
        <v>32</v>
      </c>
    </row>
    <row r="229" spans="1:14" x14ac:dyDescent="0.25">
      <c r="A229">
        <v>9104979</v>
      </c>
    </row>
    <row r="230" spans="1:14" x14ac:dyDescent="0.25">
      <c r="A230">
        <v>9139514</v>
      </c>
    </row>
    <row r="231" spans="1:14" x14ac:dyDescent="0.25">
      <c r="A231">
        <v>10020659</v>
      </c>
    </row>
    <row r="232" spans="1:14" x14ac:dyDescent="0.25">
      <c r="A232">
        <v>10025902</v>
      </c>
    </row>
    <row r="233" spans="1:14" x14ac:dyDescent="0.25">
      <c r="A233">
        <v>10027654</v>
      </c>
    </row>
    <row r="234" spans="1:14" x14ac:dyDescent="0.25">
      <c r="A234">
        <v>10084485</v>
      </c>
    </row>
    <row r="235" spans="1:14" x14ac:dyDescent="0.25">
      <c r="A235">
        <v>10098420</v>
      </c>
    </row>
    <row r="236" spans="1:14" x14ac:dyDescent="0.25">
      <c r="A236">
        <v>10129565</v>
      </c>
    </row>
    <row r="237" spans="1:14" x14ac:dyDescent="0.25">
      <c r="A237">
        <v>10146828</v>
      </c>
    </row>
    <row r="238" spans="1:14" x14ac:dyDescent="0.25">
      <c r="A238">
        <v>10163776</v>
      </c>
    </row>
    <row r="239" spans="1:14" x14ac:dyDescent="0.25">
      <c r="A239">
        <v>10173664</v>
      </c>
      <c r="N239" s="3">
        <v>28.828800000000001</v>
      </c>
    </row>
  </sheetData>
  <conditionalFormatting sqref="A19">
    <cfRule type="duplicateValues" dxfId="15" priority="1"/>
  </conditionalFormatting>
  <pageMargins left="0.7" right="0.7" top="0.78740157499999996" bottom="0.78740157499999996" header="0.3" footer="0.3"/>
  <tableParts count="1">
    <tablePart r:id="rId1"/>
  </tableParts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8"/>
  <sheetViews>
    <sheetView workbookViewId="0">
      <selection sqref="A1:D38"/>
    </sheetView>
  </sheetViews>
  <sheetFormatPr defaultColWidth="11.42578125" defaultRowHeight="15" x14ac:dyDescent="0.25"/>
  <cols>
    <col min="1" max="1" width="17.28515625" bestFit="1" customWidth="1"/>
    <col min="2" max="2" width="11.5703125" bestFit="1" customWidth="1"/>
    <col min="3" max="3" width="81.140625" bestFit="1" customWidth="1"/>
    <col min="4" max="4" width="30.28515625" bestFit="1" customWidth="1"/>
  </cols>
  <sheetData>
    <row r="1" spans="1:4" x14ac:dyDescent="0.25">
      <c r="A1" s="66" t="s">
        <v>59</v>
      </c>
      <c r="B1" s="66" t="s">
        <v>3237</v>
      </c>
      <c r="C1" s="66" t="s">
        <v>2564</v>
      </c>
      <c r="D1" s="66" t="s">
        <v>2523</v>
      </c>
    </row>
    <row r="2" spans="1:4" x14ac:dyDescent="0.25">
      <c r="A2" s="66">
        <v>99004067</v>
      </c>
      <c r="B2" s="66" t="s">
        <v>3237</v>
      </c>
      <c r="C2" s="66" t="s">
        <v>1534</v>
      </c>
      <c r="D2" s="66">
        <v>1</v>
      </c>
    </row>
    <row r="3" spans="1:4" x14ac:dyDescent="0.25">
      <c r="A3" s="66">
        <v>10064335</v>
      </c>
      <c r="B3" s="66" t="s">
        <v>3237</v>
      </c>
      <c r="C3" s="66" t="s">
        <v>3238</v>
      </c>
      <c r="D3" s="66">
        <v>4</v>
      </c>
    </row>
    <row r="4" spans="1:4" x14ac:dyDescent="0.25">
      <c r="A4" s="66">
        <v>96018835</v>
      </c>
      <c r="B4" s="66" t="s">
        <v>3237</v>
      </c>
      <c r="C4" s="66" t="s">
        <v>1535</v>
      </c>
      <c r="D4" s="66">
        <v>1</v>
      </c>
    </row>
    <row r="5" spans="1:4" x14ac:dyDescent="0.25">
      <c r="A5" s="66">
        <v>98008326</v>
      </c>
      <c r="B5" s="66" t="s">
        <v>3237</v>
      </c>
      <c r="C5" s="66" t="s">
        <v>1533</v>
      </c>
      <c r="D5" s="66">
        <v>1</v>
      </c>
    </row>
    <row r="6" spans="1:4" x14ac:dyDescent="0.25">
      <c r="A6" s="66">
        <v>12012030</v>
      </c>
      <c r="B6" s="66" t="s">
        <v>3237</v>
      </c>
      <c r="C6" s="66" t="s">
        <v>3239</v>
      </c>
      <c r="D6" s="66">
        <v>2</v>
      </c>
    </row>
    <row r="7" spans="1:4" x14ac:dyDescent="0.25">
      <c r="A7" s="66">
        <v>6045127</v>
      </c>
      <c r="B7" s="66" t="s">
        <v>3237</v>
      </c>
      <c r="C7" s="66" t="s">
        <v>1534</v>
      </c>
      <c r="D7" s="66">
        <v>1</v>
      </c>
    </row>
    <row r="8" spans="1:4" x14ac:dyDescent="0.25">
      <c r="A8" s="66">
        <v>9003370</v>
      </c>
      <c r="B8" s="66" t="s">
        <v>3237</v>
      </c>
      <c r="C8" s="66" t="s">
        <v>1154</v>
      </c>
      <c r="D8" s="66">
        <v>1</v>
      </c>
    </row>
    <row r="9" spans="1:4" x14ac:dyDescent="0.25">
      <c r="A9" s="66">
        <v>9016278</v>
      </c>
      <c r="B9" s="66" t="s">
        <v>3237</v>
      </c>
      <c r="C9" s="66" t="s">
        <v>3240</v>
      </c>
      <c r="D9" s="66">
        <v>3</v>
      </c>
    </row>
    <row r="10" spans="1:4" x14ac:dyDescent="0.25">
      <c r="A10" s="66">
        <v>9030684</v>
      </c>
      <c r="B10" s="66" t="s">
        <v>3237</v>
      </c>
      <c r="C10" s="66" t="s">
        <v>3241</v>
      </c>
      <c r="D10" s="66">
        <v>2</v>
      </c>
    </row>
    <row r="11" spans="1:4" x14ac:dyDescent="0.25">
      <c r="A11" s="66">
        <v>9031387</v>
      </c>
      <c r="B11" s="66" t="s">
        <v>3237</v>
      </c>
      <c r="C11" s="66" t="s">
        <v>880</v>
      </c>
      <c r="D11" s="66">
        <v>1</v>
      </c>
    </row>
    <row r="12" spans="1:4" x14ac:dyDescent="0.25">
      <c r="A12" s="66">
        <v>9052398</v>
      </c>
      <c r="B12" s="66" t="s">
        <v>3237</v>
      </c>
      <c r="C12" s="66" t="s">
        <v>3242</v>
      </c>
      <c r="D12" s="66">
        <v>2</v>
      </c>
    </row>
    <row r="13" spans="1:4" x14ac:dyDescent="0.25">
      <c r="A13" s="66">
        <v>10010926</v>
      </c>
      <c r="B13" s="66" t="s">
        <v>3237</v>
      </c>
      <c r="C13" s="66" t="s">
        <v>3243</v>
      </c>
      <c r="D13" s="66">
        <v>4</v>
      </c>
    </row>
    <row r="14" spans="1:4" x14ac:dyDescent="0.25">
      <c r="A14" s="66">
        <v>324</v>
      </c>
      <c r="B14" s="66" t="s">
        <v>3237</v>
      </c>
      <c r="C14" s="66" t="s">
        <v>3244</v>
      </c>
      <c r="D14" s="66">
        <v>2</v>
      </c>
    </row>
    <row r="15" spans="1:4" x14ac:dyDescent="0.25">
      <c r="A15" s="66">
        <v>3909</v>
      </c>
      <c r="B15" s="66" t="s">
        <v>3237</v>
      </c>
      <c r="C15" s="66" t="s">
        <v>1539</v>
      </c>
      <c r="D15" s="66">
        <v>1</v>
      </c>
    </row>
    <row r="16" spans="1:4" x14ac:dyDescent="0.25">
      <c r="A16" s="66">
        <v>2000646</v>
      </c>
      <c r="B16" s="66" t="s">
        <v>3237</v>
      </c>
      <c r="C16" s="66" t="s">
        <v>3245</v>
      </c>
      <c r="D16" s="66">
        <v>5</v>
      </c>
    </row>
    <row r="17" spans="1:4" x14ac:dyDescent="0.25">
      <c r="A17" s="66">
        <v>4011027</v>
      </c>
      <c r="B17" s="66" t="s">
        <v>3237</v>
      </c>
      <c r="C17" s="66" t="s">
        <v>860</v>
      </c>
      <c r="D17" s="66">
        <v>1</v>
      </c>
    </row>
    <row r="18" spans="1:4" x14ac:dyDescent="0.25">
      <c r="A18" s="66">
        <v>5004654</v>
      </c>
      <c r="B18" s="66" t="s">
        <v>3237</v>
      </c>
      <c r="C18" s="66" t="s">
        <v>3246</v>
      </c>
      <c r="D18" s="66">
        <v>2</v>
      </c>
    </row>
    <row r="19" spans="1:4" x14ac:dyDescent="0.25">
      <c r="A19" s="66">
        <v>4289</v>
      </c>
      <c r="B19" s="66" t="s">
        <v>3237</v>
      </c>
      <c r="C19" s="66" t="s">
        <v>3247</v>
      </c>
      <c r="D19" s="66">
        <v>3</v>
      </c>
    </row>
    <row r="20" spans="1:4" x14ac:dyDescent="0.25">
      <c r="A20" s="66">
        <v>500245</v>
      </c>
      <c r="B20" s="66" t="s">
        <v>3237</v>
      </c>
      <c r="C20" s="66" t="s">
        <v>1269</v>
      </c>
      <c r="D20" s="66">
        <v>1</v>
      </c>
    </row>
    <row r="21" spans="1:4" x14ac:dyDescent="0.25">
      <c r="A21" s="66">
        <v>2005572</v>
      </c>
      <c r="B21" s="66" t="s">
        <v>3237</v>
      </c>
      <c r="C21" s="66" t="s">
        <v>1154</v>
      </c>
      <c r="D21" s="66">
        <v>1</v>
      </c>
    </row>
    <row r="22" spans="1:4" x14ac:dyDescent="0.25">
      <c r="A22" s="66">
        <v>3011892</v>
      </c>
      <c r="B22" s="66" t="s">
        <v>3237</v>
      </c>
      <c r="C22" s="66" t="s">
        <v>1155</v>
      </c>
      <c r="D22" s="66">
        <v>1</v>
      </c>
    </row>
    <row r="23" spans="1:4" x14ac:dyDescent="0.25">
      <c r="A23" s="66">
        <v>4001382</v>
      </c>
      <c r="B23" s="66" t="s">
        <v>3237</v>
      </c>
      <c r="C23" s="66" t="s">
        <v>3248</v>
      </c>
      <c r="D23" s="66">
        <v>2</v>
      </c>
    </row>
    <row r="24" spans="1:4" x14ac:dyDescent="0.25">
      <c r="A24" s="66">
        <v>6015647</v>
      </c>
      <c r="B24" s="66" t="s">
        <v>3237</v>
      </c>
      <c r="C24" s="66" t="s">
        <v>3249</v>
      </c>
      <c r="D24" s="66">
        <v>5</v>
      </c>
    </row>
    <row r="25" spans="1:4" x14ac:dyDescent="0.25">
      <c r="A25" s="66">
        <v>7086224</v>
      </c>
      <c r="B25" s="66" t="s">
        <v>3237</v>
      </c>
      <c r="C25" s="66" t="s">
        <v>1536</v>
      </c>
      <c r="D25" s="66">
        <v>1</v>
      </c>
    </row>
    <row r="26" spans="1:4" x14ac:dyDescent="0.25">
      <c r="A26" s="66">
        <v>9030615</v>
      </c>
      <c r="B26" s="66" t="s">
        <v>3237</v>
      </c>
      <c r="C26" s="66" t="s">
        <v>1269</v>
      </c>
      <c r="D26" s="66">
        <v>1</v>
      </c>
    </row>
    <row r="27" spans="1:4" x14ac:dyDescent="0.25">
      <c r="A27" s="66">
        <v>500129</v>
      </c>
      <c r="B27" s="66" t="s">
        <v>3237</v>
      </c>
      <c r="C27" s="66" t="s">
        <v>1821</v>
      </c>
      <c r="D27" s="66">
        <v>1</v>
      </c>
    </row>
    <row r="28" spans="1:4" x14ac:dyDescent="0.25">
      <c r="A28" s="66">
        <v>3000152</v>
      </c>
      <c r="B28" s="66" t="s">
        <v>3237</v>
      </c>
      <c r="C28" s="66" t="s">
        <v>1534</v>
      </c>
      <c r="D28" s="66">
        <v>1</v>
      </c>
    </row>
    <row r="29" spans="1:4" x14ac:dyDescent="0.25">
      <c r="A29" s="66">
        <v>3015058</v>
      </c>
      <c r="B29" s="66" t="s">
        <v>3237</v>
      </c>
      <c r="C29" s="66" t="s">
        <v>3250</v>
      </c>
      <c r="D29" s="66">
        <v>8</v>
      </c>
    </row>
    <row r="30" spans="1:4" x14ac:dyDescent="0.25">
      <c r="A30" s="66">
        <v>4000996</v>
      </c>
      <c r="B30" s="66" t="s">
        <v>3237</v>
      </c>
      <c r="C30" s="66" t="s">
        <v>3251</v>
      </c>
      <c r="D30" s="66">
        <v>3</v>
      </c>
    </row>
    <row r="31" spans="1:4" x14ac:dyDescent="0.25">
      <c r="A31" s="66">
        <v>5001097</v>
      </c>
      <c r="B31" s="66" t="s">
        <v>3237</v>
      </c>
      <c r="C31" s="66" t="s">
        <v>1958</v>
      </c>
      <c r="D31" s="66">
        <v>1</v>
      </c>
    </row>
    <row r="32" spans="1:4" x14ac:dyDescent="0.25">
      <c r="A32" s="66">
        <v>5006152</v>
      </c>
      <c r="B32" s="66" t="s">
        <v>3237</v>
      </c>
      <c r="C32" s="66" t="s">
        <v>3252</v>
      </c>
      <c r="D32" s="66">
        <v>2</v>
      </c>
    </row>
    <row r="33" spans="1:4" x14ac:dyDescent="0.25">
      <c r="A33" s="66">
        <v>8073645</v>
      </c>
      <c r="B33" s="66" t="s">
        <v>3237</v>
      </c>
      <c r="C33" s="66" t="s">
        <v>918</v>
      </c>
      <c r="D33" s="66">
        <v>1</v>
      </c>
    </row>
    <row r="34" spans="1:4" x14ac:dyDescent="0.25">
      <c r="A34" s="66">
        <v>8089666</v>
      </c>
      <c r="B34" s="66" t="s">
        <v>3237</v>
      </c>
      <c r="C34" s="66" t="s">
        <v>3253</v>
      </c>
      <c r="D34" s="66">
        <v>5</v>
      </c>
    </row>
    <row r="35" spans="1:4" x14ac:dyDescent="0.25">
      <c r="A35" s="66">
        <v>9003267</v>
      </c>
      <c r="B35" s="66" t="s">
        <v>3237</v>
      </c>
      <c r="C35" s="66" t="s">
        <v>918</v>
      </c>
      <c r="D35" s="66">
        <v>1</v>
      </c>
    </row>
    <row r="36" spans="1:4" x14ac:dyDescent="0.25">
      <c r="A36" s="66">
        <v>9090287</v>
      </c>
      <c r="B36" s="66" t="s">
        <v>3237</v>
      </c>
      <c r="C36" s="66" t="s">
        <v>1269</v>
      </c>
      <c r="D36" s="66">
        <v>1</v>
      </c>
    </row>
    <row r="37" spans="1:4" x14ac:dyDescent="0.25">
      <c r="A37" s="66">
        <v>9095148</v>
      </c>
      <c r="B37" s="66" t="s">
        <v>3237</v>
      </c>
      <c r="C37" s="66" t="s">
        <v>918</v>
      </c>
      <c r="D37" s="66">
        <v>1</v>
      </c>
    </row>
    <row r="38" spans="1:4" x14ac:dyDescent="0.25">
      <c r="A38" s="66">
        <v>10173664</v>
      </c>
      <c r="B38" s="66" t="s">
        <v>3237</v>
      </c>
      <c r="C38" s="66" t="s">
        <v>1269</v>
      </c>
      <c r="D38" s="66">
        <v>1</v>
      </c>
    </row>
  </sheetData>
  <phoneticPr fontId="6" type="noConversion"/>
  <pageMargins left="0.7" right="0.7" top="0.78740157499999996" bottom="0.78740157499999996" header="0.3" footer="0.3"/>
  <tableParts count="1">
    <tablePart r:id="rId1"/>
  </tableParts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287"/>
  <sheetViews>
    <sheetView zoomScale="79" zoomScaleNormal="79" workbookViewId="0">
      <selection activeCell="A8" sqref="A8"/>
    </sheetView>
  </sheetViews>
  <sheetFormatPr defaultColWidth="11.42578125" defaultRowHeight="15" x14ac:dyDescent="0.25"/>
  <cols>
    <col min="1" max="1" width="17.5703125" customWidth="1"/>
    <col min="2" max="2" width="50.28515625" customWidth="1"/>
    <col min="3" max="3" width="42" customWidth="1"/>
    <col min="4" max="4" width="50.28515625" customWidth="1"/>
    <col min="5" max="6" width="42" customWidth="1"/>
    <col min="7" max="10" width="40.85546875" customWidth="1"/>
    <col min="11" max="12" width="49.140625" customWidth="1"/>
    <col min="13" max="14" width="39.7109375" customWidth="1"/>
    <col min="15" max="15" width="15.85546875" bestFit="1" customWidth="1"/>
    <col min="16" max="16" width="17.5703125" customWidth="1"/>
    <col min="17" max="17" width="12.5703125" bestFit="1" customWidth="1"/>
    <col min="18" max="18" width="11.5703125" bestFit="1" customWidth="1"/>
    <col min="19" max="20" width="15.85546875" bestFit="1" customWidth="1"/>
    <col min="21" max="21" width="11.5703125" bestFit="1" customWidth="1"/>
    <col min="22" max="22" width="20.28515625" customWidth="1"/>
    <col min="23" max="23" width="29.140625" customWidth="1"/>
    <col min="24" max="26" width="20.28515625" customWidth="1"/>
    <col min="27" max="27" width="29.140625" customWidth="1"/>
    <col min="28" max="30" width="20.28515625" customWidth="1"/>
    <col min="31" max="31" width="29.140625" customWidth="1"/>
    <col min="32" max="32" width="20.28515625" customWidth="1"/>
    <col min="33" max="33" width="23.140625" customWidth="1"/>
    <col min="34" max="34" width="32" customWidth="1"/>
    <col min="35" max="36" width="23.140625" customWidth="1"/>
  </cols>
  <sheetData>
    <row r="1" spans="1:36" ht="90" x14ac:dyDescent="0.25">
      <c r="A1" s="61" t="s">
        <v>59</v>
      </c>
      <c r="B1" s="62" t="s">
        <v>1547</v>
      </c>
      <c r="C1" s="62" t="s">
        <v>1045</v>
      </c>
      <c r="D1" s="62" t="s">
        <v>1548</v>
      </c>
      <c r="E1" s="62" t="s">
        <v>1964</v>
      </c>
      <c r="F1" s="62" t="s">
        <v>1841</v>
      </c>
      <c r="G1" s="62" t="s">
        <v>900</v>
      </c>
      <c r="H1" s="62" t="s">
        <v>862</v>
      </c>
      <c r="I1" s="62" t="s">
        <v>1930</v>
      </c>
      <c r="J1" s="62" t="s">
        <v>1906</v>
      </c>
      <c r="K1" s="62" t="s">
        <v>2388</v>
      </c>
      <c r="L1" s="62" t="s">
        <v>1549</v>
      </c>
      <c r="M1" s="62" t="s">
        <v>899</v>
      </c>
      <c r="N1" s="62" t="s">
        <v>1550</v>
      </c>
      <c r="O1" s="63" t="s">
        <v>1242</v>
      </c>
      <c r="P1" s="62" t="s">
        <v>803</v>
      </c>
      <c r="Q1" s="62" t="s">
        <v>863</v>
      </c>
      <c r="R1" s="62" t="s">
        <v>785</v>
      </c>
      <c r="S1" s="62" t="s">
        <v>1551</v>
      </c>
      <c r="T1" s="62" t="s">
        <v>1046</v>
      </c>
      <c r="U1" s="62" t="s">
        <v>1907</v>
      </c>
      <c r="V1" s="62" t="s">
        <v>1134</v>
      </c>
      <c r="W1" s="62" t="s">
        <v>1552</v>
      </c>
      <c r="X1" s="62" t="s">
        <v>1111</v>
      </c>
      <c r="Y1" s="62" t="s">
        <v>1135</v>
      </c>
      <c r="Z1" s="62" t="s">
        <v>870</v>
      </c>
      <c r="AA1" s="62" t="s">
        <v>1553</v>
      </c>
      <c r="AB1" s="62" t="s">
        <v>652</v>
      </c>
      <c r="AC1" s="62" t="s">
        <v>929</v>
      </c>
      <c r="AD1" s="62" t="s">
        <v>1112</v>
      </c>
      <c r="AE1" s="62" t="s">
        <v>1554</v>
      </c>
      <c r="AF1" s="62" t="s">
        <v>653</v>
      </c>
      <c r="AG1" s="62" t="s">
        <v>1207</v>
      </c>
      <c r="AH1" s="62" t="s">
        <v>1555</v>
      </c>
      <c r="AI1" s="62" t="s">
        <v>1208</v>
      </c>
      <c r="AJ1" s="62" t="s">
        <v>2349</v>
      </c>
    </row>
    <row r="2" spans="1:36" x14ac:dyDescent="0.25">
      <c r="A2" s="40" t="s">
        <v>561</v>
      </c>
      <c r="B2" s="71"/>
      <c r="C2" s="71"/>
      <c r="D2" s="71"/>
      <c r="E2" s="71"/>
      <c r="F2" s="71"/>
      <c r="G2" s="71"/>
      <c r="H2" s="71"/>
      <c r="I2" s="71"/>
      <c r="J2" s="71"/>
      <c r="K2" s="71"/>
      <c r="L2" s="71"/>
      <c r="M2" s="71"/>
      <c r="N2" s="71"/>
      <c r="O2" s="71"/>
      <c r="P2" s="71"/>
      <c r="Q2" s="71"/>
      <c r="R2" s="71"/>
      <c r="S2" s="71"/>
      <c r="T2" s="71"/>
      <c r="U2" s="71"/>
      <c r="V2" s="71"/>
      <c r="W2" s="71"/>
      <c r="X2" s="71"/>
      <c r="Y2" s="71"/>
      <c r="Z2" s="71"/>
      <c r="AA2" s="71"/>
      <c r="AB2" s="71"/>
      <c r="AC2" s="71"/>
      <c r="AD2" s="71"/>
      <c r="AE2" s="71"/>
      <c r="AF2" s="71"/>
      <c r="AG2" s="71"/>
      <c r="AH2" s="71"/>
      <c r="AI2" s="71"/>
      <c r="AJ2" s="71"/>
    </row>
    <row r="3" spans="1:36" x14ac:dyDescent="0.25">
      <c r="A3" s="10" t="s">
        <v>2519</v>
      </c>
      <c r="B3" s="71"/>
      <c r="C3" s="71"/>
      <c r="D3" s="71"/>
      <c r="E3" s="71"/>
      <c r="F3" s="71"/>
      <c r="G3" s="71"/>
      <c r="H3" s="71"/>
      <c r="I3" s="71"/>
      <c r="J3" s="71"/>
      <c r="K3" s="71"/>
      <c r="L3" s="71"/>
      <c r="M3" s="71"/>
      <c r="N3" s="71"/>
      <c r="O3" s="71"/>
      <c r="P3" s="71"/>
      <c r="Q3" s="71"/>
      <c r="R3" s="71"/>
      <c r="S3" s="71"/>
      <c r="T3" s="71"/>
      <c r="U3" s="71"/>
      <c r="V3" s="71"/>
      <c r="W3" s="71"/>
      <c r="X3" s="71"/>
      <c r="Y3" s="71"/>
      <c r="Z3" s="71"/>
      <c r="AA3" s="71"/>
      <c r="AB3" s="71"/>
      <c r="AC3" s="71"/>
      <c r="AD3" s="71"/>
      <c r="AE3" s="71"/>
      <c r="AF3" s="71"/>
      <c r="AG3" s="71"/>
      <c r="AH3" s="71"/>
      <c r="AI3" s="71"/>
      <c r="AJ3" s="71"/>
    </row>
    <row r="4" spans="1:36" x14ac:dyDescent="0.25">
      <c r="A4">
        <v>7072184</v>
      </c>
      <c r="B4" s="71"/>
      <c r="C4" s="71"/>
      <c r="D4" s="71"/>
      <c r="E4" s="71"/>
      <c r="F4" s="71"/>
      <c r="G4" s="71"/>
      <c r="H4" s="71"/>
      <c r="I4" s="71"/>
      <c r="J4" s="71"/>
      <c r="K4" s="71"/>
      <c r="L4" s="71"/>
      <c r="M4" s="71"/>
      <c r="N4" s="71"/>
      <c r="O4" s="71"/>
      <c r="P4" s="71"/>
      <c r="Q4" s="71"/>
      <c r="R4" s="71"/>
      <c r="S4" s="71"/>
      <c r="T4" s="71"/>
      <c r="U4" s="71"/>
      <c r="V4" s="71"/>
      <c r="W4" s="71"/>
      <c r="X4" s="71"/>
      <c r="Y4" s="71"/>
      <c r="Z4" s="71"/>
      <c r="AA4" s="71"/>
      <c r="AB4" s="71"/>
      <c r="AC4" s="71"/>
      <c r="AD4" s="71"/>
      <c r="AE4" s="71"/>
      <c r="AF4" s="71"/>
      <c r="AG4" s="71"/>
      <c r="AH4" s="71"/>
      <c r="AI4" s="71"/>
      <c r="AJ4" s="71"/>
    </row>
    <row r="5" spans="1:36" x14ac:dyDescent="0.25">
      <c r="A5">
        <v>9108231</v>
      </c>
      <c r="B5" s="71"/>
      <c r="C5" s="71"/>
      <c r="D5" s="71"/>
      <c r="E5" s="71"/>
      <c r="F5" s="71"/>
      <c r="G5" s="71"/>
      <c r="H5" s="71"/>
      <c r="I5" s="71"/>
      <c r="J5" s="71"/>
      <c r="K5" s="71"/>
      <c r="L5" s="71"/>
      <c r="M5" s="71"/>
      <c r="N5" s="71"/>
      <c r="O5" s="71"/>
      <c r="P5" s="71"/>
      <c r="Q5" s="71"/>
      <c r="R5" s="71"/>
      <c r="S5" s="71"/>
      <c r="T5" s="71"/>
      <c r="U5" s="71"/>
      <c r="V5" s="71"/>
      <c r="W5" s="71"/>
      <c r="X5" s="71"/>
      <c r="Y5" s="71"/>
      <c r="Z5" s="71"/>
      <c r="AA5" s="71"/>
      <c r="AB5" s="71"/>
      <c r="AC5" s="71"/>
      <c r="AD5" s="71"/>
      <c r="AE5" s="71"/>
      <c r="AF5" s="71"/>
      <c r="AG5" s="71"/>
      <c r="AH5" s="71"/>
      <c r="AI5" s="71"/>
      <c r="AJ5" s="71"/>
    </row>
    <row r="6" spans="1:36" x14ac:dyDescent="0.25">
      <c r="A6">
        <v>12061933</v>
      </c>
      <c r="B6" s="71"/>
      <c r="C6" s="71"/>
      <c r="D6" s="71"/>
      <c r="E6" s="71"/>
      <c r="F6" s="71"/>
      <c r="G6" s="71"/>
      <c r="H6" s="71"/>
      <c r="I6" s="71"/>
      <c r="J6" s="71"/>
      <c r="K6" s="71"/>
      <c r="L6" s="71"/>
      <c r="M6" s="71"/>
      <c r="N6" s="71"/>
      <c r="O6" s="71"/>
      <c r="P6" s="71"/>
      <c r="Q6" s="71"/>
      <c r="R6" s="71"/>
      <c r="S6" s="71"/>
      <c r="T6" s="71"/>
      <c r="U6" s="71"/>
      <c r="V6" s="71"/>
      <c r="W6" s="71"/>
      <c r="X6" s="71"/>
      <c r="Y6" s="71"/>
      <c r="Z6" s="71"/>
      <c r="AA6" s="71"/>
      <c r="AB6" s="71"/>
      <c r="AC6" s="71"/>
      <c r="AD6" s="71"/>
      <c r="AE6" s="71"/>
      <c r="AF6" s="71"/>
      <c r="AG6" s="71"/>
      <c r="AH6" s="71"/>
      <c r="AI6" s="71"/>
      <c r="AJ6" s="71"/>
    </row>
    <row r="7" spans="1:36" x14ac:dyDescent="0.25">
      <c r="A7">
        <v>95005911</v>
      </c>
      <c r="B7" s="71"/>
      <c r="C7" s="71"/>
      <c r="D7" s="71"/>
      <c r="E7" s="71"/>
      <c r="F7" s="71"/>
      <c r="G7" s="71"/>
      <c r="H7" s="71"/>
      <c r="I7" s="71"/>
      <c r="J7" s="71"/>
      <c r="K7" s="71"/>
      <c r="L7" s="71"/>
      <c r="M7" s="71"/>
      <c r="N7" s="71"/>
      <c r="O7" s="71"/>
      <c r="P7" s="71"/>
      <c r="Q7" s="71"/>
      <c r="R7" s="71"/>
      <c r="S7" s="71"/>
      <c r="T7" s="71"/>
      <c r="U7" s="71"/>
      <c r="V7" s="71"/>
      <c r="W7" s="71"/>
      <c r="X7" s="71"/>
      <c r="Y7" s="71"/>
      <c r="Z7" s="71"/>
      <c r="AA7" s="71"/>
      <c r="AB7" s="71"/>
      <c r="AC7" s="71"/>
      <c r="AD7" s="71"/>
      <c r="AE7" s="71"/>
      <c r="AF7" s="71"/>
      <c r="AG7" s="71"/>
      <c r="AH7" s="71"/>
      <c r="AI7" s="71"/>
      <c r="AJ7" s="71"/>
    </row>
    <row r="8" spans="1:36" x14ac:dyDescent="0.25">
      <c r="A8">
        <v>99001908</v>
      </c>
      <c r="B8" s="71"/>
      <c r="C8" s="71"/>
      <c r="D8" s="71"/>
      <c r="E8" s="71"/>
      <c r="F8" s="71"/>
      <c r="G8" s="71"/>
      <c r="H8" s="71"/>
      <c r="I8" s="71"/>
      <c r="J8" s="71"/>
      <c r="K8" s="71"/>
      <c r="L8" s="71"/>
      <c r="M8" s="71"/>
      <c r="N8" s="71"/>
      <c r="O8" s="71"/>
      <c r="P8" s="71"/>
      <c r="Q8" s="71"/>
      <c r="R8" s="71"/>
      <c r="S8" s="71"/>
      <c r="T8" s="71"/>
      <c r="U8" s="71"/>
      <c r="V8" s="71"/>
      <c r="W8" s="71"/>
      <c r="X8" s="71"/>
      <c r="Y8" s="71"/>
      <c r="Z8" s="71"/>
      <c r="AA8" s="71"/>
      <c r="AB8" s="71"/>
      <c r="AC8" s="71"/>
      <c r="AD8" s="71"/>
      <c r="AE8" s="71"/>
      <c r="AF8" s="71"/>
      <c r="AG8" s="71"/>
      <c r="AH8" s="71"/>
      <c r="AI8" s="71"/>
      <c r="AJ8" s="71"/>
    </row>
    <row r="9" spans="1:36" x14ac:dyDescent="0.25">
      <c r="A9">
        <v>99004067</v>
      </c>
      <c r="B9" s="71"/>
      <c r="C9" s="71"/>
      <c r="D9" s="71"/>
      <c r="E9" s="71"/>
      <c r="F9" s="71"/>
      <c r="G9" s="71"/>
      <c r="H9" s="71"/>
      <c r="I9" s="71"/>
      <c r="J9" s="71"/>
      <c r="K9" s="71"/>
      <c r="L9" s="71"/>
      <c r="M9" s="71"/>
      <c r="N9" s="71"/>
      <c r="O9" s="71"/>
      <c r="P9" s="71"/>
      <c r="Q9" s="71"/>
      <c r="R9" s="71"/>
      <c r="S9" s="71"/>
      <c r="T9" s="71"/>
      <c r="U9" s="71"/>
      <c r="V9" s="71"/>
      <c r="W9" s="71"/>
      <c r="X9" s="71"/>
      <c r="Y9" s="71"/>
      <c r="Z9" s="71"/>
      <c r="AA9" s="71"/>
      <c r="AB9" s="71"/>
      <c r="AC9" s="71"/>
      <c r="AD9" s="71"/>
      <c r="AE9" s="71"/>
      <c r="AF9" s="71"/>
      <c r="AG9" s="71"/>
      <c r="AH9" s="71"/>
      <c r="AI9" s="71"/>
      <c r="AJ9" s="71"/>
    </row>
    <row r="10" spans="1:36" x14ac:dyDescent="0.25">
      <c r="A10">
        <v>97002136</v>
      </c>
      <c r="B10" s="71"/>
      <c r="C10" s="71"/>
      <c r="D10" s="71"/>
      <c r="E10" s="71"/>
      <c r="F10" s="71"/>
      <c r="G10" s="71"/>
      <c r="H10" s="71"/>
      <c r="I10" s="71"/>
      <c r="J10" s="71"/>
      <c r="K10" s="71"/>
      <c r="L10" s="71"/>
      <c r="M10" s="71"/>
      <c r="N10" s="71"/>
      <c r="O10" s="71"/>
      <c r="P10" s="71"/>
      <c r="Q10" s="71"/>
      <c r="R10" s="71"/>
      <c r="S10" s="71"/>
      <c r="T10" s="71"/>
      <c r="U10" s="71"/>
      <c r="V10" s="71"/>
      <c r="W10" s="71"/>
      <c r="X10" s="71"/>
      <c r="Y10" s="71"/>
      <c r="Z10" s="71"/>
      <c r="AA10" s="71"/>
      <c r="AB10" s="71"/>
      <c r="AC10" s="71"/>
      <c r="AD10" s="71"/>
      <c r="AE10" s="71"/>
      <c r="AF10" s="71"/>
      <c r="AG10" s="71"/>
      <c r="AH10" s="71"/>
      <c r="AI10" s="71"/>
      <c r="AJ10" s="71"/>
    </row>
    <row r="11" spans="1:36" x14ac:dyDescent="0.25">
      <c r="A11">
        <v>1502</v>
      </c>
      <c r="B11" s="71"/>
      <c r="C11" s="71"/>
      <c r="D11" s="71"/>
      <c r="E11" s="71"/>
      <c r="F11" s="71"/>
      <c r="G11" s="71"/>
      <c r="H11" s="71"/>
      <c r="I11" s="71"/>
      <c r="J11" s="71"/>
      <c r="K11" s="71"/>
      <c r="L11" s="71"/>
      <c r="M11" s="71"/>
      <c r="N11" s="71"/>
      <c r="O11" s="71"/>
      <c r="P11" s="71"/>
      <c r="Q11" s="71"/>
      <c r="R11" s="71"/>
      <c r="S11" s="71"/>
      <c r="T11" s="71"/>
      <c r="U11" s="71"/>
      <c r="V11" s="71"/>
      <c r="W11" s="71"/>
      <c r="X11" s="71"/>
      <c r="Y11" s="71"/>
      <c r="Z11" s="71"/>
      <c r="AA11" s="71"/>
      <c r="AB11" s="71"/>
      <c r="AC11" s="71"/>
      <c r="AD11" s="71"/>
      <c r="AE11" s="71"/>
      <c r="AF11" s="71"/>
      <c r="AG11" s="71"/>
      <c r="AH11" s="71"/>
      <c r="AI11" s="71"/>
      <c r="AJ11" s="71"/>
    </row>
    <row r="12" spans="1:36" x14ac:dyDescent="0.25">
      <c r="A12">
        <v>4003543</v>
      </c>
      <c r="B12" s="71"/>
      <c r="C12" s="71"/>
      <c r="D12" s="71"/>
      <c r="E12" s="71"/>
      <c r="F12" s="71"/>
      <c r="G12" s="71"/>
      <c r="H12" s="71"/>
      <c r="I12" s="71"/>
      <c r="J12" s="71"/>
      <c r="K12" s="71"/>
      <c r="L12" s="71"/>
      <c r="M12" s="71"/>
      <c r="N12" s="71"/>
      <c r="O12" s="71"/>
      <c r="P12" s="71"/>
      <c r="Q12" s="71"/>
      <c r="R12" s="71"/>
      <c r="S12" s="71"/>
      <c r="T12" s="71"/>
      <c r="U12" s="71"/>
      <c r="V12" s="71"/>
      <c r="W12" s="71"/>
      <c r="X12" s="71"/>
      <c r="Y12" s="71"/>
      <c r="Z12" s="71"/>
      <c r="AA12" s="71"/>
      <c r="AB12" s="71"/>
      <c r="AC12" s="71"/>
      <c r="AD12" s="71"/>
      <c r="AE12" s="71"/>
      <c r="AF12" s="71"/>
      <c r="AG12" s="71"/>
      <c r="AH12" s="71"/>
      <c r="AI12" s="71"/>
      <c r="AJ12" s="71"/>
    </row>
    <row r="13" spans="1:36" x14ac:dyDescent="0.25">
      <c r="A13">
        <v>4900261</v>
      </c>
      <c r="B13" s="71"/>
      <c r="C13" s="71"/>
      <c r="D13" s="71"/>
      <c r="E13" s="71"/>
      <c r="F13" s="71"/>
      <c r="G13" s="71"/>
      <c r="H13" s="71"/>
      <c r="I13" s="71"/>
      <c r="J13" s="71"/>
      <c r="K13" s="71"/>
      <c r="L13" s="71"/>
      <c r="M13" s="71"/>
      <c r="N13" s="71"/>
      <c r="O13" s="71"/>
      <c r="P13" s="71"/>
      <c r="Q13" s="71"/>
      <c r="R13" s="71"/>
      <c r="S13" s="71"/>
      <c r="T13" s="71"/>
      <c r="U13" s="71"/>
      <c r="V13" s="71"/>
      <c r="W13" s="71"/>
      <c r="X13" s="71"/>
      <c r="Y13" s="71"/>
      <c r="Z13" s="71"/>
      <c r="AA13" s="71"/>
      <c r="AB13" s="71"/>
      <c r="AC13" s="71"/>
      <c r="AD13" s="71"/>
      <c r="AE13" s="71"/>
      <c r="AF13" s="71"/>
      <c r="AG13" s="71"/>
      <c r="AH13" s="71"/>
      <c r="AI13" s="71"/>
      <c r="AJ13" s="71"/>
    </row>
    <row r="14" spans="1:36" x14ac:dyDescent="0.25">
      <c r="B14" s="71"/>
      <c r="C14" s="71"/>
      <c r="D14" s="71"/>
      <c r="E14" s="71"/>
      <c r="F14" s="71"/>
      <c r="G14" s="71"/>
      <c r="H14" s="71"/>
      <c r="I14" s="71"/>
      <c r="J14" s="71"/>
      <c r="K14" s="71"/>
      <c r="L14" s="71"/>
      <c r="M14" s="71"/>
      <c r="N14" s="71"/>
      <c r="O14" s="71"/>
      <c r="P14" s="71"/>
      <c r="Q14" s="71"/>
      <c r="R14" s="71"/>
      <c r="S14" s="71"/>
      <c r="T14" s="71"/>
      <c r="U14" s="71"/>
      <c r="V14" s="71"/>
      <c r="W14" s="71"/>
      <c r="X14" s="71"/>
      <c r="Y14" s="71"/>
      <c r="Z14" s="71"/>
      <c r="AA14" s="71"/>
      <c r="AB14" s="71"/>
      <c r="AC14" s="71"/>
      <c r="AD14" s="71"/>
      <c r="AE14" s="71"/>
      <c r="AF14" s="71"/>
      <c r="AG14" s="71"/>
      <c r="AH14" s="71"/>
      <c r="AI14" s="71"/>
      <c r="AJ14" s="71"/>
    </row>
    <row r="15" spans="1:36" x14ac:dyDescent="0.25">
      <c r="A15" s="10" t="s">
        <v>2520</v>
      </c>
      <c r="B15" s="71"/>
      <c r="C15" s="71"/>
      <c r="D15" s="71"/>
      <c r="E15" s="71"/>
      <c r="F15" s="71"/>
      <c r="G15" s="71"/>
      <c r="H15" s="71"/>
      <c r="I15" s="71"/>
      <c r="J15" s="71"/>
      <c r="K15" s="71"/>
      <c r="L15" s="71"/>
      <c r="M15" s="71"/>
      <c r="N15" s="71"/>
      <c r="O15" s="71"/>
      <c r="P15" s="71"/>
      <c r="Q15" s="71"/>
      <c r="R15" s="71"/>
      <c r="S15" s="71"/>
      <c r="T15" s="71"/>
      <c r="U15" s="71"/>
      <c r="V15" s="71"/>
      <c r="W15" s="71"/>
      <c r="X15" s="71"/>
      <c r="Y15" s="71"/>
      <c r="Z15" s="71"/>
      <c r="AA15" s="71"/>
      <c r="AB15" s="71"/>
      <c r="AC15" s="71"/>
      <c r="AD15" s="71"/>
      <c r="AE15" s="71"/>
      <c r="AF15" s="71"/>
      <c r="AG15" s="71"/>
      <c r="AH15" s="71"/>
      <c r="AI15" s="71"/>
      <c r="AJ15" s="71"/>
    </row>
    <row r="16" spans="1:36" x14ac:dyDescent="0.25">
      <c r="A16">
        <v>14242856</v>
      </c>
      <c r="B16" s="71"/>
      <c r="C16" s="71"/>
      <c r="D16" s="71"/>
      <c r="E16" s="71"/>
      <c r="F16" s="71"/>
      <c r="G16" s="71"/>
      <c r="H16" s="71"/>
      <c r="I16" s="71"/>
      <c r="J16" s="71"/>
      <c r="K16" s="71"/>
      <c r="L16" s="71"/>
      <c r="M16" s="71"/>
      <c r="N16" s="71"/>
      <c r="O16" s="71"/>
      <c r="P16" s="71"/>
      <c r="Q16" s="71"/>
      <c r="R16" s="71"/>
      <c r="S16" s="71"/>
      <c r="T16" s="71"/>
      <c r="U16" s="71"/>
      <c r="V16" s="71"/>
      <c r="W16" s="71"/>
      <c r="X16" s="71"/>
      <c r="Y16" s="71"/>
      <c r="Z16" s="71"/>
      <c r="AA16" s="71"/>
      <c r="AB16" s="71"/>
      <c r="AC16" s="71"/>
      <c r="AD16" s="71"/>
      <c r="AE16" s="71"/>
      <c r="AF16" s="71"/>
      <c r="AG16" s="71"/>
      <c r="AH16" s="71"/>
      <c r="AI16" s="71"/>
      <c r="AJ16" s="71"/>
    </row>
    <row r="17" spans="1:36" x14ac:dyDescent="0.25">
      <c r="A17">
        <v>99001183</v>
      </c>
      <c r="B17" s="71"/>
      <c r="C17" s="71"/>
      <c r="D17" s="71"/>
      <c r="E17" s="71"/>
      <c r="F17" s="71"/>
      <c r="G17" s="71"/>
      <c r="H17" s="71"/>
      <c r="I17" s="71"/>
      <c r="J17" s="71"/>
      <c r="K17" s="71"/>
      <c r="L17" s="71"/>
      <c r="M17" s="71"/>
      <c r="N17" s="71"/>
      <c r="O17" s="71"/>
      <c r="P17" s="71"/>
      <c r="Q17" s="71"/>
      <c r="R17" s="71"/>
      <c r="S17" s="71"/>
      <c r="T17" s="71"/>
      <c r="U17" s="71"/>
      <c r="V17" s="71"/>
      <c r="W17" s="71"/>
      <c r="X17" s="71"/>
      <c r="Y17" s="71"/>
      <c r="Z17" s="71"/>
      <c r="AA17" s="71"/>
      <c r="AB17" s="71"/>
      <c r="AC17" s="71"/>
      <c r="AD17" s="71"/>
      <c r="AE17" s="71"/>
      <c r="AF17" s="71"/>
      <c r="AG17" s="71"/>
      <c r="AH17" s="71"/>
      <c r="AI17" s="71"/>
      <c r="AJ17" s="71"/>
    </row>
    <row r="18" spans="1:36" x14ac:dyDescent="0.25">
      <c r="A18">
        <v>3000983</v>
      </c>
      <c r="B18" s="71"/>
      <c r="C18" s="71"/>
      <c r="D18" s="71"/>
      <c r="E18" s="71"/>
      <c r="F18" s="71"/>
      <c r="G18" s="71"/>
      <c r="H18" s="71"/>
      <c r="I18" s="71"/>
      <c r="J18" s="71"/>
      <c r="K18" s="71"/>
      <c r="L18" s="71"/>
      <c r="M18" s="71"/>
      <c r="N18" s="71"/>
      <c r="O18" s="71"/>
      <c r="P18" s="71"/>
      <c r="Q18" s="71"/>
      <c r="R18" s="71"/>
      <c r="S18" s="71"/>
      <c r="T18" s="71"/>
      <c r="U18" s="71"/>
      <c r="V18" s="71"/>
      <c r="W18" s="71"/>
      <c r="X18" s="71"/>
      <c r="Y18" s="71"/>
      <c r="Z18" s="71"/>
      <c r="AA18" s="71"/>
      <c r="AB18" s="71"/>
      <c r="AC18" s="71"/>
      <c r="AD18" s="71"/>
      <c r="AE18" s="71"/>
      <c r="AF18" s="71"/>
      <c r="AG18" s="71"/>
      <c r="AH18" s="71"/>
      <c r="AI18" s="71"/>
      <c r="AJ18" s="71"/>
    </row>
    <row r="19" spans="1:36" x14ac:dyDescent="0.25">
      <c r="A19">
        <v>10064335</v>
      </c>
      <c r="B19" s="71"/>
      <c r="C19" s="71"/>
      <c r="D19" s="71"/>
      <c r="E19" s="71"/>
      <c r="F19" s="71"/>
      <c r="G19" s="71"/>
      <c r="H19" s="71"/>
      <c r="I19" s="71"/>
      <c r="J19" s="71"/>
      <c r="K19" s="71"/>
      <c r="L19" s="71"/>
      <c r="M19" s="71"/>
      <c r="N19" s="71"/>
      <c r="O19" s="71"/>
      <c r="P19" s="71"/>
      <c r="Q19" s="71"/>
      <c r="R19" s="71"/>
      <c r="S19" s="71"/>
      <c r="T19" s="71"/>
      <c r="U19" s="71"/>
      <c r="V19" s="71"/>
      <c r="W19" s="71"/>
      <c r="X19" s="71"/>
      <c r="Y19" s="71"/>
      <c r="Z19" s="71"/>
      <c r="AA19" s="71"/>
      <c r="AB19" s="71"/>
      <c r="AC19" s="71"/>
      <c r="AD19" s="71"/>
      <c r="AE19" s="71"/>
      <c r="AF19" s="71"/>
      <c r="AG19" s="71"/>
      <c r="AH19" s="71"/>
      <c r="AI19" s="71"/>
      <c r="AJ19" s="71"/>
    </row>
    <row r="20" spans="1:36" x14ac:dyDescent="0.25">
      <c r="A20" s="6"/>
      <c r="B20" s="71"/>
      <c r="C20" s="71"/>
      <c r="D20" s="71"/>
      <c r="E20" s="71"/>
      <c r="F20" s="71"/>
      <c r="G20" s="71"/>
      <c r="H20" s="71"/>
      <c r="I20" s="71"/>
      <c r="J20" s="71"/>
      <c r="K20" s="71"/>
      <c r="L20" s="71"/>
      <c r="M20" s="71"/>
      <c r="N20" s="71"/>
      <c r="O20" s="71"/>
      <c r="P20" s="71"/>
      <c r="Q20" s="71"/>
      <c r="R20" s="71"/>
      <c r="S20" s="71"/>
      <c r="T20" s="71"/>
      <c r="U20" s="71"/>
      <c r="V20" s="71"/>
      <c r="W20" s="71"/>
      <c r="X20" s="71"/>
      <c r="Y20" s="71"/>
      <c r="Z20" s="71"/>
      <c r="AA20" s="71"/>
      <c r="AB20" s="71"/>
      <c r="AC20" s="71"/>
      <c r="AD20" s="71"/>
      <c r="AE20" s="71"/>
      <c r="AF20" s="71"/>
      <c r="AG20" s="71"/>
      <c r="AH20" s="71"/>
      <c r="AI20" s="71"/>
      <c r="AJ20" s="71"/>
    </row>
    <row r="21" spans="1:36" x14ac:dyDescent="0.25">
      <c r="A21" s="10" t="s">
        <v>2521</v>
      </c>
      <c r="B21" s="71"/>
      <c r="C21" s="71"/>
      <c r="D21" s="71"/>
      <c r="E21" s="71"/>
      <c r="F21" s="71"/>
      <c r="G21" s="71"/>
      <c r="H21" s="71"/>
      <c r="I21" s="71"/>
      <c r="J21" s="71"/>
      <c r="K21" s="71"/>
      <c r="L21" s="71"/>
      <c r="M21" s="71"/>
      <c r="N21" s="71"/>
      <c r="O21" s="71"/>
      <c r="P21" s="71"/>
      <c r="Q21" s="71"/>
      <c r="R21" s="71"/>
      <c r="S21" s="71"/>
      <c r="T21" s="71"/>
      <c r="U21" s="71"/>
      <c r="V21" s="71"/>
      <c r="W21" s="71"/>
      <c r="X21" s="71"/>
      <c r="Y21" s="71"/>
      <c r="Z21" s="71"/>
      <c r="AA21" s="71"/>
      <c r="AB21" s="71"/>
      <c r="AC21" s="71"/>
      <c r="AD21" s="71"/>
      <c r="AE21" s="71"/>
      <c r="AF21" s="71"/>
      <c r="AG21" s="71"/>
      <c r="AH21" s="71"/>
      <c r="AI21" s="71"/>
      <c r="AJ21" s="71"/>
    </row>
    <row r="22" spans="1:36" x14ac:dyDescent="0.25">
      <c r="A22">
        <v>1480</v>
      </c>
      <c r="B22" s="71"/>
      <c r="C22" s="71"/>
      <c r="D22" s="71"/>
      <c r="E22" s="71"/>
      <c r="F22" s="71"/>
      <c r="G22" s="71"/>
      <c r="H22" s="71"/>
      <c r="I22" s="71"/>
      <c r="J22" s="71"/>
      <c r="K22" s="71"/>
      <c r="L22" s="71"/>
      <c r="M22" s="71"/>
      <c r="N22" s="71"/>
      <c r="O22" s="71"/>
      <c r="P22" s="71"/>
      <c r="Q22" s="71"/>
      <c r="R22" s="71"/>
      <c r="S22" s="71"/>
      <c r="T22" s="71"/>
      <c r="U22" s="71"/>
      <c r="V22" s="71"/>
      <c r="W22" s="71"/>
      <c r="X22" s="71"/>
      <c r="Y22" s="71"/>
      <c r="Z22" s="71"/>
      <c r="AA22" s="71"/>
      <c r="AB22" s="71"/>
      <c r="AC22" s="71"/>
      <c r="AD22" s="71"/>
      <c r="AE22" s="71"/>
      <c r="AF22" s="71"/>
      <c r="AG22" s="71"/>
      <c r="AH22" s="71"/>
      <c r="AI22" s="71"/>
      <c r="AJ22" s="71"/>
    </row>
    <row r="23" spans="1:36" x14ac:dyDescent="0.25">
      <c r="A23">
        <v>7063959</v>
      </c>
      <c r="B23" s="71"/>
      <c r="C23" s="71"/>
      <c r="D23" s="71"/>
      <c r="E23" s="71"/>
      <c r="F23" s="71"/>
      <c r="G23" s="71"/>
      <c r="H23" s="71"/>
      <c r="I23" s="71"/>
      <c r="J23" s="71"/>
      <c r="K23" s="71"/>
      <c r="L23" s="71"/>
      <c r="M23" s="71"/>
      <c r="N23" s="71"/>
      <c r="O23" s="71"/>
      <c r="P23" s="71"/>
      <c r="Q23" s="71"/>
      <c r="R23" s="71"/>
      <c r="S23" s="71"/>
      <c r="T23" s="71"/>
      <c r="U23" s="71"/>
      <c r="V23" s="71"/>
      <c r="W23" s="71"/>
      <c r="X23" s="71"/>
      <c r="Y23" s="71"/>
      <c r="Z23" s="71"/>
      <c r="AA23" s="71"/>
      <c r="AB23" s="71"/>
      <c r="AC23" s="71"/>
      <c r="AD23" s="71"/>
      <c r="AE23" s="71"/>
      <c r="AF23" s="71"/>
      <c r="AG23" s="71"/>
      <c r="AH23" s="71"/>
      <c r="AI23" s="71"/>
      <c r="AJ23" s="71"/>
    </row>
    <row r="24" spans="1:36" x14ac:dyDescent="0.25">
      <c r="A24">
        <v>1003215</v>
      </c>
      <c r="B24" s="71"/>
      <c r="C24" s="71"/>
      <c r="D24" s="71"/>
      <c r="E24" s="71"/>
      <c r="F24" s="71"/>
      <c r="G24" s="71"/>
      <c r="H24" s="71"/>
      <c r="I24" s="71"/>
      <c r="J24" s="71"/>
      <c r="K24" s="71"/>
      <c r="L24" s="71"/>
      <c r="M24" s="71"/>
      <c r="N24" s="71">
        <v>4750000</v>
      </c>
      <c r="O24" s="71"/>
      <c r="P24" s="71"/>
      <c r="Q24" s="71"/>
      <c r="R24" s="71"/>
      <c r="S24" s="71"/>
      <c r="T24" s="71"/>
      <c r="U24" s="71"/>
      <c r="V24" s="71"/>
      <c r="W24" s="71"/>
      <c r="X24" s="71"/>
      <c r="Y24" s="71"/>
      <c r="Z24" s="71"/>
      <c r="AA24" s="71"/>
      <c r="AB24" s="71"/>
      <c r="AC24" s="71"/>
      <c r="AD24" s="71"/>
      <c r="AE24" s="71"/>
      <c r="AF24" s="71"/>
      <c r="AG24" s="71"/>
      <c r="AH24" s="71"/>
      <c r="AI24" s="71"/>
      <c r="AJ24" s="71"/>
    </row>
    <row r="25" spans="1:36" x14ac:dyDescent="0.25">
      <c r="A25">
        <v>99000802</v>
      </c>
      <c r="B25" s="71"/>
      <c r="C25" s="71"/>
      <c r="D25" s="71"/>
      <c r="E25" s="71"/>
      <c r="F25" s="71"/>
      <c r="G25" s="71"/>
      <c r="H25" s="71"/>
      <c r="I25" s="71"/>
      <c r="J25" s="71"/>
      <c r="K25" s="71"/>
      <c r="L25" s="71"/>
      <c r="M25" s="71"/>
      <c r="N25" s="71"/>
      <c r="O25" s="71"/>
      <c r="P25" s="71"/>
      <c r="Q25" s="71"/>
      <c r="R25" s="71"/>
      <c r="S25" s="71"/>
      <c r="T25" s="71"/>
      <c r="U25" s="71"/>
      <c r="V25" s="71"/>
      <c r="W25" s="71"/>
      <c r="X25" s="71"/>
      <c r="Y25" s="71"/>
      <c r="Z25" s="71"/>
      <c r="AA25" s="71"/>
      <c r="AB25" s="71"/>
      <c r="AC25" s="71"/>
      <c r="AD25" s="71"/>
      <c r="AE25" s="71"/>
      <c r="AF25" s="71"/>
      <c r="AG25" s="71"/>
      <c r="AH25" s="71"/>
      <c r="AI25" s="71"/>
      <c r="AJ25" s="71"/>
    </row>
    <row r="26" spans="1:36" x14ac:dyDescent="0.25">
      <c r="A26">
        <v>99000892</v>
      </c>
      <c r="B26" s="71"/>
      <c r="C26" s="71"/>
      <c r="D26" s="71"/>
      <c r="E26" s="71"/>
      <c r="F26" s="71"/>
      <c r="G26" s="71"/>
      <c r="H26" s="71"/>
      <c r="I26" s="71"/>
      <c r="J26" s="71"/>
      <c r="K26" s="71"/>
      <c r="L26" s="71"/>
      <c r="M26" s="71"/>
      <c r="N26" s="71"/>
      <c r="O26" s="71"/>
      <c r="P26" s="71"/>
      <c r="Q26" s="71"/>
      <c r="R26" s="71"/>
      <c r="S26" s="71"/>
      <c r="T26" s="71"/>
      <c r="U26" s="71"/>
      <c r="V26" s="71"/>
      <c r="W26" s="71"/>
      <c r="X26" s="71"/>
      <c r="Y26" s="71"/>
      <c r="Z26" s="71"/>
      <c r="AA26" s="71"/>
      <c r="AB26" s="71"/>
      <c r="AC26" s="71"/>
      <c r="AD26" s="71"/>
      <c r="AE26" s="71"/>
      <c r="AF26" s="71"/>
      <c r="AG26" s="71"/>
      <c r="AH26" s="71"/>
      <c r="AI26" s="71"/>
      <c r="AJ26" s="71"/>
    </row>
    <row r="27" spans="1:36" x14ac:dyDescent="0.25">
      <c r="A27">
        <v>1000192</v>
      </c>
      <c r="B27" s="71"/>
      <c r="C27" s="71"/>
      <c r="D27" s="71"/>
      <c r="E27" s="71"/>
      <c r="F27" s="71"/>
      <c r="G27" s="71"/>
      <c r="H27" s="71"/>
      <c r="I27" s="71"/>
      <c r="J27" s="71"/>
      <c r="K27" s="71"/>
      <c r="L27" s="71"/>
      <c r="M27" s="71"/>
      <c r="N27" s="71"/>
      <c r="O27" s="71"/>
      <c r="P27" s="71"/>
      <c r="Q27" s="71"/>
      <c r="R27" s="71"/>
      <c r="S27" s="71"/>
      <c r="T27" s="71"/>
      <c r="U27" s="71"/>
      <c r="V27" s="71"/>
      <c r="W27" s="71"/>
      <c r="X27" s="71"/>
      <c r="Y27" s="71"/>
      <c r="Z27" s="71"/>
      <c r="AA27" s="71"/>
      <c r="AB27" s="71"/>
      <c r="AC27" s="71"/>
      <c r="AD27" s="71"/>
      <c r="AE27" s="71"/>
      <c r="AF27" s="71"/>
      <c r="AG27" s="71"/>
      <c r="AH27" s="71"/>
      <c r="AI27" s="71"/>
      <c r="AJ27" s="71"/>
    </row>
    <row r="28" spans="1:36" x14ac:dyDescent="0.25">
      <c r="A28">
        <v>1506</v>
      </c>
      <c r="B28" s="71"/>
      <c r="C28" s="71"/>
      <c r="D28" s="71"/>
      <c r="E28" s="71"/>
      <c r="F28" s="71"/>
      <c r="G28" s="71"/>
      <c r="H28" s="71"/>
      <c r="I28" s="71"/>
      <c r="J28" s="71"/>
      <c r="K28" s="71"/>
      <c r="L28" s="71"/>
      <c r="M28" s="71"/>
      <c r="N28" s="71"/>
      <c r="O28" s="71"/>
      <c r="P28" s="71"/>
      <c r="Q28" s="71"/>
      <c r="R28" s="71"/>
      <c r="S28" s="71"/>
      <c r="T28" s="71"/>
      <c r="U28" s="71"/>
      <c r="V28" s="71"/>
      <c r="W28" s="71"/>
      <c r="X28" s="71"/>
      <c r="Y28" s="71"/>
      <c r="Z28" s="71"/>
      <c r="AA28" s="71"/>
      <c r="AB28" s="71"/>
      <c r="AC28" s="71"/>
      <c r="AD28" s="71"/>
      <c r="AE28" s="71"/>
      <c r="AF28" s="71"/>
      <c r="AG28" s="71"/>
      <c r="AH28" s="71"/>
      <c r="AI28" s="71"/>
      <c r="AJ28" s="71"/>
    </row>
    <row r="29" spans="1:36" x14ac:dyDescent="0.25">
      <c r="A29">
        <v>99000894</v>
      </c>
      <c r="B29" s="71"/>
      <c r="C29" s="71"/>
      <c r="D29" s="71"/>
      <c r="E29" s="71"/>
      <c r="F29" s="71"/>
      <c r="G29" s="71"/>
      <c r="H29" s="71"/>
      <c r="I29" s="71"/>
      <c r="J29" s="71"/>
      <c r="K29" s="71"/>
      <c r="L29" s="71"/>
      <c r="M29" s="71"/>
      <c r="N29" s="71"/>
      <c r="O29" s="71"/>
      <c r="P29" s="71"/>
      <c r="Q29" s="71"/>
      <c r="R29" s="71"/>
      <c r="S29" s="71"/>
      <c r="T29" s="71"/>
      <c r="U29" s="71"/>
      <c r="V29" s="71"/>
      <c r="W29" s="71"/>
      <c r="X29" s="71"/>
      <c r="Y29" s="71"/>
      <c r="Z29" s="71"/>
      <c r="AA29" s="71"/>
      <c r="AB29" s="71"/>
      <c r="AC29" s="71"/>
      <c r="AD29" s="71"/>
      <c r="AE29" s="71"/>
      <c r="AF29" s="71"/>
      <c r="AG29" s="71"/>
      <c r="AH29" s="71"/>
      <c r="AI29" s="71"/>
      <c r="AJ29" s="71"/>
    </row>
    <row r="30" spans="1:36" x14ac:dyDescent="0.25">
      <c r="A30">
        <v>99000897</v>
      </c>
      <c r="B30" s="71"/>
      <c r="C30" s="71"/>
      <c r="D30" s="71"/>
      <c r="E30" s="71"/>
      <c r="F30" s="71"/>
      <c r="G30" s="71"/>
      <c r="H30" s="71"/>
      <c r="I30" s="71"/>
      <c r="J30" s="71"/>
      <c r="K30" s="71"/>
      <c r="L30" s="71"/>
      <c r="M30" s="71"/>
      <c r="N30" s="71"/>
      <c r="O30" s="71"/>
      <c r="P30" s="71"/>
      <c r="Q30" s="71"/>
      <c r="R30" s="71"/>
      <c r="S30" s="71"/>
      <c r="T30" s="71"/>
      <c r="U30" s="71"/>
      <c r="V30" s="71"/>
      <c r="W30" s="71"/>
      <c r="X30" s="71"/>
      <c r="Y30" s="71"/>
      <c r="Z30" s="71"/>
      <c r="AA30" s="71"/>
      <c r="AB30" s="71"/>
      <c r="AC30" s="71"/>
      <c r="AD30" s="71"/>
      <c r="AE30" s="71"/>
      <c r="AF30" s="71"/>
      <c r="AG30" s="71"/>
      <c r="AH30" s="71"/>
      <c r="AI30" s="71"/>
      <c r="AJ30" s="71"/>
    </row>
    <row r="31" spans="1:36" x14ac:dyDescent="0.25">
      <c r="A31">
        <v>99001245</v>
      </c>
      <c r="B31" s="71"/>
      <c r="C31" s="71"/>
      <c r="D31" s="71"/>
      <c r="E31" s="71"/>
      <c r="F31" s="71"/>
      <c r="G31" s="71"/>
      <c r="H31" s="71"/>
      <c r="I31" s="71"/>
      <c r="J31" s="71"/>
      <c r="K31" s="71"/>
      <c r="L31" s="71"/>
      <c r="M31" s="71"/>
      <c r="N31" s="71"/>
      <c r="O31" s="71"/>
      <c r="P31" s="71"/>
      <c r="Q31" s="71"/>
      <c r="R31" s="71"/>
      <c r="S31" s="71"/>
      <c r="T31" s="71"/>
      <c r="U31" s="71"/>
      <c r="V31" s="71"/>
      <c r="W31" s="71"/>
      <c r="X31" s="71"/>
      <c r="Y31" s="71"/>
      <c r="Z31" s="71"/>
      <c r="AA31" s="71"/>
      <c r="AB31" s="71"/>
      <c r="AC31" s="71"/>
      <c r="AD31" s="71"/>
      <c r="AE31" s="71"/>
      <c r="AF31" s="71"/>
      <c r="AG31" s="71"/>
      <c r="AH31" s="71"/>
      <c r="AI31" s="71"/>
      <c r="AJ31" s="71"/>
    </row>
    <row r="32" spans="1:36" x14ac:dyDescent="0.25">
      <c r="A32">
        <v>99001902</v>
      </c>
      <c r="B32" s="71"/>
      <c r="C32" s="71"/>
      <c r="D32" s="71"/>
      <c r="E32" s="71"/>
      <c r="F32" s="71"/>
      <c r="G32" s="71"/>
      <c r="H32" s="71"/>
      <c r="I32" s="71"/>
      <c r="J32" s="71"/>
      <c r="K32" s="71"/>
      <c r="L32" s="71"/>
      <c r="M32" s="71"/>
      <c r="N32" s="71"/>
      <c r="O32" s="71"/>
      <c r="P32" s="71"/>
      <c r="Q32" s="71"/>
      <c r="R32" s="71"/>
      <c r="S32" s="71"/>
      <c r="T32" s="71"/>
      <c r="U32" s="71"/>
      <c r="V32" s="71"/>
      <c r="W32" s="71"/>
      <c r="X32" s="71"/>
      <c r="Y32" s="71"/>
      <c r="Z32" s="71"/>
      <c r="AA32" s="71"/>
      <c r="AB32" s="71"/>
      <c r="AC32" s="71"/>
      <c r="AD32" s="71"/>
      <c r="AE32" s="71"/>
      <c r="AF32" s="71"/>
      <c r="AG32" s="71"/>
      <c r="AH32" s="71"/>
      <c r="AI32" s="71"/>
      <c r="AJ32" s="71"/>
    </row>
    <row r="33" spans="1:36" x14ac:dyDescent="0.25">
      <c r="A33">
        <v>99001912</v>
      </c>
      <c r="B33" s="71"/>
      <c r="C33" s="71"/>
      <c r="D33" s="71"/>
      <c r="E33" s="71"/>
      <c r="F33" s="71"/>
      <c r="G33" s="71"/>
      <c r="H33" s="71"/>
      <c r="I33" s="71"/>
      <c r="J33" s="71"/>
      <c r="K33" s="71"/>
      <c r="L33" s="71"/>
      <c r="M33" s="71"/>
      <c r="N33" s="71"/>
      <c r="O33" s="71"/>
      <c r="P33" s="71"/>
      <c r="Q33" s="71"/>
      <c r="R33" s="71"/>
      <c r="S33" s="71"/>
      <c r="T33" s="71"/>
      <c r="U33" s="71"/>
      <c r="V33" s="71"/>
      <c r="W33" s="71"/>
      <c r="X33" s="71"/>
      <c r="Y33" s="71"/>
      <c r="Z33" s="71"/>
      <c r="AA33" s="71"/>
      <c r="AB33" s="71"/>
      <c r="AC33" s="71"/>
      <c r="AD33" s="71"/>
      <c r="AE33" s="71"/>
      <c r="AF33" s="71"/>
      <c r="AG33" s="71"/>
      <c r="AH33" s="71"/>
      <c r="AI33" s="71"/>
      <c r="AJ33" s="71"/>
    </row>
    <row r="34" spans="1:36" x14ac:dyDescent="0.25">
      <c r="A34">
        <v>99001913</v>
      </c>
      <c r="B34" s="71"/>
      <c r="C34" s="71"/>
      <c r="D34" s="71"/>
      <c r="E34" s="71"/>
      <c r="F34" s="71"/>
      <c r="G34" s="71"/>
      <c r="H34" s="71"/>
      <c r="I34" s="71"/>
      <c r="J34" s="71"/>
      <c r="K34" s="71"/>
      <c r="L34" s="71"/>
      <c r="M34" s="71"/>
      <c r="N34" s="71"/>
      <c r="O34" s="71"/>
      <c r="P34" s="71"/>
      <c r="Q34" s="71"/>
      <c r="R34" s="71"/>
      <c r="S34" s="71"/>
      <c r="T34" s="71"/>
      <c r="U34" s="71"/>
      <c r="V34" s="71"/>
      <c r="W34" s="71"/>
      <c r="X34" s="71"/>
      <c r="Y34" s="71"/>
      <c r="Z34" s="71"/>
      <c r="AA34" s="71"/>
      <c r="AB34" s="71"/>
      <c r="AC34" s="71"/>
      <c r="AD34" s="71"/>
      <c r="AE34" s="71"/>
      <c r="AF34" s="71"/>
      <c r="AG34" s="71"/>
      <c r="AH34" s="71"/>
      <c r="AI34" s="71"/>
      <c r="AJ34" s="71"/>
    </row>
    <row r="35" spans="1:36" x14ac:dyDescent="0.25">
      <c r="A35">
        <v>99001937</v>
      </c>
      <c r="B35" s="71"/>
      <c r="C35" s="71"/>
      <c r="D35" s="71"/>
      <c r="E35" s="71"/>
      <c r="F35" s="71"/>
      <c r="G35" s="71"/>
      <c r="H35" s="71"/>
      <c r="I35" s="71"/>
      <c r="J35" s="71"/>
      <c r="K35" s="71"/>
      <c r="L35" s="71"/>
      <c r="M35" s="71"/>
      <c r="N35" s="71"/>
      <c r="O35" s="71"/>
      <c r="P35" s="71"/>
      <c r="Q35" s="71"/>
      <c r="R35" s="71"/>
      <c r="S35" s="71"/>
      <c r="T35" s="71"/>
      <c r="U35" s="71"/>
      <c r="V35" s="71"/>
      <c r="W35" s="71"/>
      <c r="X35" s="71"/>
      <c r="Y35" s="71"/>
      <c r="Z35" s="71"/>
      <c r="AA35" s="71"/>
      <c r="AB35" s="71"/>
      <c r="AC35" s="71"/>
      <c r="AD35" s="71"/>
      <c r="AE35" s="71"/>
      <c r="AF35" s="71"/>
      <c r="AG35" s="71"/>
      <c r="AH35" s="71"/>
      <c r="AI35" s="71"/>
      <c r="AJ35" s="71"/>
    </row>
    <row r="36" spans="1:36" x14ac:dyDescent="0.25">
      <c r="A36">
        <v>99001943</v>
      </c>
      <c r="B36" s="71"/>
      <c r="C36" s="71"/>
      <c r="D36" s="71"/>
      <c r="E36" s="71"/>
      <c r="F36" s="71"/>
      <c r="G36" s="71"/>
      <c r="H36" s="71"/>
      <c r="I36" s="71"/>
      <c r="J36" s="71"/>
      <c r="K36" s="71"/>
      <c r="L36" s="71"/>
      <c r="M36" s="71"/>
      <c r="N36" s="71"/>
      <c r="O36" s="71"/>
      <c r="P36" s="71"/>
      <c r="Q36" s="71"/>
      <c r="R36" s="71"/>
      <c r="S36" s="71"/>
      <c r="T36" s="71"/>
      <c r="U36" s="71"/>
      <c r="V36" s="71"/>
      <c r="W36" s="71"/>
      <c r="X36" s="71"/>
      <c r="Y36" s="71"/>
      <c r="Z36" s="71"/>
      <c r="AA36" s="71"/>
      <c r="AB36" s="71"/>
      <c r="AC36" s="71"/>
      <c r="AD36" s="71"/>
      <c r="AE36" s="71"/>
      <c r="AF36" s="71"/>
      <c r="AG36" s="71"/>
      <c r="AH36" s="71"/>
      <c r="AI36" s="71"/>
      <c r="AJ36" s="71"/>
    </row>
    <row r="37" spans="1:36" x14ac:dyDescent="0.25">
      <c r="A37">
        <v>99001927</v>
      </c>
      <c r="B37" s="71"/>
      <c r="C37" s="71"/>
      <c r="D37" s="71"/>
      <c r="E37" s="71"/>
      <c r="F37" s="71"/>
      <c r="G37" s="71"/>
      <c r="H37" s="71"/>
      <c r="I37" s="71"/>
      <c r="J37" s="71"/>
      <c r="K37" s="71"/>
      <c r="L37" s="71"/>
      <c r="M37" s="71"/>
      <c r="N37" s="71"/>
      <c r="O37" s="71"/>
      <c r="P37" s="71"/>
      <c r="Q37" s="71"/>
      <c r="R37" s="71"/>
      <c r="S37" s="71"/>
      <c r="T37" s="71"/>
      <c r="U37" s="71"/>
      <c r="V37" s="71"/>
      <c r="W37" s="71"/>
      <c r="X37" s="71"/>
      <c r="Y37" s="71"/>
      <c r="Z37" s="71"/>
      <c r="AA37" s="71"/>
      <c r="AB37" s="71"/>
      <c r="AC37" s="71"/>
      <c r="AD37" s="71"/>
      <c r="AE37" s="71"/>
      <c r="AF37" s="71"/>
      <c r="AG37" s="71"/>
      <c r="AH37" s="71"/>
      <c r="AI37" s="71"/>
      <c r="AJ37" s="71"/>
    </row>
    <row r="38" spans="1:36" x14ac:dyDescent="0.25">
      <c r="A38">
        <v>1505</v>
      </c>
      <c r="B38" s="71"/>
      <c r="C38" s="71"/>
      <c r="D38" s="71"/>
      <c r="E38" s="71"/>
      <c r="F38" s="71"/>
      <c r="G38" s="71"/>
      <c r="H38" s="71"/>
      <c r="I38" s="71"/>
      <c r="J38" s="71"/>
      <c r="K38" s="71"/>
      <c r="L38" s="71"/>
      <c r="M38" s="71"/>
      <c r="N38" s="71"/>
      <c r="O38" s="71"/>
      <c r="P38" s="71"/>
      <c r="Q38" s="71"/>
      <c r="R38" s="71"/>
      <c r="S38" s="71"/>
      <c r="T38" s="71"/>
      <c r="U38" s="71"/>
      <c r="V38" s="71"/>
      <c r="W38" s="71"/>
      <c r="X38" s="71"/>
      <c r="Y38" s="71"/>
      <c r="Z38" s="71"/>
      <c r="AA38" s="71"/>
      <c r="AB38" s="71"/>
      <c r="AC38" s="71"/>
      <c r="AD38" s="71"/>
      <c r="AE38" s="71"/>
      <c r="AF38" s="71"/>
      <c r="AG38" s="71"/>
      <c r="AH38" s="71"/>
      <c r="AI38" s="71"/>
      <c r="AJ38" s="71"/>
    </row>
    <row r="39" spans="1:36" x14ac:dyDescent="0.25">
      <c r="A39">
        <v>1000197</v>
      </c>
      <c r="B39" s="71"/>
      <c r="C39" s="71"/>
      <c r="D39" s="71"/>
      <c r="E39" s="71"/>
      <c r="F39" s="71"/>
      <c r="G39" s="71"/>
      <c r="H39" s="71"/>
      <c r="I39" s="71"/>
      <c r="J39" s="71"/>
      <c r="K39" s="71"/>
      <c r="L39" s="71"/>
      <c r="M39" s="71"/>
      <c r="N39" s="71"/>
      <c r="O39" s="71"/>
      <c r="P39" s="71"/>
      <c r="Q39" s="71"/>
      <c r="R39" s="71"/>
      <c r="S39" s="71"/>
      <c r="T39" s="71"/>
      <c r="U39" s="71"/>
      <c r="V39" s="71"/>
      <c r="W39" s="71"/>
      <c r="X39" s="71"/>
      <c r="Y39" s="71"/>
      <c r="Z39" s="71"/>
      <c r="AA39" s="71"/>
      <c r="AB39" s="71"/>
      <c r="AC39" s="71"/>
      <c r="AD39" s="71"/>
      <c r="AE39" s="71"/>
      <c r="AF39" s="71"/>
      <c r="AG39" s="71"/>
      <c r="AH39" s="71"/>
      <c r="AI39" s="71"/>
      <c r="AJ39" s="71"/>
    </row>
    <row r="40" spans="1:36" x14ac:dyDescent="0.25">
      <c r="A40">
        <v>96018835</v>
      </c>
      <c r="B40" s="71"/>
      <c r="C40" s="71"/>
      <c r="D40" s="71"/>
      <c r="E40" s="71"/>
      <c r="F40" s="71"/>
      <c r="G40" s="71"/>
      <c r="H40" s="71"/>
      <c r="I40" s="71"/>
      <c r="J40" s="71"/>
      <c r="K40" s="71"/>
      <c r="L40" s="71"/>
      <c r="M40" s="71"/>
      <c r="N40" s="71"/>
      <c r="O40" s="71"/>
      <c r="P40" s="71"/>
      <c r="Q40" s="71"/>
      <c r="R40" s="71"/>
      <c r="S40" s="71"/>
      <c r="T40" s="71"/>
      <c r="U40" s="71"/>
      <c r="V40" s="71"/>
      <c r="W40" s="71">
        <v>200</v>
      </c>
      <c r="X40" s="71"/>
      <c r="Y40" s="71"/>
      <c r="Z40" s="71"/>
      <c r="AA40" s="71"/>
      <c r="AB40" s="71"/>
      <c r="AC40" s="71"/>
      <c r="AD40" s="71"/>
      <c r="AE40" s="71"/>
      <c r="AF40" s="71"/>
      <c r="AG40" s="71"/>
      <c r="AH40" s="71"/>
      <c r="AI40" s="71"/>
      <c r="AJ40" s="71"/>
    </row>
    <row r="41" spans="1:36" x14ac:dyDescent="0.25">
      <c r="A41">
        <v>98008326</v>
      </c>
      <c r="B41" s="71"/>
      <c r="C41" s="71"/>
      <c r="D41" s="71"/>
      <c r="E41" s="71"/>
      <c r="F41" s="71"/>
      <c r="G41" s="71"/>
      <c r="H41" s="71"/>
      <c r="I41" s="71"/>
      <c r="J41" s="71"/>
      <c r="K41" s="71"/>
      <c r="L41" s="71"/>
      <c r="M41" s="71"/>
      <c r="N41" s="71"/>
      <c r="O41" s="71"/>
      <c r="P41" s="71"/>
      <c r="Q41" s="71"/>
      <c r="R41" s="71"/>
      <c r="S41" s="71"/>
      <c r="T41" s="71"/>
      <c r="U41" s="71"/>
      <c r="V41" s="71"/>
      <c r="W41" s="71"/>
      <c r="X41" s="71"/>
      <c r="Y41" s="71"/>
      <c r="Z41" s="71"/>
      <c r="AA41" s="71"/>
      <c r="AB41" s="71"/>
      <c r="AC41" s="71"/>
      <c r="AD41" s="71"/>
      <c r="AE41" s="71"/>
      <c r="AF41" s="71"/>
      <c r="AG41" s="71"/>
      <c r="AH41" s="71"/>
      <c r="AI41" s="71"/>
      <c r="AJ41" s="71"/>
    </row>
    <row r="42" spans="1:36" x14ac:dyDescent="0.25">
      <c r="A42">
        <v>99000717</v>
      </c>
      <c r="B42" s="71"/>
      <c r="C42" s="71"/>
      <c r="D42" s="71"/>
      <c r="E42" s="71"/>
      <c r="F42" s="71"/>
      <c r="G42" s="71"/>
      <c r="H42" s="71"/>
      <c r="I42" s="71"/>
      <c r="J42" s="71"/>
      <c r="K42" s="71"/>
      <c r="L42" s="71"/>
      <c r="M42" s="71"/>
      <c r="N42" s="71"/>
      <c r="O42" s="71"/>
      <c r="P42" s="71"/>
      <c r="Q42" s="71"/>
      <c r="R42" s="71"/>
      <c r="S42" s="71"/>
      <c r="T42" s="71"/>
      <c r="U42" s="71"/>
      <c r="V42" s="71"/>
      <c r="W42" s="71"/>
      <c r="X42" s="71"/>
      <c r="Y42" s="71"/>
      <c r="Z42" s="71"/>
      <c r="AA42" s="71"/>
      <c r="AB42" s="71"/>
      <c r="AC42" s="71"/>
      <c r="AD42" s="71"/>
      <c r="AE42" s="71"/>
      <c r="AF42" s="71"/>
      <c r="AG42" s="71"/>
      <c r="AH42" s="71"/>
      <c r="AI42" s="71"/>
      <c r="AJ42" s="71"/>
    </row>
    <row r="43" spans="1:36" x14ac:dyDescent="0.25">
      <c r="B43" s="72"/>
      <c r="C43" s="72"/>
      <c r="D43" s="72"/>
      <c r="E43" s="72"/>
      <c r="F43" s="72"/>
      <c r="G43" s="72"/>
      <c r="H43" s="72"/>
      <c r="I43" s="72"/>
      <c r="J43" s="72"/>
      <c r="K43" s="72"/>
      <c r="L43" s="72"/>
      <c r="M43" s="72"/>
      <c r="N43" s="72"/>
      <c r="O43" s="72"/>
      <c r="P43" s="72"/>
      <c r="Q43" s="72"/>
      <c r="R43" s="72"/>
      <c r="S43" s="72"/>
      <c r="T43" s="72"/>
      <c r="U43" s="72"/>
      <c r="V43" s="72"/>
      <c r="W43" s="72"/>
      <c r="X43" s="72"/>
      <c r="Y43" s="72"/>
      <c r="Z43" s="72"/>
      <c r="AA43" s="72"/>
      <c r="AB43" s="72"/>
      <c r="AC43" s="72"/>
      <c r="AD43" s="72"/>
      <c r="AE43" s="72"/>
      <c r="AF43" s="72"/>
      <c r="AG43" s="72"/>
      <c r="AH43" s="72"/>
      <c r="AI43" s="72"/>
      <c r="AJ43" s="72"/>
    </row>
    <row r="44" spans="1:36" x14ac:dyDescent="0.25">
      <c r="A44" s="25" t="s">
        <v>169</v>
      </c>
      <c r="B44" s="71"/>
      <c r="C44" s="71"/>
      <c r="D44" s="71"/>
      <c r="E44" s="71"/>
      <c r="F44" s="71"/>
      <c r="G44" s="71"/>
      <c r="H44" s="71"/>
      <c r="I44" s="71"/>
      <c r="J44" s="71"/>
      <c r="K44" s="71"/>
      <c r="L44" s="71"/>
      <c r="M44" s="71"/>
      <c r="N44" s="71"/>
      <c r="O44" s="71"/>
      <c r="P44" s="71"/>
      <c r="Q44" s="71"/>
      <c r="R44" s="71"/>
      <c r="S44" s="71"/>
      <c r="T44" s="71"/>
      <c r="U44" s="71"/>
      <c r="V44" s="71"/>
      <c r="W44" s="71"/>
      <c r="X44" s="71"/>
      <c r="Y44" s="71"/>
      <c r="Z44" s="71"/>
      <c r="AA44" s="71"/>
      <c r="AB44" s="71"/>
      <c r="AC44" s="71"/>
      <c r="AD44" s="71"/>
      <c r="AE44" s="71"/>
      <c r="AF44" s="71"/>
      <c r="AG44" s="71"/>
      <c r="AH44" s="71"/>
      <c r="AI44" s="71"/>
      <c r="AJ44" s="71"/>
    </row>
    <row r="45" spans="1:36" x14ac:dyDescent="0.25">
      <c r="A45" s="10" t="s">
        <v>143</v>
      </c>
      <c r="B45" s="71"/>
      <c r="C45" s="71"/>
      <c r="D45" s="71"/>
      <c r="E45" s="71"/>
      <c r="F45" s="71"/>
      <c r="G45" s="71"/>
      <c r="H45" s="71"/>
      <c r="I45" s="71"/>
      <c r="J45" s="71"/>
      <c r="K45" s="71"/>
      <c r="L45" s="71"/>
      <c r="M45" s="71"/>
      <c r="N45" s="71"/>
      <c r="O45" s="71"/>
      <c r="P45" s="71"/>
      <c r="Q45" s="71"/>
      <c r="R45" s="71"/>
      <c r="S45" s="71"/>
      <c r="T45" s="71"/>
      <c r="U45" s="71"/>
      <c r="V45" s="71"/>
      <c r="W45" s="71"/>
      <c r="X45" s="71"/>
      <c r="Y45" s="71"/>
      <c r="Z45" s="71"/>
      <c r="AA45" s="71"/>
      <c r="AB45" s="71"/>
      <c r="AC45" s="71"/>
      <c r="AD45" s="71"/>
      <c r="AE45" s="71"/>
      <c r="AF45" s="71"/>
      <c r="AG45" s="71"/>
      <c r="AH45" s="71"/>
      <c r="AI45" s="71"/>
      <c r="AJ45" s="71"/>
    </row>
    <row r="46" spans="1:36" x14ac:dyDescent="0.25">
      <c r="A46">
        <v>6016435</v>
      </c>
      <c r="B46" s="71"/>
      <c r="C46" s="71"/>
      <c r="D46" s="71"/>
      <c r="E46" s="71"/>
      <c r="F46" s="71"/>
      <c r="G46" s="71"/>
      <c r="H46" s="71"/>
      <c r="I46" s="71"/>
      <c r="J46" s="71"/>
      <c r="K46" s="71"/>
      <c r="L46" s="71"/>
      <c r="M46" s="71"/>
      <c r="N46" s="71"/>
      <c r="O46" s="71"/>
      <c r="P46" s="71"/>
      <c r="Q46" s="71"/>
      <c r="R46" s="71"/>
      <c r="S46" s="71"/>
      <c r="T46" s="71"/>
      <c r="U46" s="71"/>
      <c r="V46" s="71"/>
      <c r="W46" s="71"/>
      <c r="X46" s="71"/>
      <c r="Y46" s="71"/>
      <c r="Z46" s="71"/>
      <c r="AA46" s="71"/>
      <c r="AB46" s="71"/>
      <c r="AC46" s="71"/>
      <c r="AD46" s="71"/>
      <c r="AE46" s="71"/>
      <c r="AF46" s="71"/>
      <c r="AG46" s="71"/>
      <c r="AH46" s="71"/>
      <c r="AI46" s="71"/>
      <c r="AJ46" s="71"/>
    </row>
    <row r="47" spans="1:36" x14ac:dyDescent="0.25">
      <c r="A47">
        <v>8045149</v>
      </c>
      <c r="B47" s="71"/>
      <c r="C47" s="71"/>
      <c r="D47" s="71"/>
      <c r="E47" s="71"/>
      <c r="F47" s="71"/>
      <c r="G47" s="71"/>
      <c r="H47" s="71"/>
      <c r="I47" s="71"/>
      <c r="J47" s="71"/>
      <c r="K47" s="71"/>
      <c r="L47" s="71"/>
      <c r="M47" s="71"/>
      <c r="N47" s="71"/>
      <c r="O47" s="71"/>
      <c r="P47" s="71"/>
      <c r="Q47" s="71"/>
      <c r="R47" s="71"/>
      <c r="S47" s="71"/>
      <c r="T47" s="71"/>
      <c r="U47" s="71"/>
      <c r="V47" s="71"/>
      <c r="W47" s="71"/>
      <c r="X47" s="71"/>
      <c r="Y47" s="71"/>
      <c r="Z47" s="71"/>
      <c r="AA47" s="71"/>
      <c r="AB47" s="71"/>
      <c r="AC47" s="71"/>
      <c r="AD47" s="71"/>
      <c r="AE47" s="71"/>
      <c r="AF47" s="71"/>
      <c r="AG47" s="71"/>
      <c r="AH47" s="71"/>
      <c r="AI47" s="71"/>
      <c r="AJ47" s="71"/>
    </row>
    <row r="48" spans="1:36" x14ac:dyDescent="0.25">
      <c r="A48">
        <v>10023001</v>
      </c>
      <c r="B48" s="71"/>
      <c r="C48" s="71"/>
      <c r="D48" s="71"/>
      <c r="E48" s="71"/>
      <c r="F48" s="71"/>
      <c r="G48" s="71"/>
      <c r="H48" s="71"/>
      <c r="I48" s="71"/>
      <c r="J48" s="71"/>
      <c r="K48" s="71"/>
      <c r="L48" s="71"/>
      <c r="M48" s="71"/>
      <c r="N48" s="71">
        <v>4750000</v>
      </c>
      <c r="O48" s="71"/>
      <c r="P48" s="71"/>
      <c r="Q48" s="71"/>
      <c r="R48" s="71"/>
      <c r="S48" s="71"/>
      <c r="T48" s="71"/>
      <c r="U48" s="71"/>
      <c r="V48" s="71"/>
      <c r="W48" s="71"/>
      <c r="X48" s="71"/>
      <c r="Y48" s="71"/>
      <c r="Z48" s="71"/>
      <c r="AA48" s="71"/>
      <c r="AB48" s="71"/>
      <c r="AC48" s="71"/>
      <c r="AD48" s="71"/>
      <c r="AE48" s="71"/>
      <c r="AF48" s="71"/>
      <c r="AG48" s="71"/>
      <c r="AH48" s="71"/>
      <c r="AI48" s="71"/>
      <c r="AJ48" s="71"/>
    </row>
    <row r="49" spans="1:36" x14ac:dyDescent="0.25">
      <c r="A49">
        <v>10027526</v>
      </c>
      <c r="B49" s="71"/>
      <c r="C49" s="71"/>
      <c r="D49" s="71"/>
      <c r="E49" s="71"/>
      <c r="F49" s="71"/>
      <c r="G49" s="71"/>
      <c r="H49" s="71"/>
      <c r="I49" s="71"/>
      <c r="J49" s="71"/>
      <c r="K49" s="71"/>
      <c r="L49" s="71"/>
      <c r="M49" s="71"/>
      <c r="N49" s="71"/>
      <c r="O49" s="71"/>
      <c r="P49" s="71"/>
      <c r="Q49" s="71"/>
      <c r="R49" s="71"/>
      <c r="S49" s="71"/>
      <c r="T49" s="71"/>
      <c r="U49" s="71"/>
      <c r="V49" s="71"/>
      <c r="W49" s="71"/>
      <c r="X49" s="71"/>
      <c r="Y49" s="71"/>
      <c r="Z49" s="71"/>
      <c r="AA49" s="71"/>
      <c r="AB49" s="71"/>
      <c r="AC49" s="71"/>
      <c r="AD49" s="71"/>
      <c r="AE49" s="71"/>
      <c r="AF49" s="71"/>
      <c r="AG49" s="71"/>
      <c r="AH49" s="71"/>
      <c r="AI49" s="71"/>
      <c r="AJ49" s="71"/>
    </row>
    <row r="50" spans="1:36" x14ac:dyDescent="0.25">
      <c r="A50">
        <v>14222171</v>
      </c>
      <c r="B50" s="71"/>
      <c r="C50" s="71"/>
      <c r="D50" s="71"/>
      <c r="E50" s="71"/>
      <c r="F50" s="71"/>
      <c r="G50" s="71"/>
      <c r="H50" s="71"/>
      <c r="I50" s="71"/>
      <c r="J50" s="71"/>
      <c r="K50" s="71"/>
      <c r="L50" s="71"/>
      <c r="M50" s="71"/>
      <c r="N50" s="71"/>
      <c r="O50" s="71"/>
      <c r="P50" s="71"/>
      <c r="Q50" s="71"/>
      <c r="R50" s="71"/>
      <c r="S50" s="71"/>
      <c r="T50" s="71"/>
      <c r="U50" s="71"/>
      <c r="V50" s="71"/>
      <c r="W50" s="71"/>
      <c r="X50" s="71"/>
      <c r="Y50" s="71"/>
      <c r="Z50" s="71"/>
      <c r="AA50" s="71"/>
      <c r="AB50" s="71"/>
      <c r="AC50" s="71"/>
      <c r="AD50" s="71"/>
      <c r="AE50" s="71"/>
      <c r="AF50" s="71"/>
      <c r="AG50" s="71"/>
      <c r="AH50" s="71"/>
      <c r="AI50" s="71"/>
      <c r="AJ50" s="71"/>
    </row>
    <row r="51" spans="1:36" x14ac:dyDescent="0.25">
      <c r="A51">
        <v>1006143</v>
      </c>
      <c r="B51" s="71"/>
      <c r="C51" s="71"/>
      <c r="D51" s="71"/>
      <c r="E51" s="71"/>
      <c r="F51" s="71"/>
      <c r="G51" s="71"/>
      <c r="H51" s="71"/>
      <c r="I51" s="71"/>
      <c r="J51" s="71"/>
      <c r="K51" s="71"/>
      <c r="L51" s="71"/>
      <c r="M51" s="71"/>
      <c r="N51" s="71"/>
      <c r="O51" s="71"/>
      <c r="P51" s="71"/>
      <c r="Q51" s="71"/>
      <c r="R51" s="71"/>
      <c r="S51" s="71"/>
      <c r="T51" s="71"/>
      <c r="U51" s="71"/>
      <c r="V51" s="71"/>
      <c r="W51" s="71"/>
      <c r="X51" s="71"/>
      <c r="Y51" s="71"/>
      <c r="Z51" s="71"/>
      <c r="AA51" s="71"/>
      <c r="AB51" s="71"/>
      <c r="AC51" s="71"/>
      <c r="AD51" s="71"/>
      <c r="AE51" s="71"/>
      <c r="AF51" s="71"/>
      <c r="AG51" s="71"/>
      <c r="AH51" s="71"/>
      <c r="AI51" s="71"/>
      <c r="AJ51" s="71"/>
    </row>
    <row r="52" spans="1:36" x14ac:dyDescent="0.25">
      <c r="A52">
        <v>6006917</v>
      </c>
      <c r="B52" s="71"/>
      <c r="C52" s="71"/>
      <c r="D52" s="71"/>
      <c r="E52" s="71"/>
      <c r="F52" s="71"/>
      <c r="G52" s="71"/>
      <c r="H52" s="71"/>
      <c r="I52" s="71"/>
      <c r="J52" s="71"/>
      <c r="K52" s="71"/>
      <c r="L52" s="71"/>
      <c r="M52" s="71"/>
      <c r="N52" s="71"/>
      <c r="O52" s="71"/>
      <c r="P52" s="71"/>
      <c r="Q52" s="71"/>
      <c r="R52" s="71"/>
      <c r="S52" s="71"/>
      <c r="T52" s="71"/>
      <c r="U52" s="71"/>
      <c r="V52" s="71"/>
      <c r="W52" s="71"/>
      <c r="X52" s="71"/>
      <c r="Y52" s="71"/>
      <c r="Z52" s="71"/>
      <c r="AA52" s="71"/>
      <c r="AB52" s="71"/>
      <c r="AC52" s="71"/>
      <c r="AD52" s="71"/>
      <c r="AE52" s="71"/>
      <c r="AF52" s="71"/>
      <c r="AG52" s="71"/>
      <c r="AH52" s="71"/>
      <c r="AI52" s="71"/>
      <c r="AJ52" s="71"/>
    </row>
    <row r="53" spans="1:36" x14ac:dyDescent="0.25">
      <c r="B53" s="71"/>
      <c r="C53" s="71"/>
      <c r="D53" s="71"/>
      <c r="E53" s="71"/>
      <c r="F53" s="71"/>
      <c r="G53" s="71"/>
      <c r="H53" s="71"/>
      <c r="I53" s="71"/>
      <c r="J53" s="71"/>
      <c r="K53" s="71"/>
      <c r="L53" s="71"/>
      <c r="M53" s="71"/>
      <c r="N53" s="71"/>
      <c r="O53" s="71"/>
      <c r="P53" s="71"/>
      <c r="Q53" s="71"/>
      <c r="R53" s="71"/>
      <c r="S53" s="71"/>
      <c r="T53" s="71"/>
      <c r="U53" s="71"/>
      <c r="V53" s="71"/>
      <c r="W53" s="71"/>
      <c r="X53" s="71"/>
      <c r="Y53" s="71"/>
      <c r="Z53" s="71"/>
      <c r="AA53" s="71"/>
      <c r="AB53" s="71"/>
      <c r="AC53" s="71"/>
      <c r="AD53" s="71"/>
      <c r="AE53" s="71"/>
      <c r="AF53" s="71"/>
      <c r="AG53" s="71"/>
      <c r="AH53" s="71"/>
      <c r="AI53" s="71"/>
      <c r="AJ53" s="71"/>
    </row>
    <row r="54" spans="1:36" x14ac:dyDescent="0.25">
      <c r="A54" s="10" t="s">
        <v>146</v>
      </c>
      <c r="B54" s="71"/>
      <c r="C54" s="71"/>
      <c r="D54" s="71"/>
      <c r="E54" s="71"/>
      <c r="F54" s="71"/>
      <c r="G54" s="71"/>
      <c r="H54" s="71"/>
      <c r="I54" s="71"/>
      <c r="J54" s="71"/>
      <c r="K54" s="71"/>
      <c r="L54" s="71"/>
      <c r="M54" s="71"/>
      <c r="N54" s="71"/>
      <c r="O54" s="71"/>
      <c r="P54" s="71"/>
      <c r="Q54" s="71"/>
      <c r="R54" s="71"/>
      <c r="S54" s="71"/>
      <c r="T54" s="71"/>
      <c r="U54" s="71"/>
      <c r="V54" s="71"/>
      <c r="W54" s="71"/>
      <c r="X54" s="71"/>
      <c r="Y54" s="71"/>
      <c r="Z54" s="71"/>
      <c r="AA54" s="71"/>
      <c r="AB54" s="71"/>
      <c r="AC54" s="71"/>
      <c r="AD54" s="71"/>
      <c r="AE54" s="71"/>
      <c r="AF54" s="71"/>
      <c r="AG54" s="71"/>
      <c r="AH54" s="71"/>
      <c r="AI54" s="71"/>
      <c r="AJ54" s="71"/>
    </row>
    <row r="55" spans="1:36" x14ac:dyDescent="0.25">
      <c r="A55">
        <v>8057159</v>
      </c>
      <c r="B55" s="71"/>
      <c r="C55" s="71"/>
      <c r="D55" s="71"/>
      <c r="E55" s="71"/>
      <c r="F55" s="71"/>
      <c r="G55" s="71"/>
      <c r="H55" s="71"/>
      <c r="I55" s="71"/>
      <c r="J55" s="71"/>
      <c r="K55" s="71"/>
      <c r="L55" s="71"/>
      <c r="M55" s="71"/>
      <c r="N55" s="71"/>
      <c r="O55" s="71"/>
      <c r="P55" s="71"/>
      <c r="Q55" s="71"/>
      <c r="R55" s="71"/>
      <c r="S55" s="71"/>
      <c r="T55" s="71"/>
      <c r="U55" s="71"/>
      <c r="V55" s="71"/>
      <c r="W55" s="71"/>
      <c r="X55" s="71"/>
      <c r="Y55" s="71"/>
      <c r="Z55" s="71"/>
      <c r="AA55" s="71"/>
      <c r="AB55" s="71"/>
      <c r="AC55" s="71"/>
      <c r="AD55" s="71"/>
      <c r="AE55" s="71"/>
      <c r="AF55" s="71"/>
      <c r="AG55" s="71"/>
      <c r="AH55" s="71"/>
      <c r="AI55" s="71"/>
      <c r="AJ55" s="71"/>
    </row>
    <row r="56" spans="1:36" x14ac:dyDescent="0.25">
      <c r="A56">
        <v>9140312</v>
      </c>
      <c r="B56" s="71"/>
      <c r="C56" s="71"/>
      <c r="D56" s="71"/>
      <c r="E56" s="71"/>
      <c r="F56" s="71"/>
      <c r="G56" s="71"/>
      <c r="H56" s="71"/>
      <c r="I56" s="71"/>
      <c r="J56" s="71"/>
      <c r="K56" s="71"/>
      <c r="L56" s="71"/>
      <c r="M56" s="71"/>
      <c r="N56" s="71"/>
      <c r="O56" s="71"/>
      <c r="P56" s="71"/>
      <c r="Q56" s="71"/>
      <c r="R56" s="71"/>
      <c r="S56" s="71"/>
      <c r="T56" s="71"/>
      <c r="U56" s="71"/>
      <c r="V56" s="71"/>
      <c r="W56" s="71"/>
      <c r="X56" s="71"/>
      <c r="Y56" s="71"/>
      <c r="Z56" s="71"/>
      <c r="AA56" s="71"/>
      <c r="AB56" s="71"/>
      <c r="AC56" s="71"/>
      <c r="AD56" s="71"/>
      <c r="AE56" s="71"/>
      <c r="AF56" s="71"/>
      <c r="AG56" s="71"/>
      <c r="AH56" s="71"/>
      <c r="AI56" s="71"/>
      <c r="AJ56" s="71"/>
    </row>
    <row r="57" spans="1:36" x14ac:dyDescent="0.25">
      <c r="A57">
        <v>12008230</v>
      </c>
      <c r="B57" s="71"/>
      <c r="C57" s="71"/>
      <c r="D57" s="71"/>
      <c r="E57" s="71"/>
      <c r="F57" s="71"/>
      <c r="G57" s="71"/>
      <c r="H57" s="71"/>
      <c r="I57" s="71"/>
      <c r="J57" s="71"/>
      <c r="K57" s="71"/>
      <c r="L57" s="71"/>
      <c r="M57" s="71"/>
      <c r="N57" s="71"/>
      <c r="O57" s="71"/>
      <c r="P57" s="71"/>
      <c r="Q57" s="71"/>
      <c r="R57" s="71"/>
      <c r="S57" s="71"/>
      <c r="T57" s="71"/>
      <c r="U57" s="71"/>
      <c r="V57" s="71"/>
      <c r="W57" s="71"/>
      <c r="X57" s="71"/>
      <c r="Y57" s="71"/>
      <c r="Z57" s="71"/>
      <c r="AA57" s="71"/>
      <c r="AB57" s="71"/>
      <c r="AC57" s="71"/>
      <c r="AD57" s="71"/>
      <c r="AE57" s="71"/>
      <c r="AF57" s="71"/>
      <c r="AG57" s="71"/>
      <c r="AH57" s="71"/>
      <c r="AI57" s="71"/>
      <c r="AJ57" s="71"/>
    </row>
    <row r="58" spans="1:36" x14ac:dyDescent="0.25">
      <c r="A58">
        <v>12088444</v>
      </c>
      <c r="B58" s="71"/>
      <c r="C58" s="71"/>
      <c r="D58" s="71"/>
      <c r="E58" s="71"/>
      <c r="F58" s="71"/>
      <c r="G58" s="71"/>
      <c r="H58" s="71"/>
      <c r="I58" s="71"/>
      <c r="J58" s="71"/>
      <c r="K58" s="71"/>
      <c r="L58" s="71"/>
      <c r="M58" s="71"/>
      <c r="N58" s="71"/>
      <c r="O58" s="71"/>
      <c r="P58" s="71"/>
      <c r="Q58" s="71"/>
      <c r="R58" s="71"/>
      <c r="S58" s="71"/>
      <c r="T58" s="71"/>
      <c r="U58" s="71"/>
      <c r="V58" s="71"/>
      <c r="W58" s="71"/>
      <c r="X58" s="71"/>
      <c r="Y58" s="71"/>
      <c r="Z58" s="71"/>
      <c r="AA58" s="71"/>
      <c r="AB58" s="71"/>
      <c r="AC58" s="71"/>
      <c r="AD58" s="71"/>
      <c r="AE58" s="71"/>
      <c r="AF58" s="71"/>
      <c r="AG58" s="71"/>
      <c r="AH58" s="71"/>
      <c r="AI58" s="71"/>
      <c r="AJ58" s="71"/>
    </row>
    <row r="59" spans="1:36" x14ac:dyDescent="0.25">
      <c r="A59">
        <v>13118872</v>
      </c>
      <c r="B59" s="71"/>
      <c r="C59" s="71"/>
      <c r="D59" s="71"/>
      <c r="E59" s="71"/>
      <c r="F59" s="71"/>
      <c r="G59" s="71"/>
      <c r="H59" s="71"/>
      <c r="I59" s="71"/>
      <c r="J59" s="71"/>
      <c r="K59" s="71"/>
      <c r="L59" s="71"/>
      <c r="M59" s="71"/>
      <c r="N59" s="71"/>
      <c r="O59" s="71"/>
      <c r="P59" s="71"/>
      <c r="Q59" s="71"/>
      <c r="R59" s="71"/>
      <c r="S59" s="71"/>
      <c r="T59" s="71"/>
      <c r="U59" s="71"/>
      <c r="V59" s="71"/>
      <c r="W59" s="71"/>
      <c r="X59" s="71"/>
      <c r="Y59" s="71"/>
      <c r="Z59" s="71"/>
      <c r="AA59" s="71"/>
      <c r="AB59" s="71"/>
      <c r="AC59" s="71"/>
      <c r="AD59" s="71"/>
      <c r="AE59" s="71"/>
      <c r="AF59" s="71"/>
      <c r="AG59" s="71"/>
      <c r="AH59" s="71"/>
      <c r="AI59" s="71"/>
      <c r="AJ59" s="71"/>
    </row>
    <row r="60" spans="1:36" x14ac:dyDescent="0.25">
      <c r="A60">
        <v>12012030</v>
      </c>
      <c r="B60" s="71"/>
      <c r="C60" s="71"/>
      <c r="D60" s="71"/>
      <c r="E60" s="71"/>
      <c r="F60" s="71"/>
      <c r="G60" s="71"/>
      <c r="H60" s="71"/>
      <c r="I60" s="71"/>
      <c r="J60" s="71"/>
      <c r="K60" s="71"/>
      <c r="L60" s="71"/>
      <c r="M60" s="71"/>
      <c r="N60" s="71"/>
      <c r="O60" s="71"/>
      <c r="P60" s="71"/>
      <c r="Q60" s="71"/>
      <c r="R60" s="71"/>
      <c r="S60" s="71"/>
      <c r="T60" s="71"/>
      <c r="U60" s="71"/>
      <c r="V60" s="71"/>
      <c r="W60" s="71"/>
      <c r="X60" s="71"/>
      <c r="Y60" s="71"/>
      <c r="Z60" s="71"/>
      <c r="AA60" s="71"/>
      <c r="AB60" s="71">
        <v>250</v>
      </c>
      <c r="AC60" s="71"/>
      <c r="AD60" s="71"/>
      <c r="AE60" s="71"/>
      <c r="AF60" s="71"/>
      <c r="AG60" s="71"/>
      <c r="AH60" s="71"/>
      <c r="AI60" s="71"/>
      <c r="AJ60" s="71"/>
    </row>
    <row r="61" spans="1:36" x14ac:dyDescent="0.25">
      <c r="B61" s="71"/>
      <c r="C61" s="71"/>
      <c r="D61" s="71"/>
      <c r="E61" s="71"/>
      <c r="F61" s="71"/>
      <c r="G61" s="71"/>
      <c r="H61" s="71"/>
      <c r="I61" s="71"/>
      <c r="J61" s="71"/>
      <c r="K61" s="71"/>
      <c r="L61" s="71"/>
      <c r="M61" s="71"/>
      <c r="N61" s="71"/>
      <c r="O61" s="71"/>
      <c r="P61" s="71"/>
      <c r="Q61" s="71"/>
      <c r="R61" s="71"/>
      <c r="S61" s="71"/>
      <c r="T61" s="71"/>
      <c r="U61" s="71"/>
      <c r="V61" s="71"/>
      <c r="W61" s="71"/>
      <c r="X61" s="71"/>
      <c r="Y61" s="71"/>
      <c r="Z61" s="71"/>
      <c r="AA61" s="71"/>
      <c r="AB61" s="71"/>
      <c r="AC61" s="71"/>
      <c r="AD61" s="71"/>
      <c r="AE61" s="71"/>
      <c r="AF61" s="71"/>
      <c r="AG61" s="71"/>
      <c r="AH61" s="71"/>
      <c r="AI61" s="71"/>
      <c r="AJ61" s="71"/>
    </row>
    <row r="62" spans="1:36" x14ac:dyDescent="0.25">
      <c r="A62" s="10" t="s">
        <v>120</v>
      </c>
      <c r="B62" s="71"/>
      <c r="C62" s="71"/>
      <c r="D62" s="71"/>
      <c r="E62" s="71"/>
      <c r="F62" s="71"/>
      <c r="G62" s="71"/>
      <c r="H62" s="71"/>
      <c r="I62" s="71"/>
      <c r="J62" s="71"/>
      <c r="K62" s="71"/>
      <c r="L62" s="71"/>
      <c r="M62" s="71"/>
      <c r="N62" s="71"/>
      <c r="O62" s="71"/>
      <c r="P62" s="71"/>
      <c r="Q62" s="71"/>
      <c r="R62" s="71"/>
      <c r="S62" s="71"/>
      <c r="T62" s="71"/>
      <c r="U62" s="71"/>
      <c r="V62" s="71"/>
      <c r="W62" s="71"/>
      <c r="X62" s="71"/>
      <c r="Y62" s="71"/>
      <c r="Z62" s="71"/>
      <c r="AA62" s="71"/>
      <c r="AB62" s="71"/>
      <c r="AC62" s="71"/>
      <c r="AD62" s="71"/>
      <c r="AE62" s="71"/>
      <c r="AF62" s="71"/>
      <c r="AG62" s="71"/>
      <c r="AH62" s="71"/>
      <c r="AI62" s="71"/>
      <c r="AJ62" s="71"/>
    </row>
    <row r="63" spans="1:36" x14ac:dyDescent="0.25">
      <c r="A63">
        <v>9074418</v>
      </c>
      <c r="B63" s="71"/>
      <c r="C63" s="71"/>
      <c r="D63" s="71"/>
      <c r="E63" s="71"/>
      <c r="F63" s="71"/>
      <c r="G63" s="71"/>
      <c r="H63" s="71"/>
      <c r="I63" s="71"/>
      <c r="J63" s="71"/>
      <c r="K63" s="71"/>
      <c r="L63" s="71"/>
      <c r="M63" s="71"/>
      <c r="N63" s="71"/>
      <c r="O63" s="71"/>
      <c r="P63" s="71"/>
      <c r="Q63" s="71"/>
      <c r="R63" s="71"/>
      <c r="S63" s="71"/>
      <c r="T63" s="71"/>
      <c r="U63" s="71"/>
      <c r="V63" s="71"/>
      <c r="W63" s="71"/>
      <c r="X63" s="71"/>
      <c r="Y63" s="71"/>
      <c r="Z63" s="71"/>
      <c r="AA63" s="71"/>
      <c r="AB63" s="71"/>
      <c r="AC63" s="71"/>
      <c r="AD63" s="71"/>
      <c r="AE63" s="71"/>
      <c r="AF63" s="71"/>
      <c r="AG63" s="71"/>
      <c r="AH63" s="71"/>
      <c r="AI63" s="71"/>
      <c r="AJ63" s="71"/>
    </row>
    <row r="64" spans="1:36" x14ac:dyDescent="0.25">
      <c r="A64">
        <v>1263</v>
      </c>
      <c r="B64" s="71"/>
      <c r="C64" s="71"/>
      <c r="D64" s="71"/>
      <c r="E64" s="71"/>
      <c r="F64" s="71"/>
      <c r="G64" s="71"/>
      <c r="H64" s="71"/>
      <c r="I64" s="71"/>
      <c r="J64" s="71"/>
      <c r="K64" s="71"/>
      <c r="L64" s="71"/>
      <c r="M64" s="71"/>
      <c r="N64" s="71"/>
      <c r="O64" s="71"/>
      <c r="P64" s="71"/>
      <c r="Q64" s="71"/>
      <c r="R64" s="71"/>
      <c r="S64" s="71"/>
      <c r="T64" s="71"/>
      <c r="U64" s="71"/>
      <c r="V64" s="71"/>
      <c r="W64" s="71"/>
      <c r="X64" s="71"/>
      <c r="Y64" s="71"/>
      <c r="Z64" s="71"/>
      <c r="AA64" s="71"/>
      <c r="AB64" s="71"/>
      <c r="AC64" s="71"/>
      <c r="AD64" s="71"/>
      <c r="AE64" s="71"/>
      <c r="AF64" s="71"/>
      <c r="AG64" s="71"/>
      <c r="AH64" s="71"/>
      <c r="AI64" s="71"/>
      <c r="AJ64" s="71"/>
    </row>
    <row r="65" spans="1:36" x14ac:dyDescent="0.25">
      <c r="A65">
        <v>98004910</v>
      </c>
      <c r="B65" s="71"/>
      <c r="C65" s="71"/>
      <c r="D65" s="71"/>
      <c r="E65" s="71"/>
      <c r="F65" s="71"/>
      <c r="G65" s="71"/>
      <c r="H65" s="71"/>
      <c r="I65" s="71"/>
      <c r="J65" s="71"/>
      <c r="K65" s="71"/>
      <c r="L65" s="71"/>
      <c r="M65" s="71"/>
      <c r="N65" s="71"/>
      <c r="O65" s="71"/>
      <c r="P65" s="71"/>
      <c r="Q65" s="71"/>
      <c r="R65" s="71"/>
      <c r="S65" s="71"/>
      <c r="T65" s="71"/>
      <c r="U65" s="71"/>
      <c r="V65" s="71"/>
      <c r="W65" s="71"/>
      <c r="X65" s="71"/>
      <c r="Y65" s="71"/>
      <c r="Z65" s="71"/>
      <c r="AA65" s="71"/>
      <c r="AB65" s="71"/>
      <c r="AC65" s="71"/>
      <c r="AD65" s="71"/>
      <c r="AE65" s="71"/>
      <c r="AF65" s="71"/>
      <c r="AG65" s="71"/>
      <c r="AH65" s="71"/>
      <c r="AI65" s="71"/>
      <c r="AJ65" s="71"/>
    </row>
    <row r="66" spans="1:36" x14ac:dyDescent="0.25">
      <c r="A66">
        <v>7103068</v>
      </c>
      <c r="B66" s="71"/>
      <c r="C66" s="71"/>
      <c r="D66" s="71"/>
      <c r="E66" s="71"/>
      <c r="F66" s="71"/>
      <c r="G66" s="71"/>
      <c r="H66" s="71"/>
      <c r="I66" s="71"/>
      <c r="J66" s="71"/>
      <c r="K66" s="71"/>
      <c r="L66" s="71"/>
      <c r="M66" s="71"/>
      <c r="N66" s="71"/>
      <c r="O66" s="71"/>
      <c r="P66" s="71"/>
      <c r="Q66" s="71"/>
      <c r="R66" s="71"/>
      <c r="S66" s="71"/>
      <c r="T66" s="71"/>
      <c r="U66" s="71"/>
      <c r="V66" s="71"/>
      <c r="W66" s="71"/>
      <c r="X66" s="71"/>
      <c r="Y66" s="71"/>
      <c r="Z66" s="71"/>
      <c r="AA66" s="71"/>
      <c r="AB66" s="71"/>
      <c r="AC66" s="71"/>
      <c r="AD66" s="71"/>
      <c r="AE66" s="71"/>
      <c r="AF66" s="71"/>
      <c r="AG66" s="71"/>
      <c r="AH66" s="71"/>
      <c r="AI66" s="71"/>
      <c r="AJ66" s="71"/>
    </row>
    <row r="67" spans="1:36" x14ac:dyDescent="0.25">
      <c r="A67">
        <v>11240728</v>
      </c>
      <c r="B67" s="71"/>
      <c r="C67" s="71"/>
      <c r="D67" s="71"/>
      <c r="E67" s="71"/>
      <c r="F67" s="71"/>
      <c r="G67" s="71"/>
      <c r="H67" s="71"/>
      <c r="I67" s="71"/>
      <c r="J67" s="71"/>
      <c r="K67" s="71"/>
      <c r="L67" s="71"/>
      <c r="M67" s="71"/>
      <c r="N67" s="71"/>
      <c r="O67" s="71"/>
      <c r="P67" s="71"/>
      <c r="Q67" s="71"/>
      <c r="R67" s="71"/>
      <c r="S67" s="71"/>
      <c r="T67" s="71"/>
      <c r="U67" s="71"/>
      <c r="V67" s="71"/>
      <c r="W67" s="71"/>
      <c r="X67" s="71"/>
      <c r="Y67" s="71"/>
      <c r="Z67" s="71"/>
      <c r="AA67" s="71"/>
      <c r="AB67" s="71"/>
      <c r="AC67" s="71"/>
      <c r="AD67" s="71"/>
      <c r="AE67" s="71"/>
      <c r="AF67" s="71"/>
      <c r="AG67" s="71"/>
      <c r="AH67" s="71"/>
      <c r="AI67" s="71"/>
      <c r="AJ67" s="71"/>
    </row>
    <row r="68" spans="1:36" x14ac:dyDescent="0.25">
      <c r="B68" s="72"/>
      <c r="C68" s="72"/>
      <c r="D68" s="72"/>
      <c r="E68" s="72"/>
      <c r="F68" s="72"/>
      <c r="G68" s="72"/>
      <c r="H68" s="72"/>
      <c r="I68" s="72"/>
      <c r="J68" s="72"/>
      <c r="K68" s="72"/>
      <c r="L68" s="72"/>
      <c r="M68" s="72"/>
      <c r="N68" s="72"/>
      <c r="O68" s="72"/>
      <c r="P68" s="72"/>
      <c r="Q68" s="72"/>
      <c r="R68" s="72"/>
      <c r="S68" s="72"/>
      <c r="T68" s="72"/>
      <c r="U68" s="72"/>
      <c r="V68" s="72"/>
      <c r="W68" s="72"/>
      <c r="X68" s="72"/>
      <c r="Y68" s="72"/>
      <c r="Z68" s="72"/>
      <c r="AA68" s="72"/>
      <c r="AB68" s="72"/>
      <c r="AC68" s="72"/>
      <c r="AD68" s="72"/>
      <c r="AE68" s="72"/>
      <c r="AF68" s="72"/>
      <c r="AG68" s="72"/>
      <c r="AH68" s="72"/>
      <c r="AI68" s="72"/>
      <c r="AJ68" s="72"/>
    </row>
    <row r="69" spans="1:36" x14ac:dyDescent="0.25">
      <c r="A69" s="26" t="s">
        <v>170</v>
      </c>
      <c r="B69" s="71"/>
      <c r="C69" s="71"/>
      <c r="D69" s="71"/>
      <c r="E69" s="71"/>
      <c r="F69" s="71"/>
      <c r="G69" s="71"/>
      <c r="H69" s="71"/>
      <c r="I69" s="71"/>
      <c r="J69" s="71"/>
      <c r="K69" s="71"/>
      <c r="L69" s="71"/>
      <c r="M69" s="71"/>
      <c r="N69" s="71"/>
      <c r="O69" s="71"/>
      <c r="P69" s="71"/>
      <c r="Q69" s="71"/>
      <c r="R69" s="71"/>
      <c r="S69" s="71"/>
      <c r="T69" s="71"/>
      <c r="U69" s="71"/>
      <c r="V69" s="71"/>
      <c r="W69" s="71"/>
      <c r="X69" s="71"/>
      <c r="Y69" s="71"/>
      <c r="Z69" s="71"/>
      <c r="AA69" s="71"/>
      <c r="AB69" s="71"/>
      <c r="AC69" s="71"/>
      <c r="AD69" s="71"/>
      <c r="AE69" s="71"/>
      <c r="AF69" s="71"/>
      <c r="AG69" s="71"/>
      <c r="AH69" s="71"/>
      <c r="AI69" s="71"/>
      <c r="AJ69" s="71"/>
    </row>
    <row r="70" spans="1:36" x14ac:dyDescent="0.25">
      <c r="A70" s="10" t="s">
        <v>143</v>
      </c>
      <c r="B70" s="71"/>
      <c r="C70" s="71"/>
      <c r="D70" s="71"/>
      <c r="E70" s="71"/>
      <c r="F70" s="71"/>
      <c r="G70" s="71"/>
      <c r="H70" s="71"/>
      <c r="I70" s="71"/>
      <c r="J70" s="71"/>
      <c r="K70" s="71"/>
      <c r="L70" s="71"/>
      <c r="M70" s="71"/>
      <c r="N70" s="71"/>
      <c r="O70" s="71"/>
      <c r="P70" s="71"/>
      <c r="Q70" s="71"/>
      <c r="R70" s="71"/>
      <c r="S70" s="71"/>
      <c r="T70" s="71"/>
      <c r="U70" s="71"/>
      <c r="V70" s="71"/>
      <c r="W70" s="71"/>
      <c r="X70" s="71"/>
      <c r="Y70" s="71"/>
      <c r="Z70" s="71"/>
      <c r="AA70" s="71"/>
      <c r="AB70" s="71"/>
      <c r="AC70" s="71"/>
      <c r="AD70" s="71"/>
      <c r="AE70" s="71"/>
      <c r="AF70" s="71"/>
      <c r="AG70" s="71"/>
      <c r="AH70" s="71"/>
      <c r="AI70" s="71"/>
      <c r="AJ70" s="71"/>
    </row>
    <row r="71" spans="1:36" x14ac:dyDescent="0.25">
      <c r="A71">
        <v>5015869</v>
      </c>
      <c r="B71" s="71"/>
      <c r="C71" s="71"/>
      <c r="D71" s="71"/>
      <c r="E71" s="71"/>
      <c r="F71" s="71"/>
      <c r="G71" s="71"/>
      <c r="H71" s="71"/>
      <c r="I71" s="71"/>
      <c r="J71" s="71"/>
      <c r="K71" s="71"/>
      <c r="L71" s="71"/>
      <c r="M71" s="71"/>
      <c r="N71" s="71"/>
      <c r="O71" s="71"/>
      <c r="P71" s="71"/>
      <c r="Q71" s="71"/>
      <c r="R71" s="71"/>
      <c r="S71" s="71"/>
      <c r="T71" s="71"/>
      <c r="U71" s="71"/>
      <c r="V71" s="71"/>
      <c r="W71" s="71"/>
      <c r="X71" s="71"/>
      <c r="Y71" s="71"/>
      <c r="Z71" s="71"/>
      <c r="AA71" s="71"/>
      <c r="AB71" s="71"/>
      <c r="AC71" s="71"/>
      <c r="AD71" s="71"/>
      <c r="AE71" s="71"/>
      <c r="AF71" s="71"/>
      <c r="AG71" s="71"/>
      <c r="AH71" s="71"/>
      <c r="AI71" s="71"/>
      <c r="AJ71" s="71"/>
    </row>
    <row r="72" spans="1:36" x14ac:dyDescent="0.25">
      <c r="A72">
        <v>5016969</v>
      </c>
      <c r="B72" s="71"/>
      <c r="C72" s="71"/>
      <c r="D72" s="71"/>
      <c r="E72" s="71"/>
      <c r="F72" s="71"/>
      <c r="G72" s="71"/>
      <c r="H72" s="71"/>
      <c r="I72" s="71"/>
      <c r="J72" s="71"/>
      <c r="K72" s="71"/>
      <c r="L72" s="71"/>
      <c r="M72" s="71"/>
      <c r="N72" s="71"/>
      <c r="O72" s="71"/>
      <c r="P72" s="71"/>
      <c r="Q72" s="71"/>
      <c r="R72" s="71"/>
      <c r="S72" s="71"/>
      <c r="T72" s="71"/>
      <c r="U72" s="71"/>
      <c r="V72" s="71"/>
      <c r="W72" s="71"/>
      <c r="X72" s="71"/>
      <c r="Y72" s="71"/>
      <c r="Z72" s="71"/>
      <c r="AA72" s="71"/>
      <c r="AB72" s="71"/>
      <c r="AC72" s="71"/>
      <c r="AD72" s="71"/>
      <c r="AE72" s="71"/>
      <c r="AF72" s="71"/>
      <c r="AG72" s="71"/>
      <c r="AH72" s="71"/>
      <c r="AI72" s="71"/>
      <c r="AJ72" s="71"/>
    </row>
    <row r="73" spans="1:36" x14ac:dyDescent="0.25">
      <c r="A73">
        <v>6023231</v>
      </c>
      <c r="B73" s="71"/>
      <c r="C73" s="71"/>
      <c r="D73" s="71"/>
      <c r="E73" s="71"/>
      <c r="F73" s="71"/>
      <c r="G73" s="71"/>
      <c r="H73" s="71"/>
      <c r="I73" s="71"/>
      <c r="J73" s="71"/>
      <c r="K73" s="71"/>
      <c r="L73" s="71"/>
      <c r="M73" s="71"/>
      <c r="N73" s="71"/>
      <c r="O73" s="71"/>
      <c r="P73" s="71"/>
      <c r="Q73" s="71"/>
      <c r="R73" s="71"/>
      <c r="S73" s="71"/>
      <c r="T73" s="71"/>
      <c r="U73" s="71"/>
      <c r="V73" s="71"/>
      <c r="W73" s="71"/>
      <c r="X73" s="71"/>
      <c r="Y73" s="71"/>
      <c r="Z73" s="71"/>
      <c r="AA73" s="71"/>
      <c r="AB73" s="71"/>
      <c r="AC73" s="71"/>
      <c r="AD73" s="71"/>
      <c r="AE73" s="71"/>
      <c r="AF73" s="71"/>
      <c r="AG73" s="71"/>
      <c r="AH73" s="71"/>
      <c r="AI73" s="71"/>
      <c r="AJ73" s="71"/>
    </row>
    <row r="74" spans="1:36" x14ac:dyDescent="0.25">
      <c r="A74">
        <v>6010712</v>
      </c>
      <c r="B74" s="71"/>
      <c r="C74" s="71"/>
      <c r="D74" s="71"/>
      <c r="E74" s="71"/>
      <c r="F74" s="71"/>
      <c r="G74" s="71"/>
      <c r="H74" s="71"/>
      <c r="I74" s="71"/>
      <c r="J74" s="71"/>
      <c r="K74" s="71"/>
      <c r="L74" s="71"/>
      <c r="M74" s="71"/>
      <c r="N74" s="71"/>
      <c r="O74" s="71"/>
      <c r="P74" s="71"/>
      <c r="Q74" s="71"/>
      <c r="R74" s="71"/>
      <c r="S74" s="71"/>
      <c r="T74" s="71"/>
      <c r="U74" s="71"/>
      <c r="V74" s="71"/>
      <c r="W74" s="71"/>
      <c r="X74" s="71"/>
      <c r="Y74" s="71"/>
      <c r="Z74" s="71"/>
      <c r="AA74" s="71"/>
      <c r="AB74" s="71"/>
      <c r="AC74" s="71"/>
      <c r="AD74" s="71"/>
      <c r="AE74" s="71"/>
      <c r="AF74" s="71"/>
      <c r="AG74" s="71"/>
      <c r="AH74" s="71"/>
      <c r="AI74" s="71"/>
      <c r="AJ74" s="71"/>
    </row>
    <row r="75" spans="1:36" x14ac:dyDescent="0.25">
      <c r="A75">
        <v>6011198</v>
      </c>
      <c r="B75" s="71"/>
      <c r="C75" s="71"/>
      <c r="D75" s="71"/>
      <c r="E75" s="71"/>
      <c r="F75" s="71"/>
      <c r="G75" s="71"/>
      <c r="H75" s="71"/>
      <c r="I75" s="71"/>
      <c r="J75" s="71"/>
      <c r="K75" s="71"/>
      <c r="L75" s="71"/>
      <c r="M75" s="71"/>
      <c r="N75" s="71"/>
      <c r="O75" s="71"/>
      <c r="P75" s="71"/>
      <c r="Q75" s="71"/>
      <c r="R75" s="71"/>
      <c r="S75" s="71"/>
      <c r="T75" s="71"/>
      <c r="U75" s="71"/>
      <c r="V75" s="71"/>
      <c r="W75" s="71"/>
      <c r="X75" s="71"/>
      <c r="Y75" s="71"/>
      <c r="Z75" s="71"/>
      <c r="AA75" s="71"/>
      <c r="AB75" s="71"/>
      <c r="AC75" s="71"/>
      <c r="AD75" s="71"/>
      <c r="AE75" s="71"/>
      <c r="AF75" s="71"/>
      <c r="AG75" s="71"/>
      <c r="AH75" s="71"/>
      <c r="AI75" s="71"/>
      <c r="AJ75" s="71"/>
    </row>
    <row r="76" spans="1:36" x14ac:dyDescent="0.25">
      <c r="A76">
        <v>6012681</v>
      </c>
      <c r="B76" s="71"/>
      <c r="C76" s="71"/>
      <c r="D76" s="71"/>
      <c r="E76" s="71"/>
      <c r="F76" s="71"/>
      <c r="G76" s="71"/>
      <c r="H76" s="71"/>
      <c r="I76" s="71"/>
      <c r="J76" s="71"/>
      <c r="K76" s="71"/>
      <c r="L76" s="71"/>
      <c r="M76" s="71"/>
      <c r="N76" s="71"/>
      <c r="O76" s="71"/>
      <c r="P76" s="71">
        <v>2700</v>
      </c>
      <c r="Q76" s="71"/>
      <c r="R76" s="71"/>
      <c r="S76" s="71"/>
      <c r="T76" s="71"/>
      <c r="U76" s="71"/>
      <c r="V76" s="71"/>
      <c r="W76" s="71"/>
      <c r="X76" s="71"/>
      <c r="Y76" s="71"/>
      <c r="Z76" s="71"/>
      <c r="AA76" s="71"/>
      <c r="AB76" s="71"/>
      <c r="AC76" s="71"/>
      <c r="AD76" s="71"/>
      <c r="AE76" s="71"/>
      <c r="AF76" s="71"/>
      <c r="AG76" s="71"/>
      <c r="AH76" s="71"/>
      <c r="AI76" s="71"/>
      <c r="AJ76" s="71"/>
    </row>
    <row r="77" spans="1:36" x14ac:dyDescent="0.25">
      <c r="A77">
        <v>6014511</v>
      </c>
      <c r="B77" s="71"/>
      <c r="C77" s="71"/>
      <c r="D77" s="71"/>
      <c r="E77" s="71"/>
      <c r="F77" s="71"/>
      <c r="G77" s="71"/>
      <c r="H77" s="71"/>
      <c r="I77" s="71"/>
      <c r="J77" s="71"/>
      <c r="K77" s="71"/>
      <c r="L77" s="71"/>
      <c r="M77" s="71"/>
      <c r="N77" s="71"/>
      <c r="O77" s="71"/>
      <c r="P77" s="71"/>
      <c r="Q77" s="71"/>
      <c r="R77" s="71">
        <v>3130000</v>
      </c>
      <c r="S77" s="71"/>
      <c r="T77" s="71"/>
      <c r="U77" s="71"/>
      <c r="V77" s="71"/>
      <c r="W77" s="71"/>
      <c r="X77" s="71"/>
      <c r="Y77" s="71"/>
      <c r="Z77" s="71"/>
      <c r="AA77" s="71"/>
      <c r="AB77" s="71"/>
      <c r="AC77" s="71"/>
      <c r="AD77" s="71"/>
      <c r="AE77" s="71"/>
      <c r="AF77" s="71"/>
      <c r="AG77" s="71"/>
      <c r="AH77" s="71"/>
      <c r="AI77" s="71"/>
      <c r="AJ77" s="71"/>
    </row>
    <row r="78" spans="1:36" x14ac:dyDescent="0.25">
      <c r="A78">
        <v>6045127</v>
      </c>
      <c r="B78" s="71"/>
      <c r="C78" s="71"/>
      <c r="D78" s="71"/>
      <c r="E78" s="71"/>
      <c r="F78" s="71"/>
      <c r="G78" s="71"/>
      <c r="H78" s="71"/>
      <c r="I78" s="71"/>
      <c r="J78" s="71"/>
      <c r="K78" s="71"/>
      <c r="L78" s="71"/>
      <c r="M78" s="71"/>
      <c r="N78" s="71"/>
      <c r="O78" s="71"/>
      <c r="P78" s="71"/>
      <c r="Q78" s="71"/>
      <c r="R78" s="71"/>
      <c r="S78" s="71"/>
      <c r="T78" s="71"/>
      <c r="U78" s="71"/>
      <c r="V78" s="71"/>
      <c r="W78" s="71"/>
      <c r="X78" s="71"/>
      <c r="Y78" s="71"/>
      <c r="Z78" s="71"/>
      <c r="AA78" s="71"/>
      <c r="AB78" s="71"/>
      <c r="AC78" s="71"/>
      <c r="AD78" s="71"/>
      <c r="AE78" s="71"/>
      <c r="AF78" s="71"/>
      <c r="AG78" s="71"/>
      <c r="AH78" s="71"/>
      <c r="AI78" s="71"/>
      <c r="AJ78" s="71"/>
    </row>
    <row r="79" spans="1:36" x14ac:dyDescent="0.25">
      <c r="A79">
        <v>7000458</v>
      </c>
      <c r="B79" s="71"/>
      <c r="C79" s="71"/>
      <c r="D79" s="71"/>
      <c r="E79" s="71"/>
      <c r="F79" s="71"/>
      <c r="G79" s="71"/>
      <c r="H79" s="71"/>
      <c r="I79" s="71"/>
      <c r="J79" s="71"/>
      <c r="K79" s="71"/>
      <c r="L79" s="71"/>
      <c r="M79" s="71"/>
      <c r="N79" s="71"/>
      <c r="O79" s="71"/>
      <c r="P79" s="71"/>
      <c r="Q79" s="71"/>
      <c r="R79" s="71"/>
      <c r="S79" s="71"/>
      <c r="T79" s="71"/>
      <c r="U79" s="71"/>
      <c r="V79" s="71"/>
      <c r="W79" s="71"/>
      <c r="X79" s="71"/>
      <c r="Y79" s="71"/>
      <c r="Z79" s="71"/>
      <c r="AA79" s="71"/>
      <c r="AB79" s="71"/>
      <c r="AC79" s="71"/>
      <c r="AD79" s="71"/>
      <c r="AE79" s="71"/>
      <c r="AF79" s="71"/>
      <c r="AG79" s="71"/>
      <c r="AH79" s="71"/>
      <c r="AI79" s="71"/>
      <c r="AJ79" s="71"/>
    </row>
    <row r="80" spans="1:36" x14ac:dyDescent="0.25">
      <c r="A80">
        <v>7015502</v>
      </c>
      <c r="B80" s="71"/>
      <c r="C80" s="71"/>
      <c r="D80" s="71"/>
      <c r="E80" s="71"/>
      <c r="F80" s="71"/>
      <c r="G80" s="71"/>
      <c r="H80" s="71"/>
      <c r="I80" s="71"/>
      <c r="J80" s="71"/>
      <c r="K80" s="71"/>
      <c r="L80" s="71"/>
      <c r="M80" s="71"/>
      <c r="N80" s="71"/>
      <c r="O80" s="71"/>
      <c r="P80" s="71"/>
      <c r="Q80" s="71"/>
      <c r="R80" s="71"/>
      <c r="S80" s="71"/>
      <c r="T80" s="71"/>
      <c r="U80" s="71"/>
      <c r="V80" s="71"/>
      <c r="W80" s="71"/>
      <c r="X80" s="71"/>
      <c r="Y80" s="71"/>
      <c r="Z80" s="71"/>
      <c r="AA80" s="71"/>
      <c r="AB80" s="71"/>
      <c r="AC80" s="71"/>
      <c r="AD80" s="71"/>
      <c r="AE80" s="71"/>
      <c r="AF80" s="71"/>
      <c r="AG80" s="71"/>
      <c r="AH80" s="71"/>
      <c r="AI80" s="71"/>
      <c r="AJ80" s="71"/>
    </row>
    <row r="81" spans="1:36" x14ac:dyDescent="0.25">
      <c r="A81">
        <v>7025847</v>
      </c>
      <c r="B81" s="71"/>
      <c r="C81" s="71"/>
      <c r="D81" s="71"/>
      <c r="E81" s="71"/>
      <c r="F81" s="71"/>
      <c r="G81" s="71"/>
      <c r="H81" s="71"/>
      <c r="I81" s="71"/>
      <c r="J81" s="71"/>
      <c r="K81" s="71"/>
      <c r="L81" s="71"/>
      <c r="M81" s="71"/>
      <c r="N81" s="71"/>
      <c r="O81" s="71"/>
      <c r="P81" s="71"/>
      <c r="Q81" s="71"/>
      <c r="R81" s="71"/>
      <c r="S81" s="71"/>
      <c r="T81" s="71"/>
      <c r="U81" s="71"/>
      <c r="V81" s="71"/>
      <c r="W81" s="71"/>
      <c r="X81" s="71"/>
      <c r="Y81" s="71"/>
      <c r="Z81" s="71"/>
      <c r="AA81" s="71"/>
      <c r="AB81" s="71"/>
      <c r="AC81" s="71"/>
      <c r="AD81" s="71"/>
      <c r="AE81" s="71"/>
      <c r="AF81" s="71"/>
      <c r="AG81" s="71"/>
      <c r="AH81" s="71"/>
      <c r="AI81" s="71"/>
      <c r="AJ81" s="71"/>
    </row>
    <row r="82" spans="1:36" x14ac:dyDescent="0.25">
      <c r="A82">
        <v>7082707</v>
      </c>
      <c r="B82" s="71"/>
      <c r="C82" s="71"/>
      <c r="D82" s="71"/>
      <c r="E82" s="71"/>
      <c r="F82" s="71"/>
      <c r="G82" s="71"/>
      <c r="H82" s="71"/>
      <c r="I82" s="71"/>
      <c r="J82" s="71"/>
      <c r="K82" s="71"/>
      <c r="L82" s="71"/>
      <c r="M82" s="71"/>
      <c r="N82" s="71"/>
      <c r="O82" s="71"/>
      <c r="P82" s="71"/>
      <c r="Q82" s="71"/>
      <c r="R82" s="71"/>
      <c r="S82" s="71"/>
      <c r="T82" s="71"/>
      <c r="U82" s="71"/>
      <c r="V82" s="71"/>
      <c r="W82" s="71"/>
      <c r="X82" s="71"/>
      <c r="Y82" s="71"/>
      <c r="Z82" s="71"/>
      <c r="AA82" s="71"/>
      <c r="AB82" s="71"/>
      <c r="AC82" s="71"/>
      <c r="AD82" s="71"/>
      <c r="AE82" s="71"/>
      <c r="AF82" s="71"/>
      <c r="AG82" s="71"/>
      <c r="AH82" s="71"/>
      <c r="AI82" s="71"/>
      <c r="AJ82" s="71"/>
    </row>
    <row r="83" spans="1:36" x14ac:dyDescent="0.25">
      <c r="A83">
        <v>7083159</v>
      </c>
      <c r="B83" s="71"/>
      <c r="C83" s="71"/>
      <c r="D83" s="71"/>
      <c r="E83" s="71"/>
      <c r="F83" s="71"/>
      <c r="G83" s="71"/>
      <c r="H83" s="71"/>
      <c r="I83" s="71"/>
      <c r="J83" s="71"/>
      <c r="K83" s="71"/>
      <c r="L83" s="71"/>
      <c r="M83" s="71"/>
      <c r="N83" s="71"/>
      <c r="O83" s="71"/>
      <c r="P83" s="71"/>
      <c r="Q83" s="71"/>
      <c r="R83" s="71"/>
      <c r="S83" s="71"/>
      <c r="T83" s="71"/>
      <c r="U83" s="71"/>
      <c r="V83" s="71"/>
      <c r="W83" s="71"/>
      <c r="X83" s="71"/>
      <c r="Y83" s="71"/>
      <c r="Z83" s="71"/>
      <c r="AA83" s="71"/>
      <c r="AB83" s="71"/>
      <c r="AC83" s="71"/>
      <c r="AD83" s="71"/>
      <c r="AE83" s="71"/>
      <c r="AF83" s="71"/>
      <c r="AG83" s="71"/>
      <c r="AH83" s="71"/>
      <c r="AI83" s="71"/>
      <c r="AJ83" s="71"/>
    </row>
    <row r="84" spans="1:36" x14ac:dyDescent="0.25">
      <c r="A84">
        <v>7084659</v>
      </c>
      <c r="B84" s="71"/>
      <c r="C84" s="71"/>
      <c r="D84" s="71"/>
      <c r="E84" s="71"/>
      <c r="F84" s="71"/>
      <c r="G84" s="71"/>
      <c r="H84" s="71"/>
      <c r="I84" s="71"/>
      <c r="J84" s="71"/>
      <c r="K84" s="71"/>
      <c r="L84" s="71"/>
      <c r="M84" s="71"/>
      <c r="N84" s="71"/>
      <c r="O84" s="71"/>
      <c r="P84" s="71"/>
      <c r="Q84" s="71"/>
      <c r="R84" s="71"/>
      <c r="S84" s="71"/>
      <c r="T84" s="71"/>
      <c r="U84" s="71"/>
      <c r="V84" s="71"/>
      <c r="W84" s="71"/>
      <c r="X84" s="71"/>
      <c r="Y84" s="71"/>
      <c r="Z84" s="71"/>
      <c r="AA84" s="71"/>
      <c r="AB84" s="71"/>
      <c r="AC84" s="71"/>
      <c r="AD84" s="71"/>
      <c r="AE84" s="71"/>
      <c r="AF84" s="71"/>
      <c r="AG84" s="71"/>
      <c r="AH84" s="71"/>
      <c r="AI84" s="71"/>
      <c r="AJ84" s="71"/>
    </row>
    <row r="85" spans="1:36" x14ac:dyDescent="0.25">
      <c r="A85">
        <v>7076814</v>
      </c>
      <c r="B85" s="71"/>
      <c r="C85" s="71"/>
      <c r="D85" s="71"/>
      <c r="E85" s="71"/>
      <c r="F85" s="71"/>
      <c r="G85" s="71"/>
      <c r="H85" s="71"/>
      <c r="I85" s="71"/>
      <c r="J85" s="71"/>
      <c r="K85" s="71"/>
      <c r="L85" s="71"/>
      <c r="M85" s="71"/>
      <c r="N85" s="71"/>
      <c r="O85" s="71"/>
      <c r="P85" s="71">
        <v>18600000000</v>
      </c>
      <c r="Q85" s="71"/>
      <c r="R85" s="71"/>
      <c r="S85" s="71"/>
      <c r="T85" s="71"/>
      <c r="U85" s="71"/>
      <c r="V85" s="71"/>
      <c r="W85" s="71"/>
      <c r="X85" s="71"/>
      <c r="Y85" s="71"/>
      <c r="Z85" s="71"/>
      <c r="AA85" s="71"/>
      <c r="AB85" s="71"/>
      <c r="AC85" s="71"/>
      <c r="AD85" s="71"/>
      <c r="AE85" s="71"/>
      <c r="AF85" s="71"/>
      <c r="AG85" s="71"/>
      <c r="AH85" s="71"/>
      <c r="AI85" s="71"/>
      <c r="AJ85" s="71"/>
    </row>
    <row r="86" spans="1:36" x14ac:dyDescent="0.25">
      <c r="A86">
        <v>7076815</v>
      </c>
      <c r="B86" s="71"/>
      <c r="C86" s="71"/>
      <c r="D86" s="71"/>
      <c r="E86" s="71"/>
      <c r="F86" s="71"/>
      <c r="G86" s="71"/>
      <c r="H86" s="71"/>
      <c r="I86" s="71"/>
      <c r="J86" s="71"/>
      <c r="K86" s="71"/>
      <c r="L86" s="71"/>
      <c r="M86" s="71"/>
      <c r="N86" s="71"/>
      <c r="O86" s="71">
        <v>2830000</v>
      </c>
      <c r="P86" s="71"/>
      <c r="Q86" s="71"/>
      <c r="R86" s="71"/>
      <c r="S86" s="71"/>
      <c r="T86" s="71"/>
      <c r="U86" s="71"/>
      <c r="V86" s="71"/>
      <c r="W86" s="71"/>
      <c r="X86" s="71"/>
      <c r="Y86" s="71"/>
      <c r="Z86" s="71"/>
      <c r="AA86" s="71"/>
      <c r="AB86" s="71"/>
      <c r="AC86" s="71"/>
      <c r="AD86" s="71"/>
      <c r="AE86" s="71"/>
      <c r="AF86" s="71"/>
      <c r="AG86" s="71"/>
      <c r="AH86" s="71"/>
      <c r="AI86" s="71"/>
      <c r="AJ86" s="71"/>
    </row>
    <row r="87" spans="1:36" x14ac:dyDescent="0.25">
      <c r="A87">
        <v>7089231</v>
      </c>
      <c r="B87" s="71"/>
      <c r="C87" s="71"/>
      <c r="D87" s="71"/>
      <c r="E87" s="71"/>
      <c r="F87" s="71"/>
      <c r="G87" s="71"/>
      <c r="H87" s="71"/>
      <c r="I87" s="71"/>
      <c r="J87" s="71"/>
      <c r="K87" s="71"/>
      <c r="L87" s="71"/>
      <c r="M87" s="71"/>
      <c r="N87" s="71">
        <v>3710</v>
      </c>
      <c r="O87" s="71"/>
      <c r="P87" s="71"/>
      <c r="Q87" s="71"/>
      <c r="R87" s="71"/>
      <c r="S87" s="71"/>
      <c r="T87" s="71"/>
      <c r="U87" s="71"/>
      <c r="V87" s="71"/>
      <c r="W87" s="71"/>
      <c r="X87" s="71"/>
      <c r="Y87" s="71"/>
      <c r="Z87" s="71"/>
      <c r="AA87" s="71"/>
      <c r="AB87" s="71"/>
      <c r="AC87" s="71"/>
      <c r="AD87" s="71"/>
      <c r="AE87" s="71"/>
      <c r="AF87" s="71"/>
      <c r="AG87" s="71"/>
      <c r="AH87" s="71"/>
      <c r="AI87" s="71"/>
      <c r="AJ87" s="71"/>
    </row>
    <row r="88" spans="1:36" x14ac:dyDescent="0.25">
      <c r="A88">
        <v>7116004</v>
      </c>
      <c r="B88" s="71"/>
      <c r="C88" s="71"/>
      <c r="D88" s="71"/>
      <c r="E88" s="71"/>
      <c r="F88" s="71"/>
      <c r="G88" s="71"/>
      <c r="H88" s="71"/>
      <c r="I88" s="71"/>
      <c r="J88" s="71"/>
      <c r="K88" s="71"/>
      <c r="L88" s="71"/>
      <c r="M88" s="71"/>
      <c r="N88" s="71"/>
      <c r="O88" s="71"/>
      <c r="P88" s="71"/>
      <c r="Q88" s="71"/>
      <c r="R88" s="71"/>
      <c r="S88" s="71"/>
      <c r="T88" s="71"/>
      <c r="U88" s="71"/>
      <c r="V88" s="71"/>
      <c r="W88" s="71"/>
      <c r="X88" s="71"/>
      <c r="Y88" s="71"/>
      <c r="Z88" s="71"/>
      <c r="AA88" s="71"/>
      <c r="AB88" s="71"/>
      <c r="AC88" s="71"/>
      <c r="AD88" s="71"/>
      <c r="AE88" s="71"/>
      <c r="AF88" s="71"/>
      <c r="AG88" s="71"/>
      <c r="AH88" s="71"/>
      <c r="AI88" s="71"/>
      <c r="AJ88" s="71"/>
    </row>
    <row r="89" spans="1:36" x14ac:dyDescent="0.25">
      <c r="A89">
        <v>8003819</v>
      </c>
      <c r="B89" s="71"/>
      <c r="C89" s="71"/>
      <c r="D89" s="71"/>
      <c r="E89" s="71"/>
      <c r="F89" s="71"/>
      <c r="G89" s="71"/>
      <c r="H89" s="71"/>
      <c r="I89" s="71"/>
      <c r="J89" s="71"/>
      <c r="K89" s="71"/>
      <c r="L89" s="71"/>
      <c r="M89" s="71"/>
      <c r="N89" s="71"/>
      <c r="O89" s="71"/>
      <c r="P89" s="71"/>
      <c r="Q89" s="71"/>
      <c r="R89" s="71"/>
      <c r="S89" s="71"/>
      <c r="T89" s="71"/>
      <c r="U89" s="71"/>
      <c r="V89" s="71"/>
      <c r="W89" s="71"/>
      <c r="X89" s="71"/>
      <c r="Y89" s="71"/>
      <c r="Z89" s="71"/>
      <c r="AA89" s="71"/>
      <c r="AB89" s="71"/>
      <c r="AC89" s="71"/>
      <c r="AD89" s="71"/>
      <c r="AE89" s="71"/>
      <c r="AF89" s="71"/>
      <c r="AG89" s="71"/>
      <c r="AH89" s="71"/>
      <c r="AI89" s="71"/>
      <c r="AJ89" s="71"/>
    </row>
    <row r="90" spans="1:36" x14ac:dyDescent="0.25">
      <c r="A90">
        <v>8091779</v>
      </c>
      <c r="B90" s="71"/>
      <c r="C90" s="71"/>
      <c r="D90" s="71"/>
      <c r="E90" s="71"/>
      <c r="F90" s="71"/>
      <c r="G90" s="71"/>
      <c r="H90" s="71"/>
      <c r="I90" s="71"/>
      <c r="J90" s="71"/>
      <c r="K90" s="71"/>
      <c r="L90" s="71"/>
      <c r="M90" s="71"/>
      <c r="N90" s="71"/>
      <c r="O90" s="71"/>
      <c r="P90" s="71"/>
      <c r="Q90" s="71"/>
      <c r="R90" s="71"/>
      <c r="S90" s="71"/>
      <c r="T90" s="71"/>
      <c r="U90" s="71"/>
      <c r="V90" s="71"/>
      <c r="W90" s="71"/>
      <c r="X90" s="71"/>
      <c r="Y90" s="71"/>
      <c r="Z90" s="71"/>
      <c r="AA90" s="71"/>
      <c r="AB90" s="71"/>
      <c r="AC90" s="71"/>
      <c r="AD90" s="71"/>
      <c r="AE90" s="71"/>
      <c r="AF90" s="71"/>
      <c r="AG90" s="71"/>
      <c r="AH90" s="71"/>
      <c r="AI90" s="71"/>
      <c r="AJ90" s="71"/>
    </row>
    <row r="91" spans="1:36" x14ac:dyDescent="0.25">
      <c r="A91">
        <v>8097989</v>
      </c>
      <c r="B91" s="71"/>
      <c r="C91" s="71"/>
      <c r="D91" s="71"/>
      <c r="E91" s="71"/>
      <c r="F91" s="71"/>
      <c r="G91" s="71"/>
      <c r="H91" s="71"/>
      <c r="I91" s="71"/>
      <c r="J91" s="71"/>
      <c r="K91" s="71"/>
      <c r="L91" s="71"/>
      <c r="M91" s="71"/>
      <c r="N91" s="71"/>
      <c r="O91" s="71"/>
      <c r="P91" s="71"/>
      <c r="Q91" s="71"/>
      <c r="R91" s="71"/>
      <c r="S91" s="71"/>
      <c r="T91" s="71"/>
      <c r="U91" s="71"/>
      <c r="V91" s="71"/>
      <c r="W91" s="71"/>
      <c r="X91" s="71"/>
      <c r="Y91" s="71"/>
      <c r="Z91" s="71"/>
      <c r="AA91" s="71"/>
      <c r="AB91" s="71"/>
      <c r="AC91" s="71"/>
      <c r="AD91" s="71"/>
      <c r="AE91" s="71"/>
      <c r="AF91" s="71"/>
      <c r="AG91" s="71"/>
      <c r="AH91" s="71"/>
      <c r="AI91" s="71"/>
      <c r="AJ91" s="71"/>
    </row>
    <row r="92" spans="1:36" x14ac:dyDescent="0.25">
      <c r="A92">
        <v>8112522</v>
      </c>
      <c r="B92" s="71"/>
      <c r="C92" s="71"/>
      <c r="D92" s="71"/>
      <c r="E92" s="71"/>
      <c r="F92" s="71"/>
      <c r="G92" s="71"/>
      <c r="H92" s="71"/>
      <c r="I92" s="71"/>
      <c r="J92" s="71"/>
      <c r="K92" s="71"/>
      <c r="L92" s="71"/>
      <c r="M92" s="71"/>
      <c r="N92" s="71"/>
      <c r="O92" s="71"/>
      <c r="P92" s="71"/>
      <c r="Q92" s="71"/>
      <c r="R92" s="71"/>
      <c r="S92" s="71"/>
      <c r="T92" s="71"/>
      <c r="U92" s="71"/>
      <c r="V92" s="71"/>
      <c r="W92" s="71"/>
      <c r="X92" s="71"/>
      <c r="Y92" s="71"/>
      <c r="Z92" s="71"/>
      <c r="AA92" s="71"/>
      <c r="AB92" s="71"/>
      <c r="AC92" s="71"/>
      <c r="AD92" s="71"/>
      <c r="AE92" s="71"/>
      <c r="AF92" s="71"/>
      <c r="AG92" s="71"/>
      <c r="AH92" s="71"/>
      <c r="AI92" s="71"/>
      <c r="AJ92" s="71"/>
    </row>
    <row r="93" spans="1:36" x14ac:dyDescent="0.25">
      <c r="A93">
        <v>8127397</v>
      </c>
      <c r="B93" s="71"/>
      <c r="C93" s="71"/>
      <c r="D93" s="71"/>
      <c r="E93" s="71"/>
      <c r="F93" s="71"/>
      <c r="G93" s="71"/>
      <c r="H93" s="71"/>
      <c r="I93" s="71"/>
      <c r="J93" s="71"/>
      <c r="K93" s="71"/>
      <c r="L93" s="71"/>
      <c r="M93" s="71"/>
      <c r="N93" s="71"/>
      <c r="O93" s="71"/>
      <c r="P93" s="71"/>
      <c r="Q93" s="71"/>
      <c r="R93" s="71"/>
      <c r="S93" s="71"/>
      <c r="T93" s="71"/>
      <c r="U93" s="71"/>
      <c r="V93" s="71"/>
      <c r="W93" s="71"/>
      <c r="X93" s="71"/>
      <c r="Y93" s="71"/>
      <c r="Z93" s="71"/>
      <c r="AA93" s="71"/>
      <c r="AB93" s="71"/>
      <c r="AC93" s="71"/>
      <c r="AD93" s="71"/>
      <c r="AE93" s="71"/>
      <c r="AF93" s="71"/>
      <c r="AG93" s="71"/>
      <c r="AH93" s="71"/>
      <c r="AI93" s="71"/>
      <c r="AJ93" s="71"/>
    </row>
    <row r="94" spans="1:36" x14ac:dyDescent="0.25">
      <c r="A94">
        <v>8130998</v>
      </c>
      <c r="B94" s="71"/>
      <c r="C94" s="71"/>
      <c r="D94" s="71"/>
      <c r="E94" s="71"/>
      <c r="F94" s="71"/>
      <c r="G94" s="71"/>
      <c r="H94" s="71"/>
      <c r="I94" s="71"/>
      <c r="J94" s="71"/>
      <c r="K94" s="71"/>
      <c r="L94" s="71"/>
      <c r="M94" s="71"/>
      <c r="N94" s="71"/>
      <c r="O94" s="71"/>
      <c r="P94" s="71"/>
      <c r="Q94" s="71"/>
      <c r="R94" s="71"/>
      <c r="S94" s="71"/>
      <c r="T94" s="71"/>
      <c r="U94" s="71"/>
      <c r="V94" s="71"/>
      <c r="W94" s="71"/>
      <c r="X94" s="71"/>
      <c r="Y94" s="71"/>
      <c r="Z94" s="71"/>
      <c r="AA94" s="71"/>
      <c r="AB94" s="71"/>
      <c r="AC94" s="71"/>
      <c r="AD94" s="71"/>
      <c r="AE94" s="71"/>
      <c r="AF94" s="71"/>
      <c r="AG94" s="71"/>
      <c r="AH94" s="71"/>
      <c r="AI94" s="71"/>
      <c r="AJ94" s="71"/>
    </row>
    <row r="95" spans="1:36" x14ac:dyDescent="0.25">
      <c r="A95">
        <v>9002836</v>
      </c>
      <c r="B95" s="71"/>
      <c r="C95" s="71"/>
      <c r="D95" s="71"/>
      <c r="E95" s="71"/>
      <c r="F95" s="71"/>
      <c r="G95" s="71"/>
      <c r="H95" s="71"/>
      <c r="I95" s="71"/>
      <c r="J95" s="71"/>
      <c r="K95" s="71"/>
      <c r="L95" s="71"/>
      <c r="M95" s="71"/>
      <c r="N95" s="71"/>
      <c r="O95" s="71"/>
      <c r="P95" s="71"/>
      <c r="Q95" s="71"/>
      <c r="R95" s="71"/>
      <c r="S95" s="71"/>
      <c r="T95" s="71"/>
      <c r="U95" s="71"/>
      <c r="V95" s="71"/>
      <c r="W95" s="71"/>
      <c r="X95" s="71"/>
      <c r="Y95" s="71"/>
      <c r="Z95" s="71"/>
      <c r="AA95" s="71"/>
      <c r="AB95" s="71"/>
      <c r="AC95" s="71"/>
      <c r="AD95" s="71"/>
      <c r="AE95" s="71"/>
      <c r="AF95" s="71"/>
      <c r="AG95" s="71"/>
      <c r="AH95" s="71"/>
      <c r="AI95" s="71"/>
      <c r="AJ95" s="71"/>
    </row>
    <row r="96" spans="1:36" x14ac:dyDescent="0.25">
      <c r="A96">
        <v>9003331</v>
      </c>
      <c r="B96" s="71"/>
      <c r="C96" s="71"/>
      <c r="D96" s="71"/>
      <c r="E96" s="71"/>
      <c r="F96" s="71"/>
      <c r="G96" s="71"/>
      <c r="H96" s="71"/>
      <c r="I96" s="71"/>
      <c r="J96" s="71"/>
      <c r="K96" s="71"/>
      <c r="L96" s="71"/>
      <c r="M96" s="71"/>
      <c r="N96" s="71"/>
      <c r="O96" s="71"/>
      <c r="P96" s="71"/>
      <c r="Q96" s="71"/>
      <c r="R96" s="71"/>
      <c r="S96" s="71"/>
      <c r="T96" s="71"/>
      <c r="U96" s="71"/>
      <c r="V96" s="71"/>
      <c r="W96" s="71"/>
      <c r="X96" s="71"/>
      <c r="Y96" s="71"/>
      <c r="Z96" s="71"/>
      <c r="AA96" s="71"/>
      <c r="AB96" s="71"/>
      <c r="AC96" s="71"/>
      <c r="AD96" s="71"/>
      <c r="AE96" s="71"/>
      <c r="AF96" s="71"/>
      <c r="AG96" s="71"/>
      <c r="AH96" s="71"/>
      <c r="AI96" s="71"/>
      <c r="AJ96" s="71"/>
    </row>
    <row r="97" spans="1:36" x14ac:dyDescent="0.25">
      <c r="A97">
        <v>9003370</v>
      </c>
      <c r="B97" s="71"/>
      <c r="C97" s="71"/>
      <c r="D97" s="71"/>
      <c r="E97" s="71"/>
      <c r="F97" s="71"/>
      <c r="G97" s="71"/>
      <c r="H97" s="71"/>
      <c r="I97" s="71"/>
      <c r="J97" s="71"/>
      <c r="K97" s="71"/>
      <c r="L97" s="71"/>
      <c r="M97" s="71"/>
      <c r="N97" s="71"/>
      <c r="O97" s="71"/>
      <c r="P97" s="71"/>
      <c r="Q97" s="71"/>
      <c r="R97" s="71"/>
      <c r="S97" s="71"/>
      <c r="T97" s="71"/>
      <c r="U97" s="71"/>
      <c r="V97" s="71"/>
      <c r="W97" s="71"/>
      <c r="X97" s="71"/>
      <c r="Y97" s="71"/>
      <c r="Z97" s="71"/>
      <c r="AA97" s="71"/>
      <c r="AB97" s="71"/>
      <c r="AC97" s="71"/>
      <c r="AD97" s="71"/>
      <c r="AE97" s="71"/>
      <c r="AF97" s="71"/>
      <c r="AG97" s="71"/>
      <c r="AH97" s="71"/>
      <c r="AI97" s="71"/>
      <c r="AJ97" s="71"/>
    </row>
    <row r="98" spans="1:36" x14ac:dyDescent="0.25">
      <c r="A98">
        <v>9016278</v>
      </c>
      <c r="B98" s="71"/>
      <c r="C98" s="71"/>
      <c r="D98" s="71"/>
      <c r="E98" s="71"/>
      <c r="F98" s="71"/>
      <c r="G98" s="71"/>
      <c r="H98" s="71">
        <v>4180000</v>
      </c>
      <c r="I98" s="71"/>
      <c r="J98" s="71"/>
      <c r="K98" s="71"/>
      <c r="L98" s="71">
        <v>4020000</v>
      </c>
      <c r="M98" s="71"/>
      <c r="N98" s="71"/>
      <c r="O98" s="71"/>
      <c r="P98" s="71"/>
      <c r="Q98" s="71">
        <v>3630000</v>
      </c>
      <c r="R98" s="71"/>
      <c r="S98" s="71"/>
      <c r="T98" s="71"/>
      <c r="U98" s="71"/>
      <c r="V98" s="71"/>
      <c r="W98" s="71"/>
      <c r="X98" s="71"/>
      <c r="Y98" s="71"/>
      <c r="Z98" s="71"/>
      <c r="AA98" s="71"/>
      <c r="AB98" s="71"/>
      <c r="AC98" s="71"/>
      <c r="AD98" s="71"/>
      <c r="AE98" s="71"/>
      <c r="AF98" s="71"/>
      <c r="AG98" s="71"/>
      <c r="AH98" s="71"/>
      <c r="AI98" s="71"/>
      <c r="AJ98" s="71"/>
    </row>
    <row r="99" spans="1:36" x14ac:dyDescent="0.25">
      <c r="A99">
        <v>9030684</v>
      </c>
      <c r="B99" s="71"/>
      <c r="C99" s="71"/>
      <c r="D99" s="71"/>
      <c r="E99" s="71"/>
      <c r="F99" s="71"/>
      <c r="G99" s="71"/>
      <c r="H99" s="71"/>
      <c r="I99" s="71"/>
      <c r="J99" s="71"/>
      <c r="K99" s="71"/>
      <c r="L99" s="71"/>
      <c r="M99" s="71"/>
      <c r="N99" s="71"/>
      <c r="O99" s="71">
        <v>2600000</v>
      </c>
      <c r="P99" s="71">
        <v>3100000</v>
      </c>
      <c r="Q99" s="71"/>
      <c r="R99" s="71"/>
      <c r="S99" s="71"/>
      <c r="T99" s="71"/>
      <c r="U99" s="71"/>
      <c r="V99" s="71"/>
      <c r="W99" s="71"/>
      <c r="X99" s="71"/>
      <c r="Y99" s="71"/>
      <c r="Z99" s="71">
        <v>4100000</v>
      </c>
      <c r="AA99" s="71"/>
      <c r="AB99" s="71"/>
      <c r="AC99" s="71"/>
      <c r="AD99" s="71"/>
      <c r="AE99" s="71"/>
      <c r="AF99" s="71"/>
      <c r="AG99" s="71"/>
      <c r="AH99" s="71"/>
      <c r="AI99" s="71"/>
      <c r="AJ99" s="71"/>
    </row>
    <row r="100" spans="1:36" x14ac:dyDescent="0.25">
      <c r="A100">
        <v>9031387</v>
      </c>
      <c r="B100" s="71"/>
      <c r="C100" s="71"/>
      <c r="D100" s="71"/>
      <c r="E100" s="71"/>
      <c r="F100" s="71"/>
      <c r="G100" s="71"/>
      <c r="H100" s="71"/>
      <c r="I100" s="71"/>
      <c r="J100" s="71"/>
      <c r="K100" s="71"/>
      <c r="L100" s="71"/>
      <c r="M100" s="71"/>
      <c r="N100" s="71"/>
      <c r="O100" s="71"/>
      <c r="P100" s="71"/>
      <c r="Q100" s="71"/>
      <c r="R100" s="71"/>
      <c r="S100" s="71"/>
      <c r="T100" s="71"/>
      <c r="U100" s="71"/>
      <c r="V100" s="71"/>
      <c r="W100" s="71"/>
      <c r="X100" s="71"/>
      <c r="Y100" s="71"/>
      <c r="Z100" s="71"/>
      <c r="AA100" s="71"/>
      <c r="AB100" s="71"/>
      <c r="AC100" s="71"/>
      <c r="AD100" s="71"/>
      <c r="AE100" s="71">
        <v>7000</v>
      </c>
      <c r="AF100" s="71"/>
      <c r="AG100" s="71"/>
      <c r="AH100" s="71"/>
      <c r="AI100" s="71"/>
      <c r="AJ100" s="71"/>
    </row>
    <row r="101" spans="1:36" x14ac:dyDescent="0.25">
      <c r="A101">
        <v>9038676</v>
      </c>
      <c r="B101" s="71"/>
      <c r="C101" s="71"/>
      <c r="D101" s="71"/>
      <c r="E101" s="71"/>
      <c r="F101" s="71"/>
      <c r="G101" s="71"/>
      <c r="H101" s="71"/>
      <c r="I101" s="71"/>
      <c r="J101" s="71"/>
      <c r="K101" s="71"/>
      <c r="L101" s="71"/>
      <c r="M101" s="71"/>
      <c r="N101" s="71"/>
      <c r="O101" s="71"/>
      <c r="P101" s="71"/>
      <c r="Q101" s="71"/>
      <c r="R101" s="71"/>
      <c r="S101" s="71"/>
      <c r="T101" s="71"/>
      <c r="U101" s="71"/>
      <c r="V101" s="71"/>
      <c r="W101" s="71"/>
      <c r="X101" s="71"/>
      <c r="Y101" s="71"/>
      <c r="Z101" s="71"/>
      <c r="AA101" s="71"/>
      <c r="AB101" s="71"/>
      <c r="AC101" s="71"/>
      <c r="AD101" s="71"/>
      <c r="AE101" s="71"/>
      <c r="AF101" s="71"/>
      <c r="AG101" s="71"/>
      <c r="AH101" s="71"/>
      <c r="AI101" s="71"/>
      <c r="AJ101" s="71"/>
    </row>
    <row r="102" spans="1:36" x14ac:dyDescent="0.25">
      <c r="A102">
        <v>9039416</v>
      </c>
      <c r="B102" s="71"/>
      <c r="C102" s="71"/>
      <c r="D102" s="71"/>
      <c r="E102" s="71"/>
      <c r="F102" s="71"/>
      <c r="G102" s="71"/>
      <c r="H102" s="71"/>
      <c r="I102" s="71"/>
      <c r="J102" s="71"/>
      <c r="K102" s="71"/>
      <c r="L102" s="71"/>
      <c r="M102" s="71"/>
      <c r="N102" s="71"/>
      <c r="O102" s="71"/>
      <c r="P102" s="71"/>
      <c r="Q102" s="71"/>
      <c r="R102" s="71"/>
      <c r="S102" s="71">
        <v>3360000</v>
      </c>
      <c r="T102" s="71"/>
      <c r="U102" s="71"/>
      <c r="V102" s="71"/>
      <c r="W102" s="71"/>
      <c r="X102" s="71"/>
      <c r="Y102" s="71"/>
      <c r="Z102" s="71"/>
      <c r="AA102" s="71"/>
      <c r="AB102" s="71"/>
      <c r="AC102" s="71"/>
      <c r="AD102" s="71"/>
      <c r="AE102" s="71"/>
      <c r="AF102" s="71"/>
      <c r="AG102" s="71"/>
      <c r="AH102" s="71"/>
      <c r="AI102" s="71"/>
      <c r="AJ102" s="71"/>
    </row>
    <row r="103" spans="1:36" x14ac:dyDescent="0.25">
      <c r="A103">
        <v>9042861</v>
      </c>
      <c r="B103" s="71"/>
      <c r="C103" s="71"/>
      <c r="D103" s="71"/>
      <c r="E103" s="71"/>
      <c r="F103" s="71"/>
      <c r="G103" s="71"/>
      <c r="H103" s="71"/>
      <c r="I103" s="71"/>
      <c r="J103" s="71"/>
      <c r="K103" s="71"/>
      <c r="L103" s="71"/>
      <c r="M103" s="71"/>
      <c r="N103" s="71"/>
      <c r="O103" s="71"/>
      <c r="P103" s="71"/>
      <c r="Q103" s="71"/>
      <c r="R103" s="71"/>
      <c r="S103" s="71"/>
      <c r="T103" s="71"/>
      <c r="U103" s="71"/>
      <c r="V103" s="71"/>
      <c r="W103" s="71"/>
      <c r="X103" s="71"/>
      <c r="Y103" s="71"/>
      <c r="Z103" s="71"/>
      <c r="AA103" s="71"/>
      <c r="AB103" s="71"/>
      <c r="AC103" s="71"/>
      <c r="AD103" s="71"/>
      <c r="AE103" s="71"/>
      <c r="AF103" s="71"/>
      <c r="AG103" s="71"/>
      <c r="AH103" s="71"/>
      <c r="AI103" s="71"/>
      <c r="AJ103" s="71"/>
    </row>
    <row r="104" spans="1:36" x14ac:dyDescent="0.25">
      <c r="A104">
        <v>9044899</v>
      </c>
      <c r="B104" s="71"/>
      <c r="C104" s="71"/>
      <c r="D104" s="71"/>
      <c r="E104" s="71"/>
      <c r="F104" s="71"/>
      <c r="G104" s="71">
        <v>44000000000</v>
      </c>
      <c r="H104" s="71"/>
      <c r="I104" s="71"/>
      <c r="J104" s="71"/>
      <c r="K104" s="71"/>
      <c r="L104" s="71"/>
      <c r="M104" s="71">
        <v>4000000</v>
      </c>
      <c r="N104" s="71"/>
      <c r="O104" s="71">
        <v>4800000</v>
      </c>
      <c r="P104" s="71"/>
      <c r="Q104" s="71">
        <v>4600000</v>
      </c>
      <c r="R104" s="71"/>
      <c r="S104" s="71"/>
      <c r="T104" s="71"/>
      <c r="U104" s="71"/>
      <c r="V104" s="71"/>
      <c r="W104" s="71">
        <v>4700000</v>
      </c>
      <c r="X104" s="71"/>
      <c r="Y104" s="71"/>
      <c r="Z104" s="71"/>
      <c r="AA104" s="71"/>
      <c r="AB104" s="71"/>
      <c r="AC104" s="71"/>
      <c r="AD104" s="71"/>
      <c r="AE104" s="71"/>
      <c r="AF104" s="71"/>
      <c r="AG104" s="71"/>
      <c r="AH104" s="71"/>
      <c r="AI104" s="71"/>
      <c r="AJ104" s="71"/>
    </row>
    <row r="105" spans="1:36" x14ac:dyDescent="0.25">
      <c r="A105">
        <v>9052398</v>
      </c>
      <c r="B105" s="71"/>
      <c r="C105" s="71"/>
      <c r="D105" s="71"/>
      <c r="E105" s="71"/>
      <c r="F105" s="71"/>
      <c r="G105" s="71"/>
      <c r="H105" s="71"/>
      <c r="I105" s="71"/>
      <c r="J105" s="71"/>
      <c r="K105" s="71"/>
      <c r="L105" s="71"/>
      <c r="M105" s="71"/>
      <c r="N105" s="71"/>
      <c r="O105" s="71"/>
      <c r="P105" s="71"/>
      <c r="Q105" s="71"/>
      <c r="R105" s="71"/>
      <c r="S105" s="71"/>
      <c r="T105" s="71"/>
      <c r="U105" s="71"/>
      <c r="V105" s="71"/>
      <c r="W105" s="71"/>
      <c r="X105" s="71"/>
      <c r="Y105" s="71"/>
      <c r="Z105" s="71"/>
      <c r="AA105" s="71"/>
      <c r="AB105" s="71"/>
      <c r="AC105" s="71"/>
      <c r="AD105" s="71"/>
      <c r="AE105" s="71"/>
      <c r="AF105" s="71"/>
      <c r="AG105" s="71"/>
      <c r="AH105" s="71"/>
      <c r="AI105" s="71"/>
      <c r="AJ105" s="71"/>
    </row>
    <row r="106" spans="1:36" x14ac:dyDescent="0.25">
      <c r="A106">
        <v>9085204</v>
      </c>
      <c r="B106" s="71"/>
      <c r="C106" s="71"/>
      <c r="D106" s="71"/>
      <c r="E106" s="71"/>
      <c r="F106" s="71"/>
      <c r="G106" s="71"/>
      <c r="H106" s="71"/>
      <c r="I106" s="71"/>
      <c r="J106" s="71"/>
      <c r="K106" s="71"/>
      <c r="L106" s="71"/>
      <c r="M106" s="71"/>
      <c r="N106" s="71"/>
      <c r="O106" s="71"/>
      <c r="P106" s="71"/>
      <c r="Q106" s="71"/>
      <c r="R106" s="71"/>
      <c r="S106" s="71"/>
      <c r="T106" s="71"/>
      <c r="U106" s="71"/>
      <c r="V106" s="71"/>
      <c r="W106" s="71"/>
      <c r="X106" s="71"/>
      <c r="Y106" s="71"/>
      <c r="Z106" s="71"/>
      <c r="AA106" s="71"/>
      <c r="AB106" s="71"/>
      <c r="AC106" s="71"/>
      <c r="AD106" s="71"/>
      <c r="AE106" s="71"/>
      <c r="AF106" s="71"/>
      <c r="AG106" s="71"/>
      <c r="AH106" s="71"/>
      <c r="AI106" s="71"/>
      <c r="AJ106" s="71"/>
    </row>
    <row r="107" spans="1:36" x14ac:dyDescent="0.25">
      <c r="A107">
        <v>9090323</v>
      </c>
      <c r="B107" s="71"/>
      <c r="C107" s="71"/>
      <c r="D107" s="71"/>
      <c r="E107" s="71"/>
      <c r="F107" s="71"/>
      <c r="G107" s="71"/>
      <c r="H107" s="71"/>
      <c r="I107" s="71"/>
      <c r="J107" s="71"/>
      <c r="K107" s="71"/>
      <c r="L107" s="71"/>
      <c r="M107" s="71"/>
      <c r="N107" s="71"/>
      <c r="O107" s="71"/>
      <c r="P107" s="71"/>
      <c r="Q107" s="71"/>
      <c r="R107" s="71"/>
      <c r="S107" s="71"/>
      <c r="T107" s="71"/>
      <c r="U107" s="71"/>
      <c r="V107" s="71"/>
      <c r="W107" s="71"/>
      <c r="X107" s="71"/>
      <c r="Y107" s="71"/>
      <c r="Z107" s="71"/>
      <c r="AA107" s="71"/>
      <c r="AB107" s="71"/>
      <c r="AC107" s="71"/>
      <c r="AD107" s="71"/>
      <c r="AE107" s="71"/>
      <c r="AF107" s="71"/>
      <c r="AG107" s="71"/>
      <c r="AH107" s="71"/>
      <c r="AI107" s="71"/>
      <c r="AJ107" s="71"/>
    </row>
    <row r="108" spans="1:36" x14ac:dyDescent="0.25">
      <c r="A108">
        <v>9105492</v>
      </c>
      <c r="B108" s="71"/>
      <c r="C108" s="71"/>
      <c r="D108" s="71"/>
      <c r="E108" s="71"/>
      <c r="F108" s="71"/>
      <c r="G108" s="71"/>
      <c r="H108" s="71"/>
      <c r="I108" s="71"/>
      <c r="J108" s="71"/>
      <c r="K108" s="71"/>
      <c r="L108" s="71"/>
      <c r="M108" s="71"/>
      <c r="N108" s="71"/>
      <c r="O108" s="71"/>
      <c r="P108" s="71"/>
      <c r="Q108" s="71"/>
      <c r="R108" s="71"/>
      <c r="S108" s="71"/>
      <c r="T108" s="71"/>
      <c r="U108" s="71"/>
      <c r="V108" s="71"/>
      <c r="W108" s="71"/>
      <c r="X108" s="71"/>
      <c r="Y108" s="71"/>
      <c r="Z108" s="71"/>
      <c r="AA108" s="71"/>
      <c r="AB108" s="71"/>
      <c r="AC108" s="71"/>
      <c r="AD108" s="71"/>
      <c r="AE108" s="71"/>
      <c r="AF108" s="71"/>
      <c r="AG108" s="71"/>
      <c r="AH108" s="71"/>
      <c r="AI108" s="71"/>
      <c r="AJ108" s="71"/>
    </row>
    <row r="109" spans="1:36" x14ac:dyDescent="0.25">
      <c r="A109">
        <v>9138470</v>
      </c>
      <c r="B109" s="71"/>
      <c r="C109" s="71"/>
      <c r="D109" s="71"/>
      <c r="E109" s="71"/>
      <c r="F109" s="71"/>
      <c r="G109" s="71"/>
      <c r="H109" s="71"/>
      <c r="I109" s="71"/>
      <c r="J109" s="71"/>
      <c r="K109" s="71"/>
      <c r="L109" s="71"/>
      <c r="M109" s="71"/>
      <c r="N109" s="71"/>
      <c r="O109" s="71"/>
      <c r="P109" s="71"/>
      <c r="Q109" s="71"/>
      <c r="R109" s="71"/>
      <c r="S109" s="71"/>
      <c r="T109" s="71"/>
      <c r="U109" s="71"/>
      <c r="V109" s="71"/>
      <c r="W109" s="71"/>
      <c r="X109" s="71"/>
      <c r="Y109" s="71"/>
      <c r="Z109" s="71"/>
      <c r="AA109" s="71"/>
      <c r="AB109" s="71"/>
      <c r="AC109" s="71"/>
      <c r="AD109" s="71"/>
      <c r="AE109" s="71"/>
      <c r="AF109" s="71"/>
      <c r="AG109" s="71"/>
      <c r="AH109" s="71"/>
      <c r="AI109" s="71"/>
      <c r="AJ109" s="71"/>
    </row>
    <row r="110" spans="1:36" x14ac:dyDescent="0.25">
      <c r="A110">
        <v>9150676</v>
      </c>
      <c r="B110" s="71"/>
      <c r="C110" s="71"/>
      <c r="D110" s="71"/>
      <c r="E110" s="71"/>
      <c r="F110" s="71"/>
      <c r="G110" s="71"/>
      <c r="H110" s="71"/>
      <c r="I110" s="71"/>
      <c r="J110" s="71"/>
      <c r="K110" s="71"/>
      <c r="L110" s="71"/>
      <c r="M110" s="71"/>
      <c r="N110" s="71"/>
      <c r="O110" s="71"/>
      <c r="P110" s="71"/>
      <c r="Q110" s="71"/>
      <c r="R110" s="71"/>
      <c r="S110" s="71"/>
      <c r="T110" s="71"/>
      <c r="U110" s="71"/>
      <c r="V110" s="71"/>
      <c r="W110" s="71"/>
      <c r="X110" s="71"/>
      <c r="Y110" s="71"/>
      <c r="Z110" s="71"/>
      <c r="AA110" s="71"/>
      <c r="AB110" s="71"/>
      <c r="AC110" s="71"/>
      <c r="AD110" s="71"/>
      <c r="AE110" s="71"/>
      <c r="AF110" s="71"/>
      <c r="AG110" s="71"/>
      <c r="AH110" s="71"/>
      <c r="AI110" s="71"/>
      <c r="AJ110" s="71"/>
    </row>
    <row r="111" spans="1:36" x14ac:dyDescent="0.25">
      <c r="A111">
        <v>10010926</v>
      </c>
      <c r="B111" s="71"/>
      <c r="C111" s="71"/>
      <c r="D111" s="71"/>
      <c r="E111" s="71"/>
      <c r="F111" s="71"/>
      <c r="G111" s="71"/>
      <c r="H111" s="71"/>
      <c r="I111" s="71"/>
      <c r="J111" s="71"/>
      <c r="K111" s="71"/>
      <c r="L111" s="71"/>
      <c r="M111" s="71"/>
      <c r="N111" s="71"/>
      <c r="O111" s="71">
        <v>3040000</v>
      </c>
      <c r="P111" s="71">
        <v>2770000</v>
      </c>
      <c r="Q111" s="71">
        <v>2800000</v>
      </c>
      <c r="R111" s="71"/>
      <c r="S111" s="71"/>
      <c r="T111" s="71"/>
      <c r="U111" s="71"/>
      <c r="V111" s="71"/>
      <c r="W111" s="71">
        <v>24300000000</v>
      </c>
      <c r="X111" s="71"/>
      <c r="Y111" s="71"/>
      <c r="Z111" s="71"/>
      <c r="AA111" s="71">
        <v>3460000</v>
      </c>
      <c r="AB111" s="71"/>
      <c r="AC111" s="71">
        <v>32000000000</v>
      </c>
      <c r="AD111" s="71"/>
      <c r="AE111" s="71"/>
      <c r="AF111" s="71"/>
      <c r="AG111" s="71"/>
      <c r="AH111" s="71"/>
      <c r="AI111" s="71"/>
      <c r="AJ111" s="71"/>
    </row>
    <row r="112" spans="1:36" x14ac:dyDescent="0.25">
      <c r="A112">
        <v>10016588</v>
      </c>
      <c r="B112" s="71"/>
      <c r="C112" s="71"/>
      <c r="D112" s="71"/>
      <c r="E112" s="71"/>
      <c r="F112" s="71"/>
      <c r="G112" s="71"/>
      <c r="H112" s="71"/>
      <c r="I112" s="71"/>
      <c r="J112" s="71"/>
      <c r="K112" s="71"/>
      <c r="L112" s="71"/>
      <c r="M112" s="71"/>
      <c r="N112" s="71"/>
      <c r="O112" s="71"/>
      <c r="P112" s="71"/>
      <c r="Q112" s="71"/>
      <c r="R112" s="71"/>
      <c r="S112" s="71"/>
      <c r="T112" s="71"/>
      <c r="U112" s="71"/>
      <c r="V112" s="71"/>
      <c r="W112" s="71"/>
      <c r="X112" s="71"/>
      <c r="Y112" s="71"/>
      <c r="Z112" s="71"/>
      <c r="AA112" s="71"/>
      <c r="AB112" s="71"/>
      <c r="AC112" s="71"/>
      <c r="AD112" s="71"/>
      <c r="AE112" s="71"/>
      <c r="AF112" s="71"/>
      <c r="AG112" s="71"/>
      <c r="AH112" s="71"/>
      <c r="AI112" s="71"/>
      <c r="AJ112" s="71"/>
    </row>
    <row r="113" spans="1:36" x14ac:dyDescent="0.25">
      <c r="A113">
        <v>10030897</v>
      </c>
      <c r="B113" s="71"/>
      <c r="C113" s="71">
        <v>390000</v>
      </c>
      <c r="D113" s="71"/>
      <c r="E113" s="71"/>
      <c r="F113" s="71"/>
      <c r="G113" s="71"/>
      <c r="H113" s="71"/>
      <c r="I113" s="71"/>
      <c r="J113" s="71"/>
      <c r="K113" s="71"/>
      <c r="L113" s="71"/>
      <c r="M113" s="71"/>
      <c r="N113" s="71"/>
      <c r="O113" s="71">
        <v>415000</v>
      </c>
      <c r="P113" s="71"/>
      <c r="Q113" s="71"/>
      <c r="R113" s="71"/>
      <c r="S113" s="71"/>
      <c r="T113" s="71">
        <v>406000</v>
      </c>
      <c r="U113" s="71"/>
      <c r="V113" s="71"/>
      <c r="W113" s="71"/>
      <c r="X113" s="71"/>
      <c r="Y113" s="71"/>
      <c r="Z113" s="71"/>
      <c r="AA113" s="71"/>
      <c r="AB113" s="71">
        <v>437000</v>
      </c>
      <c r="AC113" s="71"/>
      <c r="AD113" s="71"/>
      <c r="AE113" s="71"/>
      <c r="AF113" s="71"/>
      <c r="AG113" s="71"/>
      <c r="AH113" s="71"/>
      <c r="AI113" s="71"/>
      <c r="AJ113" s="71"/>
    </row>
    <row r="114" spans="1:36" x14ac:dyDescent="0.25">
      <c r="A114">
        <v>324</v>
      </c>
      <c r="B114" s="71"/>
      <c r="C114" s="71"/>
      <c r="D114" s="71"/>
      <c r="E114" s="71"/>
      <c r="F114" s="71"/>
      <c r="G114" s="71"/>
      <c r="H114" s="71"/>
      <c r="I114" s="71"/>
      <c r="J114" s="71"/>
      <c r="K114" s="71"/>
      <c r="L114" s="71"/>
      <c r="M114" s="71"/>
      <c r="N114" s="71"/>
      <c r="O114" s="71">
        <v>5200000</v>
      </c>
      <c r="P114" s="71"/>
      <c r="Q114" s="71"/>
      <c r="R114" s="71"/>
      <c r="S114" s="71"/>
      <c r="T114" s="71"/>
      <c r="U114" s="71"/>
      <c r="V114" s="71"/>
      <c r="W114" s="71"/>
      <c r="X114" s="71"/>
      <c r="Y114" s="71"/>
      <c r="Z114" s="71"/>
      <c r="AA114" s="71"/>
      <c r="AB114" s="71"/>
      <c r="AC114" s="71"/>
      <c r="AD114" s="71"/>
      <c r="AE114" s="71"/>
      <c r="AF114" s="71"/>
      <c r="AG114" s="71"/>
      <c r="AH114" s="71"/>
      <c r="AI114" s="71"/>
      <c r="AJ114" s="71"/>
    </row>
    <row r="115" spans="1:36" x14ac:dyDescent="0.25">
      <c r="A115">
        <v>3909</v>
      </c>
      <c r="B115" s="71"/>
      <c r="C115" s="71"/>
      <c r="D115" s="71"/>
      <c r="E115" s="71"/>
      <c r="F115" s="71"/>
      <c r="G115" s="71"/>
      <c r="H115" s="71"/>
      <c r="I115" s="71"/>
      <c r="J115" s="71"/>
      <c r="K115" s="71"/>
      <c r="L115" s="71"/>
      <c r="M115" s="71"/>
      <c r="N115" s="71"/>
      <c r="O115" s="71"/>
      <c r="P115" s="71"/>
      <c r="Q115" s="71"/>
      <c r="R115" s="71"/>
      <c r="S115" s="71"/>
      <c r="T115" s="71"/>
      <c r="U115" s="71"/>
      <c r="V115" s="71"/>
      <c r="W115" s="71"/>
      <c r="X115" s="71"/>
      <c r="Y115" s="71"/>
      <c r="Z115" s="71"/>
      <c r="AA115" s="71"/>
      <c r="AB115" s="71"/>
      <c r="AC115" s="71"/>
      <c r="AD115" s="71"/>
      <c r="AE115" s="71"/>
      <c r="AF115" s="71"/>
      <c r="AG115" s="71"/>
      <c r="AH115" s="71"/>
      <c r="AI115" s="71"/>
      <c r="AJ115" s="71"/>
    </row>
    <row r="116" spans="1:36" x14ac:dyDescent="0.25">
      <c r="A116">
        <v>4663</v>
      </c>
      <c r="B116" s="71"/>
      <c r="C116" s="71"/>
      <c r="D116" s="71"/>
      <c r="E116" s="71"/>
      <c r="F116" s="71"/>
      <c r="G116" s="71"/>
      <c r="H116" s="71"/>
      <c r="I116" s="71"/>
      <c r="J116" s="71"/>
      <c r="K116" s="71"/>
      <c r="L116" s="71"/>
      <c r="M116" s="71"/>
      <c r="N116" s="71"/>
      <c r="O116" s="71"/>
      <c r="P116" s="71"/>
      <c r="Q116" s="71"/>
      <c r="R116" s="71"/>
      <c r="S116" s="71"/>
      <c r="T116" s="71"/>
      <c r="U116" s="71"/>
      <c r="V116" s="71"/>
      <c r="W116" s="71"/>
      <c r="X116" s="71"/>
      <c r="Y116" s="71"/>
      <c r="Z116" s="71"/>
      <c r="AA116" s="71"/>
      <c r="AB116" s="71"/>
      <c r="AC116" s="71"/>
      <c r="AD116" s="71"/>
      <c r="AE116" s="71"/>
      <c r="AF116" s="71"/>
      <c r="AG116" s="71"/>
      <c r="AH116" s="71"/>
      <c r="AI116" s="71"/>
      <c r="AJ116" s="71"/>
    </row>
    <row r="117" spans="1:36" x14ac:dyDescent="0.25">
      <c r="A117">
        <v>1005522</v>
      </c>
      <c r="B117" s="71">
        <v>4780000</v>
      </c>
      <c r="C117" s="71"/>
      <c r="D117" s="71">
        <v>4350000</v>
      </c>
      <c r="E117" s="71"/>
      <c r="F117" s="71"/>
      <c r="G117" s="71"/>
      <c r="H117" s="71"/>
      <c r="I117" s="71"/>
      <c r="J117" s="71"/>
      <c r="K117" s="71"/>
      <c r="L117" s="71"/>
      <c r="M117" s="71"/>
      <c r="N117" s="71"/>
      <c r="O117" s="71">
        <v>4560000</v>
      </c>
      <c r="P117" s="71"/>
      <c r="Q117" s="71"/>
      <c r="R117" s="71"/>
      <c r="S117" s="71"/>
      <c r="T117" s="71"/>
      <c r="U117" s="71"/>
      <c r="V117" s="71"/>
      <c r="W117" s="71">
        <v>4540000</v>
      </c>
      <c r="X117" s="71"/>
      <c r="Y117" s="71"/>
      <c r="Z117" s="71"/>
      <c r="AA117" s="71"/>
      <c r="AB117" s="71"/>
      <c r="AC117" s="71">
        <v>4690000</v>
      </c>
      <c r="AD117" s="71"/>
      <c r="AE117" s="71"/>
      <c r="AF117" s="71"/>
      <c r="AG117" s="71"/>
      <c r="AH117" s="71"/>
      <c r="AI117" s="71"/>
      <c r="AJ117" s="71"/>
    </row>
    <row r="118" spans="1:36" x14ac:dyDescent="0.25">
      <c r="A118">
        <v>1007631</v>
      </c>
      <c r="B118" s="71"/>
      <c r="C118" s="71"/>
      <c r="D118" s="71"/>
      <c r="E118" s="71"/>
      <c r="F118" s="71"/>
      <c r="G118" s="71"/>
      <c r="H118" s="71"/>
      <c r="I118" s="71"/>
      <c r="J118" s="71"/>
      <c r="K118" s="71"/>
      <c r="L118" s="71"/>
      <c r="M118" s="71"/>
      <c r="N118" s="71"/>
      <c r="O118" s="71"/>
      <c r="P118" s="71"/>
      <c r="Q118" s="71"/>
      <c r="R118" s="71"/>
      <c r="S118" s="71"/>
      <c r="T118" s="71"/>
      <c r="U118" s="71"/>
      <c r="V118" s="71"/>
      <c r="W118" s="71"/>
      <c r="X118" s="71"/>
      <c r="Y118" s="71"/>
      <c r="Z118" s="71"/>
      <c r="AA118" s="71"/>
      <c r="AB118" s="71"/>
      <c r="AC118" s="71"/>
      <c r="AD118" s="71"/>
      <c r="AE118" s="71"/>
      <c r="AF118" s="71"/>
      <c r="AG118" s="71"/>
      <c r="AH118" s="71"/>
      <c r="AI118" s="71"/>
      <c r="AJ118" s="71"/>
    </row>
    <row r="119" spans="1:36" x14ac:dyDescent="0.25">
      <c r="A119">
        <v>1009760</v>
      </c>
      <c r="B119" s="71"/>
      <c r="C119" s="71"/>
      <c r="D119" s="71"/>
      <c r="E119" s="71"/>
      <c r="F119" s="71"/>
      <c r="G119" s="71"/>
      <c r="H119" s="71"/>
      <c r="I119" s="71"/>
      <c r="J119" s="71"/>
      <c r="K119" s="71"/>
      <c r="L119" s="71"/>
      <c r="M119" s="71"/>
      <c r="N119" s="71"/>
      <c r="O119" s="71"/>
      <c r="P119" s="71"/>
      <c r="Q119" s="71"/>
      <c r="R119" s="71">
        <v>4610000</v>
      </c>
      <c r="S119" s="71"/>
      <c r="T119" s="71"/>
      <c r="U119" s="71"/>
      <c r="V119" s="71"/>
      <c r="W119" s="71"/>
      <c r="X119" s="71">
        <v>4420000</v>
      </c>
      <c r="Y119" s="71"/>
      <c r="Z119" s="71">
        <v>4490000</v>
      </c>
      <c r="AA119" s="71"/>
      <c r="AB119" s="71"/>
      <c r="AC119" s="71"/>
      <c r="AD119" s="71">
        <v>4720000</v>
      </c>
      <c r="AE119" s="71"/>
      <c r="AF119" s="71"/>
      <c r="AG119" s="71"/>
      <c r="AH119" s="71"/>
      <c r="AI119" s="71"/>
      <c r="AJ119" s="71"/>
    </row>
    <row r="120" spans="1:36" x14ac:dyDescent="0.25">
      <c r="A120">
        <v>2000646</v>
      </c>
      <c r="B120" s="71"/>
      <c r="C120" s="71"/>
      <c r="D120" s="71"/>
      <c r="E120" s="71"/>
      <c r="F120" s="71"/>
      <c r="G120" s="71"/>
      <c r="H120" s="71"/>
      <c r="I120" s="71"/>
      <c r="J120" s="71"/>
      <c r="K120" s="71"/>
      <c r="L120" s="71"/>
      <c r="M120" s="71"/>
      <c r="N120" s="71"/>
      <c r="O120" s="71">
        <v>5000000</v>
      </c>
      <c r="P120" s="71">
        <v>3750000</v>
      </c>
      <c r="Q120" s="71"/>
      <c r="R120" s="71"/>
      <c r="S120" s="71"/>
      <c r="T120" s="71"/>
      <c r="U120" s="71"/>
      <c r="V120" s="71"/>
      <c r="W120" s="71">
        <v>4600000</v>
      </c>
      <c r="X120" s="71">
        <v>4400000</v>
      </c>
      <c r="Y120" s="71">
        <v>4700000</v>
      </c>
      <c r="Z120" s="71"/>
      <c r="AA120" s="71"/>
      <c r="AB120" s="71"/>
      <c r="AC120" s="71"/>
      <c r="AD120" s="71"/>
      <c r="AE120" s="71"/>
      <c r="AF120" s="71"/>
      <c r="AG120" s="71"/>
      <c r="AH120" s="71"/>
      <c r="AI120" s="71"/>
      <c r="AJ120" s="71"/>
    </row>
    <row r="121" spans="1:36" x14ac:dyDescent="0.25">
      <c r="A121">
        <v>2003761</v>
      </c>
      <c r="B121" s="71"/>
      <c r="C121" s="71"/>
      <c r="D121" s="71"/>
      <c r="E121" s="71"/>
      <c r="F121" s="71"/>
      <c r="G121" s="71"/>
      <c r="H121" s="71"/>
      <c r="I121" s="71"/>
      <c r="J121" s="71"/>
      <c r="K121" s="71"/>
      <c r="L121" s="71"/>
      <c r="M121" s="71"/>
      <c r="N121" s="71"/>
      <c r="O121" s="71"/>
      <c r="P121" s="71"/>
      <c r="Q121" s="71"/>
      <c r="R121" s="71"/>
      <c r="S121" s="71"/>
      <c r="T121" s="71"/>
      <c r="U121" s="71"/>
      <c r="V121" s="71"/>
      <c r="W121" s="71"/>
      <c r="X121" s="71"/>
      <c r="Y121" s="71"/>
      <c r="Z121" s="71"/>
      <c r="AA121" s="71"/>
      <c r="AB121" s="71"/>
      <c r="AC121" s="71"/>
      <c r="AD121" s="71"/>
      <c r="AE121" s="71"/>
      <c r="AF121" s="71"/>
      <c r="AG121" s="71"/>
      <c r="AH121" s="71"/>
      <c r="AI121" s="71"/>
      <c r="AJ121" s="71"/>
    </row>
    <row r="122" spans="1:36" x14ac:dyDescent="0.25">
      <c r="A122">
        <v>2004061</v>
      </c>
      <c r="B122" s="71"/>
      <c r="C122" s="71"/>
      <c r="D122" s="71"/>
      <c r="E122" s="71"/>
      <c r="F122" s="71"/>
      <c r="G122" s="71"/>
      <c r="H122" s="71"/>
      <c r="I122" s="71"/>
      <c r="J122" s="71"/>
      <c r="K122" s="71"/>
      <c r="L122" s="71"/>
      <c r="M122" s="71"/>
      <c r="N122" s="71"/>
      <c r="O122" s="71"/>
      <c r="P122" s="71"/>
      <c r="Q122" s="71"/>
      <c r="R122" s="71"/>
      <c r="S122" s="71"/>
      <c r="T122" s="71"/>
      <c r="U122" s="71"/>
      <c r="V122" s="71"/>
      <c r="W122" s="71"/>
      <c r="X122" s="71"/>
      <c r="Y122" s="71"/>
      <c r="Z122" s="71"/>
      <c r="AA122" s="71"/>
      <c r="AB122" s="71"/>
      <c r="AC122" s="71"/>
      <c r="AD122" s="71"/>
      <c r="AE122" s="71"/>
      <c r="AF122" s="71"/>
      <c r="AG122" s="71"/>
      <c r="AH122" s="71"/>
      <c r="AI122" s="71"/>
      <c r="AJ122" s="71"/>
    </row>
    <row r="123" spans="1:36" x14ac:dyDescent="0.25">
      <c r="A123">
        <v>2006469</v>
      </c>
      <c r="B123" s="71"/>
      <c r="C123" s="71"/>
      <c r="D123" s="71"/>
      <c r="E123" s="71"/>
      <c r="F123" s="71"/>
      <c r="G123" s="71"/>
      <c r="H123" s="71"/>
      <c r="I123" s="71"/>
      <c r="J123" s="71"/>
      <c r="K123" s="71"/>
      <c r="L123" s="71"/>
      <c r="M123" s="71"/>
      <c r="N123" s="71"/>
      <c r="O123" s="71"/>
      <c r="P123" s="71"/>
      <c r="Q123" s="71"/>
      <c r="R123" s="71"/>
      <c r="S123" s="71"/>
      <c r="T123" s="71"/>
      <c r="U123" s="71"/>
      <c r="V123" s="71"/>
      <c r="W123" s="71"/>
      <c r="X123" s="71"/>
      <c r="Y123" s="71"/>
      <c r="Z123" s="71"/>
      <c r="AA123" s="71"/>
      <c r="AB123" s="71"/>
      <c r="AC123" s="71"/>
      <c r="AD123" s="71"/>
      <c r="AE123" s="71"/>
      <c r="AF123" s="71"/>
      <c r="AG123" s="71"/>
      <c r="AH123" s="71"/>
      <c r="AI123" s="71"/>
      <c r="AJ123" s="71"/>
    </row>
    <row r="124" spans="1:36" x14ac:dyDescent="0.25">
      <c r="A124">
        <v>3005132</v>
      </c>
      <c r="B124" s="71"/>
      <c r="C124" s="71"/>
      <c r="D124" s="71"/>
      <c r="E124" s="71"/>
      <c r="F124" s="71"/>
      <c r="G124" s="71"/>
      <c r="H124" s="71"/>
      <c r="I124" s="71"/>
      <c r="J124" s="71"/>
      <c r="K124" s="71"/>
      <c r="L124" s="71"/>
      <c r="M124" s="71"/>
      <c r="N124" s="71"/>
      <c r="O124" s="71"/>
      <c r="P124" s="71"/>
      <c r="Q124" s="71"/>
      <c r="R124" s="71"/>
      <c r="S124" s="71"/>
      <c r="T124" s="71"/>
      <c r="U124" s="71"/>
      <c r="V124" s="71"/>
      <c r="W124" s="71"/>
      <c r="X124" s="71"/>
      <c r="Y124" s="71"/>
      <c r="Z124" s="71"/>
      <c r="AA124" s="71"/>
      <c r="AB124" s="71"/>
      <c r="AC124" s="71"/>
      <c r="AD124" s="71"/>
      <c r="AE124" s="71"/>
      <c r="AF124" s="71"/>
      <c r="AG124" s="71"/>
      <c r="AH124" s="71"/>
      <c r="AI124" s="71"/>
      <c r="AJ124" s="71"/>
    </row>
    <row r="125" spans="1:36" x14ac:dyDescent="0.25">
      <c r="A125">
        <v>3009119</v>
      </c>
      <c r="B125" s="71"/>
      <c r="C125" s="71"/>
      <c r="D125" s="71"/>
      <c r="E125" s="71"/>
      <c r="F125" s="71"/>
      <c r="G125" s="71"/>
      <c r="H125" s="71"/>
      <c r="I125" s="71"/>
      <c r="J125" s="71"/>
      <c r="K125" s="71"/>
      <c r="L125" s="71"/>
      <c r="M125" s="71"/>
      <c r="N125" s="71"/>
      <c r="O125" s="71"/>
      <c r="P125" s="71"/>
      <c r="Q125" s="71"/>
      <c r="R125" s="71"/>
      <c r="S125" s="71"/>
      <c r="T125" s="71"/>
      <c r="U125" s="71"/>
      <c r="V125" s="71"/>
      <c r="W125" s="71"/>
      <c r="X125" s="71"/>
      <c r="Y125" s="71"/>
      <c r="Z125" s="71"/>
      <c r="AA125" s="71"/>
      <c r="AB125" s="71"/>
      <c r="AC125" s="71"/>
      <c r="AD125" s="71"/>
      <c r="AE125" s="71"/>
      <c r="AF125" s="71"/>
      <c r="AG125" s="71"/>
      <c r="AH125" s="71"/>
      <c r="AI125" s="71"/>
      <c r="AJ125" s="71"/>
    </row>
    <row r="126" spans="1:36" x14ac:dyDescent="0.25">
      <c r="A126">
        <v>3009936</v>
      </c>
      <c r="B126" s="71"/>
      <c r="C126" s="71"/>
      <c r="D126" s="71"/>
      <c r="E126" s="71"/>
      <c r="F126" s="71"/>
      <c r="G126" s="71"/>
      <c r="H126" s="71"/>
      <c r="I126" s="71"/>
      <c r="J126" s="71"/>
      <c r="K126" s="71"/>
      <c r="L126" s="71"/>
      <c r="M126" s="71"/>
      <c r="N126" s="71"/>
      <c r="O126" s="71"/>
      <c r="P126" s="71"/>
      <c r="Q126" s="71"/>
      <c r="R126" s="71"/>
      <c r="S126" s="71"/>
      <c r="T126" s="71"/>
      <c r="U126" s="71"/>
      <c r="V126" s="71"/>
      <c r="W126" s="71"/>
      <c r="X126" s="71"/>
      <c r="Y126" s="71"/>
      <c r="Z126" s="71"/>
      <c r="AA126" s="71"/>
      <c r="AB126" s="71"/>
      <c r="AC126" s="71"/>
      <c r="AD126" s="71"/>
      <c r="AE126" s="71"/>
      <c r="AF126" s="71"/>
      <c r="AG126" s="71"/>
      <c r="AH126" s="71"/>
      <c r="AI126" s="71"/>
      <c r="AJ126" s="71"/>
    </row>
    <row r="127" spans="1:36" x14ac:dyDescent="0.25">
      <c r="A127">
        <v>3011094</v>
      </c>
      <c r="B127" s="71"/>
      <c r="C127" s="71"/>
      <c r="D127" s="71"/>
      <c r="E127" s="71"/>
      <c r="F127" s="71"/>
      <c r="G127" s="71"/>
      <c r="H127" s="71"/>
      <c r="I127" s="71"/>
      <c r="J127" s="71"/>
      <c r="K127" s="71"/>
      <c r="L127" s="71"/>
      <c r="M127" s="71"/>
      <c r="N127" s="71"/>
      <c r="O127" s="71"/>
      <c r="P127" s="71"/>
      <c r="Q127" s="71"/>
      <c r="R127" s="71"/>
      <c r="S127" s="71"/>
      <c r="T127" s="71"/>
      <c r="U127" s="71"/>
      <c r="V127" s="71"/>
      <c r="W127" s="71"/>
      <c r="X127" s="71"/>
      <c r="Y127" s="71"/>
      <c r="Z127" s="71"/>
      <c r="AA127" s="71"/>
      <c r="AB127" s="71"/>
      <c r="AC127" s="71"/>
      <c r="AD127" s="71"/>
      <c r="AE127" s="71"/>
      <c r="AF127" s="71"/>
      <c r="AG127" s="71"/>
      <c r="AH127" s="71"/>
      <c r="AI127" s="71"/>
      <c r="AJ127" s="71"/>
    </row>
    <row r="128" spans="1:36" x14ac:dyDescent="0.25">
      <c r="A128">
        <v>3014643</v>
      </c>
      <c r="B128" s="71"/>
      <c r="C128" s="71"/>
      <c r="D128" s="71"/>
      <c r="E128" s="71"/>
      <c r="F128" s="71"/>
      <c r="G128" s="71"/>
      <c r="H128" s="71"/>
      <c r="I128" s="71"/>
      <c r="J128" s="71"/>
      <c r="K128" s="71"/>
      <c r="L128" s="71"/>
      <c r="M128" s="71"/>
      <c r="N128" s="71"/>
      <c r="O128" s="71"/>
      <c r="P128" s="71"/>
      <c r="Q128" s="71"/>
      <c r="R128" s="71"/>
      <c r="S128" s="71"/>
      <c r="T128" s="71"/>
      <c r="U128" s="71"/>
      <c r="V128" s="71"/>
      <c r="W128" s="71"/>
      <c r="X128" s="71"/>
      <c r="Y128" s="71"/>
      <c r="Z128" s="71"/>
      <c r="AA128" s="71"/>
      <c r="AB128" s="71"/>
      <c r="AC128" s="71"/>
      <c r="AD128" s="71"/>
      <c r="AE128" s="71"/>
      <c r="AF128" s="71"/>
      <c r="AG128" s="71"/>
      <c r="AH128" s="71"/>
      <c r="AI128" s="71"/>
      <c r="AJ128" s="71"/>
    </row>
    <row r="129" spans="1:36" x14ac:dyDescent="0.25">
      <c r="A129">
        <v>3016056</v>
      </c>
      <c r="B129" s="71"/>
      <c r="C129" s="71"/>
      <c r="D129" s="71"/>
      <c r="E129" s="71"/>
      <c r="F129" s="71"/>
      <c r="G129" s="71"/>
      <c r="H129" s="71"/>
      <c r="I129" s="71"/>
      <c r="J129" s="71"/>
      <c r="K129" s="71"/>
      <c r="L129" s="71"/>
      <c r="M129" s="71"/>
      <c r="N129" s="71"/>
      <c r="O129" s="71"/>
      <c r="P129" s="71"/>
      <c r="Q129" s="71"/>
      <c r="R129" s="71"/>
      <c r="S129" s="71"/>
      <c r="T129" s="71"/>
      <c r="U129" s="71"/>
      <c r="V129" s="71"/>
      <c r="W129" s="71"/>
      <c r="X129" s="71"/>
      <c r="Y129" s="71"/>
      <c r="Z129" s="71"/>
      <c r="AA129" s="71"/>
      <c r="AB129" s="71"/>
      <c r="AC129" s="71"/>
      <c r="AD129" s="71"/>
      <c r="AE129" s="71"/>
      <c r="AF129" s="71"/>
      <c r="AG129" s="71"/>
      <c r="AH129" s="71"/>
      <c r="AI129" s="71"/>
      <c r="AJ129" s="71"/>
    </row>
    <row r="130" spans="1:36" x14ac:dyDescent="0.25">
      <c r="A130">
        <v>3900219</v>
      </c>
      <c r="B130" s="71"/>
      <c r="C130" s="71"/>
      <c r="D130" s="71"/>
      <c r="E130" s="71"/>
      <c r="F130" s="71"/>
      <c r="G130" s="71"/>
      <c r="H130" s="71"/>
      <c r="I130" s="71"/>
      <c r="J130" s="71"/>
      <c r="K130" s="71"/>
      <c r="L130" s="71"/>
      <c r="M130" s="71"/>
      <c r="N130" s="71"/>
      <c r="O130" s="71"/>
      <c r="P130" s="71"/>
      <c r="Q130" s="71"/>
      <c r="R130" s="71"/>
      <c r="S130" s="71"/>
      <c r="T130" s="71"/>
      <c r="U130" s="71"/>
      <c r="V130" s="71"/>
      <c r="W130" s="71"/>
      <c r="X130" s="71"/>
      <c r="Y130" s="71"/>
      <c r="Z130" s="71"/>
      <c r="AA130" s="71"/>
      <c r="AB130" s="71"/>
      <c r="AC130" s="71"/>
      <c r="AD130" s="71"/>
      <c r="AE130" s="71"/>
      <c r="AF130" s="71"/>
      <c r="AG130" s="71"/>
      <c r="AH130" s="71"/>
      <c r="AI130" s="71"/>
      <c r="AJ130" s="71"/>
    </row>
    <row r="131" spans="1:36" x14ac:dyDescent="0.25">
      <c r="A131">
        <v>4000158</v>
      </c>
      <c r="B131" s="71"/>
      <c r="C131" s="71"/>
      <c r="D131" s="71"/>
      <c r="E131" s="71"/>
      <c r="F131" s="71"/>
      <c r="G131" s="71"/>
      <c r="H131" s="71"/>
      <c r="I131" s="71"/>
      <c r="J131" s="71"/>
      <c r="K131" s="71"/>
      <c r="L131" s="71"/>
      <c r="M131" s="71"/>
      <c r="N131" s="71"/>
      <c r="O131" s="71"/>
      <c r="P131" s="71"/>
      <c r="Q131" s="71"/>
      <c r="R131" s="71"/>
      <c r="S131" s="71"/>
      <c r="T131" s="71"/>
      <c r="U131" s="71"/>
      <c r="V131" s="71"/>
      <c r="W131" s="71"/>
      <c r="X131" s="71"/>
      <c r="Y131" s="71"/>
      <c r="Z131" s="71"/>
      <c r="AA131" s="71"/>
      <c r="AB131" s="71"/>
      <c r="AC131" s="71"/>
      <c r="AD131" s="71"/>
      <c r="AE131" s="71"/>
      <c r="AF131" s="71"/>
      <c r="AG131" s="71"/>
      <c r="AH131" s="71"/>
      <c r="AI131" s="71"/>
      <c r="AJ131" s="71"/>
    </row>
    <row r="132" spans="1:36" x14ac:dyDescent="0.25">
      <c r="A132">
        <v>4000304</v>
      </c>
      <c r="B132" s="71"/>
      <c r="C132" s="71"/>
      <c r="D132" s="71"/>
      <c r="E132" s="71"/>
      <c r="F132" s="71"/>
      <c r="G132" s="71"/>
      <c r="H132" s="71"/>
      <c r="I132" s="71"/>
      <c r="J132" s="71"/>
      <c r="K132" s="71"/>
      <c r="L132" s="71"/>
      <c r="M132" s="71"/>
      <c r="N132" s="71"/>
      <c r="O132" s="71"/>
      <c r="P132" s="71"/>
      <c r="Q132" s="71"/>
      <c r="R132" s="71"/>
      <c r="S132" s="71"/>
      <c r="T132" s="71"/>
      <c r="U132" s="71"/>
      <c r="V132" s="71"/>
      <c r="W132" s="71"/>
      <c r="X132" s="71"/>
      <c r="Y132" s="71"/>
      <c r="Z132" s="71"/>
      <c r="AA132" s="71"/>
      <c r="AB132" s="71"/>
      <c r="AC132" s="71"/>
      <c r="AD132" s="71"/>
      <c r="AE132" s="71"/>
      <c r="AF132" s="71"/>
      <c r="AG132" s="71"/>
      <c r="AH132" s="71"/>
      <c r="AI132" s="71"/>
      <c r="AJ132" s="71"/>
    </row>
    <row r="133" spans="1:36" x14ac:dyDescent="0.25">
      <c r="A133">
        <v>4001905</v>
      </c>
      <c r="B133" s="71"/>
      <c r="C133" s="71"/>
      <c r="D133" s="71"/>
      <c r="E133" s="71"/>
      <c r="F133" s="71"/>
      <c r="G133" s="71"/>
      <c r="H133" s="71"/>
      <c r="I133" s="71"/>
      <c r="J133" s="71"/>
      <c r="K133" s="71"/>
      <c r="L133" s="71"/>
      <c r="M133" s="71"/>
      <c r="N133" s="71"/>
      <c r="O133" s="71"/>
      <c r="P133" s="71"/>
      <c r="Q133" s="71"/>
      <c r="R133" s="71"/>
      <c r="S133" s="71"/>
      <c r="T133" s="71"/>
      <c r="U133" s="71"/>
      <c r="V133" s="71"/>
      <c r="W133" s="71"/>
      <c r="X133" s="71"/>
      <c r="Y133" s="71"/>
      <c r="Z133" s="71"/>
      <c r="AA133" s="71"/>
      <c r="AB133" s="71"/>
      <c r="AC133" s="71"/>
      <c r="AD133" s="71"/>
      <c r="AE133" s="71"/>
      <c r="AF133" s="71"/>
      <c r="AG133" s="71"/>
      <c r="AH133" s="71"/>
      <c r="AI133" s="71"/>
      <c r="AJ133" s="71"/>
    </row>
    <row r="134" spans="1:36" x14ac:dyDescent="0.25">
      <c r="A134">
        <v>4002206</v>
      </c>
      <c r="B134" s="71"/>
      <c r="C134" s="71"/>
      <c r="D134" s="71"/>
      <c r="E134" s="71"/>
      <c r="F134" s="71"/>
      <c r="G134" s="71"/>
      <c r="H134" s="71"/>
      <c r="I134" s="71"/>
      <c r="J134" s="71"/>
      <c r="K134" s="71"/>
      <c r="L134" s="71"/>
      <c r="M134" s="71"/>
      <c r="N134" s="71"/>
      <c r="O134" s="71"/>
      <c r="P134" s="71"/>
      <c r="Q134" s="71"/>
      <c r="R134" s="71"/>
      <c r="S134" s="71"/>
      <c r="T134" s="71"/>
      <c r="U134" s="71"/>
      <c r="V134" s="71"/>
      <c r="W134" s="71"/>
      <c r="X134" s="71"/>
      <c r="Y134" s="71"/>
      <c r="Z134" s="71"/>
      <c r="AA134" s="71"/>
      <c r="AB134" s="71"/>
      <c r="AC134" s="71"/>
      <c r="AD134" s="71"/>
      <c r="AE134" s="71"/>
      <c r="AF134" s="71"/>
      <c r="AG134" s="71"/>
      <c r="AH134" s="71"/>
      <c r="AI134" s="71"/>
      <c r="AJ134" s="71"/>
    </row>
    <row r="135" spans="1:36" x14ac:dyDescent="0.25">
      <c r="A135">
        <v>4002715</v>
      </c>
      <c r="B135" s="71"/>
      <c r="C135" s="71"/>
      <c r="D135" s="71"/>
      <c r="E135" s="71"/>
      <c r="F135" s="71"/>
      <c r="G135" s="71"/>
      <c r="H135" s="71"/>
      <c r="I135" s="71"/>
      <c r="J135" s="71"/>
      <c r="K135" s="71"/>
      <c r="L135" s="71"/>
      <c r="M135" s="71"/>
      <c r="N135" s="71"/>
      <c r="O135" s="71"/>
      <c r="P135" s="71"/>
      <c r="Q135" s="71"/>
      <c r="R135" s="71"/>
      <c r="S135" s="71"/>
      <c r="T135" s="71"/>
      <c r="U135" s="71"/>
      <c r="V135" s="71"/>
      <c r="W135" s="71"/>
      <c r="X135" s="71"/>
      <c r="Y135" s="71"/>
      <c r="Z135" s="71"/>
      <c r="AA135" s="71"/>
      <c r="AB135" s="71"/>
      <c r="AC135" s="71"/>
      <c r="AD135" s="71"/>
      <c r="AE135" s="71"/>
      <c r="AF135" s="71"/>
      <c r="AG135" s="71"/>
      <c r="AH135" s="71"/>
      <c r="AI135" s="71"/>
      <c r="AJ135" s="71"/>
    </row>
    <row r="136" spans="1:36" x14ac:dyDescent="0.25">
      <c r="A136">
        <v>4003924</v>
      </c>
      <c r="B136" s="71"/>
      <c r="C136" s="71"/>
      <c r="D136" s="71"/>
      <c r="E136" s="71"/>
      <c r="F136" s="71"/>
      <c r="G136" s="71"/>
      <c r="H136" s="71"/>
      <c r="I136" s="71"/>
      <c r="J136" s="71"/>
      <c r="K136" s="71"/>
      <c r="L136" s="71"/>
      <c r="M136" s="71"/>
      <c r="N136" s="71"/>
      <c r="O136" s="71"/>
      <c r="P136" s="71"/>
      <c r="Q136" s="71"/>
      <c r="R136" s="71"/>
      <c r="S136" s="71"/>
      <c r="T136" s="71"/>
      <c r="U136" s="71"/>
      <c r="V136" s="71"/>
      <c r="W136" s="71"/>
      <c r="X136" s="71"/>
      <c r="Y136" s="71"/>
      <c r="Z136" s="71"/>
      <c r="AA136" s="71"/>
      <c r="AB136" s="71"/>
      <c r="AC136" s="71"/>
      <c r="AD136" s="71"/>
      <c r="AE136" s="71"/>
      <c r="AF136" s="71"/>
      <c r="AG136" s="71"/>
      <c r="AH136" s="71"/>
      <c r="AI136" s="71"/>
      <c r="AJ136" s="71"/>
    </row>
    <row r="137" spans="1:36" x14ac:dyDescent="0.25">
      <c r="A137">
        <v>4006051</v>
      </c>
      <c r="B137" s="71"/>
      <c r="C137" s="71"/>
      <c r="D137" s="71"/>
      <c r="E137" s="71"/>
      <c r="F137" s="71"/>
      <c r="G137" s="71"/>
      <c r="H137" s="71"/>
      <c r="I137" s="71"/>
      <c r="J137" s="71"/>
      <c r="K137" s="71"/>
      <c r="L137" s="71"/>
      <c r="M137" s="71"/>
      <c r="N137" s="71"/>
      <c r="O137" s="71"/>
      <c r="P137" s="71"/>
      <c r="Q137" s="71"/>
      <c r="R137" s="71"/>
      <c r="S137" s="71"/>
      <c r="T137" s="71"/>
      <c r="U137" s="71"/>
      <c r="V137" s="71"/>
      <c r="W137" s="71"/>
      <c r="X137" s="71"/>
      <c r="Y137" s="71"/>
      <c r="Z137" s="71"/>
      <c r="AA137" s="71"/>
      <c r="AB137" s="71"/>
      <c r="AC137" s="71"/>
      <c r="AD137" s="71"/>
      <c r="AE137" s="71"/>
      <c r="AF137" s="71"/>
      <c r="AG137" s="71"/>
      <c r="AH137" s="71"/>
      <c r="AI137" s="71"/>
      <c r="AJ137" s="71"/>
    </row>
    <row r="138" spans="1:36" x14ac:dyDescent="0.25">
      <c r="A138">
        <v>4008140</v>
      </c>
      <c r="B138" s="71"/>
      <c r="C138" s="71"/>
      <c r="D138" s="71"/>
      <c r="E138" s="71"/>
      <c r="F138" s="71"/>
      <c r="G138" s="71"/>
      <c r="H138" s="71"/>
      <c r="I138" s="71"/>
      <c r="J138" s="71"/>
      <c r="K138" s="71"/>
      <c r="L138" s="71"/>
      <c r="M138" s="71"/>
      <c r="N138" s="71"/>
      <c r="O138" s="71"/>
      <c r="P138" s="71"/>
      <c r="Q138" s="71"/>
      <c r="R138" s="71"/>
      <c r="S138" s="71"/>
      <c r="T138" s="71"/>
      <c r="U138" s="71"/>
      <c r="V138" s="71"/>
      <c r="W138" s="71"/>
      <c r="X138" s="71"/>
      <c r="Y138" s="71"/>
      <c r="Z138" s="71"/>
      <c r="AA138" s="71"/>
      <c r="AB138" s="71"/>
      <c r="AC138" s="71"/>
      <c r="AD138" s="71"/>
      <c r="AE138" s="71"/>
      <c r="AF138" s="71"/>
      <c r="AG138" s="71"/>
      <c r="AH138" s="71"/>
      <c r="AI138" s="71"/>
      <c r="AJ138" s="71"/>
    </row>
    <row r="139" spans="1:36" x14ac:dyDescent="0.25">
      <c r="A139">
        <v>4009906</v>
      </c>
      <c r="B139" s="71"/>
      <c r="C139" s="71"/>
      <c r="D139" s="71"/>
      <c r="E139" s="71"/>
      <c r="F139" s="71"/>
      <c r="G139" s="71"/>
      <c r="H139" s="71"/>
      <c r="I139" s="71"/>
      <c r="J139" s="71"/>
      <c r="K139" s="71"/>
      <c r="L139" s="71"/>
      <c r="M139" s="71"/>
      <c r="N139" s="71"/>
      <c r="O139" s="71"/>
      <c r="P139" s="71">
        <v>4270000</v>
      </c>
      <c r="Q139" s="71"/>
      <c r="R139" s="71"/>
      <c r="S139" s="71"/>
      <c r="T139" s="71"/>
      <c r="U139" s="71"/>
      <c r="V139" s="71"/>
      <c r="W139" s="71"/>
      <c r="X139" s="71"/>
      <c r="Y139" s="71"/>
      <c r="Z139" s="71"/>
      <c r="AA139" s="71"/>
      <c r="AB139" s="71"/>
      <c r="AC139" s="71"/>
      <c r="AD139" s="71"/>
      <c r="AE139" s="71"/>
      <c r="AF139" s="71"/>
      <c r="AG139" s="71">
        <v>3.96</v>
      </c>
      <c r="AH139" s="71"/>
      <c r="AI139" s="71">
        <v>4.17</v>
      </c>
      <c r="AJ139" s="71"/>
    </row>
    <row r="140" spans="1:36" x14ac:dyDescent="0.25">
      <c r="A140">
        <v>4011027</v>
      </c>
      <c r="B140" s="71"/>
      <c r="C140" s="71"/>
      <c r="D140" s="71"/>
      <c r="E140" s="71"/>
      <c r="F140" s="71"/>
      <c r="G140" s="71"/>
      <c r="H140" s="71"/>
      <c r="I140" s="71"/>
      <c r="J140" s="71"/>
      <c r="K140" s="71"/>
      <c r="L140" s="71"/>
      <c r="M140" s="71"/>
      <c r="N140" s="71"/>
      <c r="O140" s="71"/>
      <c r="P140" s="71"/>
      <c r="Q140" s="71"/>
      <c r="R140" s="71"/>
      <c r="S140" s="71"/>
      <c r="T140" s="71"/>
      <c r="U140" s="71"/>
      <c r="V140" s="71"/>
      <c r="W140" s="71"/>
      <c r="X140" s="71"/>
      <c r="Y140" s="71"/>
      <c r="Z140" s="71"/>
      <c r="AA140" s="71"/>
      <c r="AB140" s="71"/>
      <c r="AC140" s="71"/>
      <c r="AD140" s="71"/>
      <c r="AE140" s="71"/>
      <c r="AF140" s="71"/>
      <c r="AG140" s="71"/>
      <c r="AH140" s="71"/>
      <c r="AI140" s="71"/>
      <c r="AJ140" s="71"/>
    </row>
    <row r="141" spans="1:36" x14ac:dyDescent="0.25">
      <c r="A141">
        <v>4011920</v>
      </c>
      <c r="B141" s="71"/>
      <c r="C141" s="71"/>
      <c r="D141" s="71"/>
      <c r="E141" s="71"/>
      <c r="F141" s="71"/>
      <c r="G141" s="71"/>
      <c r="H141" s="71"/>
      <c r="I141" s="71"/>
      <c r="J141" s="71"/>
      <c r="K141" s="71"/>
      <c r="L141" s="71"/>
      <c r="M141" s="71"/>
      <c r="N141" s="71"/>
      <c r="O141" s="71"/>
      <c r="P141" s="71"/>
      <c r="Q141" s="71"/>
      <c r="R141" s="71"/>
      <c r="S141" s="71"/>
      <c r="T141" s="71"/>
      <c r="U141" s="71"/>
      <c r="V141" s="71"/>
      <c r="W141" s="71"/>
      <c r="X141" s="71"/>
      <c r="Y141" s="71"/>
      <c r="Z141" s="71"/>
      <c r="AA141" s="71"/>
      <c r="AB141" s="71"/>
      <c r="AC141" s="71"/>
      <c r="AD141" s="71"/>
      <c r="AE141" s="71"/>
      <c r="AF141" s="71"/>
      <c r="AG141" s="71"/>
      <c r="AH141" s="71"/>
      <c r="AI141" s="71"/>
      <c r="AJ141" s="71"/>
    </row>
    <row r="142" spans="1:36" x14ac:dyDescent="0.25">
      <c r="A142">
        <v>4012248</v>
      </c>
      <c r="B142" s="71"/>
      <c r="C142" s="71"/>
      <c r="D142" s="71"/>
      <c r="E142" s="71"/>
      <c r="F142" s="71"/>
      <c r="G142" s="71"/>
      <c r="H142" s="71"/>
      <c r="I142" s="71"/>
      <c r="J142" s="71"/>
      <c r="K142" s="71"/>
      <c r="L142" s="71"/>
      <c r="M142" s="71"/>
      <c r="N142" s="71"/>
      <c r="O142" s="71"/>
      <c r="P142" s="71"/>
      <c r="Q142" s="71"/>
      <c r="R142" s="71"/>
      <c r="S142" s="71"/>
      <c r="T142" s="71"/>
      <c r="U142" s="71"/>
      <c r="V142" s="71"/>
      <c r="W142" s="71"/>
      <c r="X142" s="71"/>
      <c r="Y142" s="71"/>
      <c r="Z142" s="71"/>
      <c r="AA142" s="71"/>
      <c r="AB142" s="71"/>
      <c r="AC142" s="71"/>
      <c r="AD142" s="71"/>
      <c r="AE142" s="71"/>
      <c r="AF142" s="71"/>
      <c r="AG142" s="71"/>
      <c r="AH142" s="71"/>
      <c r="AI142" s="71"/>
      <c r="AJ142" s="71"/>
    </row>
    <row r="143" spans="1:36" x14ac:dyDescent="0.25">
      <c r="A143">
        <v>4013603</v>
      </c>
      <c r="B143" s="71"/>
      <c r="C143" s="71"/>
      <c r="D143" s="71"/>
      <c r="E143" s="71"/>
      <c r="F143" s="71"/>
      <c r="G143" s="71"/>
      <c r="H143" s="71"/>
      <c r="I143" s="71"/>
      <c r="J143" s="71"/>
      <c r="K143" s="71"/>
      <c r="L143" s="71"/>
      <c r="M143" s="71"/>
      <c r="N143" s="71"/>
      <c r="O143" s="71"/>
      <c r="P143" s="71"/>
      <c r="Q143" s="71"/>
      <c r="R143" s="71"/>
      <c r="S143" s="71"/>
      <c r="T143" s="71"/>
      <c r="U143" s="71"/>
      <c r="V143" s="71"/>
      <c r="W143" s="71"/>
      <c r="X143" s="71"/>
      <c r="Y143" s="71"/>
      <c r="Z143" s="71"/>
      <c r="AA143" s="71"/>
      <c r="AB143" s="71"/>
      <c r="AC143" s="71"/>
      <c r="AD143" s="71"/>
      <c r="AE143" s="71"/>
      <c r="AF143" s="71"/>
      <c r="AG143" s="71"/>
      <c r="AH143" s="71"/>
      <c r="AI143" s="71"/>
      <c r="AJ143" s="71"/>
    </row>
    <row r="144" spans="1:36" x14ac:dyDescent="0.25">
      <c r="A144">
        <v>5004654</v>
      </c>
      <c r="B144" s="71"/>
      <c r="C144" s="71"/>
      <c r="D144" s="71"/>
      <c r="E144" s="71"/>
      <c r="F144" s="71"/>
      <c r="G144" s="71"/>
      <c r="H144" s="71"/>
      <c r="I144" s="71"/>
      <c r="J144" s="71"/>
      <c r="K144" s="71"/>
      <c r="L144" s="71"/>
      <c r="M144" s="71"/>
      <c r="N144" s="71"/>
      <c r="O144" s="71"/>
      <c r="P144" s="71">
        <v>4050000</v>
      </c>
      <c r="Q144" s="71"/>
      <c r="R144" s="71">
        <v>3500000</v>
      </c>
      <c r="S144" s="71">
        <v>39500000000</v>
      </c>
      <c r="T144" s="71">
        <v>41100000000</v>
      </c>
      <c r="U144" s="71"/>
      <c r="V144" s="71"/>
      <c r="W144" s="71">
        <v>4000000</v>
      </c>
      <c r="X144" s="71"/>
      <c r="Y144" s="71">
        <v>39300000000</v>
      </c>
      <c r="Z144" s="71"/>
      <c r="AA144" s="71"/>
      <c r="AB144" s="71"/>
      <c r="AC144" s="71">
        <v>39100000000</v>
      </c>
      <c r="AD144" s="71"/>
      <c r="AE144" s="71"/>
      <c r="AF144" s="71"/>
      <c r="AG144" s="71"/>
      <c r="AH144" s="71"/>
      <c r="AI144" s="71"/>
      <c r="AJ144" s="71"/>
    </row>
    <row r="145" spans="1:36" x14ac:dyDescent="0.25">
      <c r="A145" s="65"/>
      <c r="B145" s="71"/>
      <c r="C145" s="71"/>
      <c r="D145" s="71"/>
      <c r="E145" s="71"/>
      <c r="F145" s="71"/>
      <c r="G145" s="71"/>
      <c r="H145" s="71"/>
      <c r="I145" s="71"/>
      <c r="J145" s="71"/>
      <c r="K145" s="71"/>
      <c r="L145" s="71"/>
      <c r="M145" s="71"/>
      <c r="N145" s="71"/>
      <c r="O145" s="71"/>
      <c r="P145" s="71"/>
      <c r="Q145" s="71"/>
      <c r="R145" s="71"/>
      <c r="S145" s="71"/>
      <c r="T145" s="71"/>
      <c r="U145" s="71"/>
      <c r="V145" s="71"/>
      <c r="W145" s="71"/>
      <c r="X145" s="71"/>
      <c r="Y145" s="71"/>
      <c r="Z145" s="71"/>
      <c r="AA145" s="71"/>
      <c r="AB145" s="71"/>
      <c r="AC145" s="71"/>
      <c r="AD145" s="71"/>
      <c r="AE145" s="71"/>
      <c r="AF145" s="71"/>
      <c r="AG145" s="71"/>
      <c r="AH145" s="71"/>
      <c r="AI145" s="71"/>
      <c r="AJ145" s="71"/>
    </row>
    <row r="146" spans="1:36" x14ac:dyDescent="0.25">
      <c r="A146" s="10" t="s">
        <v>146</v>
      </c>
      <c r="B146" s="71"/>
      <c r="C146" s="71"/>
      <c r="D146" s="71"/>
      <c r="E146" s="71"/>
      <c r="F146" s="71"/>
      <c r="G146" s="71"/>
      <c r="H146" s="71"/>
      <c r="I146" s="71"/>
      <c r="J146" s="71"/>
      <c r="K146" s="71"/>
      <c r="L146" s="71"/>
      <c r="M146" s="71"/>
      <c r="N146" s="71"/>
      <c r="O146" s="71"/>
      <c r="P146" s="71"/>
      <c r="Q146" s="71"/>
      <c r="R146" s="71"/>
      <c r="S146" s="71"/>
      <c r="T146" s="71"/>
      <c r="U146" s="71"/>
      <c r="V146" s="71"/>
      <c r="W146" s="71"/>
      <c r="X146" s="71"/>
      <c r="Y146" s="71"/>
      <c r="Z146" s="71"/>
      <c r="AA146" s="71"/>
      <c r="AB146" s="71"/>
      <c r="AC146" s="71"/>
      <c r="AD146" s="71"/>
      <c r="AE146" s="71"/>
      <c r="AF146" s="71"/>
      <c r="AG146" s="71"/>
      <c r="AH146" s="71"/>
      <c r="AI146" s="71"/>
      <c r="AJ146" s="71"/>
    </row>
    <row r="147" spans="1:36" x14ac:dyDescent="0.25">
      <c r="A147">
        <v>4289</v>
      </c>
      <c r="B147" s="71"/>
      <c r="C147" s="71"/>
      <c r="D147" s="71"/>
      <c r="E147" s="71"/>
      <c r="F147" s="71"/>
      <c r="G147" s="71"/>
      <c r="H147" s="71"/>
      <c r="I147" s="71"/>
      <c r="J147" s="71"/>
      <c r="K147" s="71"/>
      <c r="L147" s="71"/>
      <c r="M147" s="71"/>
      <c r="N147" s="71"/>
      <c r="O147" s="71"/>
      <c r="P147" s="71"/>
      <c r="Q147" s="71"/>
      <c r="R147" s="71"/>
      <c r="S147" s="71"/>
      <c r="T147" s="71"/>
      <c r="U147" s="71"/>
      <c r="V147" s="71"/>
      <c r="W147" s="71"/>
      <c r="X147" s="71"/>
      <c r="Y147" s="71"/>
      <c r="Z147" s="71"/>
      <c r="AA147" s="71"/>
      <c r="AB147" s="71"/>
      <c r="AC147" s="71"/>
      <c r="AD147" s="71"/>
      <c r="AE147" s="71"/>
      <c r="AF147" s="71"/>
      <c r="AG147" s="71"/>
      <c r="AH147" s="71"/>
      <c r="AI147" s="71"/>
      <c r="AJ147" s="71"/>
    </row>
    <row r="148" spans="1:36" x14ac:dyDescent="0.25">
      <c r="A148">
        <v>500245</v>
      </c>
      <c r="B148" s="71"/>
      <c r="C148" s="71"/>
      <c r="D148" s="71"/>
      <c r="E148" s="71"/>
      <c r="F148" s="71"/>
      <c r="G148" s="71"/>
      <c r="H148" s="71"/>
      <c r="I148" s="71"/>
      <c r="J148" s="71"/>
      <c r="K148" s="71"/>
      <c r="L148" s="71"/>
      <c r="M148" s="71"/>
      <c r="N148" s="71"/>
      <c r="O148" s="71"/>
      <c r="P148" s="71"/>
      <c r="Q148" s="71"/>
      <c r="R148" s="71"/>
      <c r="S148" s="71"/>
      <c r="T148" s="71"/>
      <c r="U148" s="71"/>
      <c r="V148" s="71"/>
      <c r="W148" s="71"/>
      <c r="X148" s="71"/>
      <c r="Y148" s="71"/>
      <c r="Z148" s="71"/>
      <c r="AA148" s="71"/>
      <c r="AB148" s="71"/>
      <c r="AC148" s="71"/>
      <c r="AD148" s="71"/>
      <c r="AE148" s="71"/>
      <c r="AF148" s="71"/>
      <c r="AG148" s="71"/>
      <c r="AH148" s="71"/>
      <c r="AI148" s="71"/>
      <c r="AJ148" s="71"/>
    </row>
    <row r="149" spans="1:36" x14ac:dyDescent="0.25">
      <c r="A149">
        <v>2002573</v>
      </c>
      <c r="B149" s="71"/>
      <c r="C149" s="71"/>
      <c r="D149" s="71"/>
      <c r="E149" s="71"/>
      <c r="F149" s="71"/>
      <c r="G149" s="71"/>
      <c r="H149" s="71"/>
      <c r="I149" s="71"/>
      <c r="J149" s="71"/>
      <c r="K149" s="71"/>
      <c r="L149" s="71"/>
      <c r="M149" s="71"/>
      <c r="N149" s="71"/>
      <c r="O149" s="71"/>
      <c r="P149" s="71"/>
      <c r="Q149" s="71"/>
      <c r="R149" s="71"/>
      <c r="S149" s="71"/>
      <c r="T149" s="71"/>
      <c r="U149" s="71"/>
      <c r="V149" s="71"/>
      <c r="W149" s="71"/>
      <c r="X149" s="71"/>
      <c r="Y149" s="71"/>
      <c r="Z149" s="71"/>
      <c r="AA149" s="71"/>
      <c r="AB149" s="71"/>
      <c r="AC149" s="71"/>
      <c r="AD149" s="71"/>
      <c r="AE149" s="71"/>
      <c r="AF149" s="71"/>
      <c r="AG149" s="71"/>
      <c r="AH149" s="71"/>
      <c r="AI149" s="71"/>
      <c r="AJ149" s="71"/>
    </row>
    <row r="150" spans="1:36" x14ac:dyDescent="0.25">
      <c r="A150">
        <v>2003539</v>
      </c>
      <c r="B150" s="71"/>
      <c r="C150" s="71"/>
      <c r="D150" s="71"/>
      <c r="E150" s="71"/>
      <c r="F150" s="71"/>
      <c r="G150" s="71"/>
      <c r="H150" s="71"/>
      <c r="I150" s="71"/>
      <c r="J150" s="71"/>
      <c r="K150" s="71"/>
      <c r="L150" s="71"/>
      <c r="M150" s="71"/>
      <c r="N150" s="71"/>
      <c r="O150" s="71"/>
      <c r="P150" s="71"/>
      <c r="Q150" s="71"/>
      <c r="R150" s="71"/>
      <c r="S150" s="71"/>
      <c r="T150" s="71"/>
      <c r="U150" s="71"/>
      <c r="V150" s="71"/>
      <c r="W150" s="71"/>
      <c r="X150" s="71"/>
      <c r="Y150" s="71"/>
      <c r="Z150" s="71"/>
      <c r="AA150" s="71"/>
      <c r="AB150" s="71"/>
      <c r="AC150" s="71"/>
      <c r="AD150" s="71"/>
      <c r="AE150" s="71"/>
      <c r="AF150" s="71"/>
      <c r="AG150" s="71"/>
      <c r="AH150" s="71"/>
      <c r="AI150" s="71"/>
      <c r="AJ150" s="71"/>
    </row>
    <row r="151" spans="1:36" x14ac:dyDescent="0.25">
      <c r="A151">
        <v>2003649</v>
      </c>
      <c r="B151" s="71"/>
      <c r="C151" s="71"/>
      <c r="D151" s="71"/>
      <c r="E151" s="71"/>
      <c r="F151" s="71"/>
      <c r="G151" s="71"/>
      <c r="H151" s="71"/>
      <c r="I151" s="71"/>
      <c r="J151" s="71"/>
      <c r="K151" s="71"/>
      <c r="L151" s="71"/>
      <c r="M151" s="71"/>
      <c r="N151" s="71"/>
      <c r="O151" s="71"/>
      <c r="P151" s="71"/>
      <c r="Q151" s="71"/>
      <c r="R151" s="71"/>
      <c r="S151" s="71"/>
      <c r="T151" s="71"/>
      <c r="U151" s="71"/>
      <c r="V151" s="71"/>
      <c r="W151" s="71"/>
      <c r="X151" s="71"/>
      <c r="Y151" s="71"/>
      <c r="Z151" s="71"/>
      <c r="AA151" s="71"/>
      <c r="AB151" s="71"/>
      <c r="AC151" s="71"/>
      <c r="AD151" s="71"/>
      <c r="AE151" s="71"/>
      <c r="AF151" s="71"/>
      <c r="AG151" s="71"/>
      <c r="AH151" s="71"/>
      <c r="AI151" s="71"/>
      <c r="AJ151" s="71"/>
    </row>
    <row r="152" spans="1:36" x14ac:dyDescent="0.25">
      <c r="A152">
        <v>2005572</v>
      </c>
      <c r="B152" s="71"/>
      <c r="C152" s="71"/>
      <c r="D152" s="71"/>
      <c r="E152" s="71"/>
      <c r="F152" s="71"/>
      <c r="G152" s="71"/>
      <c r="H152" s="71"/>
      <c r="I152" s="71"/>
      <c r="J152" s="71"/>
      <c r="K152" s="71"/>
      <c r="L152" s="71"/>
      <c r="M152" s="71"/>
      <c r="N152" s="71"/>
      <c r="O152" s="71"/>
      <c r="P152" s="71"/>
      <c r="Q152" s="71"/>
      <c r="R152" s="71"/>
      <c r="S152" s="71"/>
      <c r="T152" s="71"/>
      <c r="U152" s="71"/>
      <c r="V152" s="71"/>
      <c r="W152" s="71"/>
      <c r="X152" s="71"/>
      <c r="Y152" s="71"/>
      <c r="Z152" s="71"/>
      <c r="AA152" s="71"/>
      <c r="AB152" s="71"/>
      <c r="AC152" s="71"/>
      <c r="AD152" s="71"/>
      <c r="AE152" s="71"/>
      <c r="AF152" s="71"/>
      <c r="AG152" s="71"/>
      <c r="AH152" s="71"/>
      <c r="AI152" s="71"/>
      <c r="AJ152" s="71"/>
    </row>
    <row r="153" spans="1:36" x14ac:dyDescent="0.25">
      <c r="A153">
        <v>2013117</v>
      </c>
      <c r="B153" s="71"/>
      <c r="C153" s="71"/>
      <c r="D153" s="71"/>
      <c r="E153" s="71"/>
      <c r="F153" s="71"/>
      <c r="G153" s="71"/>
      <c r="H153" s="71"/>
      <c r="I153" s="71"/>
      <c r="J153" s="71"/>
      <c r="K153" s="71"/>
      <c r="L153" s="71"/>
      <c r="M153" s="71"/>
      <c r="N153" s="71"/>
      <c r="O153" s="71"/>
      <c r="P153" s="71"/>
      <c r="Q153" s="71"/>
      <c r="R153" s="71"/>
      <c r="S153" s="71"/>
      <c r="T153" s="71"/>
      <c r="U153" s="71"/>
      <c r="V153" s="71"/>
      <c r="W153" s="71"/>
      <c r="X153" s="71"/>
      <c r="Y153" s="71"/>
      <c r="Z153" s="71"/>
      <c r="AA153" s="71"/>
      <c r="AB153" s="71"/>
      <c r="AC153" s="71"/>
      <c r="AD153" s="71"/>
      <c r="AE153" s="71"/>
      <c r="AF153" s="71"/>
      <c r="AG153" s="71"/>
      <c r="AH153" s="71"/>
      <c r="AI153" s="71"/>
      <c r="AJ153" s="71"/>
    </row>
    <row r="154" spans="1:36" x14ac:dyDescent="0.25">
      <c r="A154">
        <v>3009633</v>
      </c>
      <c r="B154" s="71"/>
      <c r="C154" s="71"/>
      <c r="D154" s="71"/>
      <c r="E154" s="71"/>
      <c r="F154" s="71"/>
      <c r="G154" s="71"/>
      <c r="H154" s="71"/>
      <c r="I154" s="71"/>
      <c r="J154" s="71"/>
      <c r="K154" s="71"/>
      <c r="L154" s="71"/>
      <c r="M154" s="71"/>
      <c r="N154" s="71"/>
      <c r="O154" s="71"/>
      <c r="P154" s="71"/>
      <c r="Q154" s="71"/>
      <c r="R154" s="71"/>
      <c r="S154" s="71"/>
      <c r="T154" s="71"/>
      <c r="U154" s="71"/>
      <c r="V154" s="71"/>
      <c r="W154" s="71"/>
      <c r="X154" s="71"/>
      <c r="Y154" s="71"/>
      <c r="Z154" s="71"/>
      <c r="AA154" s="71"/>
      <c r="AB154" s="71"/>
      <c r="AC154" s="71"/>
      <c r="AD154" s="71"/>
      <c r="AE154" s="71"/>
      <c r="AF154" s="71"/>
      <c r="AG154" s="71"/>
      <c r="AH154" s="71"/>
      <c r="AI154" s="71"/>
      <c r="AJ154" s="71"/>
    </row>
    <row r="155" spans="1:36" x14ac:dyDescent="0.25">
      <c r="A155">
        <v>3010583</v>
      </c>
      <c r="B155" s="71"/>
      <c r="C155" s="71"/>
      <c r="D155" s="71"/>
      <c r="E155" s="71"/>
      <c r="F155" s="71"/>
      <c r="G155" s="71"/>
      <c r="H155" s="71"/>
      <c r="I155" s="71"/>
      <c r="J155" s="71"/>
      <c r="K155" s="71"/>
      <c r="L155" s="71"/>
      <c r="M155" s="71"/>
      <c r="N155" s="71"/>
      <c r="O155" s="71"/>
      <c r="P155" s="71"/>
      <c r="Q155" s="71"/>
      <c r="R155" s="71"/>
      <c r="S155" s="71"/>
      <c r="T155" s="71"/>
      <c r="U155" s="71"/>
      <c r="V155" s="71"/>
      <c r="W155" s="71"/>
      <c r="X155" s="71"/>
      <c r="Y155" s="71"/>
      <c r="Z155" s="71"/>
      <c r="AA155" s="71"/>
      <c r="AB155" s="71"/>
      <c r="AC155" s="71"/>
      <c r="AD155" s="71"/>
      <c r="AE155" s="71"/>
      <c r="AF155" s="71"/>
      <c r="AG155" s="71"/>
      <c r="AH155" s="71"/>
      <c r="AI155" s="71"/>
      <c r="AJ155" s="71"/>
    </row>
    <row r="156" spans="1:36" x14ac:dyDescent="0.25">
      <c r="A156" s="23">
        <v>3011892</v>
      </c>
      <c r="B156" s="71"/>
      <c r="C156" s="71"/>
      <c r="D156" s="71"/>
      <c r="E156" s="71"/>
      <c r="F156" s="71"/>
      <c r="G156" s="71"/>
      <c r="H156" s="71"/>
      <c r="I156" s="71"/>
      <c r="J156" s="71"/>
      <c r="K156" s="71"/>
      <c r="L156" s="71"/>
      <c r="M156" s="71"/>
      <c r="N156" s="71"/>
      <c r="O156" s="71"/>
      <c r="P156" s="71"/>
      <c r="Q156" s="71"/>
      <c r="R156" s="71"/>
      <c r="S156" s="71"/>
      <c r="T156" s="71"/>
      <c r="U156" s="71"/>
      <c r="V156" s="71"/>
      <c r="W156" s="71"/>
      <c r="X156" s="71"/>
      <c r="Y156" s="71"/>
      <c r="Z156" s="71"/>
      <c r="AA156" s="71"/>
      <c r="AB156" s="71"/>
      <c r="AC156" s="71"/>
      <c r="AD156" s="71"/>
      <c r="AE156" s="71"/>
      <c r="AF156" s="71"/>
      <c r="AG156" s="71"/>
      <c r="AH156" s="71"/>
      <c r="AI156" s="71"/>
      <c r="AJ156" s="71"/>
    </row>
    <row r="157" spans="1:36" x14ac:dyDescent="0.25">
      <c r="A157">
        <v>4001382</v>
      </c>
      <c r="B157" s="71"/>
      <c r="C157" s="71"/>
      <c r="D157" s="71"/>
      <c r="E157" s="71"/>
      <c r="F157" s="71"/>
      <c r="G157" s="71"/>
      <c r="H157" s="71"/>
      <c r="I157" s="71"/>
      <c r="J157" s="71"/>
      <c r="K157" s="71"/>
      <c r="L157" s="71"/>
      <c r="M157" s="71"/>
      <c r="N157" s="71"/>
      <c r="O157" s="71"/>
      <c r="P157" s="71"/>
      <c r="Q157" s="71"/>
      <c r="R157" s="71"/>
      <c r="S157" s="71"/>
      <c r="T157" s="71"/>
      <c r="U157" s="71"/>
      <c r="V157" s="71"/>
      <c r="W157" s="71"/>
      <c r="X157" s="71"/>
      <c r="Y157" s="71"/>
      <c r="Z157" s="71"/>
      <c r="AA157" s="71"/>
      <c r="AB157" s="71"/>
      <c r="AC157" s="71"/>
      <c r="AD157" s="71"/>
      <c r="AE157" s="71"/>
      <c r="AF157" s="71"/>
      <c r="AG157" s="71"/>
      <c r="AH157" s="71"/>
      <c r="AI157" s="71"/>
      <c r="AJ157" s="71"/>
    </row>
    <row r="158" spans="1:36" x14ac:dyDescent="0.25">
      <c r="A158">
        <v>5018675</v>
      </c>
      <c r="B158" s="71"/>
      <c r="C158" s="71"/>
      <c r="D158" s="71"/>
      <c r="E158" s="71"/>
      <c r="F158" s="71"/>
      <c r="G158" s="71"/>
      <c r="H158" s="71"/>
      <c r="I158" s="71"/>
      <c r="J158" s="71"/>
      <c r="K158" s="71"/>
      <c r="L158" s="71"/>
      <c r="M158" s="71"/>
      <c r="N158" s="71"/>
      <c r="O158" s="71"/>
      <c r="P158" s="71"/>
      <c r="Q158" s="71"/>
      <c r="R158" s="71"/>
      <c r="S158" s="71"/>
      <c r="T158" s="71"/>
      <c r="U158" s="71"/>
      <c r="V158" s="71"/>
      <c r="W158" s="71"/>
      <c r="X158" s="71"/>
      <c r="Y158" s="71"/>
      <c r="Z158" s="71"/>
      <c r="AA158" s="71"/>
      <c r="AB158" s="71"/>
      <c r="AC158" s="71"/>
      <c r="AD158" s="71"/>
      <c r="AE158" s="71"/>
      <c r="AF158" s="71"/>
      <c r="AG158" s="71"/>
      <c r="AH158" s="71"/>
      <c r="AI158" s="71"/>
      <c r="AJ158" s="71"/>
    </row>
    <row r="159" spans="1:36" x14ac:dyDescent="0.25">
      <c r="A159">
        <v>6050168</v>
      </c>
      <c r="B159" s="71"/>
      <c r="C159" s="71"/>
      <c r="D159" s="71"/>
      <c r="E159" s="71"/>
      <c r="F159" s="71"/>
      <c r="G159" s="71"/>
      <c r="H159" s="71"/>
      <c r="I159" s="71"/>
      <c r="J159" s="71"/>
      <c r="K159" s="71"/>
      <c r="L159" s="71"/>
      <c r="M159" s="71"/>
      <c r="N159" s="71"/>
      <c r="O159" s="71"/>
      <c r="P159" s="71"/>
      <c r="Q159" s="71"/>
      <c r="R159" s="71"/>
      <c r="S159" s="71"/>
      <c r="T159" s="71"/>
      <c r="U159" s="71"/>
      <c r="V159" s="71"/>
      <c r="W159" s="71"/>
      <c r="X159" s="71"/>
      <c r="Y159" s="71"/>
      <c r="Z159" s="71"/>
      <c r="AA159" s="71"/>
      <c r="AB159" s="71"/>
      <c r="AC159" s="71"/>
      <c r="AD159" s="71"/>
      <c r="AE159" s="71"/>
      <c r="AF159" s="71"/>
      <c r="AG159" s="71"/>
      <c r="AH159" s="71"/>
      <c r="AI159" s="71"/>
      <c r="AJ159" s="71"/>
    </row>
    <row r="160" spans="1:36" x14ac:dyDescent="0.25">
      <c r="A160">
        <v>5006592</v>
      </c>
      <c r="B160" s="71"/>
      <c r="C160" s="71"/>
      <c r="D160" s="71"/>
      <c r="E160" s="71"/>
      <c r="F160" s="71"/>
      <c r="G160" s="71"/>
      <c r="H160" s="71"/>
      <c r="I160" s="71"/>
      <c r="J160" s="71"/>
      <c r="K160" s="71"/>
      <c r="L160" s="71"/>
      <c r="M160" s="71"/>
      <c r="N160" s="71"/>
      <c r="O160" s="71"/>
      <c r="P160" s="71"/>
      <c r="Q160" s="71"/>
      <c r="R160" s="71"/>
      <c r="S160" s="71"/>
      <c r="T160" s="71"/>
      <c r="U160" s="71"/>
      <c r="V160" s="71"/>
      <c r="W160" s="71"/>
      <c r="X160" s="71"/>
      <c r="Y160" s="71"/>
      <c r="Z160" s="71"/>
      <c r="AA160" s="71"/>
      <c r="AB160" s="71"/>
      <c r="AC160" s="71"/>
      <c r="AD160" s="71"/>
      <c r="AE160" s="71"/>
      <c r="AF160" s="71"/>
      <c r="AG160" s="71"/>
      <c r="AH160" s="71"/>
      <c r="AI160" s="71"/>
      <c r="AJ160" s="71"/>
    </row>
    <row r="161" spans="1:36" x14ac:dyDescent="0.25">
      <c r="A161">
        <v>5007274</v>
      </c>
      <c r="B161" s="71"/>
      <c r="C161" s="71"/>
      <c r="D161" s="71"/>
      <c r="E161" s="71"/>
      <c r="F161" s="71"/>
      <c r="G161" s="71"/>
      <c r="H161" s="71"/>
      <c r="I161" s="71"/>
      <c r="J161" s="71"/>
      <c r="K161" s="71"/>
      <c r="L161" s="71"/>
      <c r="M161" s="71"/>
      <c r="N161" s="71"/>
      <c r="O161" s="71"/>
      <c r="P161" s="71"/>
      <c r="Q161" s="71"/>
      <c r="R161" s="71"/>
      <c r="S161" s="71"/>
      <c r="T161" s="71"/>
      <c r="U161" s="71"/>
      <c r="V161" s="71"/>
      <c r="W161" s="71"/>
      <c r="X161" s="71"/>
      <c r="Y161" s="71"/>
      <c r="Z161" s="71"/>
      <c r="AA161" s="71"/>
      <c r="AB161" s="71"/>
      <c r="AC161" s="71"/>
      <c r="AD161" s="71"/>
      <c r="AE161" s="71"/>
      <c r="AF161" s="71"/>
      <c r="AG161" s="71"/>
      <c r="AH161" s="71"/>
      <c r="AI161" s="71"/>
      <c r="AJ161" s="71"/>
    </row>
    <row r="162" spans="1:36" x14ac:dyDescent="0.25">
      <c r="A162">
        <v>5015851</v>
      </c>
      <c r="B162" s="71"/>
      <c r="C162" s="71"/>
      <c r="D162" s="71"/>
      <c r="E162" s="71"/>
      <c r="F162" s="71"/>
      <c r="G162" s="71"/>
      <c r="H162" s="71"/>
      <c r="I162" s="71"/>
      <c r="J162" s="71"/>
      <c r="K162" s="71"/>
      <c r="L162" s="71"/>
      <c r="M162" s="71"/>
      <c r="N162" s="71"/>
      <c r="O162" s="71"/>
      <c r="P162" s="71"/>
      <c r="Q162" s="71"/>
      <c r="R162" s="71"/>
      <c r="S162" s="71"/>
      <c r="T162" s="71"/>
      <c r="U162" s="71"/>
      <c r="V162" s="71"/>
      <c r="W162" s="71"/>
      <c r="X162" s="71"/>
      <c r="Y162" s="71"/>
      <c r="Z162" s="71"/>
      <c r="AA162" s="71"/>
      <c r="AB162" s="71"/>
      <c r="AC162" s="71"/>
      <c r="AD162" s="71"/>
      <c r="AE162" s="71"/>
      <c r="AF162" s="71"/>
      <c r="AG162" s="71"/>
      <c r="AH162" s="71"/>
      <c r="AI162" s="71"/>
      <c r="AJ162" s="71"/>
    </row>
    <row r="163" spans="1:36" x14ac:dyDescent="0.25">
      <c r="A163">
        <v>6015647</v>
      </c>
      <c r="B163" s="71"/>
      <c r="C163" s="71"/>
      <c r="D163" s="71"/>
      <c r="E163" s="71"/>
      <c r="F163" s="71"/>
      <c r="G163" s="71"/>
      <c r="H163" s="71"/>
      <c r="I163" s="71"/>
      <c r="J163" s="71"/>
      <c r="K163" s="71"/>
      <c r="L163" s="71"/>
      <c r="M163" s="71"/>
      <c r="N163" s="71"/>
      <c r="O163" s="71">
        <v>5440000</v>
      </c>
      <c r="P163" s="71"/>
      <c r="Q163" s="71">
        <v>5160000</v>
      </c>
      <c r="R163" s="71">
        <v>4790000</v>
      </c>
      <c r="S163" s="71"/>
      <c r="T163" s="71"/>
      <c r="U163" s="71">
        <v>5210000</v>
      </c>
      <c r="V163" s="71"/>
      <c r="W163" s="71"/>
      <c r="X163" s="71">
        <v>5060000</v>
      </c>
      <c r="Y163" s="71"/>
      <c r="Z163" s="71"/>
      <c r="AA163" s="71"/>
      <c r="AB163" s="71"/>
      <c r="AC163" s="71">
        <v>4420000</v>
      </c>
      <c r="AD163" s="71"/>
      <c r="AE163" s="71"/>
      <c r="AF163" s="71">
        <v>4380000</v>
      </c>
      <c r="AG163" s="71"/>
      <c r="AH163" s="71"/>
      <c r="AI163" s="71"/>
      <c r="AJ163" s="71"/>
    </row>
    <row r="164" spans="1:36" x14ac:dyDescent="0.25">
      <c r="A164">
        <v>6056633</v>
      </c>
      <c r="B164" s="71"/>
      <c r="C164" s="71"/>
      <c r="D164" s="71"/>
      <c r="E164" s="71"/>
      <c r="F164" s="71"/>
      <c r="G164" s="71"/>
      <c r="H164" s="71"/>
      <c r="I164" s="71"/>
      <c r="J164" s="71"/>
      <c r="K164" s="71"/>
      <c r="L164" s="71"/>
      <c r="M164" s="71"/>
      <c r="N164" s="71"/>
      <c r="O164" s="71"/>
      <c r="P164" s="71"/>
      <c r="Q164" s="71"/>
      <c r="R164" s="71"/>
      <c r="S164" s="71"/>
      <c r="T164" s="71"/>
      <c r="U164" s="71"/>
      <c r="V164" s="71"/>
      <c r="W164" s="71"/>
      <c r="X164" s="71"/>
      <c r="Y164" s="71"/>
      <c r="Z164" s="71"/>
      <c r="AA164" s="71"/>
      <c r="AB164" s="71"/>
      <c r="AC164" s="71"/>
      <c r="AD164" s="71"/>
      <c r="AE164" s="71"/>
      <c r="AF164" s="71"/>
      <c r="AG164" s="71"/>
      <c r="AH164" s="71"/>
      <c r="AI164" s="71"/>
      <c r="AJ164" s="71"/>
    </row>
    <row r="165" spans="1:36" x14ac:dyDescent="0.25">
      <c r="A165">
        <v>7086224</v>
      </c>
      <c r="B165" s="71"/>
      <c r="C165" s="71"/>
      <c r="D165" s="71"/>
      <c r="E165" s="71"/>
      <c r="F165" s="71"/>
      <c r="G165" s="71"/>
      <c r="H165" s="71"/>
      <c r="I165" s="71"/>
      <c r="J165" s="71"/>
      <c r="K165" s="71"/>
      <c r="L165" s="71"/>
      <c r="M165" s="71"/>
      <c r="N165" s="71"/>
      <c r="O165" s="71"/>
      <c r="P165" s="71"/>
      <c r="Q165" s="71"/>
      <c r="R165" s="71"/>
      <c r="S165" s="71"/>
      <c r="T165" s="71"/>
      <c r="U165" s="71"/>
      <c r="V165" s="71"/>
      <c r="W165" s="71"/>
      <c r="X165" s="71"/>
      <c r="Y165" s="71"/>
      <c r="Z165" s="71"/>
      <c r="AA165" s="71"/>
      <c r="AB165" s="71"/>
      <c r="AC165" s="71"/>
      <c r="AD165" s="71"/>
      <c r="AE165" s="71"/>
      <c r="AF165" s="71"/>
      <c r="AG165" s="71"/>
      <c r="AH165" s="71"/>
      <c r="AI165" s="71"/>
      <c r="AJ165" s="71"/>
    </row>
    <row r="166" spans="1:36" x14ac:dyDescent="0.25">
      <c r="A166">
        <v>8040959</v>
      </c>
      <c r="B166" s="71"/>
      <c r="C166" s="71"/>
      <c r="D166" s="71"/>
      <c r="E166" s="71"/>
      <c r="F166" s="71"/>
      <c r="G166" s="71"/>
      <c r="H166" s="71"/>
      <c r="I166" s="71"/>
      <c r="J166" s="71"/>
      <c r="K166" s="71"/>
      <c r="L166" s="71"/>
      <c r="M166" s="71"/>
      <c r="N166" s="71"/>
      <c r="O166" s="71"/>
      <c r="P166" s="71"/>
      <c r="Q166" s="71"/>
      <c r="R166" s="71"/>
      <c r="S166" s="71"/>
      <c r="T166" s="71"/>
      <c r="U166" s="71"/>
      <c r="V166" s="71"/>
      <c r="W166" s="71"/>
      <c r="X166" s="71"/>
      <c r="Y166" s="71"/>
      <c r="Z166" s="71"/>
      <c r="AA166" s="71"/>
      <c r="AB166" s="71"/>
      <c r="AC166" s="71"/>
      <c r="AD166" s="71"/>
      <c r="AE166" s="71"/>
      <c r="AF166" s="71"/>
      <c r="AG166" s="71"/>
      <c r="AH166" s="71"/>
      <c r="AI166" s="71"/>
      <c r="AJ166" s="71"/>
    </row>
    <row r="167" spans="1:36" x14ac:dyDescent="0.25">
      <c r="A167">
        <v>8107048</v>
      </c>
      <c r="B167" s="71"/>
      <c r="C167" s="71"/>
      <c r="D167" s="71"/>
      <c r="E167" s="71"/>
      <c r="F167" s="71"/>
      <c r="G167" s="71"/>
      <c r="H167" s="71"/>
      <c r="I167" s="71"/>
      <c r="J167" s="71"/>
      <c r="K167" s="71"/>
      <c r="L167" s="71"/>
      <c r="M167" s="71"/>
      <c r="N167" s="71"/>
      <c r="O167" s="71">
        <v>41900000000</v>
      </c>
      <c r="P167" s="71"/>
      <c r="Q167" s="71"/>
      <c r="R167" s="71"/>
      <c r="S167" s="71"/>
      <c r="T167" s="71"/>
      <c r="U167" s="71"/>
      <c r="V167" s="71"/>
      <c r="W167" s="71"/>
      <c r="X167" s="71"/>
      <c r="Y167" s="71"/>
      <c r="Z167" s="71"/>
      <c r="AA167" s="71"/>
      <c r="AB167" s="71"/>
      <c r="AC167" s="71"/>
      <c r="AD167" s="71"/>
      <c r="AE167" s="71"/>
      <c r="AF167" s="71"/>
      <c r="AG167" s="71"/>
      <c r="AH167" s="71"/>
      <c r="AI167" s="71"/>
      <c r="AJ167" s="71"/>
    </row>
    <row r="168" spans="1:36" x14ac:dyDescent="0.25">
      <c r="A168">
        <v>8124044</v>
      </c>
      <c r="B168" s="71"/>
      <c r="C168" s="71"/>
      <c r="D168" s="71"/>
      <c r="E168" s="71"/>
      <c r="F168" s="71"/>
      <c r="G168" s="71"/>
      <c r="H168" s="71"/>
      <c r="I168" s="71"/>
      <c r="J168" s="71"/>
      <c r="K168" s="71"/>
      <c r="L168" s="71"/>
      <c r="M168" s="71"/>
      <c r="N168" s="71"/>
      <c r="O168" s="71"/>
      <c r="P168" s="71"/>
      <c r="Q168" s="71"/>
      <c r="R168" s="71"/>
      <c r="S168" s="71"/>
      <c r="T168" s="71"/>
      <c r="U168" s="71"/>
      <c r="V168" s="71"/>
      <c r="W168" s="71"/>
      <c r="X168" s="71"/>
      <c r="Y168" s="71"/>
      <c r="Z168" s="71"/>
      <c r="AA168" s="71"/>
      <c r="AB168" s="71"/>
      <c r="AC168" s="71"/>
      <c r="AD168" s="71"/>
      <c r="AE168" s="71"/>
      <c r="AF168" s="71"/>
      <c r="AG168" s="71"/>
      <c r="AH168" s="71"/>
      <c r="AI168" s="71"/>
      <c r="AJ168" s="71"/>
    </row>
    <row r="169" spans="1:36" x14ac:dyDescent="0.25">
      <c r="A169">
        <v>8142949</v>
      </c>
      <c r="B169" s="71"/>
      <c r="C169" s="71"/>
      <c r="D169" s="71"/>
      <c r="E169" s="71"/>
      <c r="F169" s="71"/>
      <c r="G169" s="71"/>
      <c r="H169" s="71"/>
      <c r="I169" s="71"/>
      <c r="J169" s="71"/>
      <c r="K169" s="71"/>
      <c r="L169" s="71"/>
      <c r="M169" s="71"/>
      <c r="N169" s="71"/>
      <c r="O169" s="71"/>
      <c r="P169" s="71"/>
      <c r="Q169" s="71"/>
      <c r="R169" s="71"/>
      <c r="S169" s="71"/>
      <c r="T169" s="71"/>
      <c r="U169" s="71"/>
      <c r="V169" s="71"/>
      <c r="W169" s="71"/>
      <c r="X169" s="71"/>
      <c r="Y169" s="71"/>
      <c r="Z169" s="71"/>
      <c r="AA169" s="71"/>
      <c r="AB169" s="71"/>
      <c r="AC169" s="71"/>
      <c r="AD169" s="71"/>
      <c r="AE169" s="71"/>
      <c r="AF169" s="71"/>
      <c r="AG169" s="71"/>
      <c r="AH169" s="71"/>
      <c r="AI169" s="71"/>
      <c r="AJ169" s="71"/>
    </row>
    <row r="170" spans="1:36" x14ac:dyDescent="0.25">
      <c r="A170">
        <v>9023306</v>
      </c>
      <c r="B170" s="71"/>
      <c r="C170" s="71"/>
      <c r="D170" s="71"/>
      <c r="E170" s="71"/>
      <c r="F170" s="71"/>
      <c r="G170" s="71"/>
      <c r="H170" s="71"/>
      <c r="I170" s="71"/>
      <c r="J170" s="71"/>
      <c r="K170" s="71"/>
      <c r="L170" s="71"/>
      <c r="M170" s="71"/>
      <c r="N170" s="71"/>
      <c r="O170" s="71"/>
      <c r="P170" s="71"/>
      <c r="Q170" s="71"/>
      <c r="R170" s="71"/>
      <c r="S170" s="71"/>
      <c r="T170" s="71"/>
      <c r="U170" s="71"/>
      <c r="V170" s="71"/>
      <c r="W170" s="71"/>
      <c r="X170" s="71"/>
      <c r="Y170" s="71"/>
      <c r="Z170" s="71"/>
      <c r="AA170" s="71"/>
      <c r="AB170" s="71"/>
      <c r="AC170" s="71"/>
      <c r="AD170" s="71"/>
      <c r="AE170" s="71"/>
      <c r="AF170" s="71"/>
      <c r="AG170" s="71"/>
      <c r="AH170" s="71"/>
      <c r="AI170" s="71"/>
      <c r="AJ170" s="71"/>
    </row>
    <row r="171" spans="1:36" x14ac:dyDescent="0.25">
      <c r="A171">
        <v>9030615</v>
      </c>
      <c r="B171" s="71"/>
      <c r="C171" s="71"/>
      <c r="D171" s="71"/>
      <c r="E171" s="71"/>
      <c r="F171" s="71"/>
      <c r="G171" s="71"/>
      <c r="H171" s="71"/>
      <c r="I171" s="71"/>
      <c r="J171" s="71"/>
      <c r="K171" s="71"/>
      <c r="L171" s="71"/>
      <c r="M171" s="71"/>
      <c r="N171" s="71"/>
      <c r="O171" s="71"/>
      <c r="P171" s="71"/>
      <c r="Q171" s="71"/>
      <c r="R171" s="71"/>
      <c r="S171" s="71"/>
      <c r="T171" s="71"/>
      <c r="U171" s="71"/>
      <c r="V171" s="71"/>
      <c r="W171" s="71"/>
      <c r="X171" s="71"/>
      <c r="Y171" s="71"/>
      <c r="Z171" s="71"/>
      <c r="AA171" s="71"/>
      <c r="AB171" s="71"/>
      <c r="AC171" s="71"/>
      <c r="AD171" s="71"/>
      <c r="AE171" s="71"/>
      <c r="AF171" s="71"/>
      <c r="AG171" s="71"/>
      <c r="AH171" s="71"/>
      <c r="AI171" s="71"/>
      <c r="AJ171" s="71"/>
    </row>
    <row r="172" spans="1:36" x14ac:dyDescent="0.25">
      <c r="A172">
        <v>9034464</v>
      </c>
      <c r="B172" s="71"/>
      <c r="C172" s="71"/>
      <c r="D172" s="71"/>
      <c r="E172" s="71"/>
      <c r="F172" s="71"/>
      <c r="G172" s="71"/>
      <c r="H172" s="71"/>
      <c r="I172" s="71"/>
      <c r="J172" s="71"/>
      <c r="K172" s="71"/>
      <c r="L172" s="71"/>
      <c r="M172" s="71"/>
      <c r="N172" s="71"/>
      <c r="O172" s="71"/>
      <c r="P172" s="71"/>
      <c r="Q172" s="71"/>
      <c r="R172" s="71"/>
      <c r="S172" s="71"/>
      <c r="T172" s="71"/>
      <c r="U172" s="71"/>
      <c r="V172" s="71"/>
      <c r="W172" s="71"/>
      <c r="X172" s="71"/>
      <c r="Y172" s="71"/>
      <c r="Z172" s="71"/>
      <c r="AA172" s="71"/>
      <c r="AB172" s="71"/>
      <c r="AC172" s="71"/>
      <c r="AD172" s="71"/>
      <c r="AE172" s="71"/>
      <c r="AF172" s="71"/>
      <c r="AG172" s="71"/>
      <c r="AH172" s="71"/>
      <c r="AI172" s="71"/>
      <c r="AJ172" s="71"/>
    </row>
    <row r="173" spans="1:36" x14ac:dyDescent="0.25">
      <c r="A173">
        <v>9040167</v>
      </c>
      <c r="B173" s="71"/>
      <c r="C173" s="71"/>
      <c r="D173" s="71"/>
      <c r="E173" s="71"/>
      <c r="F173" s="71"/>
      <c r="G173" s="71"/>
      <c r="H173" s="71"/>
      <c r="I173" s="71"/>
      <c r="J173" s="71"/>
      <c r="K173" s="71"/>
      <c r="L173" s="71"/>
      <c r="M173" s="71"/>
      <c r="N173" s="71"/>
      <c r="O173" s="71"/>
      <c r="P173" s="71"/>
      <c r="Q173" s="71"/>
      <c r="R173" s="71"/>
      <c r="S173" s="71"/>
      <c r="T173" s="71"/>
      <c r="U173" s="71"/>
      <c r="V173" s="71"/>
      <c r="W173" s="71"/>
      <c r="X173" s="71"/>
      <c r="Y173" s="71"/>
      <c r="Z173" s="71"/>
      <c r="AA173" s="71"/>
      <c r="AB173" s="71"/>
      <c r="AC173" s="71"/>
      <c r="AD173" s="71"/>
      <c r="AE173" s="71"/>
      <c r="AF173" s="71"/>
      <c r="AG173" s="71"/>
      <c r="AH173" s="71"/>
      <c r="AI173" s="71"/>
      <c r="AJ173" s="71"/>
    </row>
    <row r="174" spans="1:36" x14ac:dyDescent="0.25">
      <c r="A174">
        <v>9054567</v>
      </c>
      <c r="B174" s="71"/>
      <c r="C174" s="71"/>
      <c r="D174" s="71"/>
      <c r="E174" s="71"/>
      <c r="F174" s="71"/>
      <c r="G174" s="71"/>
      <c r="H174" s="71"/>
      <c r="I174" s="71"/>
      <c r="J174" s="71"/>
      <c r="K174" s="71"/>
      <c r="L174" s="71"/>
      <c r="M174" s="71"/>
      <c r="N174" s="71"/>
      <c r="O174" s="71"/>
      <c r="P174" s="71"/>
      <c r="Q174" s="71"/>
      <c r="R174" s="71"/>
      <c r="S174" s="71"/>
      <c r="T174" s="71"/>
      <c r="U174" s="71"/>
      <c r="V174" s="71"/>
      <c r="W174" s="71"/>
      <c r="X174" s="71"/>
      <c r="Y174" s="71"/>
      <c r="Z174" s="71"/>
      <c r="AA174" s="71"/>
      <c r="AB174" s="71"/>
      <c r="AC174" s="71"/>
      <c r="AD174" s="71"/>
      <c r="AE174" s="71"/>
      <c r="AF174" s="71"/>
      <c r="AG174" s="71"/>
      <c r="AH174" s="71"/>
      <c r="AI174" s="71"/>
      <c r="AJ174" s="71"/>
    </row>
    <row r="175" spans="1:36" x14ac:dyDescent="0.25">
      <c r="A175">
        <v>9083682</v>
      </c>
      <c r="B175" s="71"/>
      <c r="C175" s="71"/>
      <c r="D175" s="71"/>
      <c r="E175" s="71"/>
      <c r="F175" s="71"/>
      <c r="G175" s="71"/>
      <c r="H175" s="71"/>
      <c r="I175" s="71"/>
      <c r="J175" s="71"/>
      <c r="K175" s="71"/>
      <c r="L175" s="71"/>
      <c r="M175" s="71"/>
      <c r="N175" s="71">
        <v>5100000</v>
      </c>
      <c r="O175" s="71"/>
      <c r="P175" s="71"/>
      <c r="Q175" s="71"/>
      <c r="R175" s="71"/>
      <c r="S175" s="71"/>
      <c r="T175" s="71"/>
      <c r="U175" s="71"/>
      <c r="V175" s="71"/>
      <c r="W175" s="71"/>
      <c r="X175" s="71"/>
      <c r="Y175" s="71"/>
      <c r="Z175" s="71"/>
      <c r="AA175" s="71"/>
      <c r="AB175" s="71"/>
      <c r="AC175" s="71"/>
      <c r="AD175" s="71"/>
      <c r="AE175" s="71"/>
      <c r="AF175" s="71"/>
      <c r="AG175" s="71"/>
      <c r="AH175" s="71"/>
      <c r="AI175" s="71"/>
      <c r="AJ175" s="71"/>
    </row>
    <row r="176" spans="1:36" x14ac:dyDescent="0.25">
      <c r="A176">
        <v>9102044</v>
      </c>
      <c r="B176" s="71"/>
      <c r="C176" s="71"/>
      <c r="D176" s="71"/>
      <c r="E176" s="71"/>
      <c r="F176" s="71"/>
      <c r="G176" s="71"/>
      <c r="H176" s="71"/>
      <c r="I176" s="71"/>
      <c r="J176" s="71"/>
      <c r="K176" s="71"/>
      <c r="L176" s="71"/>
      <c r="M176" s="71"/>
      <c r="N176" s="71"/>
      <c r="O176" s="71"/>
      <c r="P176" s="71"/>
      <c r="Q176" s="71"/>
      <c r="R176" s="71"/>
      <c r="S176" s="71"/>
      <c r="T176" s="71"/>
      <c r="U176" s="71"/>
      <c r="V176" s="71"/>
      <c r="W176" s="71"/>
      <c r="X176" s="71"/>
      <c r="Y176" s="71"/>
      <c r="Z176" s="71"/>
      <c r="AA176" s="71"/>
      <c r="AB176" s="71"/>
      <c r="AC176" s="71"/>
      <c r="AD176" s="71"/>
      <c r="AE176" s="71"/>
      <c r="AF176" s="71"/>
      <c r="AG176" s="71"/>
      <c r="AH176" s="71"/>
      <c r="AI176" s="71"/>
      <c r="AJ176" s="71"/>
    </row>
    <row r="177" spans="1:36" x14ac:dyDescent="0.25">
      <c r="A177">
        <v>9119854</v>
      </c>
      <c r="B177" s="71"/>
      <c r="C177" s="71"/>
      <c r="D177" s="71"/>
      <c r="E177" s="71"/>
      <c r="F177" s="71"/>
      <c r="G177" s="71"/>
      <c r="H177" s="71"/>
      <c r="I177" s="71"/>
      <c r="J177" s="71"/>
      <c r="K177" s="71"/>
      <c r="L177" s="71"/>
      <c r="M177" s="71"/>
      <c r="N177" s="71"/>
      <c r="O177" s="71"/>
      <c r="P177" s="71"/>
      <c r="Q177" s="71"/>
      <c r="R177" s="71"/>
      <c r="S177" s="71"/>
      <c r="T177" s="71"/>
      <c r="U177" s="71"/>
      <c r="V177" s="71"/>
      <c r="W177" s="71"/>
      <c r="X177" s="71"/>
      <c r="Y177" s="71"/>
      <c r="Z177" s="71"/>
      <c r="AA177" s="71"/>
      <c r="AB177" s="71"/>
      <c r="AC177" s="71"/>
      <c r="AD177" s="71"/>
      <c r="AE177" s="71"/>
      <c r="AF177" s="71"/>
      <c r="AG177" s="71"/>
      <c r="AH177" s="71"/>
      <c r="AI177" s="71"/>
      <c r="AJ177" s="71"/>
    </row>
    <row r="178" spans="1:36" x14ac:dyDescent="0.25">
      <c r="A178">
        <v>9125126</v>
      </c>
      <c r="B178" s="71"/>
      <c r="C178" s="71"/>
      <c r="D178" s="71"/>
      <c r="E178" s="71"/>
      <c r="F178" s="71"/>
      <c r="G178" s="71"/>
      <c r="H178" s="71"/>
      <c r="I178" s="71"/>
      <c r="J178" s="71"/>
      <c r="K178" s="71"/>
      <c r="L178" s="71"/>
      <c r="M178" s="71"/>
      <c r="N178" s="71"/>
      <c r="O178" s="71"/>
      <c r="P178" s="71"/>
      <c r="Q178" s="71"/>
      <c r="R178" s="71"/>
      <c r="S178" s="71"/>
      <c r="T178" s="71"/>
      <c r="U178" s="71"/>
      <c r="V178" s="71"/>
      <c r="W178" s="71"/>
      <c r="X178" s="71"/>
      <c r="Y178" s="71"/>
      <c r="Z178" s="71"/>
      <c r="AA178" s="71"/>
      <c r="AB178" s="71"/>
      <c r="AC178" s="71"/>
      <c r="AD178" s="71"/>
      <c r="AE178" s="71"/>
      <c r="AF178" s="71"/>
      <c r="AG178" s="71"/>
      <c r="AH178" s="71"/>
      <c r="AI178" s="71"/>
      <c r="AJ178" s="71"/>
    </row>
    <row r="179" spans="1:36" x14ac:dyDescent="0.25">
      <c r="A179">
        <v>9174811</v>
      </c>
      <c r="B179" s="71"/>
      <c r="C179" s="71"/>
      <c r="D179" s="71"/>
      <c r="E179" s="71"/>
      <c r="F179" s="71"/>
      <c r="G179" s="71"/>
      <c r="H179" s="71"/>
      <c r="I179" s="71"/>
      <c r="J179" s="71"/>
      <c r="K179" s="71"/>
      <c r="L179" s="71"/>
      <c r="M179" s="71"/>
      <c r="N179" s="71"/>
      <c r="O179" s="71"/>
      <c r="P179" s="71"/>
      <c r="Q179" s="71"/>
      <c r="R179" s="71"/>
      <c r="S179" s="71"/>
      <c r="T179" s="71"/>
      <c r="U179" s="71"/>
      <c r="V179" s="71"/>
      <c r="W179" s="71"/>
      <c r="X179" s="71"/>
      <c r="Y179" s="71"/>
      <c r="Z179" s="71"/>
      <c r="AA179" s="71"/>
      <c r="AB179" s="71"/>
      <c r="AC179" s="71"/>
      <c r="AD179" s="71"/>
      <c r="AE179" s="71"/>
      <c r="AF179" s="71"/>
      <c r="AG179" s="71"/>
      <c r="AH179" s="71"/>
      <c r="AI179" s="71"/>
      <c r="AJ179" s="71"/>
    </row>
    <row r="180" spans="1:36" x14ac:dyDescent="0.25">
      <c r="A180">
        <v>10002875</v>
      </c>
      <c r="B180" s="71"/>
      <c r="C180" s="71"/>
      <c r="D180" s="71"/>
      <c r="E180" s="71"/>
      <c r="F180" s="71"/>
      <c r="G180" s="71"/>
      <c r="H180" s="71"/>
      <c r="I180" s="71"/>
      <c r="J180" s="71"/>
      <c r="K180" s="71"/>
      <c r="L180" s="71"/>
      <c r="M180" s="71"/>
      <c r="N180" s="71"/>
      <c r="O180" s="71"/>
      <c r="P180" s="71"/>
      <c r="Q180" s="71"/>
      <c r="R180" s="71"/>
      <c r="S180" s="71"/>
      <c r="T180" s="71"/>
      <c r="U180" s="71"/>
      <c r="V180" s="71"/>
      <c r="W180" s="71"/>
      <c r="X180" s="71"/>
      <c r="Y180" s="71"/>
      <c r="Z180" s="71"/>
      <c r="AA180" s="71"/>
      <c r="AB180" s="71"/>
      <c r="AC180" s="71"/>
      <c r="AD180" s="71"/>
      <c r="AE180" s="71"/>
      <c r="AF180" s="71"/>
      <c r="AG180" s="71"/>
      <c r="AH180" s="71"/>
      <c r="AI180" s="71"/>
      <c r="AJ180" s="71"/>
    </row>
    <row r="181" spans="1:36" x14ac:dyDescent="0.25">
      <c r="A181">
        <v>10023080</v>
      </c>
      <c r="B181" s="71"/>
      <c r="C181" s="71"/>
      <c r="D181" s="71"/>
      <c r="E181" s="71"/>
      <c r="F181" s="71"/>
      <c r="G181" s="71"/>
      <c r="H181" s="71"/>
      <c r="I181" s="71"/>
      <c r="J181" s="71"/>
      <c r="K181" s="71"/>
      <c r="L181" s="71"/>
      <c r="M181" s="71"/>
      <c r="N181" s="71"/>
      <c r="O181" s="71"/>
      <c r="P181" s="71"/>
      <c r="Q181" s="71"/>
      <c r="R181" s="71"/>
      <c r="S181" s="71"/>
      <c r="T181" s="71"/>
      <c r="U181" s="71"/>
      <c r="V181" s="71"/>
      <c r="W181" s="71"/>
      <c r="X181" s="71"/>
      <c r="Y181" s="71"/>
      <c r="Z181" s="71"/>
      <c r="AA181" s="71"/>
      <c r="AB181" s="71"/>
      <c r="AC181" s="71"/>
      <c r="AD181" s="71"/>
      <c r="AE181" s="71"/>
      <c r="AF181" s="71"/>
      <c r="AG181" s="71"/>
      <c r="AH181" s="71"/>
      <c r="AI181" s="71"/>
      <c r="AJ181" s="71"/>
    </row>
    <row r="182" spans="1:36" x14ac:dyDescent="0.25">
      <c r="A182">
        <v>10025212</v>
      </c>
      <c r="B182" s="71"/>
      <c r="C182" s="71"/>
      <c r="D182" s="71"/>
      <c r="E182" s="71"/>
      <c r="F182" s="71"/>
      <c r="G182" s="71"/>
      <c r="H182" s="71"/>
      <c r="I182" s="71"/>
      <c r="J182" s="71"/>
      <c r="K182" s="71"/>
      <c r="L182" s="71"/>
      <c r="M182" s="71"/>
      <c r="N182" s="71"/>
      <c r="O182" s="71"/>
      <c r="P182" s="71"/>
      <c r="Q182" s="71"/>
      <c r="R182" s="71"/>
      <c r="S182" s="71"/>
      <c r="T182" s="71"/>
      <c r="U182" s="71"/>
      <c r="V182" s="71"/>
      <c r="W182" s="71"/>
      <c r="X182" s="71"/>
      <c r="Y182" s="71"/>
      <c r="Z182" s="71"/>
      <c r="AA182" s="71"/>
      <c r="AB182" s="71"/>
      <c r="AC182" s="71"/>
      <c r="AD182" s="71"/>
      <c r="AE182" s="71"/>
      <c r="AF182" s="71"/>
      <c r="AG182" s="71"/>
      <c r="AH182" s="71"/>
      <c r="AI182" s="71"/>
      <c r="AJ182" s="71"/>
    </row>
    <row r="183" spans="1:36" x14ac:dyDescent="0.25">
      <c r="A183">
        <v>10069407</v>
      </c>
      <c r="B183" s="71"/>
      <c r="C183" s="71"/>
      <c r="D183" s="71"/>
      <c r="E183" s="71"/>
      <c r="F183" s="71"/>
      <c r="G183" s="71"/>
      <c r="H183" s="71"/>
      <c r="I183" s="71"/>
      <c r="J183" s="71"/>
      <c r="K183" s="71"/>
      <c r="L183" s="71"/>
      <c r="M183" s="71"/>
      <c r="N183" s="71"/>
      <c r="O183" s="71"/>
      <c r="P183" s="71"/>
      <c r="Q183" s="71"/>
      <c r="R183" s="71"/>
      <c r="S183" s="71"/>
      <c r="T183" s="71"/>
      <c r="U183" s="71"/>
      <c r="V183" s="71"/>
      <c r="W183" s="71"/>
      <c r="X183" s="71"/>
      <c r="Y183" s="71"/>
      <c r="Z183" s="71"/>
      <c r="AA183" s="71"/>
      <c r="AB183" s="71"/>
      <c r="AC183" s="71"/>
      <c r="AD183" s="71"/>
      <c r="AE183" s="71"/>
      <c r="AF183" s="71"/>
      <c r="AG183" s="71"/>
      <c r="AH183" s="71"/>
      <c r="AI183" s="71"/>
      <c r="AJ183" s="71"/>
    </row>
    <row r="184" spans="1:36" x14ac:dyDescent="0.25">
      <c r="A184">
        <v>10071135</v>
      </c>
      <c r="B184" s="71"/>
      <c r="C184" s="71"/>
      <c r="D184" s="71"/>
      <c r="E184" s="71"/>
      <c r="F184" s="71"/>
      <c r="G184" s="71"/>
      <c r="H184" s="71"/>
      <c r="I184" s="71"/>
      <c r="J184" s="71"/>
      <c r="K184" s="71"/>
      <c r="L184" s="71"/>
      <c r="M184" s="71"/>
      <c r="N184" s="71"/>
      <c r="O184" s="71"/>
      <c r="P184" s="71"/>
      <c r="Q184" s="71"/>
      <c r="R184" s="71"/>
      <c r="S184" s="71"/>
      <c r="T184" s="71"/>
      <c r="U184" s="71"/>
      <c r="V184" s="71"/>
      <c r="W184" s="71"/>
      <c r="X184" s="71"/>
      <c r="Y184" s="71"/>
      <c r="Z184" s="71"/>
      <c r="AA184" s="71"/>
      <c r="AB184" s="71"/>
      <c r="AC184" s="71"/>
      <c r="AD184" s="71"/>
      <c r="AE184" s="71"/>
      <c r="AF184" s="71"/>
      <c r="AG184" s="71"/>
      <c r="AH184" s="71"/>
      <c r="AI184" s="71"/>
      <c r="AJ184" s="71"/>
    </row>
    <row r="185" spans="1:36" x14ac:dyDescent="0.25">
      <c r="A185">
        <v>10083649</v>
      </c>
      <c r="B185" s="71"/>
      <c r="C185" s="71"/>
      <c r="D185" s="71"/>
      <c r="E185" s="71"/>
      <c r="F185" s="71"/>
      <c r="G185" s="71"/>
      <c r="H185" s="71"/>
      <c r="I185" s="71"/>
      <c r="J185" s="71"/>
      <c r="K185" s="71"/>
      <c r="L185" s="71"/>
      <c r="M185" s="71"/>
      <c r="N185" s="71"/>
      <c r="O185" s="71"/>
      <c r="P185" s="71"/>
      <c r="Q185" s="71"/>
      <c r="R185" s="71"/>
      <c r="S185" s="71"/>
      <c r="T185" s="71"/>
      <c r="U185" s="71"/>
      <c r="V185" s="71"/>
      <c r="W185" s="71"/>
      <c r="X185" s="71"/>
      <c r="Y185" s="71"/>
      <c r="Z185" s="71"/>
      <c r="AA185" s="71"/>
      <c r="AB185" s="71"/>
      <c r="AC185" s="71"/>
      <c r="AD185" s="71"/>
      <c r="AE185" s="71"/>
      <c r="AF185" s="71"/>
      <c r="AG185" s="71"/>
      <c r="AH185" s="71"/>
      <c r="AI185" s="71"/>
      <c r="AJ185" s="71"/>
    </row>
    <row r="186" spans="1:36" x14ac:dyDescent="0.25">
      <c r="A186">
        <v>10102021</v>
      </c>
      <c r="B186" s="71"/>
      <c r="C186" s="71"/>
      <c r="D186" s="71"/>
      <c r="E186" s="71"/>
      <c r="F186" s="71"/>
      <c r="G186" s="71"/>
      <c r="H186" s="71"/>
      <c r="I186" s="71"/>
      <c r="J186" s="71"/>
      <c r="K186" s="71"/>
      <c r="L186" s="71"/>
      <c r="M186" s="71"/>
      <c r="N186" s="71"/>
      <c r="O186" s="71"/>
      <c r="P186" s="71"/>
      <c r="Q186" s="71"/>
      <c r="R186" s="71"/>
      <c r="S186" s="71"/>
      <c r="T186" s="71"/>
      <c r="U186" s="71"/>
      <c r="V186" s="71"/>
      <c r="W186" s="71"/>
      <c r="X186" s="71"/>
      <c r="Y186" s="71"/>
      <c r="Z186" s="71"/>
      <c r="AA186" s="71"/>
      <c r="AB186" s="71"/>
      <c r="AC186" s="71"/>
      <c r="AD186" s="71"/>
      <c r="AE186" s="71"/>
      <c r="AF186" s="71"/>
      <c r="AG186" s="71"/>
      <c r="AH186" s="71"/>
      <c r="AI186" s="71"/>
      <c r="AJ186" s="71"/>
    </row>
    <row r="187" spans="1:36" x14ac:dyDescent="0.25">
      <c r="A187">
        <v>10123729</v>
      </c>
      <c r="B187" s="71"/>
      <c r="C187" s="71"/>
      <c r="D187" s="71"/>
      <c r="E187" s="71"/>
      <c r="F187" s="71"/>
      <c r="G187" s="71"/>
      <c r="H187" s="71"/>
      <c r="I187" s="71"/>
      <c r="J187" s="71"/>
      <c r="K187" s="71"/>
      <c r="L187" s="71"/>
      <c r="M187" s="71"/>
      <c r="N187" s="71"/>
      <c r="O187" s="71"/>
      <c r="P187" s="71"/>
      <c r="Q187" s="71"/>
      <c r="R187" s="71"/>
      <c r="S187" s="71"/>
      <c r="T187" s="71"/>
      <c r="U187" s="71"/>
      <c r="V187" s="71"/>
      <c r="W187" s="71"/>
      <c r="X187" s="71"/>
      <c r="Y187" s="71"/>
      <c r="Z187" s="71"/>
      <c r="AA187" s="71"/>
      <c r="AB187" s="71"/>
      <c r="AC187" s="71"/>
      <c r="AD187" s="71"/>
      <c r="AE187" s="71"/>
      <c r="AF187" s="71"/>
      <c r="AG187" s="71"/>
      <c r="AH187" s="71"/>
      <c r="AI187" s="71"/>
      <c r="AJ187" s="71"/>
    </row>
    <row r="188" spans="1:36" x14ac:dyDescent="0.25">
      <c r="A188">
        <v>10144736</v>
      </c>
      <c r="B188" s="71"/>
      <c r="C188" s="71"/>
      <c r="D188" s="71"/>
      <c r="E188" s="71"/>
      <c r="F188" s="71"/>
      <c r="G188" s="71"/>
      <c r="H188" s="71"/>
      <c r="I188" s="71"/>
      <c r="J188" s="71"/>
      <c r="K188" s="71"/>
      <c r="L188" s="71"/>
      <c r="M188" s="71"/>
      <c r="N188" s="71"/>
      <c r="O188" s="71"/>
      <c r="P188" s="71"/>
      <c r="Q188" s="71"/>
      <c r="R188" s="71"/>
      <c r="S188" s="71"/>
      <c r="T188" s="71"/>
      <c r="U188" s="71"/>
      <c r="V188" s="71"/>
      <c r="W188" s="71"/>
      <c r="X188" s="71"/>
      <c r="Y188" s="71"/>
      <c r="Z188" s="71"/>
      <c r="AA188" s="71"/>
      <c r="AB188" s="71"/>
      <c r="AC188" s="71"/>
      <c r="AD188" s="71"/>
      <c r="AE188" s="71"/>
      <c r="AF188" s="71"/>
      <c r="AG188" s="71"/>
      <c r="AH188" s="71"/>
      <c r="AI188" s="71"/>
      <c r="AJ188" s="71"/>
    </row>
    <row r="189" spans="1:36" x14ac:dyDescent="0.25">
      <c r="A189">
        <v>10157275</v>
      </c>
      <c r="B189" s="71"/>
      <c r="C189" s="71"/>
      <c r="D189" s="71"/>
      <c r="E189" s="71"/>
      <c r="F189" s="71"/>
      <c r="G189" s="71"/>
      <c r="H189" s="71"/>
      <c r="I189" s="71"/>
      <c r="J189" s="71"/>
      <c r="K189" s="71"/>
      <c r="L189" s="71"/>
      <c r="M189" s="71"/>
      <c r="N189" s="71"/>
      <c r="O189" s="71"/>
      <c r="P189" s="71"/>
      <c r="Q189" s="71"/>
      <c r="R189" s="71"/>
      <c r="S189" s="71"/>
      <c r="T189" s="71"/>
      <c r="U189" s="71"/>
      <c r="V189" s="71"/>
      <c r="W189" s="71"/>
      <c r="X189" s="71"/>
      <c r="Y189" s="71"/>
      <c r="Z189" s="71"/>
      <c r="AA189" s="71"/>
      <c r="AB189" s="71"/>
      <c r="AC189" s="71"/>
      <c r="AD189" s="71"/>
      <c r="AE189" s="71"/>
      <c r="AF189" s="71"/>
      <c r="AG189" s="71"/>
      <c r="AH189" s="71"/>
      <c r="AI189" s="71"/>
      <c r="AJ189" s="71"/>
    </row>
    <row r="190" spans="1:36" x14ac:dyDescent="0.25">
      <c r="A190" s="65"/>
      <c r="B190" s="71"/>
      <c r="C190" s="71"/>
      <c r="D190" s="71"/>
      <c r="E190" s="71"/>
      <c r="F190" s="71"/>
      <c r="G190" s="71"/>
      <c r="H190" s="71"/>
      <c r="I190" s="71"/>
      <c r="J190" s="71"/>
      <c r="K190" s="71"/>
      <c r="L190" s="71"/>
      <c r="M190" s="71"/>
      <c r="N190" s="71"/>
      <c r="O190" s="71"/>
      <c r="P190" s="71"/>
      <c r="Q190" s="71"/>
      <c r="R190" s="71"/>
      <c r="S190" s="71"/>
      <c r="T190" s="71"/>
      <c r="U190" s="71"/>
      <c r="V190" s="71"/>
      <c r="W190" s="71"/>
      <c r="X190" s="71"/>
      <c r="Y190" s="71"/>
      <c r="Z190" s="71"/>
      <c r="AA190" s="71"/>
      <c r="AB190" s="71"/>
      <c r="AC190" s="71"/>
      <c r="AD190" s="71"/>
      <c r="AE190" s="71"/>
      <c r="AF190" s="71"/>
      <c r="AG190" s="71"/>
      <c r="AH190" s="71"/>
      <c r="AI190" s="71"/>
      <c r="AJ190" s="71"/>
    </row>
    <row r="191" spans="1:36" x14ac:dyDescent="0.25">
      <c r="A191" s="10" t="s">
        <v>120</v>
      </c>
      <c r="B191" s="71"/>
      <c r="C191" s="71"/>
      <c r="D191" s="71"/>
      <c r="E191" s="71"/>
      <c r="F191" s="71"/>
      <c r="G191" s="71"/>
      <c r="H191" s="71"/>
      <c r="I191" s="71"/>
      <c r="J191" s="71"/>
      <c r="K191" s="71"/>
      <c r="L191" s="71"/>
      <c r="M191" s="71"/>
      <c r="N191" s="71"/>
      <c r="O191" s="71"/>
      <c r="P191" s="71"/>
      <c r="Q191" s="71"/>
      <c r="R191" s="71"/>
      <c r="S191" s="71"/>
      <c r="T191" s="71"/>
      <c r="U191" s="71"/>
      <c r="V191" s="71"/>
      <c r="W191" s="71"/>
      <c r="X191" s="71"/>
      <c r="Y191" s="71"/>
      <c r="Z191" s="71"/>
      <c r="AA191" s="71"/>
      <c r="AB191" s="71"/>
      <c r="AC191" s="71"/>
      <c r="AD191" s="71"/>
      <c r="AE191" s="71"/>
      <c r="AF191" s="71"/>
      <c r="AG191" s="71"/>
      <c r="AH191" s="71"/>
      <c r="AI191" s="71"/>
      <c r="AJ191" s="71"/>
    </row>
    <row r="192" spans="1:36" x14ac:dyDescent="0.25">
      <c r="A192">
        <v>5281</v>
      </c>
      <c r="B192" s="71"/>
      <c r="C192" s="71"/>
      <c r="D192" s="71"/>
      <c r="E192" s="71"/>
      <c r="F192" s="71"/>
      <c r="G192" s="71"/>
      <c r="H192" s="71"/>
      <c r="I192" s="71"/>
      <c r="J192" s="71"/>
      <c r="K192" s="71"/>
      <c r="L192" s="71"/>
      <c r="M192" s="71"/>
      <c r="N192" s="71"/>
      <c r="O192" s="71"/>
      <c r="P192" s="71"/>
      <c r="Q192" s="71"/>
      <c r="R192" s="71"/>
      <c r="S192" s="71"/>
      <c r="T192" s="71"/>
      <c r="U192" s="71"/>
      <c r="V192" s="71"/>
      <c r="W192" s="71"/>
      <c r="X192" s="71"/>
      <c r="Y192" s="71"/>
      <c r="Z192" s="71"/>
      <c r="AA192" s="71"/>
      <c r="AB192" s="71"/>
      <c r="AC192" s="71"/>
      <c r="AD192" s="71"/>
      <c r="AE192" s="71"/>
      <c r="AF192" s="71"/>
      <c r="AG192" s="71"/>
      <c r="AH192" s="71"/>
      <c r="AI192" s="71"/>
      <c r="AJ192" s="71"/>
    </row>
    <row r="193" spans="1:36" x14ac:dyDescent="0.25">
      <c r="A193">
        <v>200085</v>
      </c>
      <c r="B193" s="71"/>
      <c r="C193" s="71"/>
      <c r="D193" s="71"/>
      <c r="E193" s="71"/>
      <c r="F193" s="71"/>
      <c r="G193" s="71"/>
      <c r="H193" s="71"/>
      <c r="I193" s="71"/>
      <c r="J193" s="71"/>
      <c r="K193" s="71"/>
      <c r="L193" s="71"/>
      <c r="M193" s="71"/>
      <c r="N193" s="71"/>
      <c r="O193" s="71"/>
      <c r="P193" s="71"/>
      <c r="Q193" s="71"/>
      <c r="R193" s="71"/>
      <c r="S193" s="71"/>
      <c r="T193" s="71"/>
      <c r="U193" s="71"/>
      <c r="V193" s="71"/>
      <c r="W193" s="71"/>
      <c r="X193" s="71"/>
      <c r="Y193" s="71"/>
      <c r="Z193" s="71"/>
      <c r="AA193" s="71"/>
      <c r="AB193" s="71"/>
      <c r="AC193" s="71"/>
      <c r="AD193" s="71"/>
      <c r="AE193" s="71"/>
      <c r="AF193" s="71"/>
      <c r="AG193" s="71"/>
      <c r="AH193" s="71"/>
      <c r="AI193" s="71"/>
      <c r="AJ193" s="71"/>
    </row>
    <row r="194" spans="1:36" x14ac:dyDescent="0.25">
      <c r="A194">
        <v>500129</v>
      </c>
      <c r="B194" s="71"/>
      <c r="C194" s="71"/>
      <c r="D194" s="71"/>
      <c r="E194" s="71"/>
      <c r="F194" s="71"/>
      <c r="G194" s="71"/>
      <c r="H194" s="71"/>
      <c r="I194" s="71"/>
      <c r="J194" s="71"/>
      <c r="K194" s="71"/>
      <c r="L194" s="71"/>
      <c r="M194" s="71"/>
      <c r="N194" s="71"/>
      <c r="O194" s="71"/>
      <c r="P194" s="71"/>
      <c r="Q194" s="71"/>
      <c r="R194" s="71"/>
      <c r="S194" s="71"/>
      <c r="T194" s="71"/>
      <c r="U194" s="71"/>
      <c r="V194" s="71"/>
      <c r="W194" s="71"/>
      <c r="X194" s="71"/>
      <c r="Y194" s="71"/>
      <c r="Z194" s="71"/>
      <c r="AA194" s="71"/>
      <c r="AB194" s="71"/>
      <c r="AC194" s="71"/>
      <c r="AD194" s="71"/>
      <c r="AE194" s="71"/>
      <c r="AF194" s="71"/>
      <c r="AG194" s="71"/>
      <c r="AH194" s="71"/>
      <c r="AI194" s="71"/>
      <c r="AJ194" s="71"/>
    </row>
    <row r="195" spans="1:36" x14ac:dyDescent="0.25">
      <c r="A195" s="23">
        <v>1002033</v>
      </c>
      <c r="B195" s="71"/>
      <c r="C195" s="71"/>
      <c r="D195" s="71"/>
      <c r="E195" s="71"/>
      <c r="F195" s="71"/>
      <c r="G195" s="71"/>
      <c r="H195" s="71"/>
      <c r="I195" s="71"/>
      <c r="J195" s="71"/>
      <c r="K195" s="71"/>
      <c r="L195" s="71"/>
      <c r="M195" s="71"/>
      <c r="N195" s="71"/>
      <c r="O195" s="71"/>
      <c r="P195" s="71"/>
      <c r="Q195" s="71"/>
      <c r="R195" s="71"/>
      <c r="S195" s="71"/>
      <c r="T195" s="71"/>
      <c r="U195" s="71"/>
      <c r="V195" s="71"/>
      <c r="W195" s="71"/>
      <c r="X195" s="71"/>
      <c r="Y195" s="71"/>
      <c r="Z195" s="71"/>
      <c r="AA195" s="71"/>
      <c r="AB195" s="71"/>
      <c r="AC195" s="71"/>
      <c r="AD195" s="71"/>
      <c r="AE195" s="71"/>
      <c r="AF195" s="71"/>
      <c r="AG195" s="71"/>
      <c r="AH195" s="71"/>
      <c r="AI195" s="71"/>
      <c r="AJ195" s="71"/>
    </row>
    <row r="196" spans="1:36" x14ac:dyDescent="0.25">
      <c r="A196">
        <v>1003457</v>
      </c>
      <c r="B196" s="71"/>
      <c r="C196" s="71"/>
      <c r="D196" s="71"/>
      <c r="E196" s="71"/>
      <c r="F196" s="71"/>
      <c r="G196" s="71"/>
      <c r="H196" s="71"/>
      <c r="I196" s="71"/>
      <c r="J196" s="71"/>
      <c r="K196" s="71"/>
      <c r="L196" s="71"/>
      <c r="M196" s="71"/>
      <c r="N196" s="71"/>
      <c r="O196" s="71"/>
      <c r="P196" s="71"/>
      <c r="Q196" s="71"/>
      <c r="R196" s="71"/>
      <c r="S196" s="71"/>
      <c r="T196" s="71"/>
      <c r="U196" s="71"/>
      <c r="V196" s="71"/>
      <c r="W196" s="71"/>
      <c r="X196" s="71"/>
      <c r="Y196" s="71"/>
      <c r="Z196" s="71"/>
      <c r="AA196" s="71"/>
      <c r="AB196" s="71"/>
      <c r="AC196" s="71"/>
      <c r="AD196" s="71"/>
      <c r="AE196" s="71"/>
      <c r="AF196" s="71"/>
      <c r="AG196" s="71"/>
      <c r="AH196" s="71"/>
      <c r="AI196" s="71"/>
      <c r="AJ196" s="71"/>
    </row>
    <row r="197" spans="1:36" x14ac:dyDescent="0.25">
      <c r="A197">
        <v>2005223</v>
      </c>
      <c r="B197" s="71"/>
      <c r="C197" s="71"/>
      <c r="D197" s="71"/>
      <c r="E197" s="71"/>
      <c r="F197" s="71"/>
      <c r="G197" s="71"/>
      <c r="H197" s="71"/>
      <c r="I197" s="71"/>
      <c r="J197" s="71"/>
      <c r="K197" s="71"/>
      <c r="L197" s="71"/>
      <c r="M197" s="71"/>
      <c r="N197" s="71"/>
      <c r="O197" s="71"/>
      <c r="P197" s="71"/>
      <c r="Q197" s="71"/>
      <c r="R197" s="71"/>
      <c r="S197" s="71"/>
      <c r="T197" s="71"/>
      <c r="U197" s="71"/>
      <c r="V197" s="71"/>
      <c r="W197" s="71"/>
      <c r="X197" s="71"/>
      <c r="Y197" s="71"/>
      <c r="Z197" s="71"/>
      <c r="AA197" s="71"/>
      <c r="AB197" s="71"/>
      <c r="AC197" s="71"/>
      <c r="AD197" s="71"/>
      <c r="AE197" s="71"/>
      <c r="AF197" s="71"/>
      <c r="AG197" s="71"/>
      <c r="AH197" s="71"/>
      <c r="AI197" s="71"/>
      <c r="AJ197" s="71"/>
    </row>
    <row r="198" spans="1:36" x14ac:dyDescent="0.25">
      <c r="A198">
        <v>2006107</v>
      </c>
      <c r="B198" s="71"/>
      <c r="C198" s="71"/>
      <c r="D198" s="71"/>
      <c r="E198" s="71"/>
      <c r="F198" s="71"/>
      <c r="G198" s="71"/>
      <c r="H198" s="71"/>
      <c r="I198" s="71"/>
      <c r="J198" s="71"/>
      <c r="K198" s="71"/>
      <c r="L198" s="71"/>
      <c r="M198" s="71"/>
      <c r="N198" s="71"/>
      <c r="O198" s="71"/>
      <c r="P198" s="71"/>
      <c r="Q198" s="71"/>
      <c r="R198" s="71"/>
      <c r="S198" s="71"/>
      <c r="T198" s="71"/>
      <c r="U198" s="71"/>
      <c r="V198" s="71"/>
      <c r="W198" s="71"/>
      <c r="X198" s="71"/>
      <c r="Y198" s="71"/>
      <c r="Z198" s="71"/>
      <c r="AA198" s="71"/>
      <c r="AB198" s="71"/>
      <c r="AC198" s="71"/>
      <c r="AD198" s="71"/>
      <c r="AE198" s="71"/>
      <c r="AF198" s="71"/>
      <c r="AG198" s="71"/>
      <c r="AH198" s="71"/>
      <c r="AI198" s="71"/>
      <c r="AJ198" s="71"/>
    </row>
    <row r="199" spans="1:36" x14ac:dyDescent="0.25">
      <c r="A199">
        <v>2012014</v>
      </c>
      <c r="B199" s="71"/>
      <c r="C199" s="71"/>
      <c r="D199" s="71"/>
      <c r="E199" s="71"/>
      <c r="F199" s="71">
        <v>4100000</v>
      </c>
      <c r="G199" s="71"/>
      <c r="H199" s="71"/>
      <c r="I199" s="71"/>
      <c r="J199" s="71"/>
      <c r="K199" s="71"/>
      <c r="L199" s="71"/>
      <c r="M199" s="71"/>
      <c r="N199" s="71"/>
      <c r="O199" s="71"/>
      <c r="P199" s="71"/>
      <c r="Q199" s="71">
        <v>3980000</v>
      </c>
      <c r="R199" s="71">
        <v>3320000</v>
      </c>
      <c r="S199" s="71"/>
      <c r="T199" s="71"/>
      <c r="U199" s="71"/>
      <c r="V199" s="71"/>
      <c r="W199" s="71"/>
      <c r="X199" s="71"/>
      <c r="Y199" s="71"/>
      <c r="Z199" s="71"/>
      <c r="AA199" s="71"/>
      <c r="AB199" s="71"/>
      <c r="AC199" s="71"/>
      <c r="AD199" s="71"/>
      <c r="AE199" s="71"/>
      <c r="AF199" s="71"/>
      <c r="AG199" s="71"/>
      <c r="AH199" s="71"/>
      <c r="AI199" s="71"/>
      <c r="AJ199" s="71"/>
    </row>
    <row r="200" spans="1:36" x14ac:dyDescent="0.25">
      <c r="A200">
        <v>3000152</v>
      </c>
      <c r="B200" s="71"/>
      <c r="C200" s="71"/>
      <c r="D200" s="71"/>
      <c r="E200" s="71"/>
      <c r="F200" s="71"/>
      <c r="G200" s="71"/>
      <c r="H200" s="71"/>
      <c r="I200" s="71"/>
      <c r="J200" s="71"/>
      <c r="K200" s="71"/>
      <c r="L200" s="71"/>
      <c r="M200" s="71"/>
      <c r="N200" s="71"/>
      <c r="O200" s="71"/>
      <c r="P200" s="71"/>
      <c r="Q200" s="71"/>
      <c r="R200" s="71"/>
      <c r="S200" s="71"/>
      <c r="T200" s="71"/>
      <c r="U200" s="71"/>
      <c r="V200" s="71"/>
      <c r="W200" s="71"/>
      <c r="X200" s="71"/>
      <c r="Y200" s="71"/>
      <c r="Z200" s="71"/>
      <c r="AA200" s="71"/>
      <c r="AB200" s="71"/>
      <c r="AC200" s="71"/>
      <c r="AD200" s="71"/>
      <c r="AE200" s="71"/>
      <c r="AF200" s="71"/>
      <c r="AG200" s="71"/>
      <c r="AH200" s="71"/>
      <c r="AI200" s="71"/>
      <c r="AJ200" s="71"/>
    </row>
    <row r="201" spans="1:36" x14ac:dyDescent="0.25">
      <c r="A201">
        <v>3014566</v>
      </c>
      <c r="B201" s="71"/>
      <c r="C201" s="71"/>
      <c r="D201" s="71"/>
      <c r="E201" s="71"/>
      <c r="F201" s="71"/>
      <c r="G201" s="71"/>
      <c r="H201" s="71"/>
      <c r="I201" s="71"/>
      <c r="J201" s="71"/>
      <c r="K201" s="71"/>
      <c r="L201" s="71"/>
      <c r="M201" s="71"/>
      <c r="N201" s="71"/>
      <c r="O201" s="71"/>
      <c r="P201" s="71"/>
      <c r="Q201" s="71"/>
      <c r="R201" s="71"/>
      <c r="S201" s="71"/>
      <c r="T201" s="71"/>
      <c r="U201" s="71"/>
      <c r="V201" s="71"/>
      <c r="W201" s="71"/>
      <c r="X201" s="71"/>
      <c r="Y201" s="71"/>
      <c r="Z201" s="71"/>
      <c r="AA201" s="71"/>
      <c r="AB201" s="71"/>
      <c r="AC201" s="71"/>
      <c r="AD201" s="71"/>
      <c r="AE201" s="71"/>
      <c r="AF201" s="71"/>
      <c r="AG201" s="71"/>
      <c r="AH201" s="71"/>
      <c r="AI201" s="71"/>
      <c r="AJ201" s="71"/>
    </row>
    <row r="202" spans="1:36" x14ac:dyDescent="0.25">
      <c r="A202">
        <v>3015058</v>
      </c>
      <c r="B202" s="71"/>
      <c r="C202" s="71"/>
      <c r="D202" s="71"/>
      <c r="E202" s="71"/>
      <c r="F202" s="71">
        <v>4000000</v>
      </c>
      <c r="G202" s="73">
        <v>3950000</v>
      </c>
      <c r="H202" s="71">
        <v>3500000</v>
      </c>
      <c r="I202" s="71"/>
      <c r="J202" s="71">
        <v>3600000</v>
      </c>
      <c r="K202" s="71"/>
      <c r="L202" s="71"/>
      <c r="M202" s="71"/>
      <c r="N202" s="71"/>
      <c r="O202" s="71"/>
      <c r="P202" s="71">
        <v>11500000</v>
      </c>
      <c r="Q202" s="71">
        <v>13300000</v>
      </c>
      <c r="R202" s="71"/>
      <c r="S202" s="71"/>
      <c r="T202" s="71"/>
      <c r="U202" s="71">
        <v>3700000</v>
      </c>
      <c r="V202" s="71"/>
      <c r="W202" s="71">
        <v>3900000</v>
      </c>
      <c r="X202" s="71"/>
      <c r="Y202" s="71"/>
      <c r="Z202" s="71"/>
      <c r="AA202" s="71"/>
      <c r="AB202" s="71"/>
      <c r="AC202" s="71"/>
      <c r="AD202" s="71"/>
      <c r="AE202" s="71"/>
      <c r="AF202" s="71"/>
      <c r="AG202" s="71"/>
      <c r="AH202" s="71"/>
      <c r="AI202" s="71"/>
      <c r="AJ202" s="71"/>
    </row>
    <row r="203" spans="1:36" x14ac:dyDescent="0.25">
      <c r="A203" s="23">
        <v>4000996</v>
      </c>
      <c r="B203" s="71"/>
      <c r="C203" s="71"/>
      <c r="D203" s="71"/>
      <c r="E203" s="71"/>
      <c r="F203" s="71"/>
      <c r="G203" s="71"/>
      <c r="H203" s="71"/>
      <c r="I203" s="71"/>
      <c r="J203" s="71"/>
      <c r="K203" s="71"/>
      <c r="L203" s="71"/>
      <c r="M203" s="71"/>
      <c r="N203" s="71"/>
      <c r="O203" s="71"/>
      <c r="P203" s="71">
        <v>4500000</v>
      </c>
      <c r="Q203" s="71"/>
      <c r="R203" s="71"/>
      <c r="S203" s="71"/>
      <c r="T203" s="71"/>
      <c r="U203" s="71"/>
      <c r="V203" s="71"/>
      <c r="W203" s="71"/>
      <c r="X203" s="71"/>
      <c r="Y203" s="71"/>
      <c r="Z203" s="71"/>
      <c r="AA203" s="71"/>
      <c r="AB203" s="71"/>
      <c r="AC203" s="71"/>
      <c r="AD203" s="71"/>
      <c r="AE203" s="71"/>
      <c r="AF203" s="71"/>
      <c r="AG203" s="71"/>
      <c r="AH203" s="71"/>
      <c r="AI203" s="71"/>
      <c r="AJ203" s="71"/>
    </row>
    <row r="204" spans="1:36" x14ac:dyDescent="0.25">
      <c r="A204">
        <v>4003768</v>
      </c>
      <c r="B204" s="71"/>
      <c r="C204" s="71"/>
      <c r="D204" s="71"/>
      <c r="E204" s="71"/>
      <c r="F204" s="71"/>
      <c r="G204" s="71"/>
      <c r="H204" s="71"/>
      <c r="I204" s="71"/>
      <c r="J204" s="71"/>
      <c r="K204" s="71"/>
      <c r="L204" s="71"/>
      <c r="M204" s="71"/>
      <c r="N204" s="71"/>
      <c r="O204" s="71"/>
      <c r="P204" s="71"/>
      <c r="Q204" s="71"/>
      <c r="R204" s="71"/>
      <c r="S204" s="71"/>
      <c r="T204" s="71"/>
      <c r="U204" s="71"/>
      <c r="V204" s="71"/>
      <c r="W204" s="71"/>
      <c r="X204" s="71"/>
      <c r="Y204" s="71"/>
      <c r="Z204" s="71"/>
      <c r="AA204" s="71"/>
      <c r="AB204" s="71"/>
      <c r="AC204" s="71"/>
      <c r="AD204" s="71"/>
      <c r="AE204" s="71"/>
      <c r="AF204" s="71"/>
      <c r="AG204" s="71"/>
      <c r="AH204" s="71"/>
      <c r="AI204" s="71"/>
      <c r="AJ204" s="71"/>
    </row>
    <row r="205" spans="1:36" x14ac:dyDescent="0.25">
      <c r="A205">
        <v>4006540</v>
      </c>
      <c r="B205" s="71"/>
      <c r="C205" s="71"/>
      <c r="D205" s="71"/>
      <c r="E205" s="71"/>
      <c r="F205" s="71"/>
      <c r="G205" s="71"/>
      <c r="H205" s="71"/>
      <c r="I205" s="71"/>
      <c r="J205" s="71"/>
      <c r="K205" s="71"/>
      <c r="L205" s="71"/>
      <c r="M205" s="71"/>
      <c r="N205" s="71"/>
      <c r="O205" s="71"/>
      <c r="P205" s="71"/>
      <c r="Q205" s="71"/>
      <c r="R205" s="71"/>
      <c r="S205" s="71"/>
      <c r="T205" s="71"/>
      <c r="U205" s="71"/>
      <c r="V205" s="71"/>
      <c r="W205" s="71"/>
      <c r="X205" s="71"/>
      <c r="Y205" s="71"/>
      <c r="Z205" s="71"/>
      <c r="AA205" s="71"/>
      <c r="AB205" s="71"/>
      <c r="AC205" s="71"/>
      <c r="AD205" s="71"/>
      <c r="AE205" s="71"/>
      <c r="AF205" s="71"/>
      <c r="AG205" s="71"/>
      <c r="AH205" s="71"/>
      <c r="AI205" s="71"/>
      <c r="AJ205" s="71"/>
    </row>
    <row r="206" spans="1:36" x14ac:dyDescent="0.25">
      <c r="A206">
        <v>4007054</v>
      </c>
      <c r="B206" s="71"/>
      <c r="C206" s="71"/>
      <c r="D206" s="71"/>
      <c r="E206" s="71"/>
      <c r="F206" s="71"/>
      <c r="G206" s="71"/>
      <c r="H206" s="71"/>
      <c r="I206" s="71"/>
      <c r="J206" s="71"/>
      <c r="K206" s="71"/>
      <c r="L206" s="71"/>
      <c r="M206" s="71"/>
      <c r="N206" s="71"/>
      <c r="O206" s="71"/>
      <c r="P206" s="71"/>
      <c r="Q206" s="71"/>
      <c r="R206" s="71"/>
      <c r="S206" s="71"/>
      <c r="T206" s="71"/>
      <c r="U206" s="71"/>
      <c r="V206" s="71"/>
      <c r="W206" s="71"/>
      <c r="X206" s="71"/>
      <c r="Y206" s="71"/>
      <c r="Z206" s="71"/>
      <c r="AA206" s="71"/>
      <c r="AB206" s="71"/>
      <c r="AC206" s="71"/>
      <c r="AD206" s="71"/>
      <c r="AE206" s="71"/>
      <c r="AF206" s="71"/>
      <c r="AG206" s="71"/>
      <c r="AH206" s="71"/>
      <c r="AI206" s="71"/>
      <c r="AJ206" s="71"/>
    </row>
    <row r="207" spans="1:36" x14ac:dyDescent="0.25">
      <c r="A207">
        <v>4011002</v>
      </c>
      <c r="B207" s="71"/>
      <c r="C207" s="71"/>
      <c r="D207" s="71"/>
      <c r="E207" s="71"/>
      <c r="F207" s="71"/>
      <c r="G207" s="71"/>
      <c r="H207" s="71"/>
      <c r="I207" s="71"/>
      <c r="J207" s="71"/>
      <c r="K207" s="71"/>
      <c r="L207" s="71"/>
      <c r="M207" s="71"/>
      <c r="N207" s="71"/>
      <c r="O207" s="71"/>
      <c r="P207" s="71"/>
      <c r="Q207" s="71"/>
      <c r="R207" s="71"/>
      <c r="S207" s="71"/>
      <c r="T207" s="71"/>
      <c r="U207" s="71"/>
      <c r="V207" s="71"/>
      <c r="W207" s="71"/>
      <c r="X207" s="71"/>
      <c r="Y207" s="71"/>
      <c r="Z207" s="71"/>
      <c r="AA207" s="71"/>
      <c r="AB207" s="71"/>
      <c r="AC207" s="71"/>
      <c r="AD207" s="71"/>
      <c r="AE207" s="71"/>
      <c r="AF207" s="71"/>
      <c r="AG207" s="71"/>
      <c r="AH207" s="71"/>
      <c r="AI207" s="71"/>
      <c r="AJ207" s="71"/>
    </row>
    <row r="208" spans="1:36" x14ac:dyDescent="0.25">
      <c r="A208">
        <v>4900268</v>
      </c>
      <c r="B208" s="71"/>
      <c r="C208" s="71"/>
      <c r="D208" s="71"/>
      <c r="E208" s="71"/>
      <c r="F208" s="71"/>
      <c r="G208" s="71"/>
      <c r="H208" s="71"/>
      <c r="I208" s="71"/>
      <c r="J208" s="71"/>
      <c r="K208" s="71"/>
      <c r="L208" s="71"/>
      <c r="M208" s="71"/>
      <c r="N208" s="71"/>
      <c r="O208" s="71"/>
      <c r="P208" s="71"/>
      <c r="Q208" s="71"/>
      <c r="R208" s="71"/>
      <c r="S208" s="71"/>
      <c r="T208" s="71"/>
      <c r="U208" s="71"/>
      <c r="V208" s="71"/>
      <c r="W208" s="71"/>
      <c r="X208" s="71"/>
      <c r="Y208" s="71"/>
      <c r="Z208" s="71"/>
      <c r="AA208" s="71"/>
      <c r="AB208" s="71"/>
      <c r="AC208" s="71"/>
      <c r="AD208" s="71"/>
      <c r="AE208" s="71"/>
      <c r="AF208" s="71"/>
      <c r="AG208" s="71"/>
      <c r="AH208" s="71"/>
      <c r="AI208" s="71"/>
      <c r="AJ208" s="71"/>
    </row>
    <row r="209" spans="1:36" x14ac:dyDescent="0.25">
      <c r="A209">
        <v>5001097</v>
      </c>
      <c r="B209" s="71"/>
      <c r="C209" s="71"/>
      <c r="D209" s="71"/>
      <c r="E209" s="71"/>
      <c r="F209" s="71"/>
      <c r="G209" s="71"/>
      <c r="H209" s="71">
        <v>5050000</v>
      </c>
      <c r="I209" s="71">
        <v>49800000000</v>
      </c>
      <c r="J209" s="71"/>
      <c r="K209" s="71"/>
      <c r="L209" s="71"/>
      <c r="M209" s="71"/>
      <c r="N209" s="71"/>
      <c r="O209" s="71">
        <v>4960000</v>
      </c>
      <c r="P209" s="71"/>
      <c r="Q209" s="71"/>
      <c r="R209" s="71"/>
      <c r="S209" s="71"/>
      <c r="T209" s="71"/>
      <c r="U209" s="71"/>
      <c r="V209" s="71"/>
      <c r="W209" s="71">
        <v>5220000</v>
      </c>
      <c r="X209" s="71"/>
      <c r="Y209" s="71"/>
      <c r="Z209" s="71"/>
      <c r="AA209" s="71"/>
      <c r="AB209" s="71"/>
      <c r="AC209" s="71"/>
      <c r="AD209" s="71"/>
      <c r="AE209" s="71"/>
      <c r="AF209" s="71"/>
      <c r="AG209" s="71"/>
      <c r="AH209" s="71"/>
      <c r="AI209" s="71"/>
      <c r="AJ209" s="71"/>
    </row>
    <row r="210" spans="1:36" x14ac:dyDescent="0.25">
      <c r="A210">
        <v>5001098</v>
      </c>
      <c r="B210" s="71"/>
      <c r="C210" s="71"/>
      <c r="D210" s="71"/>
      <c r="E210" s="71">
        <v>49000000000</v>
      </c>
      <c r="F210" s="71"/>
      <c r="G210" s="71">
        <v>4880000</v>
      </c>
      <c r="H210" s="71">
        <v>48200000000</v>
      </c>
      <c r="I210" s="71"/>
      <c r="J210" s="71"/>
      <c r="K210" s="71"/>
      <c r="L210" s="71"/>
      <c r="M210" s="71"/>
      <c r="N210" s="71"/>
      <c r="O210" s="71"/>
      <c r="P210" s="71"/>
      <c r="Q210" s="71"/>
      <c r="R210" s="71"/>
      <c r="S210" s="71"/>
      <c r="T210" s="71"/>
      <c r="U210" s="71"/>
      <c r="V210" s="71"/>
      <c r="W210" s="71"/>
      <c r="X210" s="71"/>
      <c r="Y210" s="71"/>
      <c r="Z210" s="71"/>
      <c r="AA210" s="71"/>
      <c r="AB210" s="71"/>
      <c r="AC210" s="71"/>
      <c r="AD210" s="71"/>
      <c r="AE210" s="71"/>
      <c r="AF210" s="71"/>
      <c r="AG210" s="71"/>
      <c r="AH210" s="71"/>
      <c r="AI210" s="71"/>
      <c r="AJ210" s="71"/>
    </row>
    <row r="211" spans="1:36" x14ac:dyDescent="0.25">
      <c r="A211">
        <v>5006152</v>
      </c>
      <c r="B211" s="71"/>
      <c r="C211" s="71"/>
      <c r="D211" s="71"/>
      <c r="E211" s="71"/>
      <c r="F211" s="71"/>
      <c r="G211" s="71"/>
      <c r="H211" s="71"/>
      <c r="I211" s="71"/>
      <c r="J211" s="71"/>
      <c r="K211" s="71"/>
      <c r="L211" s="71">
        <v>5180000</v>
      </c>
      <c r="M211" s="71"/>
      <c r="N211" s="71"/>
      <c r="O211" s="71"/>
      <c r="P211" s="71">
        <v>3260000</v>
      </c>
      <c r="Q211" s="71"/>
      <c r="R211" s="71"/>
      <c r="S211" s="71"/>
      <c r="T211" s="71"/>
      <c r="U211" s="71"/>
      <c r="V211" s="71"/>
      <c r="W211" s="71"/>
      <c r="X211" s="71"/>
      <c r="Y211" s="71"/>
      <c r="Z211" s="71"/>
      <c r="AA211" s="71"/>
      <c r="AB211" s="71"/>
      <c r="AC211" s="71"/>
      <c r="AD211" s="71"/>
      <c r="AE211" s="71"/>
      <c r="AF211" s="71"/>
      <c r="AG211" s="71"/>
      <c r="AH211" s="71"/>
      <c r="AI211" s="71"/>
      <c r="AJ211" s="71"/>
    </row>
    <row r="212" spans="1:36" x14ac:dyDescent="0.25">
      <c r="A212">
        <v>6012361</v>
      </c>
      <c r="B212" s="71"/>
      <c r="C212" s="71"/>
      <c r="D212" s="71"/>
      <c r="E212" s="71"/>
      <c r="F212" s="71"/>
      <c r="G212" s="71"/>
      <c r="H212" s="71"/>
      <c r="I212" s="71"/>
      <c r="J212" s="71"/>
      <c r="K212" s="71"/>
      <c r="L212" s="71"/>
      <c r="M212" s="71"/>
      <c r="N212" s="71"/>
      <c r="O212" s="71"/>
      <c r="P212" s="71"/>
      <c r="Q212" s="71"/>
      <c r="R212" s="71"/>
      <c r="S212" s="71"/>
      <c r="T212" s="71"/>
      <c r="U212" s="71"/>
      <c r="V212" s="71"/>
      <c r="W212" s="71"/>
      <c r="X212" s="71"/>
      <c r="Y212" s="71"/>
      <c r="Z212" s="71"/>
      <c r="AA212" s="71"/>
      <c r="AB212" s="71"/>
      <c r="AC212" s="71"/>
      <c r="AD212" s="71"/>
      <c r="AE212" s="71"/>
      <c r="AF212" s="71"/>
      <c r="AG212" s="71"/>
      <c r="AH212" s="71"/>
      <c r="AI212" s="71"/>
      <c r="AJ212" s="71"/>
    </row>
    <row r="213" spans="1:36" x14ac:dyDescent="0.25">
      <c r="A213">
        <v>6015793</v>
      </c>
      <c r="B213" s="71"/>
      <c r="C213" s="71"/>
      <c r="D213" s="71"/>
      <c r="E213" s="71"/>
      <c r="F213" s="71"/>
      <c r="G213" s="71"/>
      <c r="H213" s="71"/>
      <c r="I213" s="71"/>
      <c r="J213" s="71"/>
      <c r="K213" s="71"/>
      <c r="L213" s="71"/>
      <c r="M213" s="71"/>
      <c r="N213" s="71"/>
      <c r="O213" s="71"/>
      <c r="P213" s="71"/>
      <c r="Q213" s="71"/>
      <c r="R213" s="71"/>
      <c r="S213" s="71"/>
      <c r="T213" s="71"/>
      <c r="U213" s="71"/>
      <c r="V213" s="71"/>
      <c r="W213" s="71"/>
      <c r="X213" s="71"/>
      <c r="Y213" s="71"/>
      <c r="Z213" s="71"/>
      <c r="AA213" s="71"/>
      <c r="AB213" s="71"/>
      <c r="AC213" s="71"/>
      <c r="AD213" s="71"/>
      <c r="AE213" s="71"/>
      <c r="AF213" s="71"/>
      <c r="AG213" s="71"/>
      <c r="AH213" s="71"/>
      <c r="AI213" s="71"/>
      <c r="AJ213" s="71"/>
    </row>
    <row r="214" spans="1:36" x14ac:dyDescent="0.25">
      <c r="A214">
        <v>6043619</v>
      </c>
      <c r="B214" s="71"/>
      <c r="C214" s="71"/>
      <c r="D214" s="71"/>
      <c r="E214" s="71"/>
      <c r="F214" s="71"/>
      <c r="G214" s="71"/>
      <c r="H214" s="71"/>
      <c r="I214" s="71"/>
      <c r="J214" s="71"/>
      <c r="K214" s="71"/>
      <c r="L214" s="71"/>
      <c r="M214" s="71"/>
      <c r="N214" s="71"/>
      <c r="O214" s="71"/>
      <c r="P214" s="71"/>
      <c r="Q214" s="71"/>
      <c r="R214" s="71"/>
      <c r="S214" s="71"/>
      <c r="T214" s="71"/>
      <c r="U214" s="71"/>
      <c r="V214" s="71"/>
      <c r="W214" s="71"/>
      <c r="X214" s="71"/>
      <c r="Y214" s="71"/>
      <c r="Z214" s="71"/>
      <c r="AA214" s="71"/>
      <c r="AB214" s="71"/>
      <c r="AC214" s="71"/>
      <c r="AD214" s="71"/>
      <c r="AE214" s="71"/>
      <c r="AF214" s="71"/>
      <c r="AG214" s="71"/>
      <c r="AH214" s="71"/>
      <c r="AI214" s="71"/>
      <c r="AJ214" s="71"/>
    </row>
    <row r="215" spans="1:36" x14ac:dyDescent="0.25">
      <c r="A215">
        <v>7001097</v>
      </c>
      <c r="B215" s="71"/>
      <c r="C215" s="71"/>
      <c r="D215" s="71"/>
      <c r="E215" s="71"/>
      <c r="F215" s="71"/>
      <c r="G215" s="71"/>
      <c r="H215" s="71"/>
      <c r="I215" s="71"/>
      <c r="J215" s="71"/>
      <c r="K215" s="71"/>
      <c r="L215" s="71"/>
      <c r="M215" s="71"/>
      <c r="N215" s="71"/>
      <c r="O215" s="71"/>
      <c r="P215" s="71"/>
      <c r="Q215" s="71"/>
      <c r="R215" s="71"/>
      <c r="S215" s="71"/>
      <c r="T215" s="71"/>
      <c r="U215" s="71"/>
      <c r="V215" s="71"/>
      <c r="W215" s="71"/>
      <c r="X215" s="71"/>
      <c r="Y215" s="71"/>
      <c r="Z215" s="71"/>
      <c r="AA215" s="71"/>
      <c r="AB215" s="71"/>
      <c r="AC215" s="71"/>
      <c r="AD215" s="71"/>
      <c r="AE215" s="71"/>
      <c r="AF215" s="71"/>
      <c r="AG215" s="71"/>
      <c r="AH215" s="71"/>
      <c r="AI215" s="71"/>
      <c r="AJ215" s="71"/>
    </row>
    <row r="216" spans="1:36" x14ac:dyDescent="0.25">
      <c r="A216">
        <v>7011435</v>
      </c>
      <c r="B216" s="71"/>
      <c r="C216" s="71"/>
      <c r="D216" s="71"/>
      <c r="E216" s="71"/>
      <c r="F216" s="71"/>
      <c r="G216" s="71"/>
      <c r="H216" s="71"/>
      <c r="I216" s="71"/>
      <c r="J216" s="71"/>
      <c r="K216" s="71"/>
      <c r="L216" s="71"/>
      <c r="M216" s="71"/>
      <c r="N216" s="71"/>
      <c r="O216" s="71"/>
      <c r="P216" s="71"/>
      <c r="Q216" s="71"/>
      <c r="R216" s="71"/>
      <c r="S216" s="71"/>
      <c r="T216" s="71"/>
      <c r="U216" s="71"/>
      <c r="V216" s="71"/>
      <c r="W216" s="71"/>
      <c r="X216" s="71"/>
      <c r="Y216" s="71"/>
      <c r="Z216" s="71"/>
      <c r="AA216" s="71"/>
      <c r="AB216" s="71"/>
      <c r="AC216" s="71"/>
      <c r="AD216" s="71"/>
      <c r="AE216" s="71"/>
      <c r="AF216" s="71"/>
      <c r="AG216" s="71"/>
      <c r="AH216" s="71"/>
      <c r="AI216" s="71"/>
      <c r="AJ216" s="71"/>
    </row>
    <row r="217" spans="1:36" x14ac:dyDescent="0.25">
      <c r="A217">
        <v>7045811</v>
      </c>
      <c r="B217" s="71"/>
      <c r="C217" s="71"/>
      <c r="D217" s="71"/>
      <c r="E217" s="71"/>
      <c r="F217" s="71"/>
      <c r="G217" s="71"/>
      <c r="H217" s="71"/>
      <c r="I217" s="71"/>
      <c r="J217" s="71"/>
      <c r="K217" s="71"/>
      <c r="L217" s="71"/>
      <c r="M217" s="71"/>
      <c r="N217" s="71"/>
      <c r="O217" s="71"/>
      <c r="P217" s="71"/>
      <c r="Q217" s="71"/>
      <c r="R217" s="71"/>
      <c r="S217" s="71"/>
      <c r="T217" s="71"/>
      <c r="U217" s="71"/>
      <c r="V217" s="71"/>
      <c r="W217" s="71"/>
      <c r="X217" s="71"/>
      <c r="Y217" s="71"/>
      <c r="Z217" s="71"/>
      <c r="AA217" s="71"/>
      <c r="AB217" s="71"/>
      <c r="AC217" s="71"/>
      <c r="AD217" s="71"/>
      <c r="AE217" s="71"/>
      <c r="AF217" s="71"/>
      <c r="AG217" s="71"/>
      <c r="AH217" s="71"/>
      <c r="AI217" s="71"/>
      <c r="AJ217" s="71"/>
    </row>
    <row r="218" spans="1:36" x14ac:dyDescent="0.25">
      <c r="A218">
        <v>7071198</v>
      </c>
      <c r="B218" s="71"/>
      <c r="C218" s="71"/>
      <c r="D218" s="71"/>
      <c r="E218" s="71"/>
      <c r="F218" s="71"/>
      <c r="G218" s="71"/>
      <c r="H218" s="71"/>
      <c r="I218" s="71"/>
      <c r="J218" s="71"/>
      <c r="K218" s="71"/>
      <c r="L218" s="71"/>
      <c r="M218" s="71"/>
      <c r="N218" s="71"/>
      <c r="O218" s="71"/>
      <c r="P218" s="71"/>
      <c r="Q218" s="71"/>
      <c r="R218" s="71"/>
      <c r="S218" s="71"/>
      <c r="T218" s="71"/>
      <c r="U218" s="71"/>
      <c r="V218" s="71"/>
      <c r="W218" s="71"/>
      <c r="X218" s="71"/>
      <c r="Y218" s="71"/>
      <c r="Z218" s="71"/>
      <c r="AA218" s="71"/>
      <c r="AB218" s="71"/>
      <c r="AC218" s="71"/>
      <c r="AD218" s="71"/>
      <c r="AE218" s="71"/>
      <c r="AF218" s="71"/>
      <c r="AG218" s="71"/>
      <c r="AH218" s="71"/>
      <c r="AI218" s="71"/>
      <c r="AJ218" s="71"/>
    </row>
    <row r="219" spans="1:36" x14ac:dyDescent="0.25">
      <c r="A219">
        <v>7101143</v>
      </c>
      <c r="B219" s="71"/>
      <c r="C219" s="71"/>
      <c r="D219" s="71"/>
      <c r="E219" s="71"/>
      <c r="F219" s="71"/>
      <c r="G219" s="71"/>
      <c r="H219" s="71"/>
      <c r="I219" s="71"/>
      <c r="J219" s="71"/>
      <c r="K219" s="71"/>
      <c r="L219" s="71"/>
      <c r="M219" s="71"/>
      <c r="N219" s="71"/>
      <c r="O219" s="71"/>
      <c r="P219" s="71"/>
      <c r="Q219" s="71"/>
      <c r="R219" s="71"/>
      <c r="S219" s="71"/>
      <c r="T219" s="71"/>
      <c r="U219" s="71"/>
      <c r="V219" s="71"/>
      <c r="W219" s="71"/>
      <c r="X219" s="71"/>
      <c r="Y219" s="71"/>
      <c r="Z219" s="71"/>
      <c r="AA219" s="71"/>
      <c r="AB219" s="71"/>
      <c r="AC219" s="71"/>
      <c r="AD219" s="71"/>
      <c r="AE219" s="71"/>
      <c r="AF219" s="71"/>
      <c r="AG219" s="71"/>
      <c r="AH219" s="71"/>
      <c r="AI219" s="71"/>
      <c r="AJ219" s="71"/>
    </row>
    <row r="220" spans="1:36" x14ac:dyDescent="0.25">
      <c r="A220">
        <v>8073350</v>
      </c>
      <c r="B220" s="71"/>
      <c r="C220" s="71"/>
      <c r="D220" s="71"/>
      <c r="E220" s="71"/>
      <c r="F220" s="71"/>
      <c r="G220" s="71"/>
      <c r="H220" s="71"/>
      <c r="I220" s="71"/>
      <c r="J220" s="71"/>
      <c r="K220" s="71"/>
      <c r="L220" s="71"/>
      <c r="M220" s="71"/>
      <c r="N220" s="71"/>
      <c r="O220" s="71"/>
      <c r="P220" s="71"/>
      <c r="Q220" s="71"/>
      <c r="R220" s="71"/>
      <c r="S220" s="71"/>
      <c r="T220" s="71"/>
      <c r="U220" s="71"/>
      <c r="V220" s="71"/>
      <c r="W220" s="71"/>
      <c r="X220" s="71"/>
      <c r="Y220" s="71"/>
      <c r="Z220" s="71"/>
      <c r="AA220" s="71"/>
      <c r="AB220" s="71"/>
      <c r="AC220" s="71"/>
      <c r="AD220" s="71"/>
      <c r="AE220" s="71"/>
      <c r="AF220" s="71"/>
      <c r="AG220" s="71"/>
      <c r="AH220" s="71"/>
      <c r="AI220" s="71"/>
      <c r="AJ220" s="71"/>
    </row>
    <row r="221" spans="1:36" x14ac:dyDescent="0.25">
      <c r="A221">
        <v>8073645</v>
      </c>
      <c r="B221" s="71"/>
      <c r="C221" s="71"/>
      <c r="D221" s="71"/>
      <c r="E221" s="71"/>
      <c r="F221" s="71"/>
      <c r="G221" s="71"/>
      <c r="H221" s="71"/>
      <c r="I221" s="71"/>
      <c r="J221" s="71"/>
      <c r="K221" s="71"/>
      <c r="L221" s="71"/>
      <c r="M221" s="71"/>
      <c r="N221" s="71"/>
      <c r="O221" s="71"/>
      <c r="P221" s="71"/>
      <c r="Q221" s="71"/>
      <c r="R221" s="71"/>
      <c r="S221" s="71"/>
      <c r="T221" s="71"/>
      <c r="U221" s="71"/>
      <c r="V221" s="71"/>
      <c r="W221" s="71"/>
      <c r="X221" s="71"/>
      <c r="Y221" s="71"/>
      <c r="Z221" s="71"/>
      <c r="AA221" s="71"/>
      <c r="AB221" s="71"/>
      <c r="AC221" s="71"/>
      <c r="AD221" s="71"/>
      <c r="AE221" s="71"/>
      <c r="AF221" s="71"/>
      <c r="AG221" s="71"/>
      <c r="AH221" s="71"/>
      <c r="AI221" s="71"/>
      <c r="AJ221" s="71"/>
    </row>
    <row r="222" spans="1:36" x14ac:dyDescent="0.25">
      <c r="A222" s="23">
        <v>8089666</v>
      </c>
      <c r="B222" s="71"/>
      <c r="C222" s="71"/>
      <c r="D222" s="71"/>
      <c r="E222" s="71"/>
      <c r="F222" s="71"/>
      <c r="G222" s="71"/>
      <c r="H222" s="71"/>
      <c r="I222" s="71"/>
      <c r="J222" s="71"/>
      <c r="K222" s="71">
        <v>3700000</v>
      </c>
      <c r="L222" s="73">
        <v>3200000</v>
      </c>
      <c r="M222" s="71">
        <v>4200000</v>
      </c>
      <c r="N222" s="71"/>
      <c r="O222" s="73">
        <v>2900000</v>
      </c>
      <c r="P222" s="71">
        <v>3300000</v>
      </c>
      <c r="Q222" s="71"/>
      <c r="R222" s="71"/>
      <c r="S222" s="71"/>
      <c r="T222" s="71"/>
      <c r="U222" s="71"/>
      <c r="V222" s="71"/>
      <c r="W222" s="71"/>
      <c r="X222" s="71"/>
      <c r="Y222" s="71"/>
      <c r="Z222" s="71"/>
      <c r="AA222" s="71"/>
      <c r="AB222" s="71"/>
      <c r="AC222" s="71"/>
      <c r="AD222" s="71"/>
      <c r="AE222" s="71"/>
      <c r="AF222" s="71"/>
      <c r="AG222" s="71"/>
      <c r="AH222" s="71"/>
      <c r="AI222" s="71"/>
      <c r="AJ222" s="71"/>
    </row>
    <row r="223" spans="1:36" x14ac:dyDescent="0.25">
      <c r="A223">
        <v>8103536</v>
      </c>
      <c r="B223" s="71"/>
      <c r="C223" s="71"/>
      <c r="D223" s="71"/>
      <c r="E223" s="71"/>
      <c r="F223" s="71"/>
      <c r="G223" s="71"/>
      <c r="H223" s="71"/>
      <c r="I223" s="71"/>
      <c r="J223" s="71"/>
      <c r="K223" s="71"/>
      <c r="L223" s="71"/>
      <c r="M223" s="71"/>
      <c r="N223" s="71"/>
      <c r="O223" s="71"/>
      <c r="P223" s="71"/>
      <c r="Q223" s="71"/>
      <c r="R223" s="71"/>
      <c r="S223" s="71"/>
      <c r="T223" s="71"/>
      <c r="U223" s="71"/>
      <c r="V223" s="71"/>
      <c r="W223" s="71"/>
      <c r="X223" s="71"/>
      <c r="Y223" s="71"/>
      <c r="Z223" s="71"/>
      <c r="AA223" s="71"/>
      <c r="AB223" s="71"/>
      <c r="AC223" s="71"/>
      <c r="AD223" s="71"/>
      <c r="AE223" s="71"/>
      <c r="AF223" s="71"/>
      <c r="AG223" s="71"/>
      <c r="AH223" s="71"/>
      <c r="AI223" s="71"/>
      <c r="AJ223" s="71"/>
    </row>
    <row r="224" spans="1:36" x14ac:dyDescent="0.25">
      <c r="A224">
        <v>8124816</v>
      </c>
      <c r="B224" s="71"/>
      <c r="C224" s="71"/>
      <c r="D224" s="71"/>
      <c r="E224" s="71"/>
      <c r="F224" s="71"/>
      <c r="G224" s="71"/>
      <c r="H224" s="71"/>
      <c r="I224" s="71"/>
      <c r="J224" s="71"/>
      <c r="K224" s="71"/>
      <c r="L224" s="71"/>
      <c r="M224" s="71"/>
      <c r="N224" s="71"/>
      <c r="O224" s="71">
        <v>4700000</v>
      </c>
      <c r="P224" s="71"/>
      <c r="Q224" s="71"/>
      <c r="R224" s="71">
        <v>4300000</v>
      </c>
      <c r="S224" s="71"/>
      <c r="T224" s="71"/>
      <c r="U224" s="71"/>
      <c r="V224" s="71">
        <v>4500000</v>
      </c>
      <c r="W224" s="71"/>
      <c r="X224" s="71"/>
      <c r="Y224" s="71"/>
      <c r="Z224" s="71"/>
      <c r="AA224" s="71"/>
      <c r="AB224" s="71">
        <v>4400000</v>
      </c>
      <c r="AC224" s="71"/>
      <c r="AD224" s="71"/>
      <c r="AE224" s="71"/>
      <c r="AF224" s="71"/>
      <c r="AG224" s="71"/>
      <c r="AH224" s="71"/>
      <c r="AI224" s="71"/>
      <c r="AJ224" s="71"/>
    </row>
    <row r="225" spans="1:36" x14ac:dyDescent="0.25">
      <c r="A225">
        <v>9003267</v>
      </c>
      <c r="B225" s="71"/>
      <c r="C225" s="71"/>
      <c r="D225" s="71"/>
      <c r="E225" s="71"/>
      <c r="F225" s="71"/>
      <c r="G225" s="71"/>
      <c r="H225" s="71"/>
      <c r="I225" s="71"/>
      <c r="J225" s="71"/>
      <c r="K225" s="71"/>
      <c r="L225" s="71"/>
      <c r="M225" s="71"/>
      <c r="N225" s="71"/>
      <c r="O225" s="71"/>
      <c r="P225" s="71"/>
      <c r="Q225" s="71"/>
      <c r="R225" s="71"/>
      <c r="S225" s="71"/>
      <c r="T225" s="71"/>
      <c r="U225" s="71"/>
      <c r="V225" s="71"/>
      <c r="W225" s="71"/>
      <c r="X225" s="71"/>
      <c r="Y225" s="71"/>
      <c r="Z225" s="71"/>
      <c r="AA225" s="71"/>
      <c r="AB225" s="71"/>
      <c r="AC225" s="71"/>
      <c r="AD225" s="71"/>
      <c r="AE225" s="71"/>
      <c r="AF225" s="71"/>
      <c r="AG225" s="71"/>
      <c r="AH225" s="71"/>
      <c r="AI225" s="71"/>
      <c r="AJ225" s="71"/>
    </row>
    <row r="226" spans="1:36" x14ac:dyDescent="0.25">
      <c r="A226">
        <v>9036964</v>
      </c>
      <c r="B226" s="71"/>
      <c r="C226" s="71"/>
      <c r="D226" s="71"/>
      <c r="E226" s="71"/>
      <c r="F226" s="71"/>
      <c r="G226" s="71"/>
      <c r="H226" s="71"/>
      <c r="I226" s="71"/>
      <c r="J226" s="71"/>
      <c r="K226" s="71"/>
      <c r="L226" s="71"/>
      <c r="M226" s="71"/>
      <c r="N226" s="71"/>
      <c r="O226" s="71"/>
      <c r="P226" s="71"/>
      <c r="Q226" s="71"/>
      <c r="R226" s="71"/>
      <c r="S226" s="71"/>
      <c r="T226" s="71"/>
      <c r="U226" s="71"/>
      <c r="V226" s="71"/>
      <c r="W226" s="71"/>
      <c r="X226" s="71"/>
      <c r="Y226" s="71"/>
      <c r="Z226" s="71"/>
      <c r="AA226" s="71"/>
      <c r="AB226" s="71"/>
      <c r="AC226" s="71"/>
      <c r="AD226" s="71"/>
      <c r="AE226" s="71"/>
      <c r="AF226" s="71"/>
      <c r="AG226" s="71"/>
      <c r="AH226" s="71"/>
      <c r="AI226" s="71"/>
      <c r="AJ226" s="71"/>
    </row>
    <row r="227" spans="1:36" x14ac:dyDescent="0.25">
      <c r="A227">
        <v>9090287</v>
      </c>
      <c r="B227" s="71"/>
      <c r="C227" s="71"/>
      <c r="D227" s="71"/>
      <c r="E227" s="71"/>
      <c r="F227" s="71"/>
      <c r="G227" s="71"/>
      <c r="H227" s="71"/>
      <c r="I227" s="71"/>
      <c r="J227" s="71"/>
      <c r="K227" s="71"/>
      <c r="L227" s="71"/>
      <c r="M227" s="71"/>
      <c r="N227" s="71"/>
      <c r="O227" s="71"/>
      <c r="P227" s="71"/>
      <c r="Q227" s="71"/>
      <c r="R227" s="71"/>
      <c r="S227" s="71"/>
      <c r="T227" s="71"/>
      <c r="U227" s="71"/>
      <c r="V227" s="71"/>
      <c r="W227" s="71"/>
      <c r="X227" s="71"/>
      <c r="Y227" s="71"/>
      <c r="Z227" s="71"/>
      <c r="AA227" s="71"/>
      <c r="AB227" s="71"/>
      <c r="AC227" s="71"/>
      <c r="AD227" s="71"/>
      <c r="AE227" s="71"/>
      <c r="AF227" s="71"/>
      <c r="AG227" s="71"/>
      <c r="AH227" s="71"/>
      <c r="AI227" s="71"/>
      <c r="AJ227" s="71"/>
    </row>
    <row r="228" spans="1:36" x14ac:dyDescent="0.25">
      <c r="A228">
        <v>9095148</v>
      </c>
      <c r="B228" s="71"/>
      <c r="C228" s="71"/>
      <c r="D228" s="71"/>
      <c r="E228" s="71"/>
      <c r="F228" s="71"/>
      <c r="G228" s="71"/>
      <c r="H228" s="71"/>
      <c r="I228" s="71"/>
      <c r="J228" s="71"/>
      <c r="K228" s="71"/>
      <c r="L228" s="71"/>
      <c r="M228" s="71"/>
      <c r="N228" s="71"/>
      <c r="O228" s="71"/>
      <c r="P228" s="71"/>
      <c r="Q228" s="71"/>
      <c r="R228" s="71"/>
      <c r="S228" s="71"/>
      <c r="T228" s="71"/>
      <c r="U228" s="71"/>
      <c r="V228" s="71"/>
      <c r="W228" s="71"/>
      <c r="X228" s="71"/>
      <c r="Y228" s="71"/>
      <c r="Z228" s="71"/>
      <c r="AA228" s="71"/>
      <c r="AB228" s="71"/>
      <c r="AC228" s="71"/>
      <c r="AD228" s="71"/>
      <c r="AE228" s="71"/>
      <c r="AF228" s="71"/>
      <c r="AG228" s="71"/>
      <c r="AH228" s="71"/>
      <c r="AI228" s="71"/>
      <c r="AJ228" s="71"/>
    </row>
    <row r="229" spans="1:36" x14ac:dyDescent="0.25">
      <c r="A229">
        <v>9104979</v>
      </c>
      <c r="B229" s="71"/>
      <c r="C229" s="71"/>
      <c r="D229" s="71"/>
      <c r="E229" s="71"/>
      <c r="F229" s="71"/>
      <c r="G229" s="71"/>
      <c r="H229" s="71"/>
      <c r="I229" s="71"/>
      <c r="J229" s="71"/>
      <c r="K229" s="71"/>
      <c r="L229" s="71"/>
      <c r="M229" s="71"/>
      <c r="N229" s="71"/>
      <c r="O229" s="71"/>
      <c r="P229" s="71"/>
      <c r="Q229" s="71"/>
      <c r="R229" s="71"/>
      <c r="S229" s="71"/>
      <c r="T229" s="71"/>
      <c r="U229" s="71"/>
      <c r="V229" s="71"/>
      <c r="W229" s="71"/>
      <c r="X229" s="71"/>
      <c r="Y229" s="71"/>
      <c r="Z229" s="71"/>
      <c r="AA229" s="71"/>
      <c r="AB229" s="71"/>
      <c r="AC229" s="71"/>
      <c r="AD229" s="71"/>
      <c r="AE229" s="71"/>
      <c r="AF229" s="71"/>
      <c r="AG229" s="71"/>
      <c r="AH229" s="71"/>
      <c r="AI229" s="71"/>
      <c r="AJ229" s="71"/>
    </row>
    <row r="230" spans="1:36" x14ac:dyDescent="0.25">
      <c r="A230">
        <v>9139514</v>
      </c>
      <c r="B230" s="71"/>
      <c r="C230" s="71"/>
      <c r="D230" s="71"/>
      <c r="E230" s="71"/>
      <c r="F230" s="71"/>
      <c r="G230" s="71"/>
      <c r="H230" s="71"/>
      <c r="I230" s="71"/>
      <c r="J230" s="71"/>
      <c r="K230" s="71"/>
      <c r="L230" s="71"/>
      <c r="M230" s="71"/>
      <c r="N230" s="71"/>
      <c r="O230" s="71"/>
      <c r="P230" s="71"/>
      <c r="Q230" s="71"/>
      <c r="R230" s="71"/>
      <c r="S230" s="71"/>
      <c r="T230" s="71"/>
      <c r="U230" s="71"/>
      <c r="V230" s="71"/>
      <c r="W230" s="71"/>
      <c r="X230" s="71"/>
      <c r="Y230" s="71"/>
      <c r="Z230" s="71"/>
      <c r="AA230" s="71"/>
      <c r="AB230" s="71"/>
      <c r="AC230" s="71"/>
      <c r="AD230" s="71"/>
      <c r="AE230" s="71"/>
      <c r="AF230" s="71"/>
      <c r="AG230" s="71"/>
      <c r="AH230" s="71"/>
      <c r="AI230" s="71"/>
      <c r="AJ230" s="71"/>
    </row>
    <row r="231" spans="1:36" x14ac:dyDescent="0.25">
      <c r="A231">
        <v>10020659</v>
      </c>
      <c r="B231" s="71"/>
      <c r="C231" s="71"/>
      <c r="D231" s="71"/>
      <c r="E231" s="71"/>
      <c r="F231" s="71"/>
      <c r="G231" s="71"/>
      <c r="H231" s="71"/>
      <c r="I231" s="71"/>
      <c r="J231" s="71"/>
      <c r="K231" s="71"/>
      <c r="L231" s="71"/>
      <c r="M231" s="71"/>
      <c r="N231" s="71"/>
      <c r="O231" s="71"/>
      <c r="P231" s="71"/>
      <c r="Q231" s="71"/>
      <c r="R231" s="71"/>
      <c r="S231" s="71"/>
      <c r="T231" s="71"/>
      <c r="U231" s="71"/>
      <c r="V231" s="71"/>
      <c r="W231" s="71"/>
      <c r="X231" s="71"/>
      <c r="Y231" s="71"/>
      <c r="Z231" s="71"/>
      <c r="AA231" s="71"/>
      <c r="AB231" s="71"/>
      <c r="AC231" s="71"/>
      <c r="AD231" s="71"/>
      <c r="AE231" s="71"/>
      <c r="AF231" s="71"/>
      <c r="AG231" s="71"/>
      <c r="AH231" s="71"/>
      <c r="AI231" s="71"/>
      <c r="AJ231" s="71"/>
    </row>
    <row r="232" spans="1:36" x14ac:dyDescent="0.25">
      <c r="A232">
        <v>10025902</v>
      </c>
      <c r="B232" s="71"/>
      <c r="C232" s="71"/>
      <c r="D232" s="71"/>
      <c r="E232" s="71"/>
      <c r="F232" s="71"/>
      <c r="G232" s="71"/>
      <c r="H232" s="71"/>
      <c r="I232" s="71"/>
      <c r="J232" s="71"/>
      <c r="K232" s="71"/>
      <c r="L232" s="71"/>
      <c r="M232" s="71"/>
      <c r="N232" s="71"/>
      <c r="O232" s="71"/>
      <c r="P232" s="71"/>
      <c r="Q232" s="71"/>
      <c r="R232" s="71"/>
      <c r="S232" s="71"/>
      <c r="T232" s="71"/>
      <c r="U232" s="71"/>
      <c r="V232" s="71"/>
      <c r="W232" s="71"/>
      <c r="X232" s="71"/>
      <c r="Y232" s="71"/>
      <c r="Z232" s="71"/>
      <c r="AA232" s="71"/>
      <c r="AB232" s="71"/>
      <c r="AC232" s="71"/>
      <c r="AD232" s="71"/>
      <c r="AE232" s="71"/>
      <c r="AF232" s="71"/>
      <c r="AG232" s="71"/>
      <c r="AH232" s="71"/>
      <c r="AI232" s="71"/>
      <c r="AJ232" s="71"/>
    </row>
    <row r="233" spans="1:36" x14ac:dyDescent="0.25">
      <c r="A233">
        <v>10027654</v>
      </c>
      <c r="B233" s="71"/>
      <c r="C233" s="71"/>
      <c r="D233" s="71"/>
      <c r="E233" s="71"/>
      <c r="F233" s="71"/>
      <c r="G233" s="71"/>
      <c r="H233" s="71"/>
      <c r="I233" s="71"/>
      <c r="J233" s="71"/>
      <c r="K233" s="71"/>
      <c r="L233" s="71"/>
      <c r="M233" s="71"/>
      <c r="N233" s="71"/>
      <c r="O233" s="71"/>
      <c r="P233" s="71"/>
      <c r="Q233" s="71"/>
      <c r="R233" s="71"/>
      <c r="S233" s="71"/>
      <c r="T233" s="71"/>
      <c r="U233" s="71"/>
      <c r="V233" s="71"/>
      <c r="W233" s="71"/>
      <c r="X233" s="71"/>
      <c r="Y233" s="71"/>
      <c r="Z233" s="71"/>
      <c r="AA233" s="71"/>
      <c r="AB233" s="71"/>
      <c r="AC233" s="71"/>
      <c r="AD233" s="71"/>
      <c r="AE233" s="71"/>
      <c r="AF233" s="71"/>
      <c r="AG233" s="71"/>
      <c r="AH233" s="71"/>
      <c r="AI233" s="71"/>
      <c r="AJ233" s="71"/>
    </row>
    <row r="234" spans="1:36" x14ac:dyDescent="0.25">
      <c r="A234">
        <v>10084485</v>
      </c>
      <c r="B234" s="71"/>
      <c r="C234" s="71"/>
      <c r="D234" s="71"/>
      <c r="E234" s="71"/>
      <c r="F234" s="71"/>
      <c r="G234" s="71"/>
      <c r="H234" s="71"/>
      <c r="I234" s="71"/>
      <c r="J234" s="71"/>
      <c r="K234" s="71"/>
      <c r="L234" s="71"/>
      <c r="M234" s="71"/>
      <c r="N234" s="71"/>
      <c r="O234" s="71"/>
      <c r="P234" s="71"/>
      <c r="Q234" s="71"/>
      <c r="R234" s="71"/>
      <c r="S234" s="71"/>
      <c r="T234" s="71"/>
      <c r="U234" s="71"/>
      <c r="V234" s="71"/>
      <c r="W234" s="71"/>
      <c r="X234" s="71"/>
      <c r="Y234" s="71"/>
      <c r="Z234" s="71"/>
      <c r="AA234" s="71"/>
      <c r="AB234" s="71"/>
      <c r="AC234" s="71"/>
      <c r="AD234" s="71"/>
      <c r="AE234" s="71"/>
      <c r="AF234" s="71"/>
      <c r="AG234" s="71"/>
      <c r="AH234" s="71"/>
      <c r="AI234" s="71"/>
      <c r="AJ234" s="71"/>
    </row>
    <row r="235" spans="1:36" x14ac:dyDescent="0.25">
      <c r="A235">
        <v>10098420</v>
      </c>
      <c r="B235" s="71"/>
      <c r="C235" s="71"/>
      <c r="D235" s="71"/>
      <c r="E235" s="71"/>
      <c r="F235" s="71"/>
      <c r="G235" s="71"/>
      <c r="H235" s="71"/>
      <c r="I235" s="71"/>
      <c r="J235" s="71"/>
      <c r="K235" s="71"/>
      <c r="L235" s="71"/>
      <c r="M235" s="71"/>
      <c r="N235" s="71"/>
      <c r="O235" s="71"/>
      <c r="P235" s="71"/>
      <c r="Q235" s="71"/>
      <c r="R235" s="71"/>
      <c r="S235" s="71"/>
      <c r="T235" s="71"/>
      <c r="U235" s="71"/>
      <c r="V235" s="71"/>
      <c r="W235" s="71"/>
      <c r="X235" s="71"/>
      <c r="Y235" s="71"/>
      <c r="Z235" s="71"/>
      <c r="AA235" s="71"/>
      <c r="AB235" s="71"/>
      <c r="AC235" s="71"/>
      <c r="AD235" s="71"/>
      <c r="AE235" s="71"/>
      <c r="AF235" s="71"/>
      <c r="AG235" s="71"/>
      <c r="AH235" s="71"/>
      <c r="AI235" s="71"/>
      <c r="AJ235" s="71"/>
    </row>
    <row r="236" spans="1:36" x14ac:dyDescent="0.25">
      <c r="A236">
        <v>10129565</v>
      </c>
      <c r="B236" s="71"/>
      <c r="C236" s="71"/>
      <c r="D236" s="71"/>
      <c r="E236" s="71"/>
      <c r="F236" s="71"/>
      <c r="G236" s="71"/>
      <c r="H236" s="71"/>
      <c r="I236" s="71"/>
      <c r="J236" s="71"/>
      <c r="K236" s="71"/>
      <c r="L236" s="71"/>
      <c r="M236" s="71"/>
      <c r="N236" s="71"/>
      <c r="O236" s="71"/>
      <c r="P236" s="71"/>
      <c r="Q236" s="71"/>
      <c r="R236" s="71"/>
      <c r="S236" s="71"/>
      <c r="T236" s="71"/>
      <c r="U236" s="71"/>
      <c r="V236" s="71"/>
      <c r="W236" s="71"/>
      <c r="X236" s="71"/>
      <c r="Y236" s="71"/>
      <c r="Z236" s="71"/>
      <c r="AA236" s="71"/>
      <c r="AB236" s="71"/>
      <c r="AC236" s="71"/>
      <c r="AD236" s="71"/>
      <c r="AE236" s="71"/>
      <c r="AF236" s="71"/>
      <c r="AG236" s="71"/>
      <c r="AH236" s="71"/>
      <c r="AI236" s="71"/>
      <c r="AJ236" s="71"/>
    </row>
    <row r="237" spans="1:36" x14ac:dyDescent="0.25">
      <c r="A237">
        <v>10146828</v>
      </c>
      <c r="B237" s="71"/>
      <c r="C237" s="71"/>
      <c r="D237" s="71"/>
      <c r="E237" s="71"/>
      <c r="F237" s="71"/>
      <c r="G237" s="71"/>
      <c r="H237" s="71"/>
      <c r="I237" s="71"/>
      <c r="J237" s="71"/>
      <c r="K237" s="71"/>
      <c r="L237" s="71"/>
      <c r="M237" s="71"/>
      <c r="N237" s="71"/>
      <c r="O237" s="71"/>
      <c r="P237" s="71"/>
      <c r="Q237" s="71"/>
      <c r="R237" s="71"/>
      <c r="S237" s="71"/>
      <c r="T237" s="71"/>
      <c r="U237" s="71"/>
      <c r="V237" s="71"/>
      <c r="W237" s="71"/>
      <c r="X237" s="71"/>
      <c r="Y237" s="71"/>
      <c r="Z237" s="71"/>
      <c r="AA237" s="71"/>
      <c r="AB237" s="71"/>
      <c r="AC237" s="71"/>
      <c r="AD237" s="71"/>
      <c r="AE237" s="71"/>
      <c r="AF237" s="71"/>
      <c r="AG237" s="71"/>
      <c r="AH237" s="71"/>
      <c r="AI237" s="71"/>
      <c r="AJ237" s="71"/>
    </row>
    <row r="238" spans="1:36" x14ac:dyDescent="0.25">
      <c r="A238">
        <v>10163776</v>
      </c>
      <c r="B238" s="71"/>
      <c r="C238" s="71"/>
      <c r="D238" s="71"/>
      <c r="E238" s="71"/>
      <c r="F238" s="71"/>
      <c r="G238" s="71"/>
      <c r="H238" s="71"/>
      <c r="I238" s="71"/>
      <c r="J238" s="71"/>
      <c r="K238" s="71"/>
      <c r="L238" s="71"/>
      <c r="M238" s="71"/>
      <c r="N238" s="71"/>
      <c r="O238" s="71"/>
      <c r="P238" s="71"/>
      <c r="Q238" s="71"/>
      <c r="R238" s="71"/>
      <c r="S238" s="71"/>
      <c r="T238" s="71"/>
      <c r="U238" s="71"/>
      <c r="V238" s="71"/>
      <c r="W238" s="71"/>
      <c r="X238" s="71"/>
      <c r="Y238" s="71"/>
      <c r="Z238" s="71"/>
      <c r="AA238" s="71"/>
      <c r="AB238" s="71"/>
      <c r="AC238" s="71"/>
      <c r="AD238" s="71"/>
      <c r="AE238" s="71"/>
      <c r="AF238" s="71"/>
      <c r="AG238" s="71"/>
      <c r="AH238" s="71"/>
      <c r="AI238" s="71"/>
      <c r="AJ238" s="71"/>
    </row>
    <row r="239" spans="1:36" x14ac:dyDescent="0.25">
      <c r="A239">
        <v>10173664</v>
      </c>
      <c r="B239" s="71"/>
      <c r="C239" s="71"/>
      <c r="D239" s="71"/>
      <c r="E239" s="71"/>
      <c r="F239" s="71"/>
      <c r="G239" s="71"/>
      <c r="H239" s="71"/>
      <c r="I239" s="71"/>
      <c r="J239" s="71"/>
      <c r="K239" s="71"/>
      <c r="L239" s="71"/>
      <c r="M239" s="71"/>
      <c r="N239" s="71"/>
      <c r="O239" s="71"/>
      <c r="P239" s="71"/>
      <c r="Q239" s="71"/>
      <c r="R239" s="71"/>
      <c r="S239" s="71"/>
      <c r="T239" s="71"/>
      <c r="U239" s="71"/>
      <c r="V239" s="71"/>
      <c r="W239" s="71"/>
      <c r="X239" s="71"/>
      <c r="Y239" s="71"/>
      <c r="Z239" s="71"/>
      <c r="AA239" s="71"/>
      <c r="AB239" s="71"/>
      <c r="AC239" s="71"/>
      <c r="AD239" s="71"/>
      <c r="AE239" s="71"/>
      <c r="AF239" s="71"/>
      <c r="AG239" s="71"/>
      <c r="AH239" s="71"/>
      <c r="AI239" s="71"/>
      <c r="AJ239" s="71"/>
    </row>
    <row r="240" spans="1:36" x14ac:dyDescent="0.25">
      <c r="B240" s="71"/>
      <c r="C240" s="71"/>
      <c r="D240" s="71"/>
      <c r="E240" s="71"/>
      <c r="F240" s="71"/>
      <c r="G240" s="71"/>
      <c r="H240" s="71"/>
      <c r="I240" s="71"/>
      <c r="J240" s="71"/>
      <c r="K240" s="71"/>
      <c r="L240" s="71"/>
      <c r="M240" s="71"/>
      <c r="N240" s="71"/>
      <c r="O240" s="71"/>
      <c r="P240" s="71"/>
      <c r="Q240" s="71"/>
      <c r="R240" s="71"/>
      <c r="S240" s="71"/>
      <c r="T240" s="71"/>
      <c r="U240" s="71"/>
      <c r="V240" s="71"/>
      <c r="W240" s="71"/>
      <c r="X240" s="71"/>
      <c r="Y240" s="71"/>
      <c r="Z240" s="71"/>
      <c r="AA240" s="71"/>
      <c r="AB240" s="71"/>
      <c r="AC240" s="71"/>
      <c r="AD240" s="71"/>
      <c r="AE240" s="71"/>
      <c r="AF240" s="71"/>
      <c r="AG240" s="71"/>
      <c r="AH240" s="71"/>
      <c r="AI240" s="71"/>
      <c r="AJ240" s="71"/>
    </row>
    <row r="241" spans="2:36" x14ac:dyDescent="0.25">
      <c r="B241" s="71"/>
      <c r="C241" s="71"/>
      <c r="D241" s="71"/>
      <c r="E241" s="71"/>
      <c r="F241" s="71"/>
      <c r="G241" s="71"/>
      <c r="H241" s="71"/>
      <c r="I241" s="71"/>
      <c r="J241" s="71"/>
      <c r="K241" s="71"/>
      <c r="L241" s="71"/>
      <c r="M241" s="71"/>
      <c r="N241" s="71"/>
      <c r="O241" s="71"/>
      <c r="P241" s="71"/>
      <c r="Q241" s="71"/>
      <c r="R241" s="71"/>
      <c r="S241" s="71"/>
      <c r="T241" s="71"/>
      <c r="U241" s="71"/>
      <c r="V241" s="71"/>
      <c r="W241" s="71"/>
      <c r="X241" s="71"/>
      <c r="Y241" s="71"/>
      <c r="Z241" s="71"/>
      <c r="AA241" s="71"/>
      <c r="AB241" s="71"/>
      <c r="AC241" s="71"/>
      <c r="AD241" s="71"/>
      <c r="AE241" s="71"/>
      <c r="AF241" s="71"/>
      <c r="AG241" s="71"/>
      <c r="AH241" s="71"/>
      <c r="AI241" s="71"/>
      <c r="AJ241" s="71"/>
    </row>
    <row r="242" spans="2:36" x14ac:dyDescent="0.25">
      <c r="B242" s="71"/>
      <c r="C242" s="71"/>
      <c r="D242" s="71"/>
      <c r="E242" s="71"/>
      <c r="F242" s="71"/>
      <c r="G242" s="71"/>
      <c r="H242" s="71"/>
      <c r="I242" s="71"/>
      <c r="J242" s="71"/>
      <c r="K242" s="71"/>
      <c r="L242" s="71"/>
      <c r="M242" s="71"/>
      <c r="N242" s="71"/>
      <c r="O242" s="71"/>
      <c r="P242" s="71"/>
      <c r="Q242" s="71"/>
      <c r="R242" s="71"/>
      <c r="S242" s="71"/>
      <c r="T242" s="71"/>
      <c r="U242" s="71"/>
      <c r="V242" s="71"/>
      <c r="W242" s="71"/>
      <c r="X242" s="71"/>
      <c r="Y242" s="71"/>
      <c r="Z242" s="71"/>
      <c r="AA242" s="71"/>
      <c r="AB242" s="71"/>
      <c r="AC242" s="71"/>
      <c r="AD242" s="71"/>
      <c r="AE242" s="71"/>
      <c r="AF242" s="71"/>
      <c r="AG242" s="71"/>
      <c r="AH242" s="71"/>
      <c r="AI242" s="71"/>
      <c r="AJ242" s="71"/>
    </row>
    <row r="243" spans="2:36" x14ac:dyDescent="0.25">
      <c r="B243" s="71"/>
      <c r="C243" s="71"/>
      <c r="D243" s="71"/>
      <c r="E243" s="71"/>
      <c r="F243" s="71"/>
      <c r="G243" s="71"/>
      <c r="H243" s="71"/>
      <c r="I243" s="71"/>
      <c r="J243" s="71"/>
      <c r="K243" s="71"/>
      <c r="L243" s="71"/>
      <c r="M243" s="71"/>
      <c r="N243" s="71"/>
      <c r="O243" s="71"/>
      <c r="P243" s="71"/>
      <c r="Q243" s="71"/>
      <c r="R243" s="71"/>
      <c r="S243" s="71"/>
      <c r="T243" s="71"/>
      <c r="U243" s="71"/>
      <c r="V243" s="71"/>
      <c r="W243" s="71"/>
      <c r="X243" s="71"/>
      <c r="Y243" s="71"/>
      <c r="Z243" s="71"/>
      <c r="AA243" s="71"/>
      <c r="AB243" s="71"/>
      <c r="AC243" s="71"/>
      <c r="AD243" s="71"/>
      <c r="AE243" s="71"/>
      <c r="AF243" s="71"/>
      <c r="AG243" s="71"/>
      <c r="AH243" s="71"/>
      <c r="AI243" s="71"/>
      <c r="AJ243" s="71"/>
    </row>
    <row r="244" spans="2:36" x14ac:dyDescent="0.25">
      <c r="B244" s="71"/>
      <c r="C244" s="71"/>
      <c r="D244" s="71"/>
      <c r="E244" s="71"/>
      <c r="F244" s="71"/>
      <c r="G244" s="71"/>
      <c r="H244" s="71"/>
      <c r="I244" s="71"/>
      <c r="J244" s="71"/>
      <c r="K244" s="71"/>
      <c r="L244" s="71"/>
      <c r="M244" s="71"/>
      <c r="N244" s="71"/>
      <c r="O244" s="71"/>
      <c r="P244" s="71"/>
      <c r="Q244" s="71"/>
      <c r="R244" s="71"/>
      <c r="S244" s="71"/>
      <c r="T244" s="71"/>
      <c r="U244" s="71"/>
      <c r="V244" s="71"/>
      <c r="W244" s="71"/>
      <c r="X244" s="71"/>
      <c r="Y244" s="71"/>
      <c r="Z244" s="71"/>
      <c r="AA244" s="71"/>
      <c r="AB244" s="71"/>
      <c r="AC244" s="71"/>
      <c r="AD244" s="71"/>
      <c r="AE244" s="71"/>
      <c r="AF244" s="71"/>
      <c r="AG244" s="71"/>
      <c r="AH244" s="71"/>
      <c r="AI244" s="71"/>
      <c r="AJ244" s="71"/>
    </row>
    <row r="245" spans="2:36" x14ac:dyDescent="0.25">
      <c r="B245" s="71"/>
      <c r="C245" s="71"/>
      <c r="D245" s="71"/>
      <c r="E245" s="71"/>
      <c r="F245" s="71"/>
      <c r="G245" s="71"/>
      <c r="H245" s="71"/>
      <c r="I245" s="71"/>
      <c r="J245" s="71"/>
      <c r="K245" s="71"/>
      <c r="L245" s="71"/>
      <c r="M245" s="71"/>
      <c r="N245" s="71"/>
      <c r="O245" s="71"/>
      <c r="P245" s="71"/>
      <c r="Q245" s="71"/>
      <c r="R245" s="71"/>
      <c r="S245" s="71"/>
      <c r="T245" s="71"/>
      <c r="U245" s="71"/>
      <c r="V245" s="71"/>
      <c r="W245" s="71"/>
      <c r="X245" s="71"/>
      <c r="Y245" s="71"/>
      <c r="Z245" s="71"/>
      <c r="AA245" s="71"/>
      <c r="AB245" s="71"/>
      <c r="AC245" s="71"/>
      <c r="AD245" s="71"/>
      <c r="AE245" s="71"/>
      <c r="AF245" s="71"/>
      <c r="AG245" s="71"/>
      <c r="AH245" s="71"/>
      <c r="AI245" s="71"/>
      <c r="AJ245" s="71"/>
    </row>
    <row r="246" spans="2:36" x14ac:dyDescent="0.25">
      <c r="B246" s="71"/>
      <c r="C246" s="71"/>
      <c r="D246" s="71"/>
      <c r="E246" s="71"/>
      <c r="F246" s="71"/>
      <c r="G246" s="71"/>
      <c r="H246" s="71"/>
      <c r="I246" s="71"/>
      <c r="J246" s="71"/>
      <c r="K246" s="71"/>
      <c r="L246" s="71"/>
      <c r="M246" s="71"/>
      <c r="N246" s="71"/>
      <c r="O246" s="71"/>
      <c r="P246" s="71"/>
      <c r="Q246" s="71"/>
      <c r="R246" s="71"/>
      <c r="S246" s="71"/>
      <c r="T246" s="71"/>
      <c r="U246" s="71"/>
      <c r="V246" s="71"/>
      <c r="W246" s="71"/>
      <c r="X246" s="71"/>
      <c r="Y246" s="71"/>
      <c r="Z246" s="71"/>
      <c r="AA246" s="71"/>
      <c r="AB246" s="71"/>
      <c r="AC246" s="71"/>
      <c r="AD246" s="71"/>
      <c r="AE246" s="71"/>
      <c r="AF246" s="71"/>
      <c r="AG246" s="71"/>
      <c r="AH246" s="71"/>
      <c r="AI246" s="71"/>
      <c r="AJ246" s="71"/>
    </row>
    <row r="247" spans="2:36" x14ac:dyDescent="0.25">
      <c r="B247" s="71"/>
      <c r="C247" s="71"/>
      <c r="D247" s="71"/>
      <c r="E247" s="71"/>
      <c r="F247" s="71"/>
      <c r="G247" s="71"/>
      <c r="H247" s="71"/>
      <c r="I247" s="71"/>
      <c r="J247" s="71"/>
      <c r="K247" s="71"/>
      <c r="L247" s="71"/>
      <c r="M247" s="71"/>
      <c r="N247" s="71"/>
      <c r="O247" s="71"/>
      <c r="P247" s="71"/>
      <c r="Q247" s="71"/>
      <c r="R247" s="71"/>
      <c r="S247" s="71"/>
      <c r="T247" s="71"/>
      <c r="U247" s="71"/>
      <c r="V247" s="71"/>
      <c r="W247" s="71"/>
      <c r="X247" s="71"/>
      <c r="Y247" s="71"/>
      <c r="Z247" s="71"/>
      <c r="AA247" s="71"/>
      <c r="AB247" s="71"/>
      <c r="AC247" s="71"/>
      <c r="AD247" s="71"/>
      <c r="AE247" s="71"/>
      <c r="AF247" s="71"/>
      <c r="AG247" s="71"/>
      <c r="AH247" s="71"/>
      <c r="AI247" s="71"/>
      <c r="AJ247" s="71"/>
    </row>
    <row r="248" spans="2:36" x14ac:dyDescent="0.25">
      <c r="B248" s="71"/>
      <c r="C248" s="71"/>
      <c r="D248" s="71"/>
      <c r="E248" s="71"/>
      <c r="F248" s="71"/>
      <c r="G248" s="71"/>
      <c r="H248" s="71"/>
      <c r="I248" s="71"/>
      <c r="J248" s="71"/>
      <c r="K248" s="71"/>
      <c r="L248" s="71"/>
      <c r="M248" s="71"/>
      <c r="N248" s="71"/>
      <c r="O248" s="71"/>
      <c r="P248" s="71"/>
      <c r="Q248" s="71"/>
      <c r="R248" s="71"/>
      <c r="S248" s="71"/>
      <c r="T248" s="71"/>
      <c r="U248" s="71"/>
      <c r="V248" s="71"/>
      <c r="W248" s="71"/>
      <c r="X248" s="71"/>
      <c r="Y248" s="71"/>
      <c r="Z248" s="71"/>
      <c r="AA248" s="71"/>
      <c r="AB248" s="71"/>
      <c r="AC248" s="71"/>
      <c r="AD248" s="71"/>
      <c r="AE248" s="71"/>
      <c r="AF248" s="71"/>
      <c r="AG248" s="71"/>
      <c r="AH248" s="71"/>
      <c r="AI248" s="71"/>
      <c r="AJ248" s="71"/>
    </row>
    <row r="249" spans="2:36" x14ac:dyDescent="0.25">
      <c r="B249" s="71"/>
      <c r="C249" s="71"/>
      <c r="D249" s="71"/>
      <c r="E249" s="71"/>
      <c r="F249" s="71"/>
      <c r="G249" s="71"/>
      <c r="H249" s="71"/>
      <c r="I249" s="71"/>
      <c r="J249" s="71"/>
      <c r="K249" s="71"/>
      <c r="L249" s="71"/>
      <c r="M249" s="71"/>
      <c r="N249" s="71"/>
      <c r="O249" s="71"/>
      <c r="P249" s="71"/>
      <c r="Q249" s="71"/>
      <c r="R249" s="71"/>
      <c r="S249" s="71"/>
      <c r="T249" s="71"/>
      <c r="U249" s="71"/>
      <c r="V249" s="71"/>
      <c r="W249" s="71"/>
      <c r="X249" s="71"/>
      <c r="Y249" s="71"/>
      <c r="Z249" s="71"/>
      <c r="AA249" s="71"/>
      <c r="AB249" s="71"/>
      <c r="AC249" s="71"/>
      <c r="AD249" s="71"/>
      <c r="AE249" s="71"/>
      <c r="AF249" s="71"/>
      <c r="AG249" s="71"/>
      <c r="AH249" s="71"/>
      <c r="AI249" s="71"/>
      <c r="AJ249" s="71"/>
    </row>
    <row r="250" spans="2:36" x14ac:dyDescent="0.25">
      <c r="B250" s="71"/>
      <c r="C250" s="71"/>
      <c r="D250" s="71"/>
      <c r="E250" s="71"/>
      <c r="F250" s="71"/>
      <c r="G250" s="71"/>
      <c r="H250" s="71"/>
      <c r="I250" s="71"/>
      <c r="J250" s="71"/>
      <c r="K250" s="71"/>
      <c r="L250" s="71"/>
      <c r="M250" s="71"/>
      <c r="N250" s="71"/>
      <c r="O250" s="71"/>
      <c r="P250" s="71"/>
      <c r="Q250" s="71"/>
      <c r="R250" s="71"/>
      <c r="S250" s="71"/>
      <c r="T250" s="71"/>
      <c r="U250" s="71"/>
      <c r="V250" s="71"/>
      <c r="W250" s="71"/>
      <c r="X250" s="71"/>
      <c r="Y250" s="71"/>
      <c r="Z250" s="71"/>
      <c r="AA250" s="71"/>
      <c r="AB250" s="71"/>
      <c r="AC250" s="71"/>
      <c r="AD250" s="71"/>
      <c r="AE250" s="71"/>
      <c r="AF250" s="71"/>
      <c r="AG250" s="71"/>
      <c r="AH250" s="71"/>
      <c r="AI250" s="71"/>
      <c r="AJ250" s="71"/>
    </row>
    <row r="251" spans="2:36" x14ac:dyDescent="0.25">
      <c r="B251" s="71"/>
      <c r="C251" s="71"/>
      <c r="D251" s="71"/>
      <c r="E251" s="71"/>
      <c r="F251" s="71"/>
      <c r="G251" s="71"/>
      <c r="H251" s="71"/>
      <c r="I251" s="71"/>
      <c r="J251" s="71"/>
      <c r="K251" s="71"/>
      <c r="L251" s="71"/>
      <c r="M251" s="71"/>
      <c r="N251" s="71"/>
      <c r="O251" s="71"/>
      <c r="P251" s="71"/>
      <c r="Q251" s="71"/>
      <c r="R251" s="71"/>
      <c r="S251" s="71"/>
      <c r="T251" s="71"/>
      <c r="U251" s="71"/>
      <c r="V251" s="71"/>
      <c r="W251" s="71"/>
      <c r="X251" s="71"/>
      <c r="Y251" s="71"/>
      <c r="Z251" s="71"/>
      <c r="AA251" s="71"/>
      <c r="AB251" s="71"/>
      <c r="AC251" s="71"/>
      <c r="AD251" s="71"/>
      <c r="AE251" s="71"/>
      <c r="AF251" s="71"/>
      <c r="AG251" s="71"/>
      <c r="AH251" s="71"/>
      <c r="AI251" s="71"/>
      <c r="AJ251" s="71"/>
    </row>
    <row r="252" spans="2:36" x14ac:dyDescent="0.25">
      <c r="B252" s="71"/>
      <c r="C252" s="71"/>
      <c r="D252" s="71"/>
      <c r="E252" s="71"/>
      <c r="F252" s="71"/>
      <c r="G252" s="71"/>
      <c r="H252" s="71"/>
      <c r="I252" s="71"/>
      <c r="J252" s="71"/>
      <c r="K252" s="71"/>
      <c r="L252" s="71"/>
      <c r="M252" s="71"/>
      <c r="N252" s="71"/>
      <c r="O252" s="71"/>
      <c r="P252" s="71"/>
      <c r="Q252" s="71"/>
      <c r="R252" s="71"/>
      <c r="S252" s="71"/>
      <c r="T252" s="71"/>
      <c r="U252" s="71"/>
      <c r="V252" s="71"/>
      <c r="W252" s="71"/>
      <c r="X252" s="71"/>
      <c r="Y252" s="71"/>
      <c r="Z252" s="71"/>
      <c r="AA252" s="71"/>
      <c r="AB252" s="71"/>
      <c r="AC252" s="71"/>
      <c r="AD252" s="71"/>
      <c r="AE252" s="71"/>
      <c r="AF252" s="71"/>
      <c r="AG252" s="71"/>
      <c r="AH252" s="71"/>
      <c r="AI252" s="71"/>
      <c r="AJ252" s="71"/>
    </row>
    <row r="253" spans="2:36" x14ac:dyDescent="0.25">
      <c r="B253" s="71"/>
      <c r="C253" s="71"/>
      <c r="D253" s="71"/>
      <c r="E253" s="71"/>
      <c r="F253" s="71"/>
      <c r="G253" s="71"/>
      <c r="H253" s="71"/>
      <c r="I253" s="71"/>
      <c r="J253" s="71"/>
      <c r="K253" s="71"/>
      <c r="L253" s="71"/>
      <c r="M253" s="71"/>
      <c r="N253" s="71"/>
      <c r="O253" s="71"/>
      <c r="P253" s="71"/>
      <c r="Q253" s="71"/>
      <c r="R253" s="71"/>
      <c r="S253" s="71"/>
      <c r="T253" s="71"/>
      <c r="U253" s="71"/>
      <c r="V253" s="71"/>
      <c r="W253" s="71"/>
      <c r="X253" s="71"/>
      <c r="Y253" s="71"/>
      <c r="Z253" s="71"/>
      <c r="AA253" s="71"/>
      <c r="AB253" s="71"/>
      <c r="AC253" s="71"/>
      <c r="AD253" s="71"/>
      <c r="AE253" s="71"/>
      <c r="AF253" s="71"/>
      <c r="AG253" s="71"/>
      <c r="AH253" s="71"/>
      <c r="AI253" s="71"/>
      <c r="AJ253" s="71"/>
    </row>
    <row r="254" spans="2:36" x14ac:dyDescent="0.25">
      <c r="B254" s="71"/>
      <c r="C254" s="71"/>
      <c r="D254" s="71"/>
      <c r="E254" s="71"/>
      <c r="F254" s="71"/>
      <c r="G254" s="71"/>
      <c r="H254" s="71"/>
      <c r="I254" s="71"/>
      <c r="J254" s="71"/>
      <c r="K254" s="71"/>
      <c r="L254" s="71"/>
      <c r="M254" s="71"/>
      <c r="N254" s="71"/>
      <c r="O254" s="71"/>
      <c r="P254" s="71"/>
      <c r="Q254" s="71"/>
      <c r="R254" s="71"/>
      <c r="S254" s="71"/>
      <c r="T254" s="71"/>
      <c r="U254" s="71"/>
      <c r="V254" s="71"/>
      <c r="W254" s="71"/>
      <c r="X254" s="71"/>
      <c r="Y254" s="71"/>
      <c r="Z254" s="71"/>
      <c r="AA254" s="71"/>
      <c r="AB254" s="71"/>
      <c r="AC254" s="71"/>
      <c r="AD254" s="71"/>
      <c r="AE254" s="71"/>
      <c r="AF254" s="71"/>
      <c r="AG254" s="71"/>
      <c r="AH254" s="71"/>
      <c r="AI254" s="71"/>
      <c r="AJ254" s="71"/>
    </row>
    <row r="255" spans="2:36" x14ac:dyDescent="0.25">
      <c r="B255" s="71"/>
      <c r="C255" s="71"/>
      <c r="D255" s="71"/>
      <c r="E255" s="71"/>
      <c r="F255" s="71"/>
      <c r="G255" s="71"/>
      <c r="H255" s="71"/>
      <c r="I255" s="71"/>
      <c r="J255" s="71"/>
      <c r="K255" s="71"/>
      <c r="L255" s="71"/>
      <c r="M255" s="71"/>
      <c r="N255" s="71"/>
      <c r="O255" s="71"/>
      <c r="P255" s="71"/>
      <c r="Q255" s="71"/>
      <c r="R255" s="71"/>
      <c r="S255" s="71"/>
      <c r="T255" s="71"/>
      <c r="U255" s="71"/>
      <c r="V255" s="71"/>
      <c r="W255" s="71"/>
      <c r="X255" s="71"/>
      <c r="Y255" s="71"/>
      <c r="Z255" s="71"/>
      <c r="AA255" s="71"/>
      <c r="AB255" s="71"/>
      <c r="AC255" s="71"/>
      <c r="AD255" s="71"/>
      <c r="AE255" s="71"/>
      <c r="AF255" s="71"/>
      <c r="AG255" s="71"/>
      <c r="AH255" s="71"/>
      <c r="AI255" s="71"/>
      <c r="AJ255" s="71"/>
    </row>
    <row r="256" spans="2:36" x14ac:dyDescent="0.25">
      <c r="B256" s="71"/>
      <c r="C256" s="71"/>
      <c r="D256" s="71"/>
      <c r="E256" s="71"/>
      <c r="F256" s="71"/>
      <c r="G256" s="71"/>
      <c r="H256" s="71"/>
      <c r="I256" s="71"/>
      <c r="J256" s="71"/>
      <c r="K256" s="71"/>
      <c r="L256" s="71"/>
      <c r="M256" s="71"/>
      <c r="N256" s="71"/>
      <c r="O256" s="71"/>
      <c r="P256" s="71"/>
      <c r="Q256" s="71"/>
      <c r="R256" s="71"/>
      <c r="S256" s="71"/>
      <c r="T256" s="71"/>
      <c r="U256" s="71"/>
      <c r="V256" s="71"/>
      <c r="W256" s="71"/>
      <c r="X256" s="71"/>
      <c r="Y256" s="71"/>
      <c r="Z256" s="71"/>
      <c r="AA256" s="71"/>
      <c r="AB256" s="71"/>
      <c r="AC256" s="71"/>
      <c r="AD256" s="71"/>
      <c r="AE256" s="71"/>
      <c r="AF256" s="71"/>
      <c r="AG256" s="71"/>
      <c r="AH256" s="71"/>
      <c r="AI256" s="71"/>
      <c r="AJ256" s="71"/>
    </row>
    <row r="257" spans="2:36" x14ac:dyDescent="0.25">
      <c r="B257" s="71"/>
      <c r="C257" s="71"/>
      <c r="D257" s="71"/>
      <c r="E257" s="71"/>
      <c r="F257" s="71"/>
      <c r="G257" s="71"/>
      <c r="H257" s="71"/>
      <c r="I257" s="71"/>
      <c r="J257" s="71"/>
      <c r="K257" s="71"/>
      <c r="L257" s="71"/>
      <c r="M257" s="71"/>
      <c r="N257" s="71"/>
      <c r="O257" s="71"/>
      <c r="P257" s="71"/>
      <c r="Q257" s="71"/>
      <c r="R257" s="71"/>
      <c r="S257" s="71"/>
      <c r="T257" s="71"/>
      <c r="U257" s="71"/>
      <c r="V257" s="71"/>
      <c r="W257" s="71"/>
      <c r="X257" s="71"/>
      <c r="Y257" s="71"/>
      <c r="Z257" s="71"/>
      <c r="AA257" s="71"/>
      <c r="AB257" s="71"/>
      <c r="AC257" s="71"/>
      <c r="AD257" s="71"/>
      <c r="AE257" s="71"/>
      <c r="AF257" s="71"/>
      <c r="AG257" s="71"/>
      <c r="AH257" s="71"/>
      <c r="AI257" s="71"/>
      <c r="AJ257" s="71"/>
    </row>
    <row r="258" spans="2:36" x14ac:dyDescent="0.25">
      <c r="B258" s="71"/>
      <c r="C258" s="71"/>
      <c r="D258" s="71"/>
      <c r="E258" s="71"/>
      <c r="F258" s="71"/>
      <c r="G258" s="71"/>
      <c r="H258" s="71"/>
      <c r="I258" s="71"/>
      <c r="J258" s="71"/>
      <c r="K258" s="71"/>
      <c r="L258" s="71"/>
      <c r="M258" s="71"/>
      <c r="N258" s="71"/>
      <c r="O258" s="71"/>
      <c r="P258" s="71"/>
      <c r="Q258" s="71"/>
      <c r="R258" s="71"/>
      <c r="S258" s="71"/>
      <c r="T258" s="71"/>
      <c r="U258" s="71"/>
      <c r="V258" s="71"/>
      <c r="W258" s="71"/>
      <c r="X258" s="71"/>
      <c r="Y258" s="71"/>
      <c r="Z258" s="71"/>
      <c r="AA258" s="71"/>
      <c r="AB258" s="71"/>
      <c r="AC258" s="71"/>
      <c r="AD258" s="71"/>
      <c r="AE258" s="71"/>
      <c r="AF258" s="71"/>
      <c r="AG258" s="71"/>
      <c r="AH258" s="71"/>
      <c r="AI258" s="71"/>
      <c r="AJ258" s="71"/>
    </row>
    <row r="259" spans="2:36" x14ac:dyDescent="0.25">
      <c r="B259" s="71"/>
      <c r="C259" s="71"/>
      <c r="D259" s="71"/>
      <c r="E259" s="71"/>
      <c r="F259" s="71"/>
      <c r="G259" s="71"/>
      <c r="H259" s="71"/>
      <c r="I259" s="71"/>
      <c r="J259" s="71"/>
      <c r="K259" s="71"/>
      <c r="L259" s="71"/>
      <c r="M259" s="71"/>
      <c r="N259" s="71"/>
      <c r="O259" s="71"/>
      <c r="P259" s="71"/>
      <c r="Q259" s="71"/>
      <c r="R259" s="71"/>
      <c r="S259" s="71"/>
      <c r="T259" s="71"/>
      <c r="U259" s="71"/>
      <c r="V259" s="71"/>
      <c r="W259" s="71"/>
      <c r="X259" s="71"/>
      <c r="Y259" s="71"/>
      <c r="Z259" s="71"/>
      <c r="AA259" s="71"/>
      <c r="AB259" s="71"/>
      <c r="AC259" s="71"/>
      <c r="AD259" s="71"/>
      <c r="AE259" s="71"/>
      <c r="AF259" s="71"/>
      <c r="AG259" s="71"/>
      <c r="AH259" s="71"/>
      <c r="AI259" s="71"/>
      <c r="AJ259" s="71"/>
    </row>
    <row r="260" spans="2:36" x14ac:dyDescent="0.25">
      <c r="B260" s="71"/>
      <c r="C260" s="71"/>
      <c r="D260" s="71"/>
      <c r="E260" s="71"/>
      <c r="F260" s="71"/>
      <c r="G260" s="71"/>
      <c r="H260" s="71"/>
      <c r="I260" s="71"/>
      <c r="J260" s="71"/>
      <c r="K260" s="71"/>
      <c r="L260" s="71"/>
      <c r="M260" s="71"/>
      <c r="N260" s="71"/>
      <c r="O260" s="71"/>
      <c r="P260" s="71"/>
      <c r="Q260" s="71"/>
      <c r="R260" s="71"/>
      <c r="S260" s="71"/>
      <c r="T260" s="71"/>
      <c r="U260" s="71"/>
      <c r="V260" s="71"/>
      <c r="W260" s="71"/>
      <c r="X260" s="71"/>
      <c r="Y260" s="71"/>
      <c r="Z260" s="71"/>
      <c r="AA260" s="71"/>
      <c r="AB260" s="71"/>
      <c r="AC260" s="71"/>
      <c r="AD260" s="71"/>
      <c r="AE260" s="71"/>
      <c r="AF260" s="71"/>
      <c r="AG260" s="71"/>
      <c r="AH260" s="71"/>
      <c r="AI260" s="71"/>
      <c r="AJ260" s="71"/>
    </row>
    <row r="261" spans="2:36" x14ac:dyDescent="0.25">
      <c r="B261" s="71"/>
      <c r="C261" s="71"/>
      <c r="D261" s="71"/>
      <c r="E261" s="71"/>
      <c r="F261" s="71"/>
      <c r="G261" s="71"/>
      <c r="H261" s="71"/>
      <c r="I261" s="71"/>
      <c r="J261" s="71"/>
      <c r="K261" s="71"/>
      <c r="L261" s="71"/>
      <c r="M261" s="71"/>
      <c r="N261" s="71"/>
      <c r="O261" s="71"/>
      <c r="P261" s="71"/>
      <c r="Q261" s="71"/>
      <c r="R261" s="71"/>
      <c r="S261" s="71"/>
      <c r="T261" s="71"/>
      <c r="U261" s="71"/>
      <c r="V261" s="71"/>
      <c r="W261" s="71"/>
      <c r="X261" s="71"/>
      <c r="Y261" s="71"/>
      <c r="Z261" s="71"/>
      <c r="AA261" s="71"/>
      <c r="AB261" s="71"/>
      <c r="AC261" s="71"/>
      <c r="AD261" s="71"/>
      <c r="AE261" s="71"/>
      <c r="AF261" s="71"/>
      <c r="AG261" s="71"/>
      <c r="AH261" s="71"/>
      <c r="AI261" s="71"/>
      <c r="AJ261" s="71"/>
    </row>
    <row r="262" spans="2:36" x14ac:dyDescent="0.25">
      <c r="B262" s="71"/>
      <c r="C262" s="71"/>
      <c r="D262" s="71"/>
      <c r="E262" s="71"/>
      <c r="F262" s="71"/>
      <c r="G262" s="71"/>
      <c r="H262" s="71"/>
      <c r="I262" s="71"/>
      <c r="J262" s="71"/>
      <c r="K262" s="71"/>
      <c r="L262" s="71"/>
      <c r="M262" s="71"/>
      <c r="N262" s="71"/>
      <c r="O262" s="71"/>
      <c r="P262" s="71"/>
      <c r="Q262" s="71"/>
      <c r="R262" s="71"/>
      <c r="S262" s="71"/>
      <c r="T262" s="71"/>
      <c r="U262" s="71"/>
      <c r="V262" s="71"/>
      <c r="W262" s="71"/>
      <c r="X262" s="71"/>
      <c r="Y262" s="71"/>
      <c r="Z262" s="71"/>
      <c r="AA262" s="71"/>
      <c r="AB262" s="71"/>
      <c r="AC262" s="71"/>
      <c r="AD262" s="71"/>
      <c r="AE262" s="71"/>
      <c r="AF262" s="71"/>
      <c r="AG262" s="71"/>
      <c r="AH262" s="71"/>
      <c r="AI262" s="71"/>
      <c r="AJ262" s="71"/>
    </row>
    <row r="263" spans="2:36" x14ac:dyDescent="0.25">
      <c r="B263" s="71"/>
      <c r="C263" s="71"/>
      <c r="D263" s="71"/>
      <c r="E263" s="71"/>
      <c r="F263" s="71"/>
      <c r="G263" s="71"/>
      <c r="H263" s="71"/>
      <c r="I263" s="71"/>
      <c r="J263" s="71"/>
      <c r="K263" s="71"/>
      <c r="L263" s="71"/>
      <c r="M263" s="71"/>
      <c r="N263" s="71"/>
      <c r="O263" s="71"/>
      <c r="P263" s="71"/>
      <c r="Q263" s="71"/>
      <c r="R263" s="71"/>
      <c r="S263" s="71"/>
      <c r="T263" s="71"/>
      <c r="U263" s="71"/>
      <c r="V263" s="71"/>
      <c r="W263" s="71"/>
      <c r="X263" s="71"/>
      <c r="Y263" s="71"/>
      <c r="Z263" s="71"/>
      <c r="AA263" s="71"/>
      <c r="AB263" s="71"/>
      <c r="AC263" s="71"/>
      <c r="AD263" s="71"/>
      <c r="AE263" s="71"/>
      <c r="AF263" s="71"/>
      <c r="AG263" s="71"/>
      <c r="AH263" s="71"/>
      <c r="AI263" s="71"/>
      <c r="AJ263" s="71"/>
    </row>
    <row r="264" spans="2:36" x14ac:dyDescent="0.25">
      <c r="B264" s="71"/>
      <c r="C264" s="71"/>
      <c r="D264" s="71"/>
      <c r="E264" s="71"/>
      <c r="F264" s="71"/>
      <c r="G264" s="71"/>
      <c r="H264" s="71"/>
      <c r="I264" s="71"/>
      <c r="J264" s="71"/>
      <c r="K264" s="71"/>
      <c r="L264" s="71"/>
      <c r="M264" s="71"/>
      <c r="N264" s="71"/>
      <c r="O264" s="71"/>
      <c r="P264" s="71"/>
      <c r="Q264" s="71"/>
      <c r="R264" s="71"/>
      <c r="S264" s="71"/>
      <c r="T264" s="71"/>
      <c r="U264" s="71"/>
      <c r="V264" s="71"/>
      <c r="W264" s="71"/>
      <c r="X264" s="71"/>
      <c r="Y264" s="71"/>
      <c r="Z264" s="71"/>
      <c r="AA264" s="71"/>
      <c r="AB264" s="71"/>
      <c r="AC264" s="71"/>
      <c r="AD264" s="71"/>
      <c r="AE264" s="71"/>
      <c r="AF264" s="71"/>
      <c r="AG264" s="71"/>
      <c r="AH264" s="71"/>
      <c r="AI264" s="71"/>
      <c r="AJ264" s="71"/>
    </row>
    <row r="265" spans="2:36" x14ac:dyDescent="0.25">
      <c r="B265" s="71"/>
      <c r="C265" s="71"/>
      <c r="D265" s="71"/>
      <c r="E265" s="71"/>
      <c r="F265" s="71"/>
      <c r="G265" s="71"/>
      <c r="H265" s="71"/>
      <c r="I265" s="71"/>
      <c r="J265" s="71"/>
      <c r="K265" s="71"/>
      <c r="L265" s="71"/>
      <c r="M265" s="71"/>
      <c r="N265" s="71"/>
      <c r="O265" s="71"/>
      <c r="P265" s="71"/>
      <c r="Q265" s="71"/>
      <c r="R265" s="71"/>
      <c r="S265" s="71"/>
      <c r="T265" s="71"/>
      <c r="U265" s="71"/>
      <c r="V265" s="71"/>
      <c r="W265" s="71"/>
      <c r="X265" s="71"/>
      <c r="Y265" s="71"/>
      <c r="Z265" s="71"/>
      <c r="AA265" s="71"/>
      <c r="AB265" s="71"/>
      <c r="AC265" s="71"/>
      <c r="AD265" s="71"/>
      <c r="AE265" s="71"/>
      <c r="AF265" s="71"/>
      <c r="AG265" s="71"/>
      <c r="AH265" s="71"/>
      <c r="AI265" s="71"/>
      <c r="AJ265" s="71"/>
    </row>
    <row r="266" spans="2:36" x14ac:dyDescent="0.25">
      <c r="B266" s="71"/>
      <c r="C266" s="71"/>
      <c r="D266" s="71"/>
      <c r="E266" s="71"/>
      <c r="F266" s="71"/>
      <c r="G266" s="71"/>
      <c r="H266" s="71"/>
      <c r="I266" s="71"/>
      <c r="J266" s="71"/>
      <c r="K266" s="71"/>
      <c r="L266" s="71"/>
      <c r="M266" s="71"/>
      <c r="N266" s="71"/>
      <c r="O266" s="71"/>
      <c r="P266" s="71"/>
      <c r="Q266" s="71"/>
      <c r="R266" s="71"/>
      <c r="S266" s="71"/>
      <c r="T266" s="71"/>
      <c r="U266" s="71"/>
      <c r="V266" s="71"/>
      <c r="W266" s="71"/>
      <c r="X266" s="71"/>
      <c r="Y266" s="71"/>
      <c r="Z266" s="71"/>
      <c r="AA266" s="71"/>
      <c r="AB266" s="71"/>
      <c r="AC266" s="71"/>
      <c r="AD266" s="71"/>
      <c r="AE266" s="71"/>
      <c r="AF266" s="71"/>
      <c r="AG266" s="71"/>
      <c r="AH266" s="71"/>
      <c r="AI266" s="71"/>
      <c r="AJ266" s="71"/>
    </row>
    <row r="267" spans="2:36" x14ac:dyDescent="0.25">
      <c r="B267" s="71"/>
      <c r="C267" s="71"/>
      <c r="D267" s="71"/>
      <c r="E267" s="71"/>
      <c r="F267" s="71"/>
      <c r="G267" s="71"/>
      <c r="H267" s="71"/>
      <c r="I267" s="71"/>
      <c r="J267" s="71"/>
      <c r="K267" s="71"/>
      <c r="L267" s="71"/>
      <c r="M267" s="71"/>
      <c r="N267" s="71"/>
      <c r="O267" s="71"/>
      <c r="P267" s="71"/>
      <c r="Q267" s="71"/>
      <c r="R267" s="71"/>
      <c r="S267" s="71"/>
      <c r="T267" s="71"/>
      <c r="U267" s="71"/>
      <c r="V267" s="71"/>
      <c r="W267" s="71"/>
      <c r="X267" s="71"/>
      <c r="Y267" s="71"/>
      <c r="Z267" s="71"/>
      <c r="AA267" s="71"/>
      <c r="AB267" s="71"/>
      <c r="AC267" s="71"/>
      <c r="AD267" s="71"/>
      <c r="AE267" s="71"/>
      <c r="AF267" s="71"/>
      <c r="AG267" s="71"/>
      <c r="AH267" s="71"/>
      <c r="AI267" s="71"/>
      <c r="AJ267" s="71"/>
    </row>
    <row r="268" spans="2:36" x14ac:dyDescent="0.25">
      <c r="B268" s="71"/>
      <c r="C268" s="71"/>
      <c r="D268" s="71"/>
      <c r="E268" s="71"/>
      <c r="F268" s="71"/>
      <c r="G268" s="71"/>
      <c r="H268" s="71"/>
      <c r="I268" s="71"/>
      <c r="J268" s="71"/>
      <c r="K268" s="71"/>
      <c r="L268" s="71"/>
      <c r="M268" s="71"/>
      <c r="N268" s="71"/>
      <c r="O268" s="71"/>
      <c r="P268" s="71"/>
      <c r="Q268" s="71"/>
      <c r="R268" s="71"/>
      <c r="S268" s="71"/>
      <c r="T268" s="71"/>
      <c r="U268" s="71"/>
      <c r="V268" s="71"/>
      <c r="W268" s="71"/>
      <c r="X268" s="71"/>
      <c r="Y268" s="71"/>
      <c r="Z268" s="71"/>
      <c r="AA268" s="71"/>
      <c r="AB268" s="71"/>
      <c r="AC268" s="71"/>
      <c r="AD268" s="71"/>
      <c r="AE268" s="71"/>
      <c r="AF268" s="71"/>
      <c r="AG268" s="71"/>
      <c r="AH268" s="71"/>
      <c r="AI268" s="71"/>
      <c r="AJ268" s="71"/>
    </row>
    <row r="269" spans="2:36" x14ac:dyDescent="0.25">
      <c r="B269" s="71"/>
      <c r="C269" s="71"/>
      <c r="D269" s="71"/>
      <c r="E269" s="71"/>
      <c r="F269" s="71"/>
      <c r="G269" s="71"/>
      <c r="H269" s="71"/>
      <c r="I269" s="71"/>
      <c r="J269" s="71"/>
      <c r="K269" s="71"/>
      <c r="L269" s="71"/>
      <c r="M269" s="71"/>
      <c r="N269" s="71"/>
      <c r="O269" s="71"/>
      <c r="P269" s="71"/>
      <c r="Q269" s="71"/>
      <c r="R269" s="71"/>
      <c r="S269" s="71"/>
      <c r="T269" s="71"/>
      <c r="U269" s="71"/>
      <c r="V269" s="71"/>
      <c r="W269" s="71"/>
      <c r="X269" s="71"/>
      <c r="Y269" s="71"/>
      <c r="Z269" s="71"/>
      <c r="AA269" s="71"/>
      <c r="AB269" s="71"/>
      <c r="AC269" s="71"/>
      <c r="AD269" s="71"/>
      <c r="AE269" s="71"/>
      <c r="AF269" s="71"/>
      <c r="AG269" s="71"/>
      <c r="AH269" s="71"/>
      <c r="AI269" s="71"/>
      <c r="AJ269" s="71"/>
    </row>
    <row r="270" spans="2:36" x14ac:dyDescent="0.25">
      <c r="B270" s="71"/>
      <c r="C270" s="71"/>
      <c r="D270" s="71"/>
      <c r="E270" s="71"/>
      <c r="F270" s="71"/>
      <c r="G270" s="71"/>
      <c r="H270" s="71"/>
      <c r="I270" s="71"/>
      <c r="J270" s="71"/>
      <c r="K270" s="71"/>
      <c r="L270" s="71"/>
      <c r="M270" s="71"/>
      <c r="N270" s="71"/>
      <c r="O270" s="71"/>
      <c r="P270" s="71"/>
      <c r="Q270" s="71"/>
      <c r="R270" s="71"/>
      <c r="S270" s="71"/>
      <c r="T270" s="71"/>
      <c r="U270" s="71"/>
      <c r="V270" s="71"/>
      <c r="W270" s="71"/>
      <c r="X270" s="71"/>
      <c r="Y270" s="71"/>
      <c r="Z270" s="71"/>
      <c r="AA270" s="71"/>
      <c r="AB270" s="71"/>
      <c r="AC270" s="71"/>
      <c r="AD270" s="71"/>
      <c r="AE270" s="71"/>
      <c r="AF270" s="71"/>
      <c r="AG270" s="71"/>
      <c r="AH270" s="71"/>
      <c r="AI270" s="71"/>
      <c r="AJ270" s="71"/>
    </row>
    <row r="271" spans="2:36" x14ac:dyDescent="0.25">
      <c r="B271" s="71"/>
      <c r="C271" s="71"/>
      <c r="D271" s="71"/>
      <c r="E271" s="71"/>
      <c r="F271" s="71"/>
      <c r="G271" s="71"/>
      <c r="H271" s="71"/>
      <c r="I271" s="71"/>
      <c r="J271" s="71"/>
      <c r="K271" s="71"/>
      <c r="L271" s="71"/>
      <c r="M271" s="71"/>
      <c r="N271" s="71"/>
      <c r="O271" s="71"/>
      <c r="P271" s="71"/>
      <c r="Q271" s="71"/>
      <c r="R271" s="71"/>
      <c r="S271" s="71"/>
      <c r="T271" s="71"/>
      <c r="U271" s="71"/>
      <c r="V271" s="71"/>
      <c r="W271" s="71"/>
      <c r="X271" s="71"/>
      <c r="Y271" s="71"/>
      <c r="Z271" s="71"/>
      <c r="AA271" s="71"/>
      <c r="AB271" s="71"/>
      <c r="AC271" s="71"/>
      <c r="AD271" s="71"/>
      <c r="AE271" s="71"/>
      <c r="AF271" s="71"/>
      <c r="AG271" s="71"/>
      <c r="AH271" s="71"/>
      <c r="AI271" s="71"/>
      <c r="AJ271" s="71"/>
    </row>
    <row r="272" spans="2:36" x14ac:dyDescent="0.25">
      <c r="B272" s="71"/>
      <c r="C272" s="71"/>
      <c r="D272" s="71"/>
      <c r="E272" s="71"/>
      <c r="F272" s="71"/>
      <c r="G272" s="71"/>
      <c r="H272" s="71"/>
      <c r="I272" s="71"/>
      <c r="J272" s="71"/>
      <c r="K272" s="71"/>
      <c r="L272" s="71"/>
      <c r="M272" s="71"/>
      <c r="N272" s="71"/>
      <c r="O272" s="71"/>
      <c r="P272" s="71"/>
      <c r="Q272" s="71"/>
      <c r="R272" s="71"/>
      <c r="S272" s="71"/>
      <c r="T272" s="71"/>
      <c r="U272" s="71"/>
      <c r="V272" s="71"/>
      <c r="W272" s="71"/>
      <c r="X272" s="71"/>
      <c r="Y272" s="71"/>
      <c r="Z272" s="71"/>
      <c r="AA272" s="71"/>
      <c r="AB272" s="71"/>
      <c r="AC272" s="71"/>
      <c r="AD272" s="71"/>
      <c r="AE272" s="71"/>
      <c r="AF272" s="71"/>
      <c r="AG272" s="71"/>
      <c r="AH272" s="71"/>
      <c r="AI272" s="71"/>
      <c r="AJ272" s="71"/>
    </row>
    <row r="273" spans="2:36" x14ac:dyDescent="0.25">
      <c r="B273" s="71"/>
      <c r="C273" s="71"/>
      <c r="D273" s="71"/>
      <c r="E273" s="71"/>
      <c r="F273" s="71"/>
      <c r="G273" s="71"/>
      <c r="H273" s="71"/>
      <c r="I273" s="71"/>
      <c r="J273" s="71"/>
      <c r="K273" s="71"/>
      <c r="L273" s="71"/>
      <c r="M273" s="71"/>
      <c r="N273" s="71"/>
      <c r="O273" s="71"/>
      <c r="P273" s="71"/>
      <c r="Q273" s="71"/>
      <c r="R273" s="71"/>
      <c r="S273" s="71"/>
      <c r="T273" s="71"/>
      <c r="U273" s="71"/>
      <c r="V273" s="71"/>
      <c r="W273" s="71"/>
      <c r="X273" s="71"/>
      <c r="Y273" s="71"/>
      <c r="Z273" s="71"/>
      <c r="AA273" s="71"/>
      <c r="AB273" s="71"/>
      <c r="AC273" s="71"/>
      <c r="AD273" s="71"/>
      <c r="AE273" s="71"/>
      <c r="AF273" s="71"/>
      <c r="AG273" s="71"/>
      <c r="AH273" s="71"/>
      <c r="AI273" s="71"/>
      <c r="AJ273" s="71"/>
    </row>
    <row r="274" spans="2:36" x14ac:dyDescent="0.25">
      <c r="B274" s="71"/>
      <c r="C274" s="71"/>
      <c r="D274" s="71"/>
      <c r="E274" s="71"/>
      <c r="F274" s="71"/>
      <c r="G274" s="71"/>
      <c r="H274" s="71"/>
      <c r="I274" s="71"/>
      <c r="J274" s="71"/>
      <c r="K274" s="71"/>
      <c r="L274" s="71"/>
      <c r="M274" s="71"/>
      <c r="N274" s="71"/>
      <c r="O274" s="71"/>
      <c r="P274" s="71"/>
      <c r="Q274" s="71"/>
      <c r="R274" s="71"/>
      <c r="S274" s="71"/>
      <c r="T274" s="71"/>
      <c r="U274" s="71"/>
      <c r="V274" s="71"/>
      <c r="W274" s="71"/>
      <c r="X274" s="71"/>
      <c r="Y274" s="71"/>
      <c r="Z274" s="71"/>
      <c r="AA274" s="71"/>
      <c r="AB274" s="71"/>
      <c r="AC274" s="71"/>
      <c r="AD274" s="71"/>
      <c r="AE274" s="71"/>
      <c r="AF274" s="71"/>
      <c r="AG274" s="71"/>
      <c r="AH274" s="71"/>
      <c r="AI274" s="71"/>
      <c r="AJ274" s="71"/>
    </row>
    <row r="275" spans="2:36" x14ac:dyDescent="0.25">
      <c r="B275" s="71"/>
      <c r="C275" s="71"/>
      <c r="D275" s="71"/>
      <c r="E275" s="71"/>
      <c r="F275" s="71"/>
      <c r="G275" s="71"/>
      <c r="H275" s="71"/>
      <c r="I275" s="71"/>
      <c r="J275" s="71"/>
      <c r="K275" s="71"/>
      <c r="L275" s="71"/>
      <c r="M275" s="71"/>
      <c r="N275" s="71"/>
      <c r="O275" s="71"/>
      <c r="P275" s="71"/>
      <c r="Q275" s="71"/>
      <c r="R275" s="71"/>
      <c r="S275" s="71"/>
      <c r="T275" s="71"/>
      <c r="U275" s="71"/>
      <c r="V275" s="71"/>
      <c r="W275" s="71"/>
      <c r="X275" s="71"/>
      <c r="Y275" s="71"/>
      <c r="Z275" s="71"/>
      <c r="AA275" s="71"/>
      <c r="AB275" s="71"/>
      <c r="AC275" s="71"/>
      <c r="AD275" s="71"/>
      <c r="AE275" s="71"/>
      <c r="AF275" s="71"/>
      <c r="AG275" s="71"/>
      <c r="AH275" s="71"/>
      <c r="AI275" s="71"/>
      <c r="AJ275" s="71"/>
    </row>
    <row r="276" spans="2:36" x14ac:dyDescent="0.25">
      <c r="B276" s="71"/>
      <c r="C276" s="71"/>
      <c r="D276" s="71"/>
      <c r="E276" s="71"/>
      <c r="F276" s="71"/>
      <c r="G276" s="71"/>
      <c r="H276" s="71"/>
      <c r="I276" s="71"/>
      <c r="J276" s="71"/>
      <c r="K276" s="71"/>
      <c r="L276" s="71"/>
      <c r="M276" s="71"/>
      <c r="N276" s="71"/>
      <c r="O276" s="71"/>
      <c r="P276" s="71"/>
      <c r="Q276" s="71"/>
      <c r="R276" s="71"/>
      <c r="S276" s="71"/>
      <c r="T276" s="71"/>
      <c r="U276" s="71"/>
      <c r="V276" s="71"/>
      <c r="W276" s="71"/>
      <c r="X276" s="71"/>
      <c r="Y276" s="71"/>
      <c r="Z276" s="71"/>
      <c r="AA276" s="71"/>
      <c r="AB276" s="71"/>
      <c r="AC276" s="71"/>
      <c r="AD276" s="71"/>
      <c r="AE276" s="71"/>
      <c r="AF276" s="71"/>
      <c r="AG276" s="71"/>
      <c r="AH276" s="71"/>
      <c r="AI276" s="71"/>
      <c r="AJ276" s="71"/>
    </row>
    <row r="277" spans="2:36" x14ac:dyDescent="0.25">
      <c r="B277" s="71"/>
      <c r="C277" s="71"/>
      <c r="D277" s="71"/>
      <c r="E277" s="71"/>
      <c r="F277" s="71"/>
      <c r="G277" s="71"/>
      <c r="H277" s="71"/>
      <c r="I277" s="71"/>
      <c r="J277" s="71"/>
      <c r="K277" s="71"/>
      <c r="L277" s="71"/>
      <c r="M277" s="71"/>
      <c r="N277" s="71"/>
      <c r="O277" s="71"/>
      <c r="P277" s="71"/>
      <c r="Q277" s="71"/>
      <c r="R277" s="71"/>
      <c r="S277" s="71"/>
      <c r="T277" s="71"/>
      <c r="U277" s="71"/>
      <c r="V277" s="71"/>
      <c r="W277" s="71"/>
      <c r="X277" s="71"/>
      <c r="Y277" s="71"/>
      <c r="Z277" s="71"/>
      <c r="AA277" s="71"/>
      <c r="AB277" s="71"/>
      <c r="AC277" s="71"/>
      <c r="AD277" s="71"/>
      <c r="AE277" s="71"/>
      <c r="AF277" s="71"/>
      <c r="AG277" s="71"/>
      <c r="AH277" s="71"/>
      <c r="AI277" s="71"/>
      <c r="AJ277" s="71"/>
    </row>
    <row r="278" spans="2:36" x14ac:dyDescent="0.25">
      <c r="B278" s="71"/>
      <c r="C278" s="71"/>
      <c r="D278" s="71"/>
      <c r="E278" s="71"/>
      <c r="F278" s="71"/>
      <c r="G278" s="71"/>
      <c r="H278" s="71"/>
      <c r="I278" s="71"/>
      <c r="J278" s="71"/>
      <c r="K278" s="71"/>
      <c r="L278" s="71"/>
      <c r="M278" s="71"/>
      <c r="N278" s="71"/>
      <c r="O278" s="71"/>
      <c r="P278" s="71"/>
      <c r="Q278" s="71"/>
      <c r="R278" s="71"/>
      <c r="S278" s="71"/>
      <c r="T278" s="71"/>
      <c r="U278" s="71"/>
      <c r="V278" s="71"/>
      <c r="W278" s="71"/>
      <c r="X278" s="71"/>
      <c r="Y278" s="71"/>
      <c r="Z278" s="71"/>
      <c r="AA278" s="71"/>
      <c r="AB278" s="71"/>
      <c r="AC278" s="71"/>
      <c r="AD278" s="71"/>
      <c r="AE278" s="71"/>
      <c r="AF278" s="71"/>
      <c r="AG278" s="71"/>
      <c r="AH278" s="71"/>
      <c r="AI278" s="71"/>
      <c r="AJ278" s="71"/>
    </row>
    <row r="279" spans="2:36" x14ac:dyDescent="0.25">
      <c r="B279" s="71"/>
      <c r="C279" s="71"/>
      <c r="D279" s="71"/>
      <c r="E279" s="71"/>
      <c r="F279" s="71"/>
      <c r="G279" s="71"/>
      <c r="H279" s="71"/>
      <c r="I279" s="71"/>
      <c r="J279" s="71"/>
      <c r="K279" s="71"/>
      <c r="L279" s="71"/>
      <c r="M279" s="71"/>
      <c r="N279" s="71"/>
      <c r="O279" s="71"/>
      <c r="P279" s="71"/>
      <c r="Q279" s="71"/>
      <c r="R279" s="71"/>
      <c r="S279" s="71"/>
      <c r="T279" s="71"/>
      <c r="U279" s="71"/>
      <c r="V279" s="71"/>
      <c r="W279" s="71"/>
      <c r="X279" s="71"/>
      <c r="Y279" s="71"/>
      <c r="Z279" s="71"/>
      <c r="AA279" s="71"/>
      <c r="AB279" s="71"/>
      <c r="AC279" s="71"/>
      <c r="AD279" s="71"/>
      <c r="AE279" s="71"/>
      <c r="AF279" s="71"/>
      <c r="AG279" s="71"/>
      <c r="AH279" s="71"/>
      <c r="AI279" s="71"/>
      <c r="AJ279" s="71"/>
    </row>
    <row r="280" spans="2:36" x14ac:dyDescent="0.25">
      <c r="B280" s="71"/>
      <c r="C280" s="71"/>
      <c r="D280" s="71"/>
      <c r="E280" s="71"/>
      <c r="F280" s="71"/>
      <c r="G280" s="71"/>
      <c r="H280" s="71"/>
      <c r="I280" s="71"/>
      <c r="J280" s="71"/>
      <c r="K280" s="71"/>
      <c r="L280" s="71"/>
      <c r="M280" s="71"/>
      <c r="N280" s="71"/>
      <c r="O280" s="71"/>
      <c r="P280" s="71"/>
      <c r="Q280" s="71"/>
      <c r="R280" s="71"/>
      <c r="S280" s="71"/>
      <c r="T280" s="71"/>
      <c r="U280" s="71"/>
      <c r="V280" s="71"/>
      <c r="W280" s="71"/>
      <c r="X280" s="71"/>
      <c r="Y280" s="71"/>
      <c r="Z280" s="71"/>
      <c r="AA280" s="71"/>
      <c r="AB280" s="71"/>
      <c r="AC280" s="71"/>
      <c r="AD280" s="71"/>
      <c r="AE280" s="71"/>
      <c r="AF280" s="71"/>
      <c r="AG280" s="71"/>
      <c r="AH280" s="71"/>
      <c r="AI280" s="71"/>
      <c r="AJ280" s="71"/>
    </row>
    <row r="281" spans="2:36" x14ac:dyDescent="0.25">
      <c r="B281" s="71"/>
      <c r="C281" s="71"/>
      <c r="D281" s="71"/>
      <c r="E281" s="71"/>
      <c r="F281" s="71"/>
      <c r="G281" s="71"/>
      <c r="H281" s="71"/>
      <c r="I281" s="71"/>
      <c r="J281" s="71"/>
      <c r="K281" s="71"/>
      <c r="L281" s="71"/>
      <c r="M281" s="71"/>
      <c r="N281" s="71"/>
      <c r="O281" s="71"/>
      <c r="P281" s="71"/>
      <c r="Q281" s="71"/>
      <c r="R281" s="71"/>
      <c r="S281" s="71"/>
      <c r="T281" s="71"/>
      <c r="U281" s="71"/>
      <c r="V281" s="71"/>
      <c r="W281" s="71"/>
      <c r="X281" s="71"/>
      <c r="Y281" s="71"/>
      <c r="Z281" s="71"/>
      <c r="AA281" s="71"/>
      <c r="AB281" s="71"/>
      <c r="AC281" s="71"/>
      <c r="AD281" s="71"/>
      <c r="AE281" s="71"/>
      <c r="AF281" s="71"/>
      <c r="AG281" s="71"/>
      <c r="AH281" s="71"/>
      <c r="AI281" s="71"/>
      <c r="AJ281" s="71"/>
    </row>
    <row r="282" spans="2:36" x14ac:dyDescent="0.25">
      <c r="B282" s="71"/>
      <c r="C282" s="71"/>
      <c r="D282" s="71"/>
      <c r="E282" s="71"/>
      <c r="F282" s="71"/>
      <c r="G282" s="71"/>
      <c r="H282" s="71"/>
      <c r="I282" s="71"/>
      <c r="J282" s="71"/>
      <c r="K282" s="71"/>
      <c r="L282" s="71"/>
      <c r="M282" s="71"/>
      <c r="N282" s="71"/>
      <c r="O282" s="71"/>
      <c r="P282" s="71"/>
      <c r="Q282" s="71"/>
      <c r="R282" s="71"/>
      <c r="S282" s="71"/>
      <c r="T282" s="71"/>
      <c r="U282" s="71"/>
      <c r="V282" s="71"/>
      <c r="W282" s="71"/>
      <c r="X282" s="71"/>
      <c r="Y282" s="71"/>
      <c r="Z282" s="71"/>
      <c r="AA282" s="71"/>
      <c r="AB282" s="71"/>
      <c r="AC282" s="71"/>
      <c r="AD282" s="71"/>
      <c r="AE282" s="71"/>
      <c r="AF282" s="71"/>
      <c r="AG282" s="71"/>
      <c r="AH282" s="71"/>
      <c r="AI282" s="71"/>
      <c r="AJ282" s="71"/>
    </row>
    <row r="283" spans="2:36" x14ac:dyDescent="0.25">
      <c r="B283" s="71"/>
      <c r="C283" s="71"/>
      <c r="D283" s="71"/>
      <c r="E283" s="71"/>
      <c r="F283" s="71"/>
      <c r="G283" s="71"/>
      <c r="H283" s="71"/>
      <c r="I283" s="71"/>
      <c r="J283" s="71"/>
      <c r="K283" s="71"/>
      <c r="L283" s="71"/>
      <c r="M283" s="71"/>
      <c r="N283" s="71"/>
      <c r="O283" s="71"/>
      <c r="P283" s="71"/>
      <c r="Q283" s="71"/>
      <c r="R283" s="71"/>
      <c r="S283" s="71"/>
      <c r="T283" s="71"/>
      <c r="U283" s="71"/>
      <c r="V283" s="71"/>
      <c r="W283" s="71"/>
      <c r="X283" s="71"/>
      <c r="Y283" s="71"/>
      <c r="Z283" s="71"/>
      <c r="AA283" s="71"/>
      <c r="AB283" s="71"/>
      <c r="AC283" s="71"/>
      <c r="AD283" s="71"/>
      <c r="AE283" s="71"/>
      <c r="AF283" s="71"/>
      <c r="AG283" s="71"/>
      <c r="AH283" s="71"/>
      <c r="AI283" s="71"/>
      <c r="AJ283" s="71"/>
    </row>
    <row r="284" spans="2:36" x14ac:dyDescent="0.25">
      <c r="B284" s="71"/>
      <c r="C284" s="71"/>
      <c r="D284" s="71"/>
      <c r="E284" s="71"/>
      <c r="F284" s="71"/>
      <c r="G284" s="71"/>
      <c r="H284" s="71"/>
      <c r="I284" s="71"/>
      <c r="J284" s="71"/>
      <c r="K284" s="71"/>
      <c r="L284" s="71"/>
      <c r="M284" s="71"/>
      <c r="N284" s="71"/>
      <c r="O284" s="71"/>
      <c r="P284" s="71"/>
      <c r="Q284" s="71"/>
      <c r="R284" s="71"/>
      <c r="S284" s="71"/>
      <c r="T284" s="71"/>
      <c r="U284" s="71"/>
      <c r="V284" s="71"/>
      <c r="W284" s="71"/>
      <c r="X284" s="71"/>
      <c r="Y284" s="71"/>
      <c r="Z284" s="71"/>
      <c r="AA284" s="71"/>
      <c r="AB284" s="71"/>
      <c r="AC284" s="71"/>
      <c r="AD284" s="71"/>
      <c r="AE284" s="71"/>
      <c r="AF284" s="71"/>
      <c r="AG284" s="71"/>
      <c r="AH284" s="71"/>
      <c r="AI284" s="71"/>
      <c r="AJ284" s="71"/>
    </row>
    <row r="285" spans="2:36" x14ac:dyDescent="0.25">
      <c r="B285" s="71"/>
      <c r="C285" s="71"/>
      <c r="D285" s="71"/>
      <c r="E285" s="71"/>
      <c r="F285" s="71"/>
      <c r="G285" s="71"/>
      <c r="H285" s="71"/>
      <c r="I285" s="71"/>
      <c r="J285" s="71"/>
      <c r="K285" s="71"/>
      <c r="L285" s="71"/>
      <c r="M285" s="71"/>
      <c r="N285" s="71"/>
      <c r="O285" s="71"/>
      <c r="P285" s="71"/>
      <c r="Q285" s="71"/>
      <c r="R285" s="71"/>
      <c r="S285" s="71"/>
      <c r="T285" s="71"/>
      <c r="U285" s="71"/>
      <c r="V285" s="71"/>
      <c r="W285" s="71"/>
      <c r="X285" s="71"/>
      <c r="Y285" s="71"/>
      <c r="Z285" s="71"/>
      <c r="AA285" s="71"/>
      <c r="AB285" s="71"/>
      <c r="AC285" s="71"/>
      <c r="AD285" s="71"/>
      <c r="AE285" s="71"/>
      <c r="AF285" s="71"/>
      <c r="AG285" s="71"/>
      <c r="AH285" s="71"/>
      <c r="AI285" s="71"/>
      <c r="AJ285" s="71"/>
    </row>
    <row r="286" spans="2:36" x14ac:dyDescent="0.25">
      <c r="B286" s="71"/>
      <c r="C286" s="71"/>
      <c r="D286" s="71"/>
      <c r="E286" s="71"/>
      <c r="F286" s="71"/>
      <c r="G286" s="71"/>
      <c r="H286" s="71"/>
      <c r="I286" s="71"/>
      <c r="J286" s="71"/>
      <c r="K286" s="71"/>
      <c r="L286" s="71"/>
      <c r="M286" s="71"/>
      <c r="N286" s="71"/>
      <c r="O286" s="71"/>
      <c r="P286" s="71"/>
      <c r="Q286" s="71"/>
      <c r="R286" s="71"/>
      <c r="S286" s="71"/>
      <c r="T286" s="71"/>
      <c r="U286" s="71"/>
      <c r="V286" s="71"/>
      <c r="W286" s="71"/>
      <c r="X286" s="71"/>
      <c r="Y286" s="71"/>
      <c r="Z286" s="71"/>
      <c r="AA286" s="71"/>
      <c r="AB286" s="71"/>
      <c r="AC286" s="71"/>
      <c r="AD286" s="71"/>
      <c r="AE286" s="71"/>
      <c r="AF286" s="71"/>
      <c r="AG286" s="71"/>
      <c r="AH286" s="71"/>
      <c r="AI286" s="71"/>
      <c r="AJ286" s="71"/>
    </row>
    <row r="287" spans="2:36" x14ac:dyDescent="0.25">
      <c r="B287" s="71"/>
      <c r="C287" s="71"/>
      <c r="D287" s="71"/>
      <c r="E287" s="71"/>
      <c r="F287" s="71"/>
      <c r="G287" s="71"/>
      <c r="H287" s="71"/>
      <c r="I287" s="71"/>
      <c r="J287" s="71"/>
      <c r="K287" s="71"/>
      <c r="L287" s="71"/>
      <c r="M287" s="71"/>
      <c r="N287" s="71"/>
      <c r="O287" s="71"/>
      <c r="P287" s="71"/>
      <c r="Q287" s="71"/>
      <c r="R287" s="71"/>
      <c r="S287" s="71"/>
      <c r="T287" s="71"/>
      <c r="U287" s="71"/>
      <c r="V287" s="71"/>
      <c r="W287" s="71"/>
      <c r="X287" s="71"/>
      <c r="Y287" s="71"/>
      <c r="Z287" s="71"/>
      <c r="AA287" s="71"/>
      <c r="AB287" s="71"/>
      <c r="AC287" s="71"/>
      <c r="AD287" s="71"/>
      <c r="AE287" s="71"/>
      <c r="AF287" s="71"/>
      <c r="AG287" s="71"/>
      <c r="AH287" s="71"/>
      <c r="AI287" s="71"/>
      <c r="AJ287" s="71"/>
    </row>
  </sheetData>
  <conditionalFormatting sqref="A19">
    <cfRule type="duplicateValues" dxfId="14" priority="1"/>
  </conditionalFormatting>
  <pageMargins left="0.7" right="0.7" top="0.78740157499999996" bottom="0.78740157499999996" header="0.3" footer="0.3"/>
  <pageSetup paperSize="9" orientation="portrait" r:id="rId1"/>
  <tableParts count="1">
    <tablePart r:id="rId2"/>
  </tableParts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4"/>
  <sheetViews>
    <sheetView workbookViewId="0">
      <selection sqref="A1:D34"/>
    </sheetView>
  </sheetViews>
  <sheetFormatPr defaultColWidth="11.42578125" defaultRowHeight="15" x14ac:dyDescent="0.25"/>
  <cols>
    <col min="1" max="1" width="17.28515625" bestFit="1" customWidth="1"/>
    <col min="2" max="2" width="14.5703125" bestFit="1" customWidth="1"/>
    <col min="3" max="3" width="81.140625" bestFit="1" customWidth="1"/>
    <col min="4" max="4" width="30.28515625" bestFit="1" customWidth="1"/>
  </cols>
  <sheetData>
    <row r="1" spans="1:4" x14ac:dyDescent="0.25">
      <c r="A1" s="66" t="s">
        <v>59</v>
      </c>
      <c r="B1" s="66" t="s">
        <v>3297</v>
      </c>
      <c r="C1" s="66" t="s">
        <v>2564</v>
      </c>
      <c r="D1" s="66" t="s">
        <v>2523</v>
      </c>
    </row>
    <row r="2" spans="1:4" x14ac:dyDescent="0.25">
      <c r="A2" s="66">
        <v>1003215</v>
      </c>
      <c r="B2" s="66" t="s">
        <v>3297</v>
      </c>
      <c r="C2" s="66" t="s">
        <v>1550</v>
      </c>
      <c r="D2" s="66">
        <v>1</v>
      </c>
    </row>
    <row r="3" spans="1:4" x14ac:dyDescent="0.25">
      <c r="A3" s="66">
        <v>96018835</v>
      </c>
      <c r="B3" s="66" t="s">
        <v>3297</v>
      </c>
      <c r="C3" s="66" t="s">
        <v>1552</v>
      </c>
      <c r="D3" s="66">
        <v>1</v>
      </c>
    </row>
    <row r="4" spans="1:4" x14ac:dyDescent="0.25">
      <c r="A4" s="66">
        <v>10023001</v>
      </c>
      <c r="B4" s="66" t="s">
        <v>3297</v>
      </c>
      <c r="C4" s="66" t="s">
        <v>1550</v>
      </c>
      <c r="D4" s="66">
        <v>1</v>
      </c>
    </row>
    <row r="5" spans="1:4" x14ac:dyDescent="0.25">
      <c r="A5" s="66">
        <v>12012030</v>
      </c>
      <c r="B5" s="66" t="s">
        <v>3297</v>
      </c>
      <c r="C5" s="66" t="s">
        <v>652</v>
      </c>
      <c r="D5" s="66">
        <v>1</v>
      </c>
    </row>
    <row r="6" spans="1:4" x14ac:dyDescent="0.25">
      <c r="A6" s="66">
        <v>6012681</v>
      </c>
      <c r="B6" s="66" t="s">
        <v>3297</v>
      </c>
      <c r="C6" s="66" t="s">
        <v>803</v>
      </c>
      <c r="D6" s="66">
        <v>1</v>
      </c>
    </row>
    <row r="7" spans="1:4" ht="30" x14ac:dyDescent="0.25">
      <c r="A7" s="66">
        <v>6014511</v>
      </c>
      <c r="B7" s="66" t="s">
        <v>3297</v>
      </c>
      <c r="C7" s="68" t="s">
        <v>785</v>
      </c>
      <c r="D7" s="66">
        <v>1</v>
      </c>
    </row>
    <row r="8" spans="1:4" x14ac:dyDescent="0.25">
      <c r="A8" s="66">
        <v>7076814</v>
      </c>
      <c r="B8" s="66" t="s">
        <v>3297</v>
      </c>
      <c r="C8" s="66" t="s">
        <v>803</v>
      </c>
      <c r="D8" s="66">
        <v>1</v>
      </c>
    </row>
    <row r="9" spans="1:4" ht="30" x14ac:dyDescent="0.25">
      <c r="A9" s="66">
        <v>7076815</v>
      </c>
      <c r="B9" s="66" t="s">
        <v>3297</v>
      </c>
      <c r="C9" s="68" t="s">
        <v>1242</v>
      </c>
      <c r="D9" s="66">
        <v>1</v>
      </c>
    </row>
    <row r="10" spans="1:4" x14ac:dyDescent="0.25">
      <c r="A10" s="66">
        <v>7089231</v>
      </c>
      <c r="B10" s="66" t="s">
        <v>3297</v>
      </c>
      <c r="C10" s="66" t="s">
        <v>1550</v>
      </c>
      <c r="D10" s="66">
        <v>1</v>
      </c>
    </row>
    <row r="11" spans="1:4" ht="45" x14ac:dyDescent="0.25">
      <c r="A11" s="66">
        <v>9016278</v>
      </c>
      <c r="B11" s="66" t="s">
        <v>3297</v>
      </c>
      <c r="C11" s="68" t="s">
        <v>3298</v>
      </c>
      <c r="D11" s="66">
        <v>3</v>
      </c>
    </row>
    <row r="12" spans="1:4" ht="30" x14ac:dyDescent="0.25">
      <c r="A12" s="66">
        <v>9030684</v>
      </c>
      <c r="B12" s="66" t="s">
        <v>3297</v>
      </c>
      <c r="C12" s="68" t="s">
        <v>3299</v>
      </c>
      <c r="D12" s="66">
        <v>3</v>
      </c>
    </row>
    <row r="13" spans="1:4" x14ac:dyDescent="0.25">
      <c r="A13" s="66">
        <v>9031387</v>
      </c>
      <c r="B13" s="66" t="s">
        <v>3297</v>
      </c>
      <c r="C13" s="66" t="s">
        <v>1554</v>
      </c>
      <c r="D13" s="66">
        <v>1</v>
      </c>
    </row>
    <row r="14" spans="1:4" ht="30" x14ac:dyDescent="0.25">
      <c r="A14" s="66">
        <v>9039416</v>
      </c>
      <c r="B14" s="66" t="s">
        <v>3297</v>
      </c>
      <c r="C14" s="68" t="s">
        <v>1551</v>
      </c>
      <c r="D14" s="66">
        <v>1</v>
      </c>
    </row>
    <row r="15" spans="1:4" ht="60" x14ac:dyDescent="0.25">
      <c r="A15" s="66">
        <v>9044899</v>
      </c>
      <c r="B15" s="66" t="s">
        <v>3297</v>
      </c>
      <c r="C15" s="68" t="s">
        <v>3300</v>
      </c>
      <c r="D15" s="66">
        <v>5</v>
      </c>
    </row>
    <row r="16" spans="1:4" ht="45" x14ac:dyDescent="0.25">
      <c r="A16" s="66">
        <v>10010926</v>
      </c>
      <c r="B16" s="66" t="s">
        <v>3297</v>
      </c>
      <c r="C16" s="68" t="s">
        <v>3301</v>
      </c>
      <c r="D16" s="66">
        <v>6</v>
      </c>
    </row>
    <row r="17" spans="1:4" ht="45" x14ac:dyDescent="0.25">
      <c r="A17" s="66">
        <v>10030897</v>
      </c>
      <c r="B17" s="66" t="s">
        <v>3297</v>
      </c>
      <c r="C17" s="68" t="s">
        <v>3302</v>
      </c>
      <c r="D17" s="66">
        <v>4</v>
      </c>
    </row>
    <row r="18" spans="1:4" ht="30" x14ac:dyDescent="0.25">
      <c r="A18" s="66">
        <v>324</v>
      </c>
      <c r="B18" s="66" t="s">
        <v>3297</v>
      </c>
      <c r="C18" s="68" t="s">
        <v>1242</v>
      </c>
      <c r="D18" s="66">
        <v>1</v>
      </c>
    </row>
    <row r="19" spans="1:4" ht="45" x14ac:dyDescent="0.25">
      <c r="A19" s="66">
        <v>1005522</v>
      </c>
      <c r="B19" s="66" t="s">
        <v>3297</v>
      </c>
      <c r="C19" s="68" t="s">
        <v>3303</v>
      </c>
      <c r="D19" s="66">
        <v>5</v>
      </c>
    </row>
    <row r="20" spans="1:4" ht="30" x14ac:dyDescent="0.25">
      <c r="A20" s="66">
        <v>1009760</v>
      </c>
      <c r="B20" s="66" t="s">
        <v>3297</v>
      </c>
      <c r="C20" s="68" t="s">
        <v>3304</v>
      </c>
      <c r="D20" s="66">
        <v>4</v>
      </c>
    </row>
    <row r="21" spans="1:4" ht="45" x14ac:dyDescent="0.25">
      <c r="A21" s="66">
        <v>2000646</v>
      </c>
      <c r="B21" s="66" t="s">
        <v>3297</v>
      </c>
      <c r="C21" s="68" t="s">
        <v>3305</v>
      </c>
      <c r="D21" s="66">
        <v>5</v>
      </c>
    </row>
    <row r="22" spans="1:4" x14ac:dyDescent="0.25">
      <c r="A22" s="66">
        <v>4009906</v>
      </c>
      <c r="B22" s="66" t="s">
        <v>3297</v>
      </c>
      <c r="C22" s="66" t="s">
        <v>3306</v>
      </c>
      <c r="D22" s="66">
        <v>3</v>
      </c>
    </row>
    <row r="23" spans="1:4" ht="60" x14ac:dyDescent="0.25">
      <c r="A23" s="66">
        <v>5004654</v>
      </c>
      <c r="B23" s="66" t="s">
        <v>3297</v>
      </c>
      <c r="C23" s="68" t="s">
        <v>3307</v>
      </c>
      <c r="D23" s="66">
        <v>7</v>
      </c>
    </row>
    <row r="24" spans="1:4" ht="75" x14ac:dyDescent="0.25">
      <c r="A24" s="66">
        <v>6015647</v>
      </c>
      <c r="B24" s="66" t="s">
        <v>3297</v>
      </c>
      <c r="C24" s="68" t="s">
        <v>3308</v>
      </c>
      <c r="D24" s="66">
        <v>7</v>
      </c>
    </row>
    <row r="25" spans="1:4" ht="30" x14ac:dyDescent="0.25">
      <c r="A25" s="66">
        <v>8107048</v>
      </c>
      <c r="B25" s="66" t="s">
        <v>3297</v>
      </c>
      <c r="C25" s="68" t="s">
        <v>1242</v>
      </c>
      <c r="D25" s="66">
        <v>1</v>
      </c>
    </row>
    <row r="26" spans="1:4" x14ac:dyDescent="0.25">
      <c r="A26" s="66">
        <v>9083682</v>
      </c>
      <c r="B26" s="66" t="s">
        <v>3297</v>
      </c>
      <c r="C26" s="66" t="s">
        <v>1550</v>
      </c>
      <c r="D26" s="66">
        <v>1</v>
      </c>
    </row>
    <row r="27" spans="1:4" ht="45" x14ac:dyDescent="0.25">
      <c r="A27" s="66">
        <v>2012014</v>
      </c>
      <c r="B27" s="66" t="s">
        <v>3297</v>
      </c>
      <c r="C27" s="68" t="s">
        <v>3309</v>
      </c>
      <c r="D27" s="66">
        <v>3</v>
      </c>
    </row>
    <row r="28" spans="1:4" ht="75" x14ac:dyDescent="0.25">
      <c r="A28" s="66">
        <v>3015058</v>
      </c>
      <c r="B28" s="66" t="s">
        <v>3297</v>
      </c>
      <c r="C28" s="68" t="s">
        <v>3310</v>
      </c>
      <c r="D28" s="66">
        <v>8</v>
      </c>
    </row>
    <row r="29" spans="1:4" x14ac:dyDescent="0.25">
      <c r="A29" s="66">
        <v>4000996</v>
      </c>
      <c r="B29" s="66" t="s">
        <v>3297</v>
      </c>
      <c r="C29" s="66" t="s">
        <v>803</v>
      </c>
      <c r="D29" s="66">
        <v>1</v>
      </c>
    </row>
    <row r="30" spans="1:4" ht="45" x14ac:dyDescent="0.25">
      <c r="A30" s="66">
        <v>5001097</v>
      </c>
      <c r="B30" s="66" t="s">
        <v>3297</v>
      </c>
      <c r="C30" s="68" t="s">
        <v>3311</v>
      </c>
      <c r="D30" s="66">
        <v>4</v>
      </c>
    </row>
    <row r="31" spans="1:4" x14ac:dyDescent="0.25">
      <c r="A31" s="66">
        <v>5001098</v>
      </c>
      <c r="B31" s="66" t="s">
        <v>3297</v>
      </c>
      <c r="C31" s="66" t="s">
        <v>3312</v>
      </c>
      <c r="D31" s="66">
        <v>3</v>
      </c>
    </row>
    <row r="32" spans="1:4" x14ac:dyDescent="0.25">
      <c r="A32" s="66">
        <v>5006152</v>
      </c>
      <c r="B32" s="66" t="s">
        <v>3297</v>
      </c>
      <c r="C32" s="66" t="s">
        <v>3313</v>
      </c>
      <c r="D32" s="66">
        <v>2</v>
      </c>
    </row>
    <row r="33" spans="1:4" ht="60" x14ac:dyDescent="0.25">
      <c r="A33" s="66">
        <v>8089666</v>
      </c>
      <c r="B33" s="66" t="s">
        <v>3297</v>
      </c>
      <c r="C33" s="68" t="s">
        <v>3314</v>
      </c>
      <c r="D33" s="66">
        <v>5</v>
      </c>
    </row>
    <row r="34" spans="1:4" ht="45" x14ac:dyDescent="0.25">
      <c r="A34" s="66">
        <v>8124816</v>
      </c>
      <c r="B34" s="66" t="s">
        <v>3297</v>
      </c>
      <c r="C34" s="68" t="s">
        <v>3315</v>
      </c>
      <c r="D34" s="66">
        <v>4</v>
      </c>
    </row>
  </sheetData>
  <phoneticPr fontId="6" type="noConversion"/>
  <pageMargins left="0.7" right="0.7" top="0.78740157499999996" bottom="0.78740157499999996" header="0.3" footer="0.3"/>
  <tableParts count="1">
    <tablePart r:id="rId1"/>
  </tableParts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239"/>
  <sheetViews>
    <sheetView workbookViewId="0">
      <selection activeCell="D32" sqref="D32"/>
    </sheetView>
  </sheetViews>
  <sheetFormatPr defaultColWidth="11.42578125" defaultRowHeight="15" x14ac:dyDescent="0.25"/>
  <cols>
    <col min="1" max="1" width="17.140625" customWidth="1"/>
    <col min="2" max="2" width="54.140625" customWidth="1"/>
    <col min="3" max="5" width="42.5703125" customWidth="1"/>
    <col min="6" max="6" width="41.5703125" customWidth="1"/>
    <col min="7" max="7" width="53.140625" customWidth="1"/>
    <col min="8" max="9" width="41.5703125" customWidth="1"/>
    <col min="10" max="10" width="40.42578125" customWidth="1"/>
    <col min="11" max="12" width="53.140625" customWidth="1"/>
    <col min="13" max="13" width="40.42578125" customWidth="1"/>
    <col min="14" max="14" width="44.140625" customWidth="1"/>
    <col min="15" max="15" width="40.140625" customWidth="1"/>
    <col min="16" max="18" width="18.85546875" customWidth="1"/>
    <col min="19" max="19" width="30.42578125" customWidth="1"/>
    <col min="20" max="21" width="18.85546875" customWidth="1"/>
    <col min="22" max="22" width="21.42578125" customWidth="1"/>
    <col min="23" max="23" width="33" customWidth="1"/>
    <col min="24" max="27" width="21.42578125" customWidth="1"/>
    <col min="28" max="28" width="33" customWidth="1"/>
    <col min="29" max="32" width="21.42578125" customWidth="1"/>
    <col min="33" max="33" width="33.42578125" customWidth="1"/>
    <col min="34" max="36" width="21.42578125" customWidth="1"/>
    <col min="37" max="37" width="33.42578125" customWidth="1"/>
    <col min="38" max="38" width="21.42578125" customWidth="1"/>
    <col min="39" max="42" width="24.140625" customWidth="1"/>
    <col min="43" max="43" width="36.140625" customWidth="1"/>
    <col min="44" max="44" width="21.42578125" customWidth="1"/>
    <col min="45" max="45" width="22.42578125" customWidth="1"/>
    <col min="46" max="46" width="24.140625" customWidth="1"/>
    <col min="47" max="47" width="36.140625" customWidth="1"/>
  </cols>
  <sheetData>
    <row r="1" spans="1:47" ht="105" x14ac:dyDescent="0.25">
      <c r="A1" s="61" t="s">
        <v>59</v>
      </c>
      <c r="B1" s="62" t="s">
        <v>1556</v>
      </c>
      <c r="C1" s="62" t="s">
        <v>1089</v>
      </c>
      <c r="D1" s="62" t="s">
        <v>1980</v>
      </c>
      <c r="E1" s="62" t="s">
        <v>1847</v>
      </c>
      <c r="F1" s="62" t="s">
        <v>1190</v>
      </c>
      <c r="G1" s="62" t="s">
        <v>1557</v>
      </c>
      <c r="H1" s="62" t="s">
        <v>861</v>
      </c>
      <c r="I1" s="62" t="s">
        <v>1940</v>
      </c>
      <c r="J1" s="70" t="s">
        <v>1912</v>
      </c>
      <c r="K1" s="70" t="s">
        <v>2397</v>
      </c>
      <c r="L1" s="70" t="s">
        <v>1558</v>
      </c>
      <c r="M1" s="70" t="s">
        <v>898</v>
      </c>
      <c r="N1" s="70" t="s">
        <v>1559</v>
      </c>
      <c r="O1" s="63" t="s">
        <v>1248</v>
      </c>
      <c r="P1" s="62" t="s">
        <v>46</v>
      </c>
      <c r="Q1" s="62" t="s">
        <v>47</v>
      </c>
      <c r="R1" s="62" t="s">
        <v>48</v>
      </c>
      <c r="S1" s="62" t="s">
        <v>1560</v>
      </c>
      <c r="T1" s="62" t="s">
        <v>49</v>
      </c>
      <c r="U1" s="62" t="s">
        <v>1249</v>
      </c>
      <c r="V1" s="62" t="s">
        <v>1194</v>
      </c>
      <c r="W1" s="62" t="s">
        <v>1561</v>
      </c>
      <c r="X1" s="62" t="s">
        <v>606</v>
      </c>
      <c r="Y1" s="62" t="s">
        <v>1140</v>
      </c>
      <c r="Z1" s="62" t="s">
        <v>176</v>
      </c>
      <c r="AA1" s="62" t="s">
        <v>921</v>
      </c>
      <c r="AB1" s="62" t="s">
        <v>1562</v>
      </c>
      <c r="AC1" s="62" t="s">
        <v>67</v>
      </c>
      <c r="AD1" s="62" t="s">
        <v>1123</v>
      </c>
      <c r="AE1" s="62" t="s">
        <v>177</v>
      </c>
      <c r="AF1" s="62" t="s">
        <v>1304</v>
      </c>
      <c r="AG1" s="62" t="s">
        <v>1565</v>
      </c>
      <c r="AH1" s="62" t="s">
        <v>1305</v>
      </c>
      <c r="AI1" s="62" t="s">
        <v>1316</v>
      </c>
      <c r="AJ1" s="62" t="s">
        <v>646</v>
      </c>
      <c r="AK1" s="62" t="s">
        <v>1564</v>
      </c>
      <c r="AL1" s="62" t="s">
        <v>65</v>
      </c>
      <c r="AM1" s="62" t="s">
        <v>1232</v>
      </c>
      <c r="AN1" s="62" t="s">
        <v>1822</v>
      </c>
      <c r="AO1" s="62" t="s">
        <v>2334</v>
      </c>
      <c r="AP1" s="62" t="s">
        <v>1070</v>
      </c>
      <c r="AQ1" s="62" t="s">
        <v>1563</v>
      </c>
      <c r="AR1" s="62" t="s">
        <v>608</v>
      </c>
      <c r="AS1" s="62" t="s">
        <v>609</v>
      </c>
      <c r="AT1" s="62" t="s">
        <v>1233</v>
      </c>
      <c r="AU1" s="62" t="s">
        <v>1566</v>
      </c>
    </row>
    <row r="2" spans="1:47" x14ac:dyDescent="0.25">
      <c r="A2" s="40" t="s">
        <v>561</v>
      </c>
    </row>
    <row r="3" spans="1:47" x14ac:dyDescent="0.25">
      <c r="A3" s="10" t="s">
        <v>2519</v>
      </c>
      <c r="G3" s="8"/>
      <c r="H3" s="8"/>
      <c r="I3" s="8"/>
      <c r="J3" s="8"/>
      <c r="K3" s="8"/>
      <c r="L3" s="8"/>
      <c r="M3" s="8"/>
      <c r="N3" s="8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</row>
    <row r="4" spans="1:47" x14ac:dyDescent="0.25">
      <c r="A4">
        <v>7072184</v>
      </c>
      <c r="N4">
        <v>23000</v>
      </c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</row>
    <row r="5" spans="1:47" x14ac:dyDescent="0.25">
      <c r="A5">
        <v>9108231</v>
      </c>
      <c r="G5" s="8"/>
      <c r="H5" s="8"/>
      <c r="I5" s="8"/>
      <c r="J5" s="8"/>
      <c r="K5" s="8"/>
      <c r="L5" s="8"/>
      <c r="M5" s="8"/>
      <c r="N5" s="8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</row>
    <row r="6" spans="1:47" x14ac:dyDescent="0.25">
      <c r="A6">
        <v>12061933</v>
      </c>
      <c r="G6" s="8"/>
      <c r="H6" s="8"/>
      <c r="I6" s="8"/>
      <c r="J6" s="8"/>
      <c r="K6" s="8"/>
      <c r="L6" s="8"/>
      <c r="M6" s="8"/>
      <c r="N6" s="8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</row>
    <row r="7" spans="1:47" x14ac:dyDescent="0.25">
      <c r="A7">
        <v>95005911</v>
      </c>
    </row>
    <row r="8" spans="1:47" x14ac:dyDescent="0.25">
      <c r="A8">
        <v>99001908</v>
      </c>
    </row>
    <row r="9" spans="1:47" x14ac:dyDescent="0.25">
      <c r="A9">
        <v>99004067</v>
      </c>
    </row>
    <row r="10" spans="1:47" x14ac:dyDescent="0.25">
      <c r="A10">
        <v>97002136</v>
      </c>
    </row>
    <row r="11" spans="1:47" x14ac:dyDescent="0.25">
      <c r="A11">
        <v>1502</v>
      </c>
      <c r="G11" s="8"/>
      <c r="H11" s="8"/>
      <c r="I11" s="8"/>
      <c r="J11" s="8"/>
      <c r="K11" s="8"/>
      <c r="L11" s="8"/>
      <c r="M11" s="8"/>
      <c r="N11" s="8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</row>
    <row r="12" spans="1:47" x14ac:dyDescent="0.25">
      <c r="A12">
        <v>4003543</v>
      </c>
      <c r="G12" s="8"/>
      <c r="H12" s="8"/>
      <c r="I12" s="8"/>
      <c r="J12" s="8"/>
      <c r="K12" s="8"/>
      <c r="L12" s="8"/>
      <c r="M12" s="8"/>
      <c r="N12" s="8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</row>
    <row r="13" spans="1:47" x14ac:dyDescent="0.25">
      <c r="A13">
        <v>4900261</v>
      </c>
      <c r="G13" s="8"/>
      <c r="H13" s="8"/>
      <c r="I13" s="8"/>
      <c r="J13" s="8"/>
      <c r="K13" s="8"/>
      <c r="L13" s="8"/>
      <c r="M13" s="8"/>
      <c r="N13" s="8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</row>
    <row r="15" spans="1:47" x14ac:dyDescent="0.25">
      <c r="A15" s="10" t="s">
        <v>2520</v>
      </c>
      <c r="G15" s="8"/>
      <c r="H15" s="8"/>
      <c r="I15" s="8"/>
      <c r="J15" s="8"/>
      <c r="K15" s="8"/>
      <c r="L15" s="8"/>
      <c r="M15" s="8"/>
      <c r="N15" s="8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</row>
    <row r="16" spans="1:47" x14ac:dyDescent="0.25">
      <c r="A16">
        <v>14242856</v>
      </c>
      <c r="G16" s="8"/>
      <c r="H16" s="8"/>
      <c r="I16" s="8"/>
      <c r="J16" s="8"/>
      <c r="K16" s="8"/>
      <c r="L16" s="8"/>
      <c r="M16" s="8"/>
      <c r="N16" s="8">
        <v>466000</v>
      </c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</row>
    <row r="17" spans="1:47" x14ac:dyDescent="0.25">
      <c r="A17">
        <v>99001183</v>
      </c>
      <c r="G17" s="8"/>
      <c r="H17" s="8"/>
      <c r="I17" s="8"/>
      <c r="J17" s="8"/>
      <c r="K17" s="8"/>
      <c r="L17" s="8"/>
      <c r="M17" s="8"/>
      <c r="N17" s="8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</row>
    <row r="18" spans="1:47" x14ac:dyDescent="0.25">
      <c r="A18">
        <v>3000983</v>
      </c>
      <c r="G18" s="8"/>
      <c r="H18" s="8"/>
      <c r="I18" s="8"/>
      <c r="J18" s="8"/>
      <c r="K18" s="8"/>
      <c r="L18" s="8"/>
      <c r="M18" s="8"/>
      <c r="N18" s="8"/>
      <c r="O18" s="6"/>
      <c r="P18" s="6"/>
      <c r="Q18" s="6"/>
      <c r="R18">
        <v>121000</v>
      </c>
      <c r="AC18" s="6"/>
      <c r="AD18" s="6"/>
      <c r="AE18" s="6"/>
      <c r="AF18" s="6"/>
      <c r="AG18" s="6"/>
      <c r="AH18" s="6"/>
      <c r="AI18" s="6"/>
      <c r="AJ18" s="6"/>
      <c r="AK18" s="6"/>
      <c r="AL18">
        <v>396000</v>
      </c>
    </row>
    <row r="19" spans="1:47" x14ac:dyDescent="0.25">
      <c r="A19">
        <v>10064335</v>
      </c>
      <c r="G19" s="8"/>
      <c r="H19" s="8"/>
      <c r="I19" s="8"/>
      <c r="J19" s="8"/>
      <c r="K19" s="8"/>
      <c r="L19" s="8"/>
      <c r="M19" s="8"/>
      <c r="N19" s="8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>
        <v>250000</v>
      </c>
      <c r="AL19" s="6">
        <v>60000</v>
      </c>
      <c r="AM19" s="6"/>
      <c r="AN19" s="6"/>
      <c r="AO19" s="6"/>
      <c r="AP19" s="6"/>
      <c r="AQ19" s="6"/>
      <c r="AR19" s="6"/>
      <c r="AS19" s="6"/>
      <c r="AT19" s="6"/>
      <c r="AU19" s="6"/>
    </row>
    <row r="20" spans="1:47" x14ac:dyDescent="0.25">
      <c r="A20" s="6"/>
      <c r="G20" s="8"/>
      <c r="H20" s="8"/>
      <c r="I20" s="8"/>
      <c r="J20" s="8"/>
      <c r="K20" s="8"/>
      <c r="L20" s="8"/>
      <c r="M20" s="8"/>
      <c r="N20" s="8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</row>
    <row r="21" spans="1:47" x14ac:dyDescent="0.25">
      <c r="A21" s="10" t="s">
        <v>2521</v>
      </c>
      <c r="G21" s="8"/>
      <c r="H21" s="8"/>
      <c r="I21" s="8"/>
      <c r="J21" s="8"/>
      <c r="K21" s="8"/>
      <c r="L21" s="8"/>
      <c r="M21" s="8"/>
      <c r="N21" s="8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</row>
    <row r="22" spans="1:47" x14ac:dyDescent="0.25">
      <c r="A22">
        <v>1480</v>
      </c>
    </row>
    <row r="23" spans="1:47" x14ac:dyDescent="0.25">
      <c r="A23">
        <v>7063959</v>
      </c>
      <c r="G23" s="8"/>
      <c r="H23" s="8"/>
      <c r="I23" s="8"/>
      <c r="J23" s="8"/>
      <c r="K23" s="8"/>
      <c r="L23" s="8"/>
      <c r="M23" s="8"/>
      <c r="N23" s="8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</row>
    <row r="24" spans="1:47" x14ac:dyDescent="0.25">
      <c r="A24">
        <v>1003215</v>
      </c>
      <c r="N24">
        <v>378000</v>
      </c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</row>
    <row r="25" spans="1:47" x14ac:dyDescent="0.25">
      <c r="A25">
        <v>99000802</v>
      </c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</row>
    <row r="26" spans="1:47" x14ac:dyDescent="0.25">
      <c r="A26">
        <v>99000892</v>
      </c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</row>
    <row r="27" spans="1:47" x14ac:dyDescent="0.25">
      <c r="A27">
        <v>1000192</v>
      </c>
      <c r="G27" s="8"/>
      <c r="H27" s="8"/>
      <c r="I27" s="8"/>
      <c r="J27" s="8"/>
      <c r="K27" s="8"/>
      <c r="L27" s="8"/>
      <c r="M27" s="8"/>
      <c r="N27" s="8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</row>
    <row r="28" spans="1:47" x14ac:dyDescent="0.25">
      <c r="A28">
        <v>1506</v>
      </c>
      <c r="G28" s="8"/>
      <c r="H28" s="8"/>
      <c r="I28" s="8"/>
      <c r="J28" s="8"/>
      <c r="K28" s="8"/>
      <c r="L28" s="8"/>
      <c r="M28" s="8"/>
      <c r="N28" s="8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</row>
    <row r="29" spans="1:47" x14ac:dyDescent="0.25">
      <c r="A29">
        <v>99000894</v>
      </c>
      <c r="G29" s="8"/>
      <c r="H29" s="8"/>
      <c r="I29" s="8"/>
      <c r="J29" s="8"/>
      <c r="K29" s="8"/>
      <c r="L29" s="8"/>
      <c r="M29" s="8"/>
      <c r="N29" s="8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</row>
    <row r="30" spans="1:47" x14ac:dyDescent="0.25">
      <c r="A30">
        <v>99000897</v>
      </c>
    </row>
    <row r="31" spans="1:47" x14ac:dyDescent="0.25">
      <c r="A31">
        <v>99001245</v>
      </c>
    </row>
    <row r="32" spans="1:47" x14ac:dyDescent="0.25">
      <c r="A32">
        <v>99001902</v>
      </c>
    </row>
    <row r="33" spans="1:47" x14ac:dyDescent="0.25">
      <c r="A33">
        <v>99001912</v>
      </c>
    </row>
    <row r="34" spans="1:47" x14ac:dyDescent="0.25">
      <c r="A34">
        <v>99001913</v>
      </c>
    </row>
    <row r="35" spans="1:47" x14ac:dyDescent="0.25">
      <c r="A35">
        <v>99001937</v>
      </c>
    </row>
    <row r="36" spans="1:47" x14ac:dyDescent="0.25">
      <c r="A36">
        <v>99001943</v>
      </c>
    </row>
    <row r="37" spans="1:47" x14ac:dyDescent="0.25">
      <c r="A37">
        <v>99001927</v>
      </c>
    </row>
    <row r="38" spans="1:47" x14ac:dyDescent="0.25">
      <c r="A38">
        <v>1505</v>
      </c>
      <c r="G38" s="8"/>
      <c r="H38" s="8"/>
      <c r="I38" s="8"/>
      <c r="J38" s="8"/>
      <c r="K38" s="8"/>
      <c r="L38" s="8"/>
      <c r="M38" s="8"/>
      <c r="N38" s="8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</row>
    <row r="39" spans="1:47" x14ac:dyDescent="0.25">
      <c r="A39">
        <v>1000197</v>
      </c>
      <c r="G39" s="8"/>
      <c r="H39" s="8"/>
      <c r="I39" s="8"/>
      <c r="J39" s="8"/>
      <c r="K39" s="8"/>
      <c r="L39" s="8"/>
      <c r="M39" s="8"/>
      <c r="N39" s="8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</row>
    <row r="40" spans="1:47" x14ac:dyDescent="0.25">
      <c r="A40">
        <v>96018835</v>
      </c>
      <c r="G40" s="8"/>
      <c r="H40" s="8"/>
      <c r="I40" s="8"/>
      <c r="J40" s="8"/>
      <c r="K40" s="8"/>
      <c r="L40" s="8"/>
      <c r="M40" s="8"/>
      <c r="N40" s="8"/>
      <c r="O40">
        <v>90000</v>
      </c>
      <c r="P40">
        <v>123000</v>
      </c>
      <c r="Q40">
        <v>107000</v>
      </c>
      <c r="R40" s="23">
        <v>99000</v>
      </c>
      <c r="S40" s="23"/>
      <c r="T40" s="23">
        <v>156000</v>
      </c>
      <c r="U40" s="23"/>
      <c r="V40" s="23"/>
      <c r="W40" s="23">
        <v>239000</v>
      </c>
      <c r="X40" s="23"/>
      <c r="Y40" s="23"/>
      <c r="Z40" s="23">
        <v>86000</v>
      </c>
      <c r="AA40" s="23"/>
      <c r="AB40" s="23">
        <v>61000</v>
      </c>
      <c r="AC40" s="6"/>
      <c r="AD40" s="6"/>
      <c r="AE40" s="6">
        <v>97000</v>
      </c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</row>
    <row r="41" spans="1:47" x14ac:dyDescent="0.25">
      <c r="A41">
        <v>98008326</v>
      </c>
      <c r="G41" s="8"/>
      <c r="H41" s="8"/>
      <c r="I41" s="8"/>
      <c r="J41" s="8"/>
      <c r="K41" s="8"/>
      <c r="L41" s="8"/>
      <c r="M41" s="8"/>
      <c r="N41" s="8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</row>
    <row r="42" spans="1:47" x14ac:dyDescent="0.25">
      <c r="A42">
        <v>99000717</v>
      </c>
      <c r="G42" s="8"/>
      <c r="H42" s="8"/>
      <c r="I42" s="8"/>
      <c r="J42" s="8"/>
      <c r="K42" s="8"/>
      <c r="L42" s="8"/>
      <c r="M42" s="8"/>
      <c r="N42" s="8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</row>
    <row r="43" spans="1:47" x14ac:dyDescent="0.25">
      <c r="B43" s="6"/>
      <c r="C43" s="6"/>
      <c r="D43" s="6"/>
      <c r="E43" s="6"/>
      <c r="F43" s="6"/>
      <c r="G43" s="8"/>
      <c r="H43" s="8"/>
      <c r="I43" s="8"/>
      <c r="J43" s="8"/>
      <c r="K43" s="8"/>
      <c r="L43" s="8"/>
      <c r="M43" s="8"/>
      <c r="N43" s="8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</row>
    <row r="44" spans="1:47" x14ac:dyDescent="0.25">
      <c r="A44" s="25" t="s">
        <v>169</v>
      </c>
    </row>
    <row r="45" spans="1:47" x14ac:dyDescent="0.25">
      <c r="A45" s="10" t="s">
        <v>143</v>
      </c>
    </row>
    <row r="46" spans="1:47" x14ac:dyDescent="0.25">
      <c r="A46">
        <v>6016435</v>
      </c>
      <c r="P46">
        <v>120000</v>
      </c>
    </row>
    <row r="47" spans="1:47" x14ac:dyDescent="0.25">
      <c r="A47">
        <v>8045149</v>
      </c>
    </row>
    <row r="48" spans="1:47" x14ac:dyDescent="0.25">
      <c r="A48">
        <v>10023001</v>
      </c>
      <c r="N48">
        <v>225000</v>
      </c>
    </row>
    <row r="49" spans="1:45" x14ac:dyDescent="0.25">
      <c r="A49">
        <v>10027526</v>
      </c>
    </row>
    <row r="50" spans="1:45" x14ac:dyDescent="0.25">
      <c r="A50">
        <v>14222171</v>
      </c>
      <c r="N50">
        <v>86000000</v>
      </c>
    </row>
    <row r="51" spans="1:45" x14ac:dyDescent="0.25">
      <c r="A51">
        <v>1006143</v>
      </c>
    </row>
    <row r="52" spans="1:45" x14ac:dyDescent="0.25">
      <c r="A52">
        <v>6006917</v>
      </c>
    </row>
    <row r="54" spans="1:45" x14ac:dyDescent="0.25">
      <c r="A54" s="10" t="s">
        <v>146</v>
      </c>
    </row>
    <row r="55" spans="1:45" x14ac:dyDescent="0.25">
      <c r="A55">
        <v>8057159</v>
      </c>
    </row>
    <row r="56" spans="1:45" x14ac:dyDescent="0.25">
      <c r="A56">
        <v>9140312</v>
      </c>
      <c r="P56">
        <v>5000</v>
      </c>
      <c r="Q56">
        <v>0</v>
      </c>
      <c r="R56">
        <v>23000</v>
      </c>
      <c r="S56">
        <v>60000</v>
      </c>
      <c r="T56">
        <v>64000</v>
      </c>
    </row>
    <row r="57" spans="1:45" x14ac:dyDescent="0.25">
      <c r="A57">
        <v>12008230</v>
      </c>
    </row>
    <row r="58" spans="1:45" x14ac:dyDescent="0.25">
      <c r="A58">
        <v>12088444</v>
      </c>
      <c r="R58">
        <v>78000</v>
      </c>
      <c r="X58">
        <v>1770</v>
      </c>
      <c r="AR58">
        <v>2230</v>
      </c>
      <c r="AS58">
        <v>187000</v>
      </c>
    </row>
    <row r="59" spans="1:45" x14ac:dyDescent="0.25">
      <c r="A59">
        <v>13118872</v>
      </c>
    </row>
    <row r="60" spans="1:45" x14ac:dyDescent="0.25">
      <c r="A60">
        <v>12012030</v>
      </c>
      <c r="AJ60">
        <v>462000</v>
      </c>
    </row>
    <row r="62" spans="1:45" x14ac:dyDescent="0.25">
      <c r="A62" s="10" t="s">
        <v>120</v>
      </c>
    </row>
    <row r="63" spans="1:45" x14ac:dyDescent="0.25">
      <c r="A63">
        <v>9074418</v>
      </c>
    </row>
    <row r="64" spans="1:45" x14ac:dyDescent="0.25">
      <c r="A64">
        <v>1263</v>
      </c>
    </row>
    <row r="65" spans="1:47" x14ac:dyDescent="0.25">
      <c r="A65">
        <v>98004910</v>
      </c>
    </row>
    <row r="66" spans="1:47" x14ac:dyDescent="0.25">
      <c r="A66">
        <v>7103068</v>
      </c>
    </row>
    <row r="67" spans="1:47" x14ac:dyDescent="0.25">
      <c r="A67">
        <v>11240728</v>
      </c>
    </row>
    <row r="68" spans="1:47" x14ac:dyDescent="0.25">
      <c r="B68" s="6"/>
      <c r="C68" s="6"/>
      <c r="D68" s="6"/>
      <c r="E68" s="6"/>
      <c r="F68" s="6"/>
      <c r="G68" s="8"/>
      <c r="H68" s="8"/>
      <c r="I68" s="8"/>
      <c r="J68" s="8"/>
      <c r="K68" s="8"/>
      <c r="L68" s="8"/>
      <c r="M68" s="8"/>
      <c r="N68" s="8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</row>
    <row r="69" spans="1:47" x14ac:dyDescent="0.25">
      <c r="A69" s="26" t="s">
        <v>170</v>
      </c>
    </row>
    <row r="70" spans="1:47" x14ac:dyDescent="0.25">
      <c r="A70" s="10" t="s">
        <v>143</v>
      </c>
    </row>
    <row r="71" spans="1:47" x14ac:dyDescent="0.25">
      <c r="A71">
        <v>5015869</v>
      </c>
    </row>
    <row r="72" spans="1:47" x14ac:dyDescent="0.25">
      <c r="A72">
        <v>5016969</v>
      </c>
    </row>
    <row r="73" spans="1:47" x14ac:dyDescent="0.25">
      <c r="A73">
        <v>6023231</v>
      </c>
    </row>
    <row r="74" spans="1:47" x14ac:dyDescent="0.25">
      <c r="A74">
        <v>6010712</v>
      </c>
    </row>
    <row r="75" spans="1:47" x14ac:dyDescent="0.25">
      <c r="A75">
        <v>6011198</v>
      </c>
    </row>
    <row r="76" spans="1:47" x14ac:dyDescent="0.25">
      <c r="A76">
        <v>6012681</v>
      </c>
    </row>
    <row r="77" spans="1:47" x14ac:dyDescent="0.25">
      <c r="A77">
        <v>6014511</v>
      </c>
      <c r="R77">
        <v>9000</v>
      </c>
    </row>
    <row r="78" spans="1:47" x14ac:dyDescent="0.25">
      <c r="A78">
        <v>6045127</v>
      </c>
    </row>
    <row r="79" spans="1:47" x14ac:dyDescent="0.25">
      <c r="A79">
        <v>7000458</v>
      </c>
    </row>
    <row r="80" spans="1:47" x14ac:dyDescent="0.25">
      <c r="A80">
        <v>7015502</v>
      </c>
    </row>
    <row r="81" spans="1:15" x14ac:dyDescent="0.25">
      <c r="A81">
        <v>7025847</v>
      </c>
    </row>
    <row r="82" spans="1:15" x14ac:dyDescent="0.25">
      <c r="A82">
        <v>7082707</v>
      </c>
    </row>
    <row r="83" spans="1:15" x14ac:dyDescent="0.25">
      <c r="A83">
        <v>7083159</v>
      </c>
    </row>
    <row r="84" spans="1:15" x14ac:dyDescent="0.25">
      <c r="A84">
        <v>7084659</v>
      </c>
    </row>
    <row r="85" spans="1:15" x14ac:dyDescent="0.25">
      <c r="A85">
        <v>7076814</v>
      </c>
    </row>
    <row r="86" spans="1:15" x14ac:dyDescent="0.25">
      <c r="A86">
        <v>7076815</v>
      </c>
      <c r="O86">
        <v>215000</v>
      </c>
    </row>
    <row r="87" spans="1:15" x14ac:dyDescent="0.25">
      <c r="A87">
        <v>7089231</v>
      </c>
    </row>
    <row r="88" spans="1:15" x14ac:dyDescent="0.25">
      <c r="A88">
        <v>7116004</v>
      </c>
    </row>
    <row r="89" spans="1:15" x14ac:dyDescent="0.25">
      <c r="A89">
        <v>8003819</v>
      </c>
    </row>
    <row r="90" spans="1:15" x14ac:dyDescent="0.25">
      <c r="A90">
        <v>8091779</v>
      </c>
    </row>
    <row r="91" spans="1:15" x14ac:dyDescent="0.25">
      <c r="A91">
        <v>8097989</v>
      </c>
    </row>
    <row r="92" spans="1:15" x14ac:dyDescent="0.25">
      <c r="A92">
        <v>8112522</v>
      </c>
    </row>
    <row r="93" spans="1:15" x14ac:dyDescent="0.25">
      <c r="A93">
        <v>8127397</v>
      </c>
    </row>
    <row r="94" spans="1:15" x14ac:dyDescent="0.25">
      <c r="A94">
        <v>8130998</v>
      </c>
    </row>
    <row r="95" spans="1:15" x14ac:dyDescent="0.25">
      <c r="A95">
        <v>9002836</v>
      </c>
    </row>
    <row r="96" spans="1:15" x14ac:dyDescent="0.25">
      <c r="A96">
        <v>9003331</v>
      </c>
    </row>
    <row r="97" spans="1:37" x14ac:dyDescent="0.25">
      <c r="A97">
        <v>9003370</v>
      </c>
      <c r="O97">
        <v>327000</v>
      </c>
    </row>
    <row r="98" spans="1:37" x14ac:dyDescent="0.25">
      <c r="A98">
        <v>9016278</v>
      </c>
      <c r="H98">
        <v>426000</v>
      </c>
      <c r="L98">
        <v>444000</v>
      </c>
    </row>
    <row r="99" spans="1:37" x14ac:dyDescent="0.25">
      <c r="A99">
        <v>9030684</v>
      </c>
      <c r="O99">
        <v>333000</v>
      </c>
      <c r="Z99">
        <v>350000</v>
      </c>
    </row>
    <row r="100" spans="1:37" x14ac:dyDescent="0.25">
      <c r="A100">
        <v>9031387</v>
      </c>
      <c r="AG100">
        <v>328000</v>
      </c>
    </row>
    <row r="101" spans="1:37" x14ac:dyDescent="0.25">
      <c r="A101">
        <v>9038676</v>
      </c>
    </row>
    <row r="102" spans="1:37" x14ac:dyDescent="0.25">
      <c r="A102">
        <v>9039416</v>
      </c>
      <c r="R102">
        <v>216000</v>
      </c>
      <c r="S102">
        <v>207000</v>
      </c>
      <c r="Z102">
        <v>339000</v>
      </c>
      <c r="AK102">
        <v>414000</v>
      </c>
    </row>
    <row r="103" spans="1:37" x14ac:dyDescent="0.25">
      <c r="A103">
        <v>9042861</v>
      </c>
    </row>
    <row r="104" spans="1:37" x14ac:dyDescent="0.25">
      <c r="A104">
        <v>9044899</v>
      </c>
      <c r="G104">
        <v>465000</v>
      </c>
      <c r="M104">
        <v>360000</v>
      </c>
      <c r="O104">
        <v>483000</v>
      </c>
      <c r="Q104">
        <v>409000</v>
      </c>
      <c r="W104">
        <v>332000</v>
      </c>
    </row>
    <row r="105" spans="1:37" x14ac:dyDescent="0.25">
      <c r="A105">
        <v>9052398</v>
      </c>
      <c r="O105">
        <v>242000</v>
      </c>
    </row>
    <row r="106" spans="1:37" x14ac:dyDescent="0.25">
      <c r="A106">
        <v>9085204</v>
      </c>
    </row>
    <row r="107" spans="1:37" x14ac:dyDescent="0.25">
      <c r="A107">
        <v>9090323</v>
      </c>
    </row>
    <row r="108" spans="1:37" x14ac:dyDescent="0.25">
      <c r="A108">
        <v>9105492</v>
      </c>
    </row>
    <row r="109" spans="1:37" x14ac:dyDescent="0.25">
      <c r="A109">
        <v>9138470</v>
      </c>
    </row>
    <row r="110" spans="1:37" x14ac:dyDescent="0.25">
      <c r="A110">
        <v>9150676</v>
      </c>
    </row>
    <row r="111" spans="1:37" x14ac:dyDescent="0.25">
      <c r="A111">
        <v>10010926</v>
      </c>
      <c r="O111">
        <v>22000</v>
      </c>
      <c r="P111">
        <v>23000</v>
      </c>
      <c r="Q111">
        <v>16000</v>
      </c>
      <c r="W111">
        <v>16000</v>
      </c>
      <c r="AA111">
        <v>40000</v>
      </c>
      <c r="AC111">
        <v>32000</v>
      </c>
    </row>
    <row r="112" spans="1:37" x14ac:dyDescent="0.25">
      <c r="A112">
        <v>10016588</v>
      </c>
    </row>
    <row r="113" spans="1:42" x14ac:dyDescent="0.25">
      <c r="A113">
        <v>10030897</v>
      </c>
    </row>
    <row r="114" spans="1:42" x14ac:dyDescent="0.25">
      <c r="A114">
        <v>324</v>
      </c>
      <c r="O114">
        <v>157000</v>
      </c>
    </row>
    <row r="115" spans="1:42" x14ac:dyDescent="0.25">
      <c r="A115">
        <v>3909</v>
      </c>
      <c r="S115">
        <v>132000</v>
      </c>
      <c r="AP115">
        <v>160000</v>
      </c>
    </row>
    <row r="116" spans="1:42" x14ac:dyDescent="0.25">
      <c r="A116">
        <v>4663</v>
      </c>
    </row>
    <row r="117" spans="1:42" x14ac:dyDescent="0.25">
      <c r="A117">
        <v>1005522</v>
      </c>
      <c r="B117">
        <v>212000</v>
      </c>
      <c r="C117">
        <v>206000</v>
      </c>
      <c r="O117">
        <v>212000</v>
      </c>
      <c r="W117">
        <v>266000</v>
      </c>
      <c r="AC117">
        <v>259000</v>
      </c>
    </row>
    <row r="118" spans="1:42" x14ac:dyDescent="0.25">
      <c r="A118">
        <v>1007631</v>
      </c>
      <c r="P118">
        <v>290000</v>
      </c>
    </row>
    <row r="119" spans="1:42" x14ac:dyDescent="0.25">
      <c r="A119">
        <v>1009760</v>
      </c>
      <c r="R119">
        <v>387000</v>
      </c>
      <c r="X119">
        <v>371000</v>
      </c>
      <c r="Z119">
        <v>464000</v>
      </c>
      <c r="AD119">
        <v>561000</v>
      </c>
    </row>
    <row r="120" spans="1:42" x14ac:dyDescent="0.25">
      <c r="A120">
        <v>2000646</v>
      </c>
      <c r="O120">
        <v>242000</v>
      </c>
      <c r="P120">
        <v>142000</v>
      </c>
      <c r="W120">
        <v>366</v>
      </c>
      <c r="X120">
        <v>365</v>
      </c>
      <c r="Y120">
        <v>466</v>
      </c>
    </row>
    <row r="121" spans="1:42" x14ac:dyDescent="0.25">
      <c r="A121">
        <v>2003761</v>
      </c>
    </row>
    <row r="122" spans="1:42" x14ac:dyDescent="0.25">
      <c r="A122">
        <v>2004061</v>
      </c>
    </row>
    <row r="123" spans="1:42" x14ac:dyDescent="0.25">
      <c r="A123">
        <v>2006469</v>
      </c>
    </row>
    <row r="124" spans="1:42" x14ac:dyDescent="0.25">
      <c r="A124">
        <v>3005132</v>
      </c>
      <c r="O124">
        <v>28000</v>
      </c>
    </row>
    <row r="125" spans="1:42" x14ac:dyDescent="0.25">
      <c r="A125">
        <v>3009119</v>
      </c>
    </row>
    <row r="126" spans="1:42" x14ac:dyDescent="0.25">
      <c r="A126">
        <v>3009936</v>
      </c>
    </row>
    <row r="127" spans="1:42" x14ac:dyDescent="0.25">
      <c r="A127">
        <v>3011094</v>
      </c>
    </row>
    <row r="128" spans="1:42" x14ac:dyDescent="0.25">
      <c r="A128">
        <v>3014643</v>
      </c>
      <c r="O128">
        <v>132000</v>
      </c>
    </row>
    <row r="129" spans="1:47" x14ac:dyDescent="0.25">
      <c r="A129">
        <v>3016056</v>
      </c>
      <c r="AU129">
        <v>240</v>
      </c>
    </row>
    <row r="130" spans="1:47" x14ac:dyDescent="0.25">
      <c r="A130">
        <v>3900219</v>
      </c>
      <c r="F130">
        <v>254000</v>
      </c>
    </row>
    <row r="131" spans="1:47" x14ac:dyDescent="0.25">
      <c r="A131">
        <v>4000158</v>
      </c>
    </row>
    <row r="132" spans="1:47" x14ac:dyDescent="0.25">
      <c r="A132">
        <v>4000304</v>
      </c>
    </row>
    <row r="133" spans="1:47" x14ac:dyDescent="0.25">
      <c r="A133">
        <v>4001905</v>
      </c>
    </row>
    <row r="134" spans="1:47" x14ac:dyDescent="0.25">
      <c r="A134">
        <v>4002206</v>
      </c>
      <c r="O134">
        <v>209000</v>
      </c>
      <c r="V134">
        <v>203000</v>
      </c>
    </row>
    <row r="135" spans="1:47" x14ac:dyDescent="0.25">
      <c r="A135">
        <v>4002715</v>
      </c>
    </row>
    <row r="136" spans="1:47" x14ac:dyDescent="0.25">
      <c r="A136">
        <v>4003924</v>
      </c>
    </row>
    <row r="137" spans="1:47" x14ac:dyDescent="0.25">
      <c r="A137">
        <v>4006051</v>
      </c>
    </row>
    <row r="138" spans="1:47" x14ac:dyDescent="0.25">
      <c r="A138">
        <v>4008140</v>
      </c>
      <c r="N138">
        <v>409000</v>
      </c>
    </row>
    <row r="139" spans="1:47" x14ac:dyDescent="0.25">
      <c r="A139">
        <v>4009906</v>
      </c>
      <c r="P139">
        <v>226000</v>
      </c>
      <c r="AM139">
        <v>223000</v>
      </c>
      <c r="AQ139">
        <v>248000</v>
      </c>
      <c r="AT139">
        <v>225000</v>
      </c>
    </row>
    <row r="140" spans="1:47" x14ac:dyDescent="0.25">
      <c r="A140">
        <v>4011027</v>
      </c>
      <c r="P140">
        <v>400000</v>
      </c>
    </row>
    <row r="141" spans="1:47" x14ac:dyDescent="0.25">
      <c r="A141">
        <v>4011920</v>
      </c>
    </row>
    <row r="142" spans="1:47" x14ac:dyDescent="0.25">
      <c r="A142">
        <v>4012248</v>
      </c>
    </row>
    <row r="143" spans="1:47" x14ac:dyDescent="0.25">
      <c r="A143">
        <v>4013603</v>
      </c>
    </row>
    <row r="144" spans="1:47" x14ac:dyDescent="0.25">
      <c r="A144">
        <v>5004654</v>
      </c>
      <c r="P144">
        <v>138000</v>
      </c>
      <c r="R144">
        <v>137000</v>
      </c>
      <c r="S144">
        <v>141000</v>
      </c>
      <c r="T144">
        <v>218000</v>
      </c>
      <c r="U144">
        <v>218000</v>
      </c>
      <c r="W144">
        <v>294000</v>
      </c>
      <c r="Y144">
        <v>303000</v>
      </c>
      <c r="AC144">
        <v>311000</v>
      </c>
    </row>
    <row r="145" spans="1:35" x14ac:dyDescent="0.25">
      <c r="A145" s="65"/>
    </row>
    <row r="146" spans="1:35" x14ac:dyDescent="0.25">
      <c r="A146" s="10" t="s">
        <v>146</v>
      </c>
    </row>
    <row r="147" spans="1:35" x14ac:dyDescent="0.25">
      <c r="A147">
        <v>4289</v>
      </c>
    </row>
    <row r="148" spans="1:35" x14ac:dyDescent="0.25">
      <c r="A148">
        <v>500245</v>
      </c>
      <c r="O148">
        <v>263000</v>
      </c>
      <c r="R148">
        <v>299000</v>
      </c>
      <c r="X148">
        <v>395000</v>
      </c>
    </row>
    <row r="149" spans="1:35" x14ac:dyDescent="0.25">
      <c r="A149">
        <v>2002573</v>
      </c>
    </row>
    <row r="150" spans="1:35" x14ac:dyDescent="0.25">
      <c r="A150">
        <v>2003539</v>
      </c>
    </row>
    <row r="151" spans="1:35" x14ac:dyDescent="0.25">
      <c r="A151">
        <v>2003649</v>
      </c>
    </row>
    <row r="152" spans="1:35" x14ac:dyDescent="0.25">
      <c r="A152">
        <v>2005572</v>
      </c>
      <c r="O152">
        <v>245000</v>
      </c>
      <c r="Q152">
        <v>235000</v>
      </c>
      <c r="T152">
        <v>237000</v>
      </c>
    </row>
    <row r="153" spans="1:35" x14ac:dyDescent="0.25">
      <c r="A153">
        <v>2013117</v>
      </c>
    </row>
    <row r="154" spans="1:35" x14ac:dyDescent="0.25">
      <c r="A154">
        <v>3009633</v>
      </c>
      <c r="AC154">
        <v>328000</v>
      </c>
      <c r="AF154">
        <v>272000</v>
      </c>
      <c r="AH154">
        <v>275000</v>
      </c>
    </row>
    <row r="155" spans="1:35" x14ac:dyDescent="0.25">
      <c r="A155">
        <v>3010583</v>
      </c>
    </row>
    <row r="156" spans="1:35" x14ac:dyDescent="0.25">
      <c r="A156" s="23">
        <v>3011892</v>
      </c>
      <c r="AG156">
        <v>188000</v>
      </c>
      <c r="AI156">
        <v>195000</v>
      </c>
    </row>
    <row r="157" spans="1:35" x14ac:dyDescent="0.25">
      <c r="A157">
        <v>4001382</v>
      </c>
    </row>
    <row r="158" spans="1:35" x14ac:dyDescent="0.25">
      <c r="A158">
        <v>5018675</v>
      </c>
    </row>
    <row r="159" spans="1:35" x14ac:dyDescent="0.25">
      <c r="A159">
        <v>6050168</v>
      </c>
    </row>
    <row r="160" spans="1:35" x14ac:dyDescent="0.25">
      <c r="A160">
        <v>5006592</v>
      </c>
    </row>
    <row r="161" spans="1:36" x14ac:dyDescent="0.25">
      <c r="A161">
        <v>5007274</v>
      </c>
    </row>
    <row r="162" spans="1:36" x14ac:dyDescent="0.25">
      <c r="A162">
        <v>5015851</v>
      </c>
      <c r="O162" s="14">
        <v>9800</v>
      </c>
    </row>
    <row r="163" spans="1:36" x14ac:dyDescent="0.25">
      <c r="A163">
        <v>6015647</v>
      </c>
      <c r="O163">
        <v>227000</v>
      </c>
      <c r="Q163">
        <v>220000</v>
      </c>
      <c r="R163">
        <v>179000</v>
      </c>
      <c r="U163">
        <v>180000</v>
      </c>
      <c r="X163">
        <v>148000</v>
      </c>
      <c r="AC163">
        <v>246000</v>
      </c>
      <c r="AJ163">
        <v>242000</v>
      </c>
    </row>
    <row r="164" spans="1:36" x14ac:dyDescent="0.25">
      <c r="A164">
        <v>6056633</v>
      </c>
      <c r="N164">
        <v>676000</v>
      </c>
    </row>
    <row r="165" spans="1:36" x14ac:dyDescent="0.25">
      <c r="A165">
        <v>7086224</v>
      </c>
      <c r="Y165">
        <v>245000</v>
      </c>
    </row>
    <row r="166" spans="1:36" x14ac:dyDescent="0.25">
      <c r="A166">
        <v>8040959</v>
      </c>
    </row>
    <row r="167" spans="1:36" x14ac:dyDescent="0.25">
      <c r="A167">
        <v>8107048</v>
      </c>
    </row>
    <row r="168" spans="1:36" x14ac:dyDescent="0.25">
      <c r="A168">
        <v>8124044</v>
      </c>
    </row>
    <row r="169" spans="1:36" x14ac:dyDescent="0.25">
      <c r="A169">
        <v>8142949</v>
      </c>
    </row>
    <row r="170" spans="1:36" x14ac:dyDescent="0.25">
      <c r="A170">
        <v>9023306</v>
      </c>
    </row>
    <row r="171" spans="1:36" x14ac:dyDescent="0.25">
      <c r="A171">
        <v>9030615</v>
      </c>
      <c r="R171">
        <v>137000</v>
      </c>
    </row>
    <row r="172" spans="1:36" x14ac:dyDescent="0.25">
      <c r="A172">
        <v>9034464</v>
      </c>
    </row>
    <row r="173" spans="1:36" x14ac:dyDescent="0.25">
      <c r="A173">
        <v>9040167</v>
      </c>
      <c r="L173">
        <v>236000</v>
      </c>
    </row>
    <row r="174" spans="1:36" x14ac:dyDescent="0.25">
      <c r="A174">
        <v>9054567</v>
      </c>
    </row>
    <row r="175" spans="1:36" x14ac:dyDescent="0.25">
      <c r="A175">
        <v>9083682</v>
      </c>
      <c r="N175">
        <v>214000</v>
      </c>
    </row>
    <row r="176" spans="1:36" x14ac:dyDescent="0.25">
      <c r="A176">
        <v>9102044</v>
      </c>
    </row>
    <row r="177" spans="1:27" x14ac:dyDescent="0.25">
      <c r="A177">
        <v>9119854</v>
      </c>
    </row>
    <row r="178" spans="1:27" x14ac:dyDescent="0.25">
      <c r="A178">
        <v>9125126</v>
      </c>
    </row>
    <row r="179" spans="1:27" x14ac:dyDescent="0.25">
      <c r="A179">
        <v>9174811</v>
      </c>
    </row>
    <row r="180" spans="1:27" x14ac:dyDescent="0.25">
      <c r="A180">
        <v>10002875</v>
      </c>
    </row>
    <row r="181" spans="1:27" x14ac:dyDescent="0.25">
      <c r="A181">
        <v>10023080</v>
      </c>
    </row>
    <row r="182" spans="1:27" x14ac:dyDescent="0.25">
      <c r="A182">
        <v>10025212</v>
      </c>
    </row>
    <row r="183" spans="1:27" x14ac:dyDescent="0.25">
      <c r="A183">
        <v>10069407</v>
      </c>
    </row>
    <row r="184" spans="1:27" x14ac:dyDescent="0.25">
      <c r="A184">
        <v>10071135</v>
      </c>
      <c r="AA184">
        <v>368000</v>
      </c>
    </row>
    <row r="185" spans="1:27" x14ac:dyDescent="0.25">
      <c r="A185">
        <v>10083649</v>
      </c>
    </row>
    <row r="186" spans="1:27" x14ac:dyDescent="0.25">
      <c r="A186">
        <v>10102021</v>
      </c>
    </row>
    <row r="187" spans="1:27" x14ac:dyDescent="0.25">
      <c r="A187">
        <v>10123729</v>
      </c>
    </row>
    <row r="188" spans="1:27" x14ac:dyDescent="0.25">
      <c r="A188">
        <v>10144736</v>
      </c>
    </row>
    <row r="189" spans="1:27" x14ac:dyDescent="0.25">
      <c r="A189">
        <v>10157275</v>
      </c>
    </row>
    <row r="190" spans="1:27" x14ac:dyDescent="0.25">
      <c r="A190" s="65"/>
    </row>
    <row r="191" spans="1:27" x14ac:dyDescent="0.25">
      <c r="A191" s="10" t="s">
        <v>120</v>
      </c>
    </row>
    <row r="192" spans="1:27" x14ac:dyDescent="0.25">
      <c r="A192">
        <v>5281</v>
      </c>
    </row>
    <row r="193" spans="1:40" x14ac:dyDescent="0.25">
      <c r="A193">
        <v>200085</v>
      </c>
    </row>
    <row r="194" spans="1:40" x14ac:dyDescent="0.25">
      <c r="A194">
        <v>500129</v>
      </c>
      <c r="AN194">
        <v>156000</v>
      </c>
    </row>
    <row r="195" spans="1:40" x14ac:dyDescent="0.25">
      <c r="A195" s="23">
        <v>1002033</v>
      </c>
    </row>
    <row r="196" spans="1:40" x14ac:dyDescent="0.25">
      <c r="A196">
        <v>1003457</v>
      </c>
    </row>
    <row r="197" spans="1:40" x14ac:dyDescent="0.25">
      <c r="A197">
        <v>2005223</v>
      </c>
    </row>
    <row r="198" spans="1:40" x14ac:dyDescent="0.25">
      <c r="A198">
        <v>2006107</v>
      </c>
    </row>
    <row r="199" spans="1:40" x14ac:dyDescent="0.25">
      <c r="A199">
        <v>2012014</v>
      </c>
      <c r="E199">
        <v>340000</v>
      </c>
      <c r="Q199">
        <v>312000</v>
      </c>
      <c r="R199">
        <v>106000</v>
      </c>
    </row>
    <row r="200" spans="1:40" x14ac:dyDescent="0.25">
      <c r="A200">
        <v>3000152</v>
      </c>
    </row>
    <row r="201" spans="1:40" x14ac:dyDescent="0.25">
      <c r="A201">
        <v>3014566</v>
      </c>
    </row>
    <row r="202" spans="1:40" x14ac:dyDescent="0.25">
      <c r="A202">
        <v>3015058</v>
      </c>
      <c r="E202">
        <v>263000</v>
      </c>
      <c r="G202">
        <v>244000</v>
      </c>
      <c r="H202">
        <v>178000</v>
      </c>
      <c r="J202">
        <v>232000</v>
      </c>
      <c r="P202">
        <v>411000</v>
      </c>
      <c r="Q202">
        <v>553000</v>
      </c>
      <c r="U202">
        <v>648000</v>
      </c>
      <c r="W202">
        <v>834000</v>
      </c>
    </row>
    <row r="203" spans="1:40" x14ac:dyDescent="0.25">
      <c r="A203" s="23">
        <v>4000996</v>
      </c>
      <c r="P203">
        <v>222000</v>
      </c>
    </row>
    <row r="204" spans="1:40" x14ac:dyDescent="0.25">
      <c r="A204">
        <v>4003768</v>
      </c>
    </row>
    <row r="205" spans="1:40" x14ac:dyDescent="0.25">
      <c r="A205">
        <v>4006540</v>
      </c>
    </row>
    <row r="206" spans="1:40" x14ac:dyDescent="0.25">
      <c r="A206">
        <v>4007054</v>
      </c>
      <c r="S206">
        <v>72000</v>
      </c>
    </row>
    <row r="207" spans="1:40" x14ac:dyDescent="0.25">
      <c r="A207">
        <v>4011002</v>
      </c>
      <c r="O207">
        <v>113000</v>
      </c>
      <c r="P207">
        <v>108000</v>
      </c>
      <c r="T207">
        <v>285000</v>
      </c>
      <c r="W207">
        <v>411000</v>
      </c>
    </row>
    <row r="208" spans="1:40" x14ac:dyDescent="0.25">
      <c r="A208">
        <v>4900268</v>
      </c>
    </row>
    <row r="209" spans="1:23" x14ac:dyDescent="0.25">
      <c r="A209">
        <v>5001097</v>
      </c>
      <c r="H209">
        <v>312000</v>
      </c>
      <c r="I209">
        <v>371000</v>
      </c>
      <c r="O209">
        <v>385000</v>
      </c>
      <c r="W209">
        <v>371000</v>
      </c>
    </row>
    <row r="210" spans="1:23" x14ac:dyDescent="0.25">
      <c r="A210">
        <v>5001098</v>
      </c>
      <c r="D210">
        <v>437000</v>
      </c>
      <c r="G210">
        <v>452000</v>
      </c>
      <c r="H210">
        <v>449000</v>
      </c>
    </row>
    <row r="211" spans="1:23" x14ac:dyDescent="0.25">
      <c r="A211">
        <v>5006152</v>
      </c>
      <c r="L211">
        <v>305000</v>
      </c>
      <c r="P211">
        <v>86000</v>
      </c>
    </row>
    <row r="212" spans="1:23" x14ac:dyDescent="0.25">
      <c r="A212">
        <v>6012361</v>
      </c>
    </row>
    <row r="213" spans="1:23" x14ac:dyDescent="0.25">
      <c r="A213">
        <v>6015793</v>
      </c>
    </row>
    <row r="214" spans="1:23" x14ac:dyDescent="0.25">
      <c r="A214">
        <v>6043619</v>
      </c>
    </row>
    <row r="215" spans="1:23" x14ac:dyDescent="0.25">
      <c r="A215">
        <v>7001097</v>
      </c>
    </row>
    <row r="216" spans="1:23" x14ac:dyDescent="0.25">
      <c r="A216">
        <v>7011435</v>
      </c>
      <c r="O216">
        <v>93000</v>
      </c>
      <c r="Q216">
        <v>248000</v>
      </c>
      <c r="U216">
        <v>532000</v>
      </c>
    </row>
    <row r="217" spans="1:23" x14ac:dyDescent="0.25">
      <c r="A217">
        <v>7045811</v>
      </c>
    </row>
    <row r="218" spans="1:23" x14ac:dyDescent="0.25">
      <c r="A218">
        <v>7071198</v>
      </c>
    </row>
    <row r="219" spans="1:23" x14ac:dyDescent="0.25">
      <c r="A219">
        <v>7101143</v>
      </c>
    </row>
    <row r="220" spans="1:23" x14ac:dyDescent="0.25">
      <c r="A220">
        <v>8073350</v>
      </c>
    </row>
    <row r="221" spans="1:23" x14ac:dyDescent="0.25">
      <c r="A221">
        <v>8073645</v>
      </c>
    </row>
    <row r="222" spans="1:23" x14ac:dyDescent="0.25">
      <c r="A222" s="23">
        <v>8089666</v>
      </c>
      <c r="K222">
        <v>304000</v>
      </c>
      <c r="L222" s="48">
        <v>147333.3333</v>
      </c>
      <c r="M222">
        <v>130000</v>
      </c>
      <c r="O222" s="14">
        <v>322000</v>
      </c>
      <c r="P222">
        <v>34000</v>
      </c>
    </row>
    <row r="223" spans="1:23" x14ac:dyDescent="0.25">
      <c r="A223">
        <v>8103536</v>
      </c>
      <c r="N223">
        <v>181000</v>
      </c>
    </row>
    <row r="224" spans="1:23" x14ac:dyDescent="0.25">
      <c r="A224">
        <v>8124816</v>
      </c>
    </row>
    <row r="225" spans="1:21" x14ac:dyDescent="0.25">
      <c r="A225">
        <v>9003267</v>
      </c>
      <c r="P225">
        <v>115000</v>
      </c>
      <c r="Q225">
        <v>120000</v>
      </c>
    </row>
    <row r="226" spans="1:21" x14ac:dyDescent="0.25">
      <c r="A226">
        <v>9036964</v>
      </c>
    </row>
    <row r="227" spans="1:21" x14ac:dyDescent="0.25">
      <c r="A227">
        <v>9090287</v>
      </c>
      <c r="Q227">
        <v>12000</v>
      </c>
      <c r="R227">
        <v>19000</v>
      </c>
      <c r="T227">
        <v>84000</v>
      </c>
      <c r="U227">
        <v>129000</v>
      </c>
    </row>
    <row r="228" spans="1:21" x14ac:dyDescent="0.25">
      <c r="A228">
        <v>9095148</v>
      </c>
      <c r="O228" s="14">
        <v>65500</v>
      </c>
      <c r="P228" s="14">
        <v>84000</v>
      </c>
      <c r="Q228" s="14">
        <v>117000</v>
      </c>
      <c r="R228">
        <v>163000</v>
      </c>
    </row>
    <row r="229" spans="1:21" x14ac:dyDescent="0.25">
      <c r="A229">
        <v>9104979</v>
      </c>
    </row>
    <row r="230" spans="1:21" x14ac:dyDescent="0.25">
      <c r="A230">
        <v>9139514</v>
      </c>
    </row>
    <row r="231" spans="1:21" x14ac:dyDescent="0.25">
      <c r="A231">
        <v>10020659</v>
      </c>
    </row>
    <row r="232" spans="1:21" x14ac:dyDescent="0.25">
      <c r="A232">
        <v>10025902</v>
      </c>
    </row>
    <row r="233" spans="1:21" x14ac:dyDescent="0.25">
      <c r="A233">
        <v>10027654</v>
      </c>
    </row>
    <row r="234" spans="1:21" x14ac:dyDescent="0.25">
      <c r="A234">
        <v>10084485</v>
      </c>
    </row>
    <row r="235" spans="1:21" x14ac:dyDescent="0.25">
      <c r="A235">
        <v>10098420</v>
      </c>
    </row>
    <row r="236" spans="1:21" x14ac:dyDescent="0.25">
      <c r="A236">
        <v>10129565</v>
      </c>
    </row>
    <row r="237" spans="1:21" x14ac:dyDescent="0.25">
      <c r="A237">
        <v>10146828</v>
      </c>
    </row>
    <row r="238" spans="1:21" x14ac:dyDescent="0.25">
      <c r="A238">
        <v>10163776</v>
      </c>
    </row>
    <row r="239" spans="1:21" x14ac:dyDescent="0.25">
      <c r="A239">
        <v>10173664</v>
      </c>
      <c r="R239">
        <v>180000</v>
      </c>
    </row>
  </sheetData>
  <conditionalFormatting sqref="A19">
    <cfRule type="duplicateValues" dxfId="13" priority="1"/>
  </conditionalFormatting>
  <pageMargins left="0.7" right="0.7" top="0.78740157499999996" bottom="0.78740157499999996" header="0.3" footer="0.3"/>
  <tableParts count="1">
    <tablePart r:id="rId1"/>
  </tableParts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5"/>
  <sheetViews>
    <sheetView workbookViewId="0">
      <selection sqref="A1:D85"/>
    </sheetView>
  </sheetViews>
  <sheetFormatPr defaultColWidth="11.42578125" defaultRowHeight="15" x14ac:dyDescent="0.25"/>
  <cols>
    <col min="1" max="1" width="17.28515625" bestFit="1" customWidth="1"/>
    <col min="2" max="2" width="15.140625" bestFit="1" customWidth="1"/>
    <col min="3" max="3" width="81.140625" bestFit="1" customWidth="1"/>
    <col min="4" max="4" width="30.28515625" bestFit="1" customWidth="1"/>
  </cols>
  <sheetData>
    <row r="1" spans="1:4" x14ac:dyDescent="0.25">
      <c r="A1" s="66" t="s">
        <v>59</v>
      </c>
      <c r="B1" s="66" t="s">
        <v>3134</v>
      </c>
      <c r="C1" s="66" t="s">
        <v>2564</v>
      </c>
      <c r="D1" s="66" t="s">
        <v>2523</v>
      </c>
    </row>
    <row r="2" spans="1:4" x14ac:dyDescent="0.25">
      <c r="A2" s="66">
        <v>7072184</v>
      </c>
      <c r="B2" s="66" t="s">
        <v>3254</v>
      </c>
      <c r="C2" s="66" t="s">
        <v>1559</v>
      </c>
      <c r="D2" s="66">
        <v>1</v>
      </c>
    </row>
    <row r="3" spans="1:4" x14ac:dyDescent="0.25">
      <c r="A3" s="66">
        <v>14242856</v>
      </c>
      <c r="B3" s="66" t="s">
        <v>3254</v>
      </c>
      <c r="C3" s="66" t="s">
        <v>1559</v>
      </c>
      <c r="D3" s="66">
        <v>1</v>
      </c>
    </row>
    <row r="4" spans="1:4" x14ac:dyDescent="0.25">
      <c r="A4" s="66">
        <v>3000983</v>
      </c>
      <c r="B4" s="66" t="s">
        <v>3254</v>
      </c>
      <c r="C4" s="66" t="s">
        <v>48</v>
      </c>
      <c r="D4" s="66">
        <v>1</v>
      </c>
    </row>
    <row r="5" spans="1:4" x14ac:dyDescent="0.25">
      <c r="A5" s="66">
        <v>3000983</v>
      </c>
      <c r="B5" s="66" t="s">
        <v>3255</v>
      </c>
      <c r="C5" s="66" t="s">
        <v>65</v>
      </c>
      <c r="D5" s="66">
        <v>1</v>
      </c>
    </row>
    <row r="6" spans="1:4" x14ac:dyDescent="0.25">
      <c r="A6" s="66">
        <v>10064335</v>
      </c>
      <c r="B6" s="66" t="s">
        <v>3255</v>
      </c>
      <c r="C6" s="66" t="s">
        <v>3256</v>
      </c>
      <c r="D6" s="66">
        <v>2</v>
      </c>
    </row>
    <row r="7" spans="1:4" x14ac:dyDescent="0.25">
      <c r="A7" s="66">
        <v>1003215</v>
      </c>
      <c r="B7" s="66" t="s">
        <v>3254</v>
      </c>
      <c r="C7" s="66" t="s">
        <v>1559</v>
      </c>
      <c r="D7" s="66">
        <v>1</v>
      </c>
    </row>
    <row r="8" spans="1:4" x14ac:dyDescent="0.25">
      <c r="A8" s="66">
        <v>96018835</v>
      </c>
      <c r="B8" s="66" t="s">
        <v>3254</v>
      </c>
      <c r="C8" s="66" t="s">
        <v>3257</v>
      </c>
      <c r="D8" s="66">
        <v>5</v>
      </c>
    </row>
    <row r="9" spans="1:4" x14ac:dyDescent="0.25">
      <c r="A9" s="66">
        <v>96018835</v>
      </c>
      <c r="B9" s="66" t="s">
        <v>3255</v>
      </c>
      <c r="C9" s="66" t="s">
        <v>3258</v>
      </c>
      <c r="D9" s="66">
        <v>4</v>
      </c>
    </row>
    <row r="10" spans="1:4" x14ac:dyDescent="0.25">
      <c r="A10" s="66">
        <v>6016435</v>
      </c>
      <c r="B10" s="66" t="s">
        <v>3254</v>
      </c>
      <c r="C10" s="66" t="s">
        <v>46</v>
      </c>
      <c r="D10" s="66">
        <v>1</v>
      </c>
    </row>
    <row r="11" spans="1:4" x14ac:dyDescent="0.25">
      <c r="A11" s="66">
        <v>10023001</v>
      </c>
      <c r="B11" s="66" t="s">
        <v>3254</v>
      </c>
      <c r="C11" s="66" t="s">
        <v>1559</v>
      </c>
      <c r="D11" s="66">
        <v>1</v>
      </c>
    </row>
    <row r="12" spans="1:4" x14ac:dyDescent="0.25">
      <c r="A12" s="66">
        <v>14222171</v>
      </c>
      <c r="B12" s="66" t="s">
        <v>3254</v>
      </c>
      <c r="C12" s="66" t="s">
        <v>1559</v>
      </c>
      <c r="D12" s="66">
        <v>1</v>
      </c>
    </row>
    <row r="13" spans="1:4" x14ac:dyDescent="0.25">
      <c r="A13" s="66">
        <v>9140312</v>
      </c>
      <c r="B13" s="66" t="s">
        <v>3254</v>
      </c>
      <c r="C13" s="66" t="s">
        <v>3259</v>
      </c>
      <c r="D13" s="66">
        <v>5</v>
      </c>
    </row>
    <row r="14" spans="1:4" x14ac:dyDescent="0.25">
      <c r="A14" s="66">
        <v>12088444</v>
      </c>
      <c r="B14" s="66" t="s">
        <v>3254</v>
      </c>
      <c r="C14" s="66" t="s">
        <v>48</v>
      </c>
      <c r="D14" s="66">
        <v>1</v>
      </c>
    </row>
    <row r="15" spans="1:4" x14ac:dyDescent="0.25">
      <c r="A15" s="66">
        <v>12088444</v>
      </c>
      <c r="B15" s="66" t="s">
        <v>3255</v>
      </c>
      <c r="C15" s="66" t="s">
        <v>3260</v>
      </c>
      <c r="D15" s="66">
        <v>3</v>
      </c>
    </row>
    <row r="16" spans="1:4" x14ac:dyDescent="0.25">
      <c r="A16" s="66">
        <v>12012030</v>
      </c>
      <c r="B16" s="66" t="s">
        <v>3255</v>
      </c>
      <c r="C16" s="66" t="s">
        <v>646</v>
      </c>
      <c r="D16" s="66">
        <v>1</v>
      </c>
    </row>
    <row r="17" spans="1:4" x14ac:dyDescent="0.25">
      <c r="A17" s="66">
        <v>6014511</v>
      </c>
      <c r="B17" s="66" t="s">
        <v>3254</v>
      </c>
      <c r="C17" s="66" t="s">
        <v>48</v>
      </c>
      <c r="D17" s="66">
        <v>1</v>
      </c>
    </row>
    <row r="18" spans="1:4" x14ac:dyDescent="0.25">
      <c r="A18" s="66">
        <v>7076815</v>
      </c>
      <c r="B18" s="66" t="s">
        <v>3254</v>
      </c>
      <c r="C18" s="66" t="s">
        <v>1248</v>
      </c>
      <c r="D18" s="66">
        <v>1</v>
      </c>
    </row>
    <row r="19" spans="1:4" x14ac:dyDescent="0.25">
      <c r="A19" s="66">
        <v>9003370</v>
      </c>
      <c r="B19" s="66" t="s">
        <v>3254</v>
      </c>
      <c r="C19" s="66" t="s">
        <v>1248</v>
      </c>
      <c r="D19" s="66">
        <v>1</v>
      </c>
    </row>
    <row r="20" spans="1:4" x14ac:dyDescent="0.25">
      <c r="A20" s="66">
        <v>9016278</v>
      </c>
      <c r="B20" s="66" t="s">
        <v>3254</v>
      </c>
      <c r="C20" s="66" t="s">
        <v>3261</v>
      </c>
      <c r="D20" s="66">
        <v>2</v>
      </c>
    </row>
    <row r="21" spans="1:4" x14ac:dyDescent="0.25">
      <c r="A21" s="66">
        <v>9030684</v>
      </c>
      <c r="B21" s="66" t="s">
        <v>3254</v>
      </c>
      <c r="C21" s="66" t="s">
        <v>1248</v>
      </c>
      <c r="D21" s="66">
        <v>1</v>
      </c>
    </row>
    <row r="22" spans="1:4" x14ac:dyDescent="0.25">
      <c r="A22" s="66">
        <v>9030684</v>
      </c>
      <c r="B22" s="66" t="s">
        <v>3255</v>
      </c>
      <c r="C22" s="66" t="s">
        <v>176</v>
      </c>
      <c r="D22" s="66">
        <v>1</v>
      </c>
    </row>
    <row r="23" spans="1:4" x14ac:dyDescent="0.25">
      <c r="A23" s="66">
        <v>9031387</v>
      </c>
      <c r="B23" s="66" t="s">
        <v>3255</v>
      </c>
      <c r="C23" s="66" t="s">
        <v>1565</v>
      </c>
      <c r="D23" s="66">
        <v>1</v>
      </c>
    </row>
    <row r="24" spans="1:4" x14ac:dyDescent="0.25">
      <c r="A24" s="66">
        <v>9039416</v>
      </c>
      <c r="B24" s="66" t="s">
        <v>3254</v>
      </c>
      <c r="C24" s="66" t="s">
        <v>3262</v>
      </c>
      <c r="D24" s="66">
        <v>2</v>
      </c>
    </row>
    <row r="25" spans="1:4" x14ac:dyDescent="0.25">
      <c r="A25" s="66">
        <v>9039416</v>
      </c>
      <c r="B25" s="66" t="s">
        <v>3255</v>
      </c>
      <c r="C25" s="66" t="s">
        <v>3263</v>
      </c>
      <c r="D25" s="66">
        <v>2</v>
      </c>
    </row>
    <row r="26" spans="1:4" x14ac:dyDescent="0.25">
      <c r="A26" s="66">
        <v>9044899</v>
      </c>
      <c r="B26" s="66" t="s">
        <v>3254</v>
      </c>
      <c r="C26" s="66" t="s">
        <v>3264</v>
      </c>
      <c r="D26" s="66">
        <v>4</v>
      </c>
    </row>
    <row r="27" spans="1:4" x14ac:dyDescent="0.25">
      <c r="A27" s="66">
        <v>9044899</v>
      </c>
      <c r="B27" s="66" t="s">
        <v>3255</v>
      </c>
      <c r="C27" s="66" t="s">
        <v>1561</v>
      </c>
      <c r="D27" s="66">
        <v>1</v>
      </c>
    </row>
    <row r="28" spans="1:4" x14ac:dyDescent="0.25">
      <c r="A28" s="66">
        <v>9052398</v>
      </c>
      <c r="B28" s="66" t="s">
        <v>3254</v>
      </c>
      <c r="C28" s="66" t="s">
        <v>1248</v>
      </c>
      <c r="D28" s="66">
        <v>1</v>
      </c>
    </row>
    <row r="29" spans="1:4" x14ac:dyDescent="0.25">
      <c r="A29" s="66">
        <v>10010926</v>
      </c>
      <c r="B29" s="66" t="s">
        <v>3254</v>
      </c>
      <c r="C29" s="66" t="s">
        <v>3265</v>
      </c>
      <c r="D29" s="66">
        <v>3</v>
      </c>
    </row>
    <row r="30" spans="1:4" x14ac:dyDescent="0.25">
      <c r="A30" s="66">
        <v>10010926</v>
      </c>
      <c r="B30" s="66" t="s">
        <v>3255</v>
      </c>
      <c r="C30" s="66" t="s">
        <v>3266</v>
      </c>
      <c r="D30" s="66">
        <v>3</v>
      </c>
    </row>
    <row r="31" spans="1:4" x14ac:dyDescent="0.25">
      <c r="A31" s="66">
        <v>324</v>
      </c>
      <c r="B31" s="66" t="s">
        <v>3254</v>
      </c>
      <c r="C31" s="66" t="s">
        <v>1248</v>
      </c>
      <c r="D31" s="66">
        <v>1</v>
      </c>
    </row>
    <row r="32" spans="1:4" x14ac:dyDescent="0.25">
      <c r="A32" s="66">
        <v>3909</v>
      </c>
      <c r="B32" s="66" t="s">
        <v>3254</v>
      </c>
      <c r="C32" s="66" t="s">
        <v>1560</v>
      </c>
      <c r="D32" s="66">
        <v>1</v>
      </c>
    </row>
    <row r="33" spans="1:4" x14ac:dyDescent="0.25">
      <c r="A33" s="66">
        <v>3909</v>
      </c>
      <c r="B33" s="66" t="s">
        <v>3255</v>
      </c>
      <c r="C33" s="66" t="s">
        <v>1070</v>
      </c>
      <c r="D33" s="66">
        <v>1</v>
      </c>
    </row>
    <row r="34" spans="1:4" x14ac:dyDescent="0.25">
      <c r="A34" s="66">
        <v>1005522</v>
      </c>
      <c r="B34" s="66" t="s">
        <v>3254</v>
      </c>
      <c r="C34" s="66" t="s">
        <v>3267</v>
      </c>
      <c r="D34" s="66">
        <v>3</v>
      </c>
    </row>
    <row r="35" spans="1:4" x14ac:dyDescent="0.25">
      <c r="A35" s="66">
        <v>1005522</v>
      </c>
      <c r="B35" s="66" t="s">
        <v>3255</v>
      </c>
      <c r="C35" s="66" t="s">
        <v>3268</v>
      </c>
      <c r="D35" s="66">
        <v>2</v>
      </c>
    </row>
    <row r="36" spans="1:4" x14ac:dyDescent="0.25">
      <c r="A36" s="66">
        <v>1007631</v>
      </c>
      <c r="B36" s="66" t="s">
        <v>3254</v>
      </c>
      <c r="C36" s="66" t="s">
        <v>46</v>
      </c>
      <c r="D36" s="66">
        <v>1</v>
      </c>
    </row>
    <row r="37" spans="1:4" x14ac:dyDescent="0.25">
      <c r="A37" s="66">
        <v>1009760</v>
      </c>
      <c r="B37" s="66" t="s">
        <v>3254</v>
      </c>
      <c r="C37" s="66" t="s">
        <v>48</v>
      </c>
      <c r="D37" s="66">
        <v>1</v>
      </c>
    </row>
    <row r="38" spans="1:4" x14ac:dyDescent="0.25">
      <c r="A38" s="66">
        <v>1009760</v>
      </c>
      <c r="B38" s="66" t="s">
        <v>3255</v>
      </c>
      <c r="C38" s="66" t="s">
        <v>3269</v>
      </c>
      <c r="D38" s="66">
        <v>3</v>
      </c>
    </row>
    <row r="39" spans="1:4" x14ac:dyDescent="0.25">
      <c r="A39" s="66">
        <v>2000646</v>
      </c>
      <c r="B39" s="66" t="s">
        <v>3254</v>
      </c>
      <c r="C39" s="66" t="s">
        <v>3270</v>
      </c>
      <c r="D39" s="66">
        <v>2</v>
      </c>
    </row>
    <row r="40" spans="1:4" x14ac:dyDescent="0.25">
      <c r="A40" s="66">
        <v>2000646</v>
      </c>
      <c r="B40" s="66" t="s">
        <v>3255</v>
      </c>
      <c r="C40" s="66" t="s">
        <v>3271</v>
      </c>
      <c r="D40" s="66">
        <v>3</v>
      </c>
    </row>
    <row r="41" spans="1:4" x14ac:dyDescent="0.25">
      <c r="A41" s="66">
        <v>3005132</v>
      </c>
      <c r="B41" s="66" t="s">
        <v>3254</v>
      </c>
      <c r="C41" s="66" t="s">
        <v>1248</v>
      </c>
      <c r="D41" s="66">
        <v>1</v>
      </c>
    </row>
    <row r="42" spans="1:4" x14ac:dyDescent="0.25">
      <c r="A42" s="66">
        <v>3014643</v>
      </c>
      <c r="B42" s="66" t="s">
        <v>3254</v>
      </c>
      <c r="C42" s="66" t="s">
        <v>1248</v>
      </c>
      <c r="D42" s="66">
        <v>1</v>
      </c>
    </row>
    <row r="43" spans="1:4" x14ac:dyDescent="0.25">
      <c r="A43" s="66">
        <v>3016056</v>
      </c>
      <c r="B43" s="66" t="s">
        <v>3255</v>
      </c>
      <c r="C43" s="66" t="s">
        <v>1566</v>
      </c>
      <c r="D43" s="66">
        <v>1</v>
      </c>
    </row>
    <row r="44" spans="1:4" x14ac:dyDescent="0.25">
      <c r="A44" s="66">
        <v>3900219</v>
      </c>
      <c r="B44" s="66" t="s">
        <v>3254</v>
      </c>
      <c r="C44" s="66" t="s">
        <v>1190</v>
      </c>
      <c r="D44" s="66">
        <v>1</v>
      </c>
    </row>
    <row r="45" spans="1:4" x14ac:dyDescent="0.25">
      <c r="A45" s="66">
        <v>4002206</v>
      </c>
      <c r="B45" s="66" t="s">
        <v>3254</v>
      </c>
      <c r="C45" s="66" t="s">
        <v>1248</v>
      </c>
      <c r="D45" s="66">
        <v>1</v>
      </c>
    </row>
    <row r="46" spans="1:4" x14ac:dyDescent="0.25">
      <c r="A46" s="66">
        <v>4002206</v>
      </c>
      <c r="B46" s="66" t="s">
        <v>3255</v>
      </c>
      <c r="C46" s="66" t="s">
        <v>1194</v>
      </c>
      <c r="D46" s="66">
        <v>1</v>
      </c>
    </row>
    <row r="47" spans="1:4" x14ac:dyDescent="0.25">
      <c r="A47" s="66">
        <v>4008140</v>
      </c>
      <c r="B47" s="66" t="s">
        <v>3254</v>
      </c>
      <c r="C47" s="66" t="s">
        <v>1559</v>
      </c>
      <c r="D47" s="66">
        <v>1</v>
      </c>
    </row>
    <row r="48" spans="1:4" x14ac:dyDescent="0.25">
      <c r="A48" s="66">
        <v>4009906</v>
      </c>
      <c r="B48" s="66" t="s">
        <v>3254</v>
      </c>
      <c r="C48" s="66" t="s">
        <v>46</v>
      </c>
      <c r="D48" s="66">
        <v>1</v>
      </c>
    </row>
    <row r="49" spans="1:4" x14ac:dyDescent="0.25">
      <c r="A49" s="66">
        <v>4009906</v>
      </c>
      <c r="B49" s="66" t="s">
        <v>3255</v>
      </c>
      <c r="C49" s="66" t="s">
        <v>3272</v>
      </c>
      <c r="D49" s="66">
        <v>3</v>
      </c>
    </row>
    <row r="50" spans="1:4" x14ac:dyDescent="0.25">
      <c r="A50" s="66">
        <v>4011027</v>
      </c>
      <c r="B50" s="66" t="s">
        <v>3254</v>
      </c>
      <c r="C50" s="66" t="s">
        <v>46</v>
      </c>
      <c r="D50" s="66">
        <v>1</v>
      </c>
    </row>
    <row r="51" spans="1:4" x14ac:dyDescent="0.25">
      <c r="A51">
        <v>5004654</v>
      </c>
      <c r="B51" s="66" t="s">
        <v>3254</v>
      </c>
      <c r="C51" t="s">
        <v>3273</v>
      </c>
      <c r="D51">
        <v>5</v>
      </c>
    </row>
    <row r="52" spans="1:4" x14ac:dyDescent="0.25">
      <c r="A52">
        <v>5004654</v>
      </c>
      <c r="B52" s="66" t="s">
        <v>3255</v>
      </c>
      <c r="C52" t="s">
        <v>3274</v>
      </c>
      <c r="D52">
        <v>3</v>
      </c>
    </row>
    <row r="53" spans="1:4" x14ac:dyDescent="0.25">
      <c r="A53">
        <v>500245</v>
      </c>
      <c r="B53" s="66" t="s">
        <v>3254</v>
      </c>
      <c r="C53" t="s">
        <v>3275</v>
      </c>
      <c r="D53">
        <v>2</v>
      </c>
    </row>
    <row r="54" spans="1:4" x14ac:dyDescent="0.25">
      <c r="A54">
        <v>500245</v>
      </c>
      <c r="B54" s="66" t="s">
        <v>3255</v>
      </c>
      <c r="C54" t="s">
        <v>606</v>
      </c>
      <c r="D54">
        <v>1</v>
      </c>
    </row>
    <row r="55" spans="1:4" x14ac:dyDescent="0.25">
      <c r="A55">
        <v>2005572</v>
      </c>
      <c r="B55" s="66" t="s">
        <v>3254</v>
      </c>
      <c r="C55" t="s">
        <v>3276</v>
      </c>
      <c r="D55">
        <v>3</v>
      </c>
    </row>
    <row r="56" spans="1:4" x14ac:dyDescent="0.25">
      <c r="A56">
        <v>3009633</v>
      </c>
      <c r="B56" s="66" t="s">
        <v>3255</v>
      </c>
      <c r="C56" t="s">
        <v>3277</v>
      </c>
      <c r="D56">
        <v>3</v>
      </c>
    </row>
    <row r="57" spans="1:4" x14ac:dyDescent="0.25">
      <c r="A57">
        <v>3011892</v>
      </c>
      <c r="B57" s="66" t="s">
        <v>3255</v>
      </c>
      <c r="C57" t="s">
        <v>3278</v>
      </c>
      <c r="D57">
        <v>2</v>
      </c>
    </row>
    <row r="58" spans="1:4" x14ac:dyDescent="0.25">
      <c r="A58">
        <v>5015851</v>
      </c>
      <c r="B58" s="66" t="s">
        <v>3254</v>
      </c>
      <c r="C58" t="s">
        <v>1248</v>
      </c>
      <c r="D58">
        <v>1</v>
      </c>
    </row>
    <row r="59" spans="1:4" x14ac:dyDescent="0.25">
      <c r="A59">
        <v>6015647</v>
      </c>
      <c r="B59" s="66" t="s">
        <v>3254</v>
      </c>
      <c r="C59" t="s">
        <v>3279</v>
      </c>
      <c r="D59">
        <v>4</v>
      </c>
    </row>
    <row r="60" spans="1:4" x14ac:dyDescent="0.25">
      <c r="A60">
        <v>6015647</v>
      </c>
      <c r="B60" s="66" t="s">
        <v>3255</v>
      </c>
      <c r="C60" t="s">
        <v>3280</v>
      </c>
      <c r="D60">
        <v>3</v>
      </c>
    </row>
    <row r="61" spans="1:4" x14ac:dyDescent="0.25">
      <c r="A61">
        <v>6056633</v>
      </c>
      <c r="B61" s="66" t="s">
        <v>3254</v>
      </c>
      <c r="C61" t="s">
        <v>1559</v>
      </c>
      <c r="D61">
        <v>1</v>
      </c>
    </row>
    <row r="62" spans="1:4" x14ac:dyDescent="0.25">
      <c r="A62">
        <v>7086224</v>
      </c>
      <c r="B62" s="66" t="s">
        <v>3255</v>
      </c>
      <c r="C62" t="s">
        <v>1140</v>
      </c>
      <c r="D62">
        <v>1</v>
      </c>
    </row>
    <row r="63" spans="1:4" x14ac:dyDescent="0.25">
      <c r="A63">
        <v>9030615</v>
      </c>
      <c r="B63" s="66" t="s">
        <v>3254</v>
      </c>
      <c r="C63" t="s">
        <v>48</v>
      </c>
      <c r="D63">
        <v>1</v>
      </c>
    </row>
    <row r="64" spans="1:4" x14ac:dyDescent="0.25">
      <c r="A64">
        <v>9040167</v>
      </c>
      <c r="B64" s="66" t="s">
        <v>3254</v>
      </c>
      <c r="C64" t="s">
        <v>1558</v>
      </c>
      <c r="D64">
        <v>1</v>
      </c>
    </row>
    <row r="65" spans="1:4" x14ac:dyDescent="0.25">
      <c r="A65">
        <v>9083682</v>
      </c>
      <c r="B65" s="66" t="s">
        <v>3254</v>
      </c>
      <c r="C65" t="s">
        <v>1559</v>
      </c>
      <c r="D65">
        <v>1</v>
      </c>
    </row>
    <row r="66" spans="1:4" x14ac:dyDescent="0.25">
      <c r="A66">
        <v>10071135</v>
      </c>
      <c r="B66" s="66" t="s">
        <v>3255</v>
      </c>
      <c r="C66" t="s">
        <v>921</v>
      </c>
      <c r="D66">
        <v>1</v>
      </c>
    </row>
    <row r="67" spans="1:4" x14ac:dyDescent="0.25">
      <c r="A67">
        <v>500129</v>
      </c>
      <c r="B67" s="66" t="s">
        <v>3255</v>
      </c>
      <c r="C67" t="s">
        <v>1822</v>
      </c>
      <c r="D67">
        <v>1</v>
      </c>
    </row>
    <row r="68" spans="1:4" x14ac:dyDescent="0.25">
      <c r="A68">
        <v>2012014</v>
      </c>
      <c r="B68" s="66" t="s">
        <v>3254</v>
      </c>
      <c r="C68" t="s">
        <v>3281</v>
      </c>
      <c r="D68">
        <v>3</v>
      </c>
    </row>
    <row r="69" spans="1:4" x14ac:dyDescent="0.25">
      <c r="A69">
        <v>3015058</v>
      </c>
      <c r="B69" s="66" t="s">
        <v>3254</v>
      </c>
      <c r="C69" t="s">
        <v>3282</v>
      </c>
      <c r="D69">
        <v>7</v>
      </c>
    </row>
    <row r="70" spans="1:4" x14ac:dyDescent="0.25">
      <c r="A70">
        <v>3015058</v>
      </c>
      <c r="B70" s="66" t="s">
        <v>3255</v>
      </c>
      <c r="C70" t="s">
        <v>1561</v>
      </c>
      <c r="D70">
        <v>1</v>
      </c>
    </row>
    <row r="71" spans="1:4" x14ac:dyDescent="0.25">
      <c r="A71">
        <v>4000996</v>
      </c>
      <c r="B71" s="66" t="s">
        <v>3254</v>
      </c>
      <c r="C71" t="s">
        <v>46</v>
      </c>
      <c r="D71">
        <v>1</v>
      </c>
    </row>
    <row r="72" spans="1:4" x14ac:dyDescent="0.25">
      <c r="A72">
        <v>4007054</v>
      </c>
      <c r="B72" s="66" t="s">
        <v>3254</v>
      </c>
      <c r="C72" t="s">
        <v>1560</v>
      </c>
      <c r="D72">
        <v>1</v>
      </c>
    </row>
    <row r="73" spans="1:4" x14ac:dyDescent="0.25">
      <c r="A73">
        <v>4011002</v>
      </c>
      <c r="B73" s="66" t="s">
        <v>3254</v>
      </c>
      <c r="C73" t="s">
        <v>3283</v>
      </c>
      <c r="D73">
        <v>3</v>
      </c>
    </row>
    <row r="74" spans="1:4" x14ac:dyDescent="0.25">
      <c r="A74">
        <v>4011002</v>
      </c>
      <c r="B74" s="66" t="s">
        <v>3255</v>
      </c>
      <c r="C74" t="s">
        <v>1561</v>
      </c>
      <c r="D74">
        <v>1</v>
      </c>
    </row>
    <row r="75" spans="1:4" x14ac:dyDescent="0.25">
      <c r="A75">
        <v>5001097</v>
      </c>
      <c r="B75" s="66" t="s">
        <v>3254</v>
      </c>
      <c r="C75" t="s">
        <v>3284</v>
      </c>
      <c r="D75">
        <v>3</v>
      </c>
    </row>
    <row r="76" spans="1:4" x14ac:dyDescent="0.25">
      <c r="A76">
        <v>5001097</v>
      </c>
      <c r="B76" s="66" t="s">
        <v>3255</v>
      </c>
      <c r="C76" t="s">
        <v>1561</v>
      </c>
      <c r="D76">
        <v>1</v>
      </c>
    </row>
    <row r="77" spans="1:4" x14ac:dyDescent="0.25">
      <c r="A77">
        <v>5001098</v>
      </c>
      <c r="B77" s="66" t="s">
        <v>3254</v>
      </c>
      <c r="C77" t="s">
        <v>3285</v>
      </c>
      <c r="D77">
        <v>3</v>
      </c>
    </row>
    <row r="78" spans="1:4" x14ac:dyDescent="0.25">
      <c r="A78">
        <v>5006152</v>
      </c>
      <c r="B78" s="66" t="s">
        <v>3254</v>
      </c>
      <c r="C78" t="s">
        <v>3286</v>
      </c>
      <c r="D78">
        <v>2</v>
      </c>
    </row>
    <row r="79" spans="1:4" x14ac:dyDescent="0.25">
      <c r="A79">
        <v>7011435</v>
      </c>
      <c r="B79" s="66" t="s">
        <v>3254</v>
      </c>
      <c r="C79" t="s">
        <v>3287</v>
      </c>
      <c r="D79">
        <v>3</v>
      </c>
    </row>
    <row r="80" spans="1:4" x14ac:dyDescent="0.25">
      <c r="A80">
        <v>8089666</v>
      </c>
      <c r="B80" s="66" t="s">
        <v>3254</v>
      </c>
      <c r="C80" t="s">
        <v>3288</v>
      </c>
      <c r="D80">
        <v>5</v>
      </c>
    </row>
    <row r="81" spans="1:4" x14ac:dyDescent="0.25">
      <c r="A81">
        <v>8103536</v>
      </c>
      <c r="B81" s="66" t="s">
        <v>3254</v>
      </c>
      <c r="C81" t="s">
        <v>1559</v>
      </c>
      <c r="D81">
        <v>1</v>
      </c>
    </row>
    <row r="82" spans="1:4" x14ac:dyDescent="0.25">
      <c r="A82">
        <v>9003267</v>
      </c>
      <c r="B82" s="66" t="s">
        <v>3254</v>
      </c>
      <c r="C82" t="s">
        <v>3289</v>
      </c>
      <c r="D82">
        <v>2</v>
      </c>
    </row>
    <row r="83" spans="1:4" x14ac:dyDescent="0.25">
      <c r="A83">
        <v>9090287</v>
      </c>
      <c r="B83" s="66" t="s">
        <v>3254</v>
      </c>
      <c r="C83" t="s">
        <v>3290</v>
      </c>
      <c r="D83">
        <v>4</v>
      </c>
    </row>
    <row r="84" spans="1:4" x14ac:dyDescent="0.25">
      <c r="A84">
        <v>9095148</v>
      </c>
      <c r="B84" s="66" t="s">
        <v>3254</v>
      </c>
      <c r="C84" t="s">
        <v>3291</v>
      </c>
      <c r="D84">
        <v>4</v>
      </c>
    </row>
    <row r="85" spans="1:4" x14ac:dyDescent="0.25">
      <c r="A85">
        <v>10173664</v>
      </c>
      <c r="B85" s="66" t="s">
        <v>3254</v>
      </c>
      <c r="C85" t="s">
        <v>48</v>
      </c>
      <c r="D85">
        <v>1</v>
      </c>
    </row>
  </sheetData>
  <phoneticPr fontId="6" type="noConversion"/>
  <pageMargins left="0.7" right="0.7" top="0.78740157499999996" bottom="0.78740157499999996" header="0.3" footer="0.3"/>
  <tableParts count="1">
    <tablePart r:id="rId1"/>
  </tableParts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9"/>
  <sheetViews>
    <sheetView workbookViewId="0">
      <selection sqref="A1:I239"/>
    </sheetView>
  </sheetViews>
  <sheetFormatPr defaultColWidth="11.42578125" defaultRowHeight="15" x14ac:dyDescent="0.25"/>
  <cols>
    <col min="1" max="1" width="17.140625" customWidth="1"/>
    <col min="2" max="2" width="33.28515625" customWidth="1"/>
    <col min="3" max="3" width="32.28515625" customWidth="1"/>
    <col min="4" max="4" width="30.5703125" customWidth="1"/>
    <col min="5" max="5" width="16.85546875" customWidth="1"/>
    <col min="7" max="9" width="19.42578125" customWidth="1"/>
  </cols>
  <sheetData>
    <row r="1" spans="1:9" ht="60" x14ac:dyDescent="0.25">
      <c r="A1" s="61" t="s">
        <v>59</v>
      </c>
      <c r="B1" s="70" t="s">
        <v>1975</v>
      </c>
      <c r="C1" s="70" t="s">
        <v>1949</v>
      </c>
      <c r="D1" s="70" t="s">
        <v>1569</v>
      </c>
      <c r="E1" s="63" t="s">
        <v>1570</v>
      </c>
      <c r="F1" s="62" t="s">
        <v>1571</v>
      </c>
      <c r="G1" s="62" t="s">
        <v>1950</v>
      </c>
      <c r="H1" s="62" t="s">
        <v>2140</v>
      </c>
      <c r="I1" s="62" t="s">
        <v>119</v>
      </c>
    </row>
    <row r="2" spans="1:9" x14ac:dyDescent="0.25">
      <c r="A2" s="40" t="s">
        <v>561</v>
      </c>
    </row>
    <row r="3" spans="1:9" x14ac:dyDescent="0.25">
      <c r="A3" s="10" t="s">
        <v>2519</v>
      </c>
      <c r="B3" s="6"/>
      <c r="C3" s="6"/>
      <c r="D3" s="7"/>
      <c r="E3" s="7"/>
      <c r="F3" s="7"/>
      <c r="G3" s="7"/>
      <c r="H3" s="7"/>
      <c r="I3" s="6"/>
    </row>
    <row r="4" spans="1:9" x14ac:dyDescent="0.25">
      <c r="A4">
        <v>7072184</v>
      </c>
      <c r="B4" s="6"/>
      <c r="C4" s="6"/>
      <c r="D4" s="7"/>
      <c r="E4" s="7"/>
      <c r="F4" s="7"/>
      <c r="G4" s="7"/>
      <c r="H4" s="7"/>
      <c r="I4" s="6"/>
    </row>
    <row r="5" spans="1:9" x14ac:dyDescent="0.25">
      <c r="A5">
        <v>9108231</v>
      </c>
      <c r="B5" s="6"/>
      <c r="C5" s="6"/>
      <c r="D5" s="7"/>
      <c r="E5" s="7"/>
      <c r="F5" s="7"/>
      <c r="G5" s="7"/>
      <c r="H5" s="7"/>
      <c r="I5" s="6"/>
    </row>
    <row r="6" spans="1:9" x14ac:dyDescent="0.25">
      <c r="A6">
        <v>12061933</v>
      </c>
      <c r="B6" s="6"/>
      <c r="C6" s="6"/>
      <c r="D6" s="7"/>
      <c r="E6" s="7"/>
      <c r="F6" s="7"/>
      <c r="G6" s="7"/>
      <c r="H6" s="7"/>
      <c r="I6" s="6"/>
    </row>
    <row r="7" spans="1:9" x14ac:dyDescent="0.25">
      <c r="A7">
        <v>95005911</v>
      </c>
    </row>
    <row r="8" spans="1:9" x14ac:dyDescent="0.25">
      <c r="A8">
        <v>99001908</v>
      </c>
    </row>
    <row r="9" spans="1:9" x14ac:dyDescent="0.25">
      <c r="A9">
        <v>99004067</v>
      </c>
    </row>
    <row r="10" spans="1:9" x14ac:dyDescent="0.25">
      <c r="A10">
        <v>97002136</v>
      </c>
    </row>
    <row r="11" spans="1:9" x14ac:dyDescent="0.25">
      <c r="A11">
        <v>1502</v>
      </c>
      <c r="B11" s="6"/>
      <c r="C11" s="6"/>
      <c r="D11" s="7"/>
      <c r="E11" s="7"/>
      <c r="F11" s="7"/>
      <c r="G11" s="7"/>
      <c r="H11" s="7"/>
      <c r="I11" s="6"/>
    </row>
    <row r="12" spans="1:9" x14ac:dyDescent="0.25">
      <c r="A12">
        <v>4003543</v>
      </c>
      <c r="B12" s="6"/>
      <c r="C12" s="6"/>
      <c r="D12" s="7"/>
      <c r="E12" s="7"/>
      <c r="F12" s="7"/>
      <c r="G12" s="7"/>
      <c r="H12" s="7"/>
      <c r="I12">
        <v>67</v>
      </c>
    </row>
    <row r="13" spans="1:9" x14ac:dyDescent="0.25">
      <c r="A13">
        <v>4900261</v>
      </c>
      <c r="B13" s="6"/>
      <c r="C13" s="6"/>
      <c r="D13" s="7"/>
      <c r="E13" s="7"/>
      <c r="F13" s="7"/>
      <c r="G13" s="7"/>
      <c r="H13" s="7"/>
      <c r="I13" s="6"/>
    </row>
    <row r="15" spans="1:9" x14ac:dyDescent="0.25">
      <c r="A15" s="10" t="s">
        <v>2520</v>
      </c>
      <c r="B15" s="6"/>
      <c r="C15" s="6"/>
      <c r="D15" s="7"/>
      <c r="E15" s="7"/>
      <c r="F15" s="7"/>
      <c r="G15" s="7"/>
      <c r="H15" s="7"/>
      <c r="I15" s="6"/>
    </row>
    <row r="16" spans="1:9" x14ac:dyDescent="0.25">
      <c r="A16">
        <v>14242856</v>
      </c>
      <c r="B16" s="6"/>
      <c r="C16" s="6"/>
      <c r="D16" s="7"/>
      <c r="E16" s="7"/>
      <c r="F16" s="7"/>
      <c r="G16" s="7"/>
      <c r="H16" s="7"/>
      <c r="I16" s="6"/>
    </row>
    <row r="17" spans="1:9" x14ac:dyDescent="0.25">
      <c r="A17">
        <v>99001183</v>
      </c>
      <c r="B17" s="6"/>
      <c r="C17" s="6"/>
      <c r="D17" s="7"/>
      <c r="E17" s="7"/>
      <c r="F17" s="7"/>
      <c r="G17" s="7"/>
      <c r="H17" s="7"/>
      <c r="I17" s="6"/>
    </row>
    <row r="18" spans="1:9" x14ac:dyDescent="0.25">
      <c r="A18">
        <v>3000983</v>
      </c>
      <c r="D18" s="7"/>
      <c r="E18" s="7"/>
      <c r="F18" s="7"/>
      <c r="G18" s="7"/>
      <c r="H18" s="7"/>
      <c r="I18" s="6"/>
    </row>
    <row r="19" spans="1:9" x14ac:dyDescent="0.25">
      <c r="A19">
        <v>10064335</v>
      </c>
      <c r="B19" s="6"/>
      <c r="C19" s="6"/>
      <c r="D19" s="7"/>
      <c r="E19" s="7"/>
      <c r="F19" s="7"/>
      <c r="G19" s="7"/>
      <c r="H19" s="7"/>
      <c r="I19" s="6"/>
    </row>
    <row r="20" spans="1:9" x14ac:dyDescent="0.25">
      <c r="A20" s="6"/>
      <c r="B20" s="6"/>
      <c r="C20" s="6"/>
      <c r="D20" s="7"/>
      <c r="E20" s="7"/>
      <c r="F20" s="7"/>
      <c r="G20" s="7"/>
      <c r="H20" s="7"/>
      <c r="I20" s="6"/>
    </row>
    <row r="21" spans="1:9" x14ac:dyDescent="0.25">
      <c r="A21" s="10" t="s">
        <v>2521</v>
      </c>
      <c r="B21" s="6"/>
      <c r="C21" s="6"/>
      <c r="D21" s="7"/>
      <c r="E21" s="7"/>
      <c r="F21" s="7"/>
      <c r="G21" s="7"/>
      <c r="H21" s="7"/>
      <c r="I21" s="6"/>
    </row>
    <row r="22" spans="1:9" x14ac:dyDescent="0.25">
      <c r="A22">
        <v>1480</v>
      </c>
    </row>
    <row r="23" spans="1:9" x14ac:dyDescent="0.25">
      <c r="A23">
        <v>7063959</v>
      </c>
      <c r="B23" s="6"/>
      <c r="C23" s="6"/>
      <c r="D23" s="7"/>
      <c r="E23" s="7"/>
      <c r="F23" s="7"/>
      <c r="G23" s="7"/>
      <c r="H23" s="7"/>
      <c r="I23" s="6"/>
    </row>
    <row r="24" spans="1:9" x14ac:dyDescent="0.25">
      <c r="A24">
        <v>1003215</v>
      </c>
      <c r="B24" s="6"/>
      <c r="C24" s="6"/>
      <c r="D24" s="6">
        <v>61</v>
      </c>
      <c r="E24" s="6"/>
      <c r="F24" s="6"/>
      <c r="G24" s="6"/>
      <c r="H24" s="6"/>
      <c r="I24" s="6"/>
    </row>
    <row r="25" spans="1:9" x14ac:dyDescent="0.25">
      <c r="A25">
        <v>99000802</v>
      </c>
      <c r="B25" s="6"/>
      <c r="C25" s="6"/>
      <c r="D25" s="7"/>
      <c r="E25" s="7"/>
      <c r="F25" s="7"/>
      <c r="G25" s="7"/>
      <c r="H25" s="7"/>
      <c r="I25" s="6"/>
    </row>
    <row r="26" spans="1:9" x14ac:dyDescent="0.25">
      <c r="A26">
        <v>99000892</v>
      </c>
      <c r="B26" s="6"/>
      <c r="C26" s="6"/>
      <c r="D26" s="7"/>
      <c r="E26" s="7"/>
      <c r="F26" s="7"/>
      <c r="G26" s="7"/>
      <c r="H26" s="7"/>
      <c r="I26" s="6"/>
    </row>
    <row r="27" spans="1:9" x14ac:dyDescent="0.25">
      <c r="A27">
        <v>1000192</v>
      </c>
      <c r="B27" s="6"/>
      <c r="C27" s="6"/>
      <c r="D27" s="7"/>
      <c r="E27" s="7"/>
      <c r="F27" s="7"/>
      <c r="G27" s="7"/>
      <c r="H27" s="7"/>
      <c r="I27" s="6"/>
    </row>
    <row r="28" spans="1:9" x14ac:dyDescent="0.25">
      <c r="A28">
        <v>1506</v>
      </c>
      <c r="B28" s="6"/>
      <c r="C28" s="6"/>
      <c r="D28" s="7"/>
      <c r="E28" s="7"/>
      <c r="F28" s="7"/>
      <c r="G28" s="7"/>
      <c r="H28" s="7"/>
      <c r="I28" s="6"/>
    </row>
    <row r="29" spans="1:9" x14ac:dyDescent="0.25">
      <c r="A29">
        <v>99000894</v>
      </c>
      <c r="B29" s="6"/>
      <c r="C29" s="6"/>
      <c r="D29" s="7"/>
      <c r="E29" s="7"/>
      <c r="F29" s="7"/>
      <c r="G29" s="7"/>
      <c r="H29" s="7"/>
      <c r="I29" s="6"/>
    </row>
    <row r="30" spans="1:9" x14ac:dyDescent="0.25">
      <c r="A30">
        <v>99000897</v>
      </c>
    </row>
    <row r="31" spans="1:9" x14ac:dyDescent="0.25">
      <c r="A31">
        <v>99001245</v>
      </c>
    </row>
    <row r="32" spans="1:9" x14ac:dyDescent="0.25">
      <c r="A32">
        <v>99001902</v>
      </c>
    </row>
    <row r="33" spans="1:9" x14ac:dyDescent="0.25">
      <c r="A33">
        <v>99001912</v>
      </c>
    </row>
    <row r="34" spans="1:9" x14ac:dyDescent="0.25">
      <c r="A34">
        <v>99001913</v>
      </c>
    </row>
    <row r="35" spans="1:9" x14ac:dyDescent="0.25">
      <c r="A35">
        <v>99001937</v>
      </c>
    </row>
    <row r="36" spans="1:9" x14ac:dyDescent="0.25">
      <c r="A36">
        <v>99001943</v>
      </c>
    </row>
    <row r="37" spans="1:9" x14ac:dyDescent="0.25">
      <c r="A37">
        <v>99001927</v>
      </c>
    </row>
    <row r="38" spans="1:9" x14ac:dyDescent="0.25">
      <c r="A38">
        <v>1505</v>
      </c>
      <c r="B38" s="6"/>
      <c r="C38" s="6"/>
      <c r="D38" s="7"/>
      <c r="E38" s="7"/>
      <c r="F38" s="7"/>
      <c r="G38" s="7"/>
      <c r="H38" s="7"/>
      <c r="I38" s="6"/>
    </row>
    <row r="39" spans="1:9" x14ac:dyDescent="0.25">
      <c r="A39">
        <v>1000197</v>
      </c>
      <c r="B39" s="6"/>
      <c r="C39" s="6"/>
      <c r="D39" s="7"/>
      <c r="E39" s="7"/>
      <c r="F39" s="7"/>
      <c r="G39" s="7"/>
      <c r="H39" s="7"/>
      <c r="I39" s="6"/>
    </row>
    <row r="40" spans="1:9" x14ac:dyDescent="0.25">
      <c r="A40">
        <v>96018835</v>
      </c>
      <c r="B40" s="6"/>
      <c r="C40" s="6"/>
      <c r="D40" s="7"/>
      <c r="E40" s="7"/>
      <c r="F40" s="7"/>
      <c r="G40" s="7"/>
      <c r="H40" s="7"/>
      <c r="I40" s="6"/>
    </row>
    <row r="41" spans="1:9" x14ac:dyDescent="0.25">
      <c r="A41">
        <v>98008326</v>
      </c>
      <c r="D41" s="7"/>
      <c r="E41" s="7"/>
      <c r="F41" s="7"/>
      <c r="G41" s="7"/>
      <c r="H41" s="7"/>
      <c r="I41" s="6"/>
    </row>
    <row r="42" spans="1:9" x14ac:dyDescent="0.25">
      <c r="A42">
        <v>99000717</v>
      </c>
      <c r="B42" s="6"/>
      <c r="C42" s="6"/>
      <c r="D42" s="7"/>
      <c r="E42" s="7"/>
      <c r="F42" s="7"/>
      <c r="G42" s="7"/>
      <c r="H42" s="7"/>
      <c r="I42" s="6"/>
    </row>
    <row r="43" spans="1:9" x14ac:dyDescent="0.25">
      <c r="B43" s="6"/>
      <c r="C43" s="6"/>
      <c r="D43" s="7"/>
      <c r="E43" s="7"/>
      <c r="F43" s="7"/>
      <c r="G43" s="7"/>
      <c r="H43" s="7"/>
      <c r="I43" s="6"/>
    </row>
    <row r="44" spans="1:9" x14ac:dyDescent="0.25">
      <c r="A44" s="25" t="s">
        <v>169</v>
      </c>
    </row>
    <row r="45" spans="1:9" x14ac:dyDescent="0.25">
      <c r="A45" s="10" t="s">
        <v>143</v>
      </c>
    </row>
    <row r="46" spans="1:9" x14ac:dyDescent="0.25">
      <c r="A46">
        <v>6016435</v>
      </c>
    </row>
    <row r="47" spans="1:9" x14ac:dyDescent="0.25">
      <c r="A47">
        <v>8045149</v>
      </c>
    </row>
    <row r="48" spans="1:9" x14ac:dyDescent="0.25">
      <c r="A48">
        <v>10023001</v>
      </c>
    </row>
    <row r="49" spans="1:1" x14ac:dyDescent="0.25">
      <c r="A49">
        <v>10027526</v>
      </c>
    </row>
    <row r="50" spans="1:1" x14ac:dyDescent="0.25">
      <c r="A50">
        <v>14222171</v>
      </c>
    </row>
    <row r="51" spans="1:1" x14ac:dyDescent="0.25">
      <c r="A51">
        <v>1006143</v>
      </c>
    </row>
    <row r="52" spans="1:1" x14ac:dyDescent="0.25">
      <c r="A52">
        <v>6006917</v>
      </c>
    </row>
    <row r="54" spans="1:1" x14ac:dyDescent="0.25">
      <c r="A54" s="10" t="s">
        <v>146</v>
      </c>
    </row>
    <row r="55" spans="1:1" x14ac:dyDescent="0.25">
      <c r="A55">
        <v>8057159</v>
      </c>
    </row>
    <row r="56" spans="1:1" x14ac:dyDescent="0.25">
      <c r="A56">
        <v>9140312</v>
      </c>
    </row>
    <row r="57" spans="1:1" x14ac:dyDescent="0.25">
      <c r="A57">
        <v>12008230</v>
      </c>
    </row>
    <row r="58" spans="1:1" x14ac:dyDescent="0.25">
      <c r="A58">
        <v>12088444</v>
      </c>
    </row>
    <row r="59" spans="1:1" x14ac:dyDescent="0.25">
      <c r="A59">
        <v>13118872</v>
      </c>
    </row>
    <row r="60" spans="1:1" x14ac:dyDescent="0.25">
      <c r="A60">
        <v>12012030</v>
      </c>
    </row>
    <row r="62" spans="1:1" x14ac:dyDescent="0.25">
      <c r="A62" s="10" t="s">
        <v>120</v>
      </c>
    </row>
    <row r="63" spans="1:1" x14ac:dyDescent="0.25">
      <c r="A63">
        <v>9074418</v>
      </c>
    </row>
    <row r="64" spans="1:1" x14ac:dyDescent="0.25">
      <c r="A64">
        <v>1263</v>
      </c>
    </row>
    <row r="65" spans="1:9" x14ac:dyDescent="0.25">
      <c r="A65">
        <v>98004910</v>
      </c>
    </row>
    <row r="66" spans="1:9" x14ac:dyDescent="0.25">
      <c r="A66">
        <v>7103068</v>
      </c>
    </row>
    <row r="67" spans="1:9" x14ac:dyDescent="0.25">
      <c r="A67">
        <v>11240728</v>
      </c>
    </row>
    <row r="68" spans="1:9" x14ac:dyDescent="0.25">
      <c r="B68" s="6"/>
      <c r="C68" s="6"/>
      <c r="D68" s="7"/>
      <c r="E68" s="7"/>
      <c r="F68" s="7"/>
      <c r="G68" s="7"/>
      <c r="H68" s="7"/>
      <c r="I68" s="6"/>
    </row>
    <row r="69" spans="1:9" x14ac:dyDescent="0.25">
      <c r="A69" s="26" t="s">
        <v>170</v>
      </c>
    </row>
    <row r="70" spans="1:9" x14ac:dyDescent="0.25">
      <c r="A70" s="10" t="s">
        <v>143</v>
      </c>
    </row>
    <row r="71" spans="1:9" x14ac:dyDescent="0.25">
      <c r="A71">
        <v>5015869</v>
      </c>
    </row>
    <row r="72" spans="1:9" x14ac:dyDescent="0.25">
      <c r="A72">
        <v>5016969</v>
      </c>
    </row>
    <row r="73" spans="1:9" x14ac:dyDescent="0.25">
      <c r="A73">
        <v>6023231</v>
      </c>
    </row>
    <row r="74" spans="1:9" x14ac:dyDescent="0.25">
      <c r="A74">
        <v>6010712</v>
      </c>
    </row>
    <row r="75" spans="1:9" x14ac:dyDescent="0.25">
      <c r="A75">
        <v>6011198</v>
      </c>
    </row>
    <row r="76" spans="1:9" x14ac:dyDescent="0.25">
      <c r="A76">
        <v>6012681</v>
      </c>
    </row>
    <row r="77" spans="1:9" x14ac:dyDescent="0.25">
      <c r="A77">
        <v>6014511</v>
      </c>
    </row>
    <row r="78" spans="1:9" x14ac:dyDescent="0.25">
      <c r="A78">
        <v>6045127</v>
      </c>
    </row>
    <row r="79" spans="1:9" x14ac:dyDescent="0.25">
      <c r="A79">
        <v>7000458</v>
      </c>
    </row>
    <row r="80" spans="1:9" x14ac:dyDescent="0.25">
      <c r="A80">
        <v>7015502</v>
      </c>
    </row>
    <row r="81" spans="1:1" x14ac:dyDescent="0.25">
      <c r="A81">
        <v>7025847</v>
      </c>
    </row>
    <row r="82" spans="1:1" x14ac:dyDescent="0.25">
      <c r="A82">
        <v>7082707</v>
      </c>
    </row>
    <row r="83" spans="1:1" x14ac:dyDescent="0.25">
      <c r="A83">
        <v>7083159</v>
      </c>
    </row>
    <row r="84" spans="1:1" x14ac:dyDescent="0.25">
      <c r="A84">
        <v>7084659</v>
      </c>
    </row>
    <row r="85" spans="1:1" x14ac:dyDescent="0.25">
      <c r="A85">
        <v>7076814</v>
      </c>
    </row>
    <row r="86" spans="1:1" x14ac:dyDescent="0.25">
      <c r="A86">
        <v>7076815</v>
      </c>
    </row>
    <row r="87" spans="1:1" x14ac:dyDescent="0.25">
      <c r="A87">
        <v>7089231</v>
      </c>
    </row>
    <row r="88" spans="1:1" x14ac:dyDescent="0.25">
      <c r="A88">
        <v>7116004</v>
      </c>
    </row>
    <row r="89" spans="1:1" x14ac:dyDescent="0.25">
      <c r="A89">
        <v>8003819</v>
      </c>
    </row>
    <row r="90" spans="1:1" x14ac:dyDescent="0.25">
      <c r="A90">
        <v>8091779</v>
      </c>
    </row>
    <row r="91" spans="1:1" x14ac:dyDescent="0.25">
      <c r="A91">
        <v>8097989</v>
      </c>
    </row>
    <row r="92" spans="1:1" x14ac:dyDescent="0.25">
      <c r="A92">
        <v>8112522</v>
      </c>
    </row>
    <row r="93" spans="1:1" x14ac:dyDescent="0.25">
      <c r="A93">
        <v>8127397</v>
      </c>
    </row>
    <row r="94" spans="1:1" x14ac:dyDescent="0.25">
      <c r="A94">
        <v>8130998</v>
      </c>
    </row>
    <row r="95" spans="1:1" x14ac:dyDescent="0.25">
      <c r="A95">
        <v>9002836</v>
      </c>
    </row>
    <row r="96" spans="1:1" x14ac:dyDescent="0.25">
      <c r="A96">
        <v>9003331</v>
      </c>
    </row>
    <row r="97" spans="1:1" x14ac:dyDescent="0.25">
      <c r="A97">
        <v>9003370</v>
      </c>
    </row>
    <row r="98" spans="1:1" x14ac:dyDescent="0.25">
      <c r="A98">
        <v>9016278</v>
      </c>
    </row>
    <row r="99" spans="1:1" x14ac:dyDescent="0.25">
      <c r="A99">
        <v>9030684</v>
      </c>
    </row>
    <row r="100" spans="1:1" x14ac:dyDescent="0.25">
      <c r="A100">
        <v>9031387</v>
      </c>
    </row>
    <row r="101" spans="1:1" x14ac:dyDescent="0.25">
      <c r="A101">
        <v>9038676</v>
      </c>
    </row>
    <row r="102" spans="1:1" x14ac:dyDescent="0.25">
      <c r="A102">
        <v>9039416</v>
      </c>
    </row>
    <row r="103" spans="1:1" x14ac:dyDescent="0.25">
      <c r="A103">
        <v>9042861</v>
      </c>
    </row>
    <row r="104" spans="1:1" x14ac:dyDescent="0.25">
      <c r="A104">
        <v>9044899</v>
      </c>
    </row>
    <row r="105" spans="1:1" x14ac:dyDescent="0.25">
      <c r="A105">
        <v>9052398</v>
      </c>
    </row>
    <row r="106" spans="1:1" x14ac:dyDescent="0.25">
      <c r="A106">
        <v>9085204</v>
      </c>
    </row>
    <row r="107" spans="1:1" x14ac:dyDescent="0.25">
      <c r="A107">
        <v>9090323</v>
      </c>
    </row>
    <row r="108" spans="1:1" x14ac:dyDescent="0.25">
      <c r="A108">
        <v>9105492</v>
      </c>
    </row>
    <row r="109" spans="1:1" x14ac:dyDescent="0.25">
      <c r="A109">
        <v>9138470</v>
      </c>
    </row>
    <row r="110" spans="1:1" x14ac:dyDescent="0.25">
      <c r="A110">
        <v>9150676</v>
      </c>
    </row>
    <row r="111" spans="1:1" x14ac:dyDescent="0.25">
      <c r="A111">
        <v>10010926</v>
      </c>
    </row>
    <row r="112" spans="1:1" x14ac:dyDescent="0.25">
      <c r="A112">
        <v>10016588</v>
      </c>
    </row>
    <row r="113" spans="1:1" x14ac:dyDescent="0.25">
      <c r="A113">
        <v>10030897</v>
      </c>
    </row>
    <row r="114" spans="1:1" x14ac:dyDescent="0.25">
      <c r="A114">
        <v>324</v>
      </c>
    </row>
    <row r="115" spans="1:1" x14ac:dyDescent="0.25">
      <c r="A115">
        <v>3909</v>
      </c>
    </row>
    <row r="116" spans="1:1" x14ac:dyDescent="0.25">
      <c r="A116">
        <v>4663</v>
      </c>
    </row>
    <row r="117" spans="1:1" x14ac:dyDescent="0.25">
      <c r="A117">
        <v>1005522</v>
      </c>
    </row>
    <row r="118" spans="1:1" x14ac:dyDescent="0.25">
      <c r="A118">
        <v>1007631</v>
      </c>
    </row>
    <row r="119" spans="1:1" x14ac:dyDescent="0.25">
      <c r="A119">
        <v>1009760</v>
      </c>
    </row>
    <row r="120" spans="1:1" x14ac:dyDescent="0.25">
      <c r="A120">
        <v>2000646</v>
      </c>
    </row>
    <row r="121" spans="1:1" x14ac:dyDescent="0.25">
      <c r="A121">
        <v>2003761</v>
      </c>
    </row>
    <row r="122" spans="1:1" x14ac:dyDescent="0.25">
      <c r="A122">
        <v>2004061</v>
      </c>
    </row>
    <row r="123" spans="1:1" x14ac:dyDescent="0.25">
      <c r="A123">
        <v>2006469</v>
      </c>
    </row>
    <row r="124" spans="1:1" x14ac:dyDescent="0.25">
      <c r="A124">
        <v>3005132</v>
      </c>
    </row>
    <row r="125" spans="1:1" x14ac:dyDescent="0.25">
      <c r="A125">
        <v>3009119</v>
      </c>
    </row>
    <row r="126" spans="1:1" x14ac:dyDescent="0.25">
      <c r="A126">
        <v>3009936</v>
      </c>
    </row>
    <row r="127" spans="1:1" x14ac:dyDescent="0.25">
      <c r="A127">
        <v>3011094</v>
      </c>
    </row>
    <row r="128" spans="1:1" x14ac:dyDescent="0.25">
      <c r="A128">
        <v>3014643</v>
      </c>
    </row>
    <row r="129" spans="1:1" x14ac:dyDescent="0.25">
      <c r="A129">
        <v>3016056</v>
      </c>
    </row>
    <row r="130" spans="1:1" x14ac:dyDescent="0.25">
      <c r="A130">
        <v>3900219</v>
      </c>
    </row>
    <row r="131" spans="1:1" x14ac:dyDescent="0.25">
      <c r="A131">
        <v>4000158</v>
      </c>
    </row>
    <row r="132" spans="1:1" x14ac:dyDescent="0.25">
      <c r="A132">
        <v>4000304</v>
      </c>
    </row>
    <row r="133" spans="1:1" x14ac:dyDescent="0.25">
      <c r="A133">
        <v>4001905</v>
      </c>
    </row>
    <row r="134" spans="1:1" x14ac:dyDescent="0.25">
      <c r="A134">
        <v>4002206</v>
      </c>
    </row>
    <row r="135" spans="1:1" x14ac:dyDescent="0.25">
      <c r="A135">
        <v>4002715</v>
      </c>
    </row>
    <row r="136" spans="1:1" x14ac:dyDescent="0.25">
      <c r="A136">
        <v>4003924</v>
      </c>
    </row>
    <row r="137" spans="1:1" x14ac:dyDescent="0.25">
      <c r="A137">
        <v>4006051</v>
      </c>
    </row>
    <row r="138" spans="1:1" x14ac:dyDescent="0.25">
      <c r="A138">
        <v>4008140</v>
      </c>
    </row>
    <row r="139" spans="1:1" x14ac:dyDescent="0.25">
      <c r="A139">
        <v>4009906</v>
      </c>
    </row>
    <row r="140" spans="1:1" x14ac:dyDescent="0.25">
      <c r="A140">
        <v>4011027</v>
      </c>
    </row>
    <row r="141" spans="1:1" x14ac:dyDescent="0.25">
      <c r="A141">
        <v>4011920</v>
      </c>
    </row>
    <row r="142" spans="1:1" x14ac:dyDescent="0.25">
      <c r="A142">
        <v>4012248</v>
      </c>
    </row>
    <row r="143" spans="1:1" x14ac:dyDescent="0.25">
      <c r="A143">
        <v>4013603</v>
      </c>
    </row>
    <row r="144" spans="1:1" x14ac:dyDescent="0.25">
      <c r="A144">
        <v>5004654</v>
      </c>
    </row>
    <row r="145" spans="1:4" x14ac:dyDescent="0.25">
      <c r="A145" s="65"/>
    </row>
    <row r="146" spans="1:4" x14ac:dyDescent="0.25">
      <c r="A146" s="10" t="s">
        <v>146</v>
      </c>
    </row>
    <row r="147" spans="1:4" x14ac:dyDescent="0.25">
      <c r="A147">
        <v>4289</v>
      </c>
    </row>
    <row r="148" spans="1:4" x14ac:dyDescent="0.25">
      <c r="A148">
        <v>500245</v>
      </c>
    </row>
    <row r="149" spans="1:4" x14ac:dyDescent="0.25">
      <c r="A149">
        <v>2002573</v>
      </c>
    </row>
    <row r="150" spans="1:4" x14ac:dyDescent="0.25">
      <c r="A150">
        <v>2003539</v>
      </c>
    </row>
    <row r="151" spans="1:4" x14ac:dyDescent="0.25">
      <c r="A151">
        <v>2003649</v>
      </c>
    </row>
    <row r="152" spans="1:4" x14ac:dyDescent="0.25">
      <c r="A152">
        <v>2005572</v>
      </c>
    </row>
    <row r="153" spans="1:4" x14ac:dyDescent="0.25">
      <c r="A153">
        <v>2013117</v>
      </c>
    </row>
    <row r="154" spans="1:4" x14ac:dyDescent="0.25">
      <c r="A154">
        <v>3009633</v>
      </c>
    </row>
    <row r="155" spans="1:4" x14ac:dyDescent="0.25">
      <c r="A155">
        <v>3010583</v>
      </c>
    </row>
    <row r="156" spans="1:4" x14ac:dyDescent="0.25">
      <c r="A156" s="23">
        <v>3011892</v>
      </c>
    </row>
    <row r="157" spans="1:4" x14ac:dyDescent="0.25">
      <c r="A157">
        <v>4001382</v>
      </c>
    </row>
    <row r="158" spans="1:4" x14ac:dyDescent="0.25">
      <c r="A158">
        <v>5018675</v>
      </c>
    </row>
    <row r="159" spans="1:4" x14ac:dyDescent="0.25">
      <c r="A159">
        <v>6050168</v>
      </c>
      <c r="D159">
        <v>26</v>
      </c>
    </row>
    <row r="160" spans="1:4" x14ac:dyDescent="0.25">
      <c r="A160">
        <v>5006592</v>
      </c>
    </row>
    <row r="161" spans="1:8" x14ac:dyDescent="0.25">
      <c r="A161">
        <v>5007274</v>
      </c>
    </row>
    <row r="162" spans="1:8" x14ac:dyDescent="0.25">
      <c r="A162">
        <v>5015851</v>
      </c>
    </row>
    <row r="163" spans="1:8" x14ac:dyDescent="0.25">
      <c r="A163">
        <v>6015647</v>
      </c>
    </row>
    <row r="164" spans="1:8" x14ac:dyDescent="0.25">
      <c r="A164">
        <v>6056633</v>
      </c>
    </row>
    <row r="165" spans="1:8" x14ac:dyDescent="0.25">
      <c r="A165">
        <v>7086224</v>
      </c>
      <c r="H165">
        <v>24</v>
      </c>
    </row>
    <row r="166" spans="1:8" x14ac:dyDescent="0.25">
      <c r="A166">
        <v>8040959</v>
      </c>
    </row>
    <row r="167" spans="1:8" x14ac:dyDescent="0.25">
      <c r="A167">
        <v>8107048</v>
      </c>
    </row>
    <row r="168" spans="1:8" x14ac:dyDescent="0.25">
      <c r="A168">
        <v>8124044</v>
      </c>
    </row>
    <row r="169" spans="1:8" x14ac:dyDescent="0.25">
      <c r="A169">
        <v>8142949</v>
      </c>
    </row>
    <row r="170" spans="1:8" x14ac:dyDescent="0.25">
      <c r="A170">
        <v>9023306</v>
      </c>
    </row>
    <row r="171" spans="1:8" x14ac:dyDescent="0.25">
      <c r="A171">
        <v>9030615</v>
      </c>
    </row>
    <row r="172" spans="1:8" x14ac:dyDescent="0.25">
      <c r="A172">
        <v>9034464</v>
      </c>
    </row>
    <row r="173" spans="1:8" x14ac:dyDescent="0.25">
      <c r="A173">
        <v>9040167</v>
      </c>
    </row>
    <row r="174" spans="1:8" x14ac:dyDescent="0.25">
      <c r="A174">
        <v>9054567</v>
      </c>
    </row>
    <row r="175" spans="1:8" x14ac:dyDescent="0.25">
      <c r="A175">
        <v>9083682</v>
      </c>
    </row>
    <row r="176" spans="1:8" x14ac:dyDescent="0.25">
      <c r="A176">
        <v>9102044</v>
      </c>
    </row>
    <row r="177" spans="1:1" x14ac:dyDescent="0.25">
      <c r="A177">
        <v>9119854</v>
      </c>
    </row>
    <row r="178" spans="1:1" x14ac:dyDescent="0.25">
      <c r="A178">
        <v>9125126</v>
      </c>
    </row>
    <row r="179" spans="1:1" x14ac:dyDescent="0.25">
      <c r="A179">
        <v>9174811</v>
      </c>
    </row>
    <row r="180" spans="1:1" x14ac:dyDescent="0.25">
      <c r="A180">
        <v>10002875</v>
      </c>
    </row>
    <row r="181" spans="1:1" x14ac:dyDescent="0.25">
      <c r="A181">
        <v>10023080</v>
      </c>
    </row>
    <row r="182" spans="1:1" x14ac:dyDescent="0.25">
      <c r="A182">
        <v>10025212</v>
      </c>
    </row>
    <row r="183" spans="1:1" x14ac:dyDescent="0.25">
      <c r="A183">
        <v>10069407</v>
      </c>
    </row>
    <row r="184" spans="1:1" x14ac:dyDescent="0.25">
      <c r="A184">
        <v>10071135</v>
      </c>
    </row>
    <row r="185" spans="1:1" x14ac:dyDescent="0.25">
      <c r="A185">
        <v>10083649</v>
      </c>
    </row>
    <row r="186" spans="1:1" x14ac:dyDescent="0.25">
      <c r="A186">
        <v>10102021</v>
      </c>
    </row>
    <row r="187" spans="1:1" x14ac:dyDescent="0.25">
      <c r="A187">
        <v>10123729</v>
      </c>
    </row>
    <row r="188" spans="1:1" x14ac:dyDescent="0.25">
      <c r="A188">
        <v>10144736</v>
      </c>
    </row>
    <row r="189" spans="1:1" x14ac:dyDescent="0.25">
      <c r="A189">
        <v>10157275</v>
      </c>
    </row>
    <row r="190" spans="1:1" x14ac:dyDescent="0.25">
      <c r="A190" s="65"/>
    </row>
    <row r="191" spans="1:1" x14ac:dyDescent="0.25">
      <c r="A191" s="10" t="s">
        <v>120</v>
      </c>
    </row>
    <row r="192" spans="1:1" x14ac:dyDescent="0.25">
      <c r="A192">
        <v>5281</v>
      </c>
    </row>
    <row r="193" spans="1:1" x14ac:dyDescent="0.25">
      <c r="A193">
        <v>200085</v>
      </c>
    </row>
    <row r="194" spans="1:1" x14ac:dyDescent="0.25">
      <c r="A194">
        <v>500129</v>
      </c>
    </row>
    <row r="195" spans="1:1" x14ac:dyDescent="0.25">
      <c r="A195" s="23">
        <v>1002033</v>
      </c>
    </row>
    <row r="196" spans="1:1" x14ac:dyDescent="0.25">
      <c r="A196">
        <v>1003457</v>
      </c>
    </row>
    <row r="197" spans="1:1" x14ac:dyDescent="0.25">
      <c r="A197">
        <v>2005223</v>
      </c>
    </row>
    <row r="198" spans="1:1" x14ac:dyDescent="0.25">
      <c r="A198">
        <v>2006107</v>
      </c>
    </row>
    <row r="199" spans="1:1" x14ac:dyDescent="0.25">
      <c r="A199">
        <v>2012014</v>
      </c>
    </row>
    <row r="200" spans="1:1" x14ac:dyDescent="0.25">
      <c r="A200">
        <v>3000152</v>
      </c>
    </row>
    <row r="201" spans="1:1" x14ac:dyDescent="0.25">
      <c r="A201">
        <v>3014566</v>
      </c>
    </row>
    <row r="202" spans="1:1" x14ac:dyDescent="0.25">
      <c r="A202">
        <v>3015058</v>
      </c>
    </row>
    <row r="203" spans="1:1" x14ac:dyDescent="0.25">
      <c r="A203" s="23">
        <v>4000996</v>
      </c>
    </row>
    <row r="204" spans="1:1" x14ac:dyDescent="0.25">
      <c r="A204">
        <v>4003768</v>
      </c>
    </row>
    <row r="205" spans="1:1" x14ac:dyDescent="0.25">
      <c r="A205">
        <v>4006540</v>
      </c>
    </row>
    <row r="206" spans="1:1" x14ac:dyDescent="0.25">
      <c r="A206">
        <v>4007054</v>
      </c>
    </row>
    <row r="207" spans="1:1" x14ac:dyDescent="0.25">
      <c r="A207">
        <v>4011002</v>
      </c>
    </row>
    <row r="208" spans="1:1" x14ac:dyDescent="0.25">
      <c r="A208">
        <v>4900268</v>
      </c>
    </row>
    <row r="209" spans="1:7" x14ac:dyDescent="0.25">
      <c r="A209">
        <v>5001097</v>
      </c>
      <c r="C209">
        <v>60</v>
      </c>
      <c r="E209">
        <v>15</v>
      </c>
      <c r="G209">
        <v>20</v>
      </c>
    </row>
    <row r="210" spans="1:7" x14ac:dyDescent="0.25">
      <c r="A210">
        <v>5001098</v>
      </c>
      <c r="B210">
        <v>56</v>
      </c>
      <c r="C210">
        <v>64</v>
      </c>
    </row>
    <row r="211" spans="1:7" x14ac:dyDescent="0.25">
      <c r="A211">
        <v>5006152</v>
      </c>
    </row>
    <row r="212" spans="1:7" x14ac:dyDescent="0.25">
      <c r="A212">
        <v>6012361</v>
      </c>
    </row>
    <row r="213" spans="1:7" x14ac:dyDescent="0.25">
      <c r="A213">
        <v>6015793</v>
      </c>
    </row>
    <row r="214" spans="1:7" x14ac:dyDescent="0.25">
      <c r="A214">
        <v>6043619</v>
      </c>
    </row>
    <row r="215" spans="1:7" x14ac:dyDescent="0.25">
      <c r="A215">
        <v>7001097</v>
      </c>
    </row>
    <row r="216" spans="1:7" x14ac:dyDescent="0.25">
      <c r="A216">
        <v>7011435</v>
      </c>
    </row>
    <row r="217" spans="1:7" x14ac:dyDescent="0.25">
      <c r="A217">
        <v>7045811</v>
      </c>
    </row>
    <row r="218" spans="1:7" x14ac:dyDescent="0.25">
      <c r="A218">
        <v>7071198</v>
      </c>
    </row>
    <row r="219" spans="1:7" x14ac:dyDescent="0.25">
      <c r="A219">
        <v>7101143</v>
      </c>
    </row>
    <row r="220" spans="1:7" x14ac:dyDescent="0.25">
      <c r="A220">
        <v>8073350</v>
      </c>
    </row>
    <row r="221" spans="1:7" x14ac:dyDescent="0.25">
      <c r="A221">
        <v>8073645</v>
      </c>
    </row>
    <row r="222" spans="1:7" x14ac:dyDescent="0.25">
      <c r="A222" s="23">
        <v>8089666</v>
      </c>
    </row>
    <row r="223" spans="1:7" x14ac:dyDescent="0.25">
      <c r="A223">
        <v>8103536</v>
      </c>
    </row>
    <row r="224" spans="1:7" x14ac:dyDescent="0.25">
      <c r="A224">
        <v>8124816</v>
      </c>
    </row>
    <row r="225" spans="1:1" x14ac:dyDescent="0.25">
      <c r="A225">
        <v>9003267</v>
      </c>
    </row>
    <row r="226" spans="1:1" x14ac:dyDescent="0.25">
      <c r="A226">
        <v>9036964</v>
      </c>
    </row>
    <row r="227" spans="1:1" x14ac:dyDescent="0.25">
      <c r="A227">
        <v>9090287</v>
      </c>
    </row>
    <row r="228" spans="1:1" x14ac:dyDescent="0.25">
      <c r="A228">
        <v>9095148</v>
      </c>
    </row>
    <row r="229" spans="1:1" x14ac:dyDescent="0.25">
      <c r="A229">
        <v>9104979</v>
      </c>
    </row>
    <row r="230" spans="1:1" x14ac:dyDescent="0.25">
      <c r="A230">
        <v>9139514</v>
      </c>
    </row>
    <row r="231" spans="1:1" x14ac:dyDescent="0.25">
      <c r="A231">
        <v>10020659</v>
      </c>
    </row>
    <row r="232" spans="1:1" x14ac:dyDescent="0.25">
      <c r="A232">
        <v>10025902</v>
      </c>
    </row>
    <row r="233" spans="1:1" x14ac:dyDescent="0.25">
      <c r="A233">
        <v>10027654</v>
      </c>
    </row>
    <row r="234" spans="1:1" x14ac:dyDescent="0.25">
      <c r="A234">
        <v>10084485</v>
      </c>
    </row>
    <row r="235" spans="1:1" x14ac:dyDescent="0.25">
      <c r="A235">
        <v>10098420</v>
      </c>
    </row>
    <row r="236" spans="1:1" x14ac:dyDescent="0.25">
      <c r="A236">
        <v>10129565</v>
      </c>
    </row>
    <row r="237" spans="1:1" x14ac:dyDescent="0.25">
      <c r="A237">
        <v>10146828</v>
      </c>
    </row>
    <row r="238" spans="1:1" x14ac:dyDescent="0.25">
      <c r="A238">
        <v>10163776</v>
      </c>
    </row>
    <row r="239" spans="1:1" x14ac:dyDescent="0.25">
      <c r="A239">
        <v>10173664</v>
      </c>
    </row>
  </sheetData>
  <conditionalFormatting sqref="A19">
    <cfRule type="duplicateValues" dxfId="12" priority="1"/>
  </conditionalFormatting>
  <pageMargins left="0.7" right="0.7" top="0.78740157499999996" bottom="0.78740157499999996" header="0.3" footer="0.3"/>
  <tableParts count="1">
    <tablePart r:id="rId1"/>
  </tableParts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Views>
    <sheetView workbookViewId="0">
      <selection sqref="A1:D7"/>
    </sheetView>
  </sheetViews>
  <sheetFormatPr defaultColWidth="11.42578125" defaultRowHeight="15" x14ac:dyDescent="0.25"/>
  <cols>
    <col min="1" max="1" width="17.28515625" bestFit="1" customWidth="1"/>
    <col min="2" max="2" width="6.85546875" bestFit="1" customWidth="1"/>
    <col min="3" max="3" width="64" bestFit="1" customWidth="1"/>
    <col min="4" max="4" width="30.28515625" bestFit="1" customWidth="1"/>
  </cols>
  <sheetData>
    <row r="1" spans="1:4" x14ac:dyDescent="0.25">
      <c r="A1" s="66" t="s">
        <v>59</v>
      </c>
      <c r="B1" s="66" t="s">
        <v>3292</v>
      </c>
      <c r="C1" s="66" t="s">
        <v>2564</v>
      </c>
      <c r="D1" s="66" t="s">
        <v>2523</v>
      </c>
    </row>
    <row r="2" spans="1:4" x14ac:dyDescent="0.25">
      <c r="A2" s="66">
        <v>4003543</v>
      </c>
      <c r="B2" s="66" t="s">
        <v>3292</v>
      </c>
      <c r="C2" s="66" t="s">
        <v>119</v>
      </c>
      <c r="D2" s="66">
        <v>1</v>
      </c>
    </row>
    <row r="3" spans="1:4" x14ac:dyDescent="0.25">
      <c r="A3" s="66">
        <v>1003215</v>
      </c>
      <c r="B3" s="66" t="s">
        <v>3292</v>
      </c>
      <c r="C3" s="66" t="s">
        <v>1569</v>
      </c>
      <c r="D3" s="66">
        <v>1</v>
      </c>
    </row>
    <row r="4" spans="1:4" x14ac:dyDescent="0.25">
      <c r="A4" s="66">
        <v>6050168</v>
      </c>
      <c r="B4" s="66" t="s">
        <v>3292</v>
      </c>
      <c r="C4" s="66" t="s">
        <v>1569</v>
      </c>
      <c r="D4" s="66">
        <v>1</v>
      </c>
    </row>
    <row r="5" spans="1:4" x14ac:dyDescent="0.25">
      <c r="A5" s="66">
        <v>7086224</v>
      </c>
      <c r="B5" s="66" t="s">
        <v>3292</v>
      </c>
      <c r="C5" s="66" t="s">
        <v>2140</v>
      </c>
      <c r="D5" s="66">
        <v>1</v>
      </c>
    </row>
    <row r="6" spans="1:4" x14ac:dyDescent="0.25">
      <c r="A6" s="66">
        <v>5001097</v>
      </c>
      <c r="B6" s="66" t="s">
        <v>3292</v>
      </c>
      <c r="C6" s="66" t="s">
        <v>3293</v>
      </c>
      <c r="D6" s="66">
        <v>3</v>
      </c>
    </row>
    <row r="7" spans="1:4" x14ac:dyDescent="0.25">
      <c r="A7" s="66">
        <v>5001098</v>
      </c>
      <c r="B7" s="66" t="s">
        <v>3292</v>
      </c>
      <c r="C7" s="66" t="s">
        <v>3294</v>
      </c>
      <c r="D7" s="66">
        <v>2</v>
      </c>
    </row>
  </sheetData>
  <phoneticPr fontId="6" type="noConversion"/>
  <pageMargins left="0.7" right="0.7" top="0.78740157499999996" bottom="0.78740157499999996" header="0.3" footer="0.3"/>
  <tableParts count="1">
    <tablePart r:id="rId1"/>
  </tableParts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39"/>
  <sheetViews>
    <sheetView workbookViewId="0">
      <selection sqref="A1:G239"/>
    </sheetView>
  </sheetViews>
  <sheetFormatPr defaultColWidth="11.42578125" defaultRowHeight="15" x14ac:dyDescent="0.25"/>
  <cols>
    <col min="1" max="1" width="17.140625" customWidth="1"/>
    <col min="2" max="2" width="39.85546875" customWidth="1"/>
    <col min="3" max="3" width="33.7109375" customWidth="1"/>
    <col min="4" max="4" width="19.5703125" customWidth="1"/>
    <col min="5" max="5" width="16.140625" customWidth="1"/>
    <col min="6" max="6" width="25.28515625" customWidth="1"/>
    <col min="7" max="7" width="21.42578125" customWidth="1"/>
  </cols>
  <sheetData>
    <row r="1" spans="1:7" ht="60" x14ac:dyDescent="0.25">
      <c r="A1" s="61" t="s">
        <v>59</v>
      </c>
      <c r="B1" s="62" t="s">
        <v>1838</v>
      </c>
      <c r="C1" s="62" t="s">
        <v>62</v>
      </c>
      <c r="D1" s="63" t="s">
        <v>1050</v>
      </c>
      <c r="E1" s="62" t="s">
        <v>90</v>
      </c>
      <c r="F1" s="62" t="s">
        <v>1572</v>
      </c>
      <c r="G1" s="62" t="s">
        <v>1168</v>
      </c>
    </row>
    <row r="2" spans="1:7" x14ac:dyDescent="0.25">
      <c r="A2" s="40" t="s">
        <v>561</v>
      </c>
    </row>
    <row r="3" spans="1:7" x14ac:dyDescent="0.25">
      <c r="A3" s="10" t="s">
        <v>2519</v>
      </c>
      <c r="B3" s="6"/>
      <c r="C3" s="6"/>
      <c r="D3" s="6"/>
      <c r="E3" s="6"/>
      <c r="F3" s="6"/>
      <c r="G3" s="6"/>
    </row>
    <row r="4" spans="1:7" x14ac:dyDescent="0.25">
      <c r="A4">
        <v>7072184</v>
      </c>
      <c r="B4" s="6"/>
      <c r="C4" s="6"/>
      <c r="D4" s="6"/>
      <c r="E4" s="6"/>
      <c r="F4" s="6"/>
      <c r="G4" s="6"/>
    </row>
    <row r="5" spans="1:7" x14ac:dyDescent="0.25">
      <c r="A5">
        <v>9108231</v>
      </c>
      <c r="B5" s="6"/>
      <c r="C5" s="6"/>
      <c r="D5" s="6"/>
      <c r="E5" s="6"/>
      <c r="F5" s="6"/>
      <c r="G5" s="6"/>
    </row>
    <row r="6" spans="1:7" x14ac:dyDescent="0.25">
      <c r="A6">
        <v>12061933</v>
      </c>
      <c r="B6" s="6"/>
      <c r="C6" s="6"/>
      <c r="D6" s="6"/>
      <c r="E6" s="6"/>
      <c r="F6" s="6"/>
      <c r="G6" s="6"/>
    </row>
    <row r="7" spans="1:7" x14ac:dyDescent="0.25">
      <c r="A7">
        <v>95005911</v>
      </c>
    </row>
    <row r="8" spans="1:7" x14ac:dyDescent="0.25">
      <c r="A8">
        <v>99001908</v>
      </c>
    </row>
    <row r="9" spans="1:7" x14ac:dyDescent="0.25">
      <c r="A9">
        <v>99004067</v>
      </c>
    </row>
    <row r="10" spans="1:7" x14ac:dyDescent="0.25">
      <c r="A10">
        <v>97002136</v>
      </c>
    </row>
    <row r="11" spans="1:7" x14ac:dyDescent="0.25">
      <c r="A11">
        <v>1502</v>
      </c>
      <c r="B11" s="6"/>
      <c r="C11" s="6"/>
      <c r="D11" s="6"/>
      <c r="E11" s="6"/>
      <c r="F11" s="6"/>
      <c r="G11" s="6"/>
    </row>
    <row r="12" spans="1:7" x14ac:dyDescent="0.25">
      <c r="A12">
        <v>4003543</v>
      </c>
      <c r="C12" s="6"/>
      <c r="D12" s="6"/>
      <c r="E12" s="6"/>
      <c r="F12" s="6"/>
      <c r="G12" s="6"/>
    </row>
    <row r="13" spans="1:7" x14ac:dyDescent="0.25">
      <c r="A13">
        <v>4900261</v>
      </c>
      <c r="B13" s="6"/>
      <c r="C13" s="6"/>
      <c r="D13" s="6"/>
      <c r="E13" s="6"/>
      <c r="F13" s="6"/>
      <c r="G13" s="6"/>
    </row>
    <row r="15" spans="1:7" x14ac:dyDescent="0.25">
      <c r="A15" s="10" t="s">
        <v>2520</v>
      </c>
      <c r="B15" s="6"/>
      <c r="C15" s="6"/>
      <c r="D15" s="6"/>
      <c r="E15" s="6"/>
      <c r="F15" s="6"/>
      <c r="G15" s="6"/>
    </row>
    <row r="16" spans="1:7" x14ac:dyDescent="0.25">
      <c r="A16">
        <v>14242856</v>
      </c>
      <c r="B16" s="6"/>
      <c r="C16">
        <v>1</v>
      </c>
    </row>
    <row r="17" spans="1:7" x14ac:dyDescent="0.25">
      <c r="A17">
        <v>99001183</v>
      </c>
      <c r="B17" s="6"/>
    </row>
    <row r="18" spans="1:7" x14ac:dyDescent="0.25">
      <c r="A18">
        <v>3000983</v>
      </c>
      <c r="B18" s="6"/>
      <c r="C18" s="6"/>
      <c r="D18" s="6"/>
      <c r="E18" s="6"/>
      <c r="F18" s="6"/>
      <c r="G18" s="6"/>
    </row>
    <row r="19" spans="1:7" x14ac:dyDescent="0.25">
      <c r="A19">
        <v>10064335</v>
      </c>
      <c r="B19" s="6"/>
      <c r="C19" s="6"/>
      <c r="D19" s="6"/>
      <c r="E19" s="6"/>
      <c r="F19" s="6"/>
      <c r="G19" s="6"/>
    </row>
    <row r="20" spans="1:7" x14ac:dyDescent="0.25">
      <c r="A20" s="6"/>
      <c r="B20" s="6"/>
      <c r="C20" s="6"/>
      <c r="D20" s="6"/>
      <c r="E20" s="6"/>
      <c r="F20" s="6"/>
      <c r="G20" s="6"/>
    </row>
    <row r="21" spans="1:7" x14ac:dyDescent="0.25">
      <c r="A21" s="10" t="s">
        <v>2521</v>
      </c>
      <c r="B21" s="6"/>
      <c r="C21" s="6"/>
      <c r="D21" s="6"/>
      <c r="E21" s="6"/>
      <c r="F21" s="6"/>
      <c r="G21" s="6"/>
    </row>
    <row r="22" spans="1:7" x14ac:dyDescent="0.25">
      <c r="A22">
        <v>1480</v>
      </c>
    </row>
    <row r="23" spans="1:7" x14ac:dyDescent="0.25">
      <c r="A23">
        <v>7063959</v>
      </c>
      <c r="B23" s="6"/>
      <c r="C23" s="6"/>
      <c r="D23" s="6"/>
      <c r="E23" s="6"/>
      <c r="F23" s="6"/>
      <c r="G23" s="6"/>
    </row>
    <row r="24" spans="1:7" x14ac:dyDescent="0.25">
      <c r="A24">
        <v>1003215</v>
      </c>
      <c r="B24" s="6"/>
      <c r="C24" s="6">
        <v>22.4</v>
      </c>
      <c r="D24" s="6"/>
      <c r="E24" s="6"/>
      <c r="F24" s="6"/>
      <c r="G24" s="6"/>
    </row>
    <row r="25" spans="1:7" x14ac:dyDescent="0.25">
      <c r="A25">
        <v>99000802</v>
      </c>
      <c r="B25" s="6"/>
      <c r="C25" s="6"/>
      <c r="D25" s="6"/>
      <c r="E25" s="6"/>
      <c r="F25" s="6"/>
      <c r="G25" s="6"/>
    </row>
    <row r="26" spans="1:7" x14ac:dyDescent="0.25">
      <c r="A26">
        <v>99000892</v>
      </c>
      <c r="B26" s="6"/>
      <c r="C26" s="6"/>
      <c r="D26" s="6"/>
      <c r="E26" s="6"/>
      <c r="F26" s="6"/>
      <c r="G26" s="6"/>
    </row>
    <row r="27" spans="1:7" x14ac:dyDescent="0.25">
      <c r="A27">
        <v>1000192</v>
      </c>
      <c r="B27" s="6"/>
      <c r="C27" s="6"/>
      <c r="D27" s="6"/>
      <c r="E27" s="6"/>
      <c r="F27" s="6"/>
      <c r="G27" s="6"/>
    </row>
    <row r="28" spans="1:7" x14ac:dyDescent="0.25">
      <c r="A28">
        <v>1506</v>
      </c>
      <c r="B28" s="6"/>
      <c r="C28" s="6"/>
      <c r="D28" s="6"/>
      <c r="E28" s="6"/>
      <c r="F28" s="6"/>
      <c r="G28" s="6"/>
    </row>
    <row r="29" spans="1:7" x14ac:dyDescent="0.25">
      <c r="A29">
        <v>99000894</v>
      </c>
      <c r="B29" s="6"/>
      <c r="C29" s="6"/>
      <c r="D29" s="6"/>
      <c r="E29" s="6"/>
      <c r="F29" s="6"/>
      <c r="G29" s="6"/>
    </row>
    <row r="30" spans="1:7" x14ac:dyDescent="0.25">
      <c r="A30">
        <v>99000897</v>
      </c>
    </row>
    <row r="31" spans="1:7" x14ac:dyDescent="0.25">
      <c r="A31">
        <v>99001245</v>
      </c>
    </row>
    <row r="32" spans="1:7" x14ac:dyDescent="0.25">
      <c r="A32">
        <v>99001902</v>
      </c>
    </row>
    <row r="33" spans="1:7" x14ac:dyDescent="0.25">
      <c r="A33">
        <v>99001912</v>
      </c>
    </row>
    <row r="34" spans="1:7" x14ac:dyDescent="0.25">
      <c r="A34">
        <v>99001913</v>
      </c>
    </row>
    <row r="35" spans="1:7" x14ac:dyDescent="0.25">
      <c r="A35">
        <v>99001937</v>
      </c>
    </row>
    <row r="36" spans="1:7" x14ac:dyDescent="0.25">
      <c r="A36">
        <v>99001943</v>
      </c>
    </row>
    <row r="37" spans="1:7" x14ac:dyDescent="0.25">
      <c r="A37">
        <v>99001927</v>
      </c>
    </row>
    <row r="38" spans="1:7" x14ac:dyDescent="0.25">
      <c r="A38">
        <v>1505</v>
      </c>
      <c r="B38" s="6"/>
      <c r="C38" s="6"/>
      <c r="D38" s="6"/>
      <c r="E38" s="6"/>
      <c r="F38" s="6"/>
      <c r="G38" s="6"/>
    </row>
    <row r="39" spans="1:7" x14ac:dyDescent="0.25">
      <c r="A39">
        <v>1000197</v>
      </c>
      <c r="B39" s="6"/>
      <c r="C39" s="6"/>
      <c r="D39" s="6"/>
      <c r="E39" s="6"/>
      <c r="F39" s="6"/>
      <c r="G39" s="6"/>
    </row>
    <row r="40" spans="1:7" x14ac:dyDescent="0.25">
      <c r="A40">
        <v>96018835</v>
      </c>
      <c r="B40" s="6"/>
      <c r="C40" s="6"/>
      <c r="D40" s="6"/>
      <c r="E40">
        <v>66</v>
      </c>
    </row>
    <row r="41" spans="1:7" x14ac:dyDescent="0.25">
      <c r="A41">
        <v>98008326</v>
      </c>
      <c r="B41" s="6"/>
      <c r="C41" s="6"/>
      <c r="D41" s="6"/>
      <c r="E41" s="6"/>
      <c r="F41" s="6"/>
      <c r="G41" s="6"/>
    </row>
    <row r="42" spans="1:7" x14ac:dyDescent="0.25">
      <c r="A42">
        <v>99000717</v>
      </c>
      <c r="B42" s="6"/>
      <c r="C42" s="6"/>
      <c r="D42" s="6"/>
      <c r="E42" s="6"/>
      <c r="F42" s="6"/>
      <c r="G42" s="6"/>
    </row>
    <row r="43" spans="1:7" x14ac:dyDescent="0.25">
      <c r="B43" s="6"/>
      <c r="C43" s="6"/>
      <c r="D43" s="6"/>
      <c r="E43" s="6"/>
      <c r="F43" s="6"/>
      <c r="G43" s="6"/>
    </row>
    <row r="44" spans="1:7" x14ac:dyDescent="0.25">
      <c r="A44" s="25" t="s">
        <v>169</v>
      </c>
    </row>
    <row r="45" spans="1:7" x14ac:dyDescent="0.25">
      <c r="A45" s="10" t="s">
        <v>143</v>
      </c>
    </row>
    <row r="46" spans="1:7" x14ac:dyDescent="0.25">
      <c r="A46">
        <v>6016435</v>
      </c>
    </row>
    <row r="47" spans="1:7" x14ac:dyDescent="0.25">
      <c r="A47">
        <v>8045149</v>
      </c>
    </row>
    <row r="48" spans="1:7" x14ac:dyDescent="0.25">
      <c r="A48">
        <v>10023001</v>
      </c>
    </row>
    <row r="49" spans="1:1" x14ac:dyDescent="0.25">
      <c r="A49">
        <v>10027526</v>
      </c>
    </row>
    <row r="50" spans="1:1" x14ac:dyDescent="0.25">
      <c r="A50">
        <v>14222171</v>
      </c>
    </row>
    <row r="51" spans="1:1" x14ac:dyDescent="0.25">
      <c r="A51">
        <v>1006143</v>
      </c>
    </row>
    <row r="52" spans="1:1" x14ac:dyDescent="0.25">
      <c r="A52">
        <v>6006917</v>
      </c>
    </row>
    <row r="54" spans="1:1" x14ac:dyDescent="0.25">
      <c r="A54" s="10" t="s">
        <v>146</v>
      </c>
    </row>
    <row r="55" spans="1:1" x14ac:dyDescent="0.25">
      <c r="A55">
        <v>8057159</v>
      </c>
    </row>
    <row r="56" spans="1:1" x14ac:dyDescent="0.25">
      <c r="A56">
        <v>9140312</v>
      </c>
    </row>
    <row r="57" spans="1:1" x14ac:dyDescent="0.25">
      <c r="A57">
        <v>12008230</v>
      </c>
    </row>
    <row r="58" spans="1:1" x14ac:dyDescent="0.25">
      <c r="A58">
        <v>12088444</v>
      </c>
    </row>
    <row r="59" spans="1:1" x14ac:dyDescent="0.25">
      <c r="A59">
        <v>13118872</v>
      </c>
    </row>
    <row r="60" spans="1:1" x14ac:dyDescent="0.25">
      <c r="A60">
        <v>12012030</v>
      </c>
    </row>
    <row r="62" spans="1:1" x14ac:dyDescent="0.25">
      <c r="A62" s="10" t="s">
        <v>120</v>
      </c>
    </row>
    <row r="63" spans="1:1" x14ac:dyDescent="0.25">
      <c r="A63">
        <v>9074418</v>
      </c>
    </row>
    <row r="64" spans="1:1" x14ac:dyDescent="0.25">
      <c r="A64">
        <v>1263</v>
      </c>
    </row>
    <row r="65" spans="1:7" x14ac:dyDescent="0.25">
      <c r="A65">
        <v>98004910</v>
      </c>
    </row>
    <row r="66" spans="1:7" x14ac:dyDescent="0.25">
      <c r="A66">
        <v>7103068</v>
      </c>
    </row>
    <row r="67" spans="1:7" x14ac:dyDescent="0.25">
      <c r="A67">
        <v>11240728</v>
      </c>
    </row>
    <row r="68" spans="1:7" x14ac:dyDescent="0.25">
      <c r="B68" s="6"/>
      <c r="C68" s="6"/>
      <c r="D68" s="6"/>
      <c r="E68" s="6"/>
      <c r="F68" s="6"/>
      <c r="G68" s="6"/>
    </row>
    <row r="69" spans="1:7" x14ac:dyDescent="0.25">
      <c r="A69" s="26" t="s">
        <v>170</v>
      </c>
    </row>
    <row r="70" spans="1:7" x14ac:dyDescent="0.25">
      <c r="A70" s="10" t="s">
        <v>143</v>
      </c>
    </row>
    <row r="71" spans="1:7" x14ac:dyDescent="0.25">
      <c r="A71">
        <v>5015869</v>
      </c>
    </row>
    <row r="72" spans="1:7" x14ac:dyDescent="0.25">
      <c r="A72">
        <v>5016969</v>
      </c>
    </row>
    <row r="73" spans="1:7" x14ac:dyDescent="0.25">
      <c r="A73">
        <v>6023231</v>
      </c>
    </row>
    <row r="74" spans="1:7" x14ac:dyDescent="0.25">
      <c r="A74">
        <v>6010712</v>
      </c>
    </row>
    <row r="75" spans="1:7" x14ac:dyDescent="0.25">
      <c r="A75">
        <v>6011198</v>
      </c>
    </row>
    <row r="76" spans="1:7" x14ac:dyDescent="0.25">
      <c r="A76">
        <v>6012681</v>
      </c>
    </row>
    <row r="77" spans="1:7" x14ac:dyDescent="0.25">
      <c r="A77">
        <v>6014511</v>
      </c>
    </row>
    <row r="78" spans="1:7" x14ac:dyDescent="0.25">
      <c r="A78">
        <v>6045127</v>
      </c>
    </row>
    <row r="79" spans="1:7" x14ac:dyDescent="0.25">
      <c r="A79">
        <v>7000458</v>
      </c>
    </row>
    <row r="80" spans="1:7" x14ac:dyDescent="0.25">
      <c r="A80">
        <v>7015502</v>
      </c>
    </row>
    <row r="81" spans="1:1" x14ac:dyDescent="0.25">
      <c r="A81">
        <v>7025847</v>
      </c>
    </row>
    <row r="82" spans="1:1" x14ac:dyDescent="0.25">
      <c r="A82">
        <v>7082707</v>
      </c>
    </row>
    <row r="83" spans="1:1" x14ac:dyDescent="0.25">
      <c r="A83">
        <v>7083159</v>
      </c>
    </row>
    <row r="84" spans="1:1" x14ac:dyDescent="0.25">
      <c r="A84">
        <v>7084659</v>
      </c>
    </row>
    <row r="85" spans="1:1" x14ac:dyDescent="0.25">
      <c r="A85">
        <v>7076814</v>
      </c>
    </row>
    <row r="86" spans="1:1" x14ac:dyDescent="0.25">
      <c r="A86">
        <v>7076815</v>
      </c>
    </row>
    <row r="87" spans="1:1" x14ac:dyDescent="0.25">
      <c r="A87">
        <v>7089231</v>
      </c>
    </row>
    <row r="88" spans="1:1" x14ac:dyDescent="0.25">
      <c r="A88">
        <v>7116004</v>
      </c>
    </row>
    <row r="89" spans="1:1" x14ac:dyDescent="0.25">
      <c r="A89">
        <v>8003819</v>
      </c>
    </row>
    <row r="90" spans="1:1" x14ac:dyDescent="0.25">
      <c r="A90">
        <v>8091779</v>
      </c>
    </row>
    <row r="91" spans="1:1" x14ac:dyDescent="0.25">
      <c r="A91">
        <v>8097989</v>
      </c>
    </row>
    <row r="92" spans="1:1" x14ac:dyDescent="0.25">
      <c r="A92">
        <v>8112522</v>
      </c>
    </row>
    <row r="93" spans="1:1" x14ac:dyDescent="0.25">
      <c r="A93">
        <v>8127397</v>
      </c>
    </row>
    <row r="94" spans="1:1" x14ac:dyDescent="0.25">
      <c r="A94">
        <v>8130998</v>
      </c>
    </row>
    <row r="95" spans="1:1" x14ac:dyDescent="0.25">
      <c r="A95">
        <v>9002836</v>
      </c>
    </row>
    <row r="96" spans="1:1" x14ac:dyDescent="0.25">
      <c r="A96">
        <v>9003331</v>
      </c>
    </row>
    <row r="97" spans="1:1" x14ac:dyDescent="0.25">
      <c r="A97">
        <v>9003370</v>
      </c>
    </row>
    <row r="98" spans="1:1" x14ac:dyDescent="0.25">
      <c r="A98">
        <v>9016278</v>
      </c>
    </row>
    <row r="99" spans="1:1" x14ac:dyDescent="0.25">
      <c r="A99">
        <v>9030684</v>
      </c>
    </row>
    <row r="100" spans="1:1" x14ac:dyDescent="0.25">
      <c r="A100">
        <v>9031387</v>
      </c>
    </row>
    <row r="101" spans="1:1" x14ac:dyDescent="0.25">
      <c r="A101">
        <v>9038676</v>
      </c>
    </row>
    <row r="102" spans="1:1" x14ac:dyDescent="0.25">
      <c r="A102">
        <v>9039416</v>
      </c>
    </row>
    <row r="103" spans="1:1" x14ac:dyDescent="0.25">
      <c r="A103">
        <v>9042861</v>
      </c>
    </row>
    <row r="104" spans="1:1" x14ac:dyDescent="0.25">
      <c r="A104">
        <v>9044899</v>
      </c>
    </row>
    <row r="105" spans="1:1" x14ac:dyDescent="0.25">
      <c r="A105">
        <v>9052398</v>
      </c>
    </row>
    <row r="106" spans="1:1" x14ac:dyDescent="0.25">
      <c r="A106">
        <v>9085204</v>
      </c>
    </row>
    <row r="107" spans="1:1" x14ac:dyDescent="0.25">
      <c r="A107">
        <v>9090323</v>
      </c>
    </row>
    <row r="108" spans="1:1" x14ac:dyDescent="0.25">
      <c r="A108">
        <v>9105492</v>
      </c>
    </row>
    <row r="109" spans="1:1" x14ac:dyDescent="0.25">
      <c r="A109">
        <v>9138470</v>
      </c>
    </row>
    <row r="110" spans="1:1" x14ac:dyDescent="0.25">
      <c r="A110">
        <v>9150676</v>
      </c>
    </row>
    <row r="111" spans="1:1" x14ac:dyDescent="0.25">
      <c r="A111">
        <v>10010926</v>
      </c>
    </row>
    <row r="112" spans="1:1" x14ac:dyDescent="0.25">
      <c r="A112">
        <v>10016588</v>
      </c>
    </row>
    <row r="113" spans="1:4" x14ac:dyDescent="0.25">
      <c r="A113">
        <v>10030897</v>
      </c>
    </row>
    <row r="114" spans="1:4" x14ac:dyDescent="0.25">
      <c r="A114">
        <v>324</v>
      </c>
      <c r="D114">
        <v>10.1</v>
      </c>
    </row>
    <row r="115" spans="1:4" x14ac:dyDescent="0.25">
      <c r="A115">
        <v>3909</v>
      </c>
    </row>
    <row r="116" spans="1:4" x14ac:dyDescent="0.25">
      <c r="A116">
        <v>4663</v>
      </c>
    </row>
    <row r="117" spans="1:4" x14ac:dyDescent="0.25">
      <c r="A117">
        <v>1005522</v>
      </c>
    </row>
    <row r="118" spans="1:4" x14ac:dyDescent="0.25">
      <c r="A118">
        <v>1007631</v>
      </c>
    </row>
    <row r="119" spans="1:4" x14ac:dyDescent="0.25">
      <c r="A119">
        <v>1009760</v>
      </c>
    </row>
    <row r="120" spans="1:4" x14ac:dyDescent="0.25">
      <c r="A120">
        <v>2000646</v>
      </c>
    </row>
    <row r="121" spans="1:4" x14ac:dyDescent="0.25">
      <c r="A121">
        <v>2003761</v>
      </c>
    </row>
    <row r="122" spans="1:4" x14ac:dyDescent="0.25">
      <c r="A122">
        <v>2004061</v>
      </c>
    </row>
    <row r="123" spans="1:4" x14ac:dyDescent="0.25">
      <c r="A123">
        <v>2006469</v>
      </c>
    </row>
    <row r="124" spans="1:4" x14ac:dyDescent="0.25">
      <c r="A124">
        <v>3005132</v>
      </c>
    </row>
    <row r="125" spans="1:4" x14ac:dyDescent="0.25">
      <c r="A125">
        <v>3009119</v>
      </c>
    </row>
    <row r="126" spans="1:4" x14ac:dyDescent="0.25">
      <c r="A126">
        <v>3009936</v>
      </c>
    </row>
    <row r="127" spans="1:4" x14ac:dyDescent="0.25">
      <c r="A127">
        <v>3011094</v>
      </c>
    </row>
    <row r="128" spans="1:4" x14ac:dyDescent="0.25">
      <c r="A128">
        <v>3014643</v>
      </c>
    </row>
    <row r="129" spans="1:7" x14ac:dyDescent="0.25">
      <c r="A129">
        <v>3016056</v>
      </c>
      <c r="D129">
        <v>3.7</v>
      </c>
      <c r="G129">
        <v>4.5</v>
      </c>
    </row>
    <row r="130" spans="1:7" x14ac:dyDescent="0.25">
      <c r="A130">
        <v>3900219</v>
      </c>
    </row>
    <row r="131" spans="1:7" x14ac:dyDescent="0.25">
      <c r="A131">
        <v>4000158</v>
      </c>
    </row>
    <row r="132" spans="1:7" x14ac:dyDescent="0.25">
      <c r="A132">
        <v>4000304</v>
      </c>
    </row>
    <row r="133" spans="1:7" x14ac:dyDescent="0.25">
      <c r="A133">
        <v>4001905</v>
      </c>
    </row>
    <row r="134" spans="1:7" x14ac:dyDescent="0.25">
      <c r="A134">
        <v>4002206</v>
      </c>
    </row>
    <row r="135" spans="1:7" x14ac:dyDescent="0.25">
      <c r="A135">
        <v>4002715</v>
      </c>
    </row>
    <row r="136" spans="1:7" x14ac:dyDescent="0.25">
      <c r="A136">
        <v>4003924</v>
      </c>
    </row>
    <row r="137" spans="1:7" x14ac:dyDescent="0.25">
      <c r="A137">
        <v>4006051</v>
      </c>
    </row>
    <row r="138" spans="1:7" x14ac:dyDescent="0.25">
      <c r="A138">
        <v>4008140</v>
      </c>
    </row>
    <row r="139" spans="1:7" x14ac:dyDescent="0.25">
      <c r="A139">
        <v>4009906</v>
      </c>
    </row>
    <row r="140" spans="1:7" x14ac:dyDescent="0.25">
      <c r="A140">
        <v>4011027</v>
      </c>
    </row>
    <row r="141" spans="1:7" x14ac:dyDescent="0.25">
      <c r="A141">
        <v>4011920</v>
      </c>
    </row>
    <row r="142" spans="1:7" x14ac:dyDescent="0.25">
      <c r="A142">
        <v>4012248</v>
      </c>
    </row>
    <row r="143" spans="1:7" x14ac:dyDescent="0.25">
      <c r="A143">
        <v>4013603</v>
      </c>
    </row>
    <row r="144" spans="1:7" x14ac:dyDescent="0.25">
      <c r="A144">
        <v>5004654</v>
      </c>
    </row>
    <row r="145" spans="1:6" x14ac:dyDescent="0.25">
      <c r="A145" s="65"/>
    </row>
    <row r="146" spans="1:6" x14ac:dyDescent="0.25">
      <c r="A146" s="10" t="s">
        <v>146</v>
      </c>
    </row>
    <row r="147" spans="1:6" x14ac:dyDescent="0.25">
      <c r="A147">
        <v>4289</v>
      </c>
    </row>
    <row r="148" spans="1:6" x14ac:dyDescent="0.25">
      <c r="A148">
        <v>500245</v>
      </c>
    </row>
    <row r="149" spans="1:6" x14ac:dyDescent="0.25">
      <c r="A149">
        <v>2002573</v>
      </c>
    </row>
    <row r="150" spans="1:6" x14ac:dyDescent="0.25">
      <c r="A150">
        <v>2003539</v>
      </c>
    </row>
    <row r="151" spans="1:6" x14ac:dyDescent="0.25">
      <c r="A151">
        <v>2003649</v>
      </c>
    </row>
    <row r="152" spans="1:6" x14ac:dyDescent="0.25">
      <c r="A152">
        <v>2005572</v>
      </c>
    </row>
    <row r="153" spans="1:6" x14ac:dyDescent="0.25">
      <c r="A153">
        <v>2013117</v>
      </c>
    </row>
    <row r="154" spans="1:6" x14ac:dyDescent="0.25">
      <c r="A154">
        <v>3009633</v>
      </c>
    </row>
    <row r="155" spans="1:6" x14ac:dyDescent="0.25">
      <c r="A155">
        <v>3010583</v>
      </c>
      <c r="F155">
        <v>11.5</v>
      </c>
    </row>
    <row r="156" spans="1:6" x14ac:dyDescent="0.25">
      <c r="A156" s="23">
        <v>3011892</v>
      </c>
    </row>
    <row r="157" spans="1:6" x14ac:dyDescent="0.25">
      <c r="A157">
        <v>4001382</v>
      </c>
    </row>
    <row r="158" spans="1:6" x14ac:dyDescent="0.25">
      <c r="A158">
        <v>5018675</v>
      </c>
    </row>
    <row r="159" spans="1:6" x14ac:dyDescent="0.25">
      <c r="A159">
        <v>6050168</v>
      </c>
    </row>
    <row r="160" spans="1:6" x14ac:dyDescent="0.25">
      <c r="A160">
        <v>5006592</v>
      </c>
    </row>
    <row r="161" spans="1:1" x14ac:dyDescent="0.25">
      <c r="A161">
        <v>5007274</v>
      </c>
    </row>
    <row r="162" spans="1:1" x14ac:dyDescent="0.25">
      <c r="A162">
        <v>5015851</v>
      </c>
    </row>
    <row r="163" spans="1:1" x14ac:dyDescent="0.25">
      <c r="A163">
        <v>6015647</v>
      </c>
    </row>
    <row r="164" spans="1:1" x14ac:dyDescent="0.25">
      <c r="A164">
        <v>6056633</v>
      </c>
    </row>
    <row r="165" spans="1:1" x14ac:dyDescent="0.25">
      <c r="A165">
        <v>7086224</v>
      </c>
    </row>
    <row r="166" spans="1:1" x14ac:dyDescent="0.25">
      <c r="A166">
        <v>8040959</v>
      </c>
    </row>
    <row r="167" spans="1:1" x14ac:dyDescent="0.25">
      <c r="A167">
        <v>8107048</v>
      </c>
    </row>
    <row r="168" spans="1:1" x14ac:dyDescent="0.25">
      <c r="A168">
        <v>8124044</v>
      </c>
    </row>
    <row r="169" spans="1:1" x14ac:dyDescent="0.25">
      <c r="A169">
        <v>8142949</v>
      </c>
    </row>
    <row r="170" spans="1:1" x14ac:dyDescent="0.25">
      <c r="A170">
        <v>9023306</v>
      </c>
    </row>
    <row r="171" spans="1:1" x14ac:dyDescent="0.25">
      <c r="A171">
        <v>9030615</v>
      </c>
    </row>
    <row r="172" spans="1:1" x14ac:dyDescent="0.25">
      <c r="A172">
        <v>9034464</v>
      </c>
    </row>
    <row r="173" spans="1:1" x14ac:dyDescent="0.25">
      <c r="A173">
        <v>9040167</v>
      </c>
    </row>
    <row r="174" spans="1:1" x14ac:dyDescent="0.25">
      <c r="A174">
        <v>9054567</v>
      </c>
    </row>
    <row r="175" spans="1:1" x14ac:dyDescent="0.25">
      <c r="A175">
        <v>9083682</v>
      </c>
    </row>
    <row r="176" spans="1:1" x14ac:dyDescent="0.25">
      <c r="A176">
        <v>9102044</v>
      </c>
    </row>
    <row r="177" spans="1:1" x14ac:dyDescent="0.25">
      <c r="A177">
        <v>9119854</v>
      </c>
    </row>
    <row r="178" spans="1:1" x14ac:dyDescent="0.25">
      <c r="A178">
        <v>9125126</v>
      </c>
    </row>
    <row r="179" spans="1:1" x14ac:dyDescent="0.25">
      <c r="A179">
        <v>9174811</v>
      </c>
    </row>
    <row r="180" spans="1:1" x14ac:dyDescent="0.25">
      <c r="A180">
        <v>10002875</v>
      </c>
    </row>
    <row r="181" spans="1:1" x14ac:dyDescent="0.25">
      <c r="A181">
        <v>10023080</v>
      </c>
    </row>
    <row r="182" spans="1:1" x14ac:dyDescent="0.25">
      <c r="A182">
        <v>10025212</v>
      </c>
    </row>
    <row r="183" spans="1:1" x14ac:dyDescent="0.25">
      <c r="A183">
        <v>10069407</v>
      </c>
    </row>
    <row r="184" spans="1:1" x14ac:dyDescent="0.25">
      <c r="A184">
        <v>10071135</v>
      </c>
    </row>
    <row r="185" spans="1:1" x14ac:dyDescent="0.25">
      <c r="A185">
        <v>10083649</v>
      </c>
    </row>
    <row r="186" spans="1:1" x14ac:dyDescent="0.25">
      <c r="A186">
        <v>10102021</v>
      </c>
    </row>
    <row r="187" spans="1:1" x14ac:dyDescent="0.25">
      <c r="A187">
        <v>10123729</v>
      </c>
    </row>
    <row r="188" spans="1:1" x14ac:dyDescent="0.25">
      <c r="A188">
        <v>10144736</v>
      </c>
    </row>
    <row r="189" spans="1:1" x14ac:dyDescent="0.25">
      <c r="A189">
        <v>10157275</v>
      </c>
    </row>
    <row r="190" spans="1:1" x14ac:dyDescent="0.25">
      <c r="A190" s="65"/>
    </row>
    <row r="191" spans="1:1" x14ac:dyDescent="0.25">
      <c r="A191" s="10" t="s">
        <v>120</v>
      </c>
    </row>
    <row r="192" spans="1:1" x14ac:dyDescent="0.25">
      <c r="A192">
        <v>5281</v>
      </c>
    </row>
    <row r="193" spans="1:3" x14ac:dyDescent="0.25">
      <c r="A193">
        <v>200085</v>
      </c>
    </row>
    <row r="194" spans="1:3" x14ac:dyDescent="0.25">
      <c r="A194">
        <v>500129</v>
      </c>
    </row>
    <row r="195" spans="1:3" x14ac:dyDescent="0.25">
      <c r="A195" s="23">
        <v>1002033</v>
      </c>
    </row>
    <row r="196" spans="1:3" x14ac:dyDescent="0.25">
      <c r="A196">
        <v>1003457</v>
      </c>
    </row>
    <row r="197" spans="1:3" x14ac:dyDescent="0.25">
      <c r="A197">
        <v>2005223</v>
      </c>
    </row>
    <row r="198" spans="1:3" x14ac:dyDescent="0.25">
      <c r="A198">
        <v>2006107</v>
      </c>
    </row>
    <row r="199" spans="1:3" x14ac:dyDescent="0.25">
      <c r="A199">
        <v>2012014</v>
      </c>
      <c r="B199">
        <v>3.9</v>
      </c>
    </row>
    <row r="200" spans="1:3" x14ac:dyDescent="0.25">
      <c r="A200">
        <v>3000152</v>
      </c>
      <c r="C200">
        <v>14</v>
      </c>
    </row>
    <row r="201" spans="1:3" x14ac:dyDescent="0.25">
      <c r="A201">
        <v>3014566</v>
      </c>
    </row>
    <row r="202" spans="1:3" x14ac:dyDescent="0.25">
      <c r="A202">
        <v>3015058</v>
      </c>
    </row>
    <row r="203" spans="1:3" x14ac:dyDescent="0.25">
      <c r="A203" s="23">
        <v>4000996</v>
      </c>
    </row>
    <row r="204" spans="1:3" x14ac:dyDescent="0.25">
      <c r="A204">
        <v>4003768</v>
      </c>
    </row>
    <row r="205" spans="1:3" x14ac:dyDescent="0.25">
      <c r="A205">
        <v>4006540</v>
      </c>
    </row>
    <row r="206" spans="1:3" x14ac:dyDescent="0.25">
      <c r="A206">
        <v>4007054</v>
      </c>
    </row>
    <row r="207" spans="1:3" x14ac:dyDescent="0.25">
      <c r="A207">
        <v>4011002</v>
      </c>
    </row>
    <row r="208" spans="1:3" x14ac:dyDescent="0.25">
      <c r="A208">
        <v>4900268</v>
      </c>
    </row>
    <row r="209" spans="1:1" x14ac:dyDescent="0.25">
      <c r="A209">
        <v>5001097</v>
      </c>
    </row>
    <row r="210" spans="1:1" x14ac:dyDescent="0.25">
      <c r="A210">
        <v>5001098</v>
      </c>
    </row>
    <row r="211" spans="1:1" x14ac:dyDescent="0.25">
      <c r="A211">
        <v>5006152</v>
      </c>
    </row>
    <row r="212" spans="1:1" x14ac:dyDescent="0.25">
      <c r="A212">
        <v>6012361</v>
      </c>
    </row>
    <row r="213" spans="1:1" x14ac:dyDescent="0.25">
      <c r="A213">
        <v>6015793</v>
      </c>
    </row>
    <row r="214" spans="1:1" x14ac:dyDescent="0.25">
      <c r="A214">
        <v>6043619</v>
      </c>
    </row>
    <row r="215" spans="1:1" x14ac:dyDescent="0.25">
      <c r="A215">
        <v>7001097</v>
      </c>
    </row>
    <row r="216" spans="1:1" x14ac:dyDescent="0.25">
      <c r="A216">
        <v>7011435</v>
      </c>
    </row>
    <row r="217" spans="1:1" x14ac:dyDescent="0.25">
      <c r="A217">
        <v>7045811</v>
      </c>
    </row>
    <row r="218" spans="1:1" x14ac:dyDescent="0.25">
      <c r="A218">
        <v>7071198</v>
      </c>
    </row>
    <row r="219" spans="1:1" x14ac:dyDescent="0.25">
      <c r="A219">
        <v>7101143</v>
      </c>
    </row>
    <row r="220" spans="1:1" x14ac:dyDescent="0.25">
      <c r="A220">
        <v>8073350</v>
      </c>
    </row>
    <row r="221" spans="1:1" x14ac:dyDescent="0.25">
      <c r="A221">
        <v>8073645</v>
      </c>
    </row>
    <row r="222" spans="1:1" x14ac:dyDescent="0.25">
      <c r="A222" s="23">
        <v>8089666</v>
      </c>
    </row>
    <row r="223" spans="1:1" x14ac:dyDescent="0.25">
      <c r="A223">
        <v>8103536</v>
      </c>
    </row>
    <row r="224" spans="1:1" x14ac:dyDescent="0.25">
      <c r="A224">
        <v>8124816</v>
      </c>
    </row>
    <row r="225" spans="1:1" x14ac:dyDescent="0.25">
      <c r="A225">
        <v>9003267</v>
      </c>
    </row>
    <row r="226" spans="1:1" x14ac:dyDescent="0.25">
      <c r="A226">
        <v>9036964</v>
      </c>
    </row>
    <row r="227" spans="1:1" x14ac:dyDescent="0.25">
      <c r="A227">
        <v>9090287</v>
      </c>
    </row>
    <row r="228" spans="1:1" x14ac:dyDescent="0.25">
      <c r="A228">
        <v>9095148</v>
      </c>
    </row>
    <row r="229" spans="1:1" x14ac:dyDescent="0.25">
      <c r="A229">
        <v>9104979</v>
      </c>
    </row>
    <row r="230" spans="1:1" x14ac:dyDescent="0.25">
      <c r="A230">
        <v>9139514</v>
      </c>
    </row>
    <row r="231" spans="1:1" x14ac:dyDescent="0.25">
      <c r="A231">
        <v>10020659</v>
      </c>
    </row>
    <row r="232" spans="1:1" x14ac:dyDescent="0.25">
      <c r="A232">
        <v>10025902</v>
      </c>
    </row>
    <row r="233" spans="1:1" x14ac:dyDescent="0.25">
      <c r="A233">
        <v>10027654</v>
      </c>
    </row>
    <row r="234" spans="1:1" x14ac:dyDescent="0.25">
      <c r="A234">
        <v>10084485</v>
      </c>
    </row>
    <row r="235" spans="1:1" x14ac:dyDescent="0.25">
      <c r="A235">
        <v>10098420</v>
      </c>
    </row>
    <row r="236" spans="1:1" x14ac:dyDescent="0.25">
      <c r="A236">
        <v>10129565</v>
      </c>
    </row>
    <row r="237" spans="1:1" x14ac:dyDescent="0.25">
      <c r="A237">
        <v>10146828</v>
      </c>
    </row>
    <row r="238" spans="1:1" x14ac:dyDescent="0.25">
      <c r="A238">
        <v>10163776</v>
      </c>
    </row>
    <row r="239" spans="1:1" x14ac:dyDescent="0.25">
      <c r="A239">
        <v>10173664</v>
      </c>
    </row>
  </sheetData>
  <conditionalFormatting sqref="A19">
    <cfRule type="duplicateValues" dxfId="11" priority="1"/>
  </conditionalFormatting>
  <pageMargins left="0.7" right="0.7" top="0.78740157499999996" bottom="0.78740157499999996" header="0.3" footer="0.3"/>
  <tableParts count="1">
    <tablePart r:id="rId1"/>
  </tableParts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"/>
  <sheetViews>
    <sheetView workbookViewId="0">
      <selection sqref="A1:D9"/>
    </sheetView>
  </sheetViews>
  <sheetFormatPr defaultColWidth="11.42578125" defaultRowHeight="15" x14ac:dyDescent="0.25"/>
  <cols>
    <col min="1" max="1" width="17.28515625" bestFit="1" customWidth="1"/>
    <col min="2" max="2" width="13.42578125" bestFit="1" customWidth="1"/>
    <col min="3" max="3" width="38.28515625" bestFit="1" customWidth="1"/>
    <col min="4" max="4" width="30.28515625" bestFit="1" customWidth="1"/>
  </cols>
  <sheetData>
    <row r="1" spans="1:4" x14ac:dyDescent="0.25">
      <c r="A1" s="66" t="s">
        <v>59</v>
      </c>
      <c r="B1" s="66" t="s">
        <v>3295</v>
      </c>
      <c r="C1" s="66" t="s">
        <v>2564</v>
      </c>
      <c r="D1" s="66" t="s">
        <v>2523</v>
      </c>
    </row>
    <row r="2" spans="1:4" x14ac:dyDescent="0.25">
      <c r="A2" s="66">
        <v>14242856</v>
      </c>
      <c r="B2" s="66" t="s">
        <v>3295</v>
      </c>
      <c r="C2" s="66" t="s">
        <v>62</v>
      </c>
      <c r="D2" s="66">
        <v>1</v>
      </c>
    </row>
    <row r="3" spans="1:4" x14ac:dyDescent="0.25">
      <c r="A3" s="66">
        <v>1003215</v>
      </c>
      <c r="B3" s="66" t="s">
        <v>3295</v>
      </c>
      <c r="C3" s="66" t="s">
        <v>62</v>
      </c>
      <c r="D3" s="66">
        <v>1</v>
      </c>
    </row>
    <row r="4" spans="1:4" x14ac:dyDescent="0.25">
      <c r="A4" s="66">
        <v>96018835</v>
      </c>
      <c r="B4" s="66" t="s">
        <v>3295</v>
      </c>
      <c r="C4" s="66" t="s">
        <v>90</v>
      </c>
      <c r="D4" s="66">
        <v>1</v>
      </c>
    </row>
    <row r="5" spans="1:4" x14ac:dyDescent="0.25">
      <c r="A5" s="66">
        <v>324</v>
      </c>
      <c r="B5" s="66" t="s">
        <v>3295</v>
      </c>
      <c r="C5" s="66" t="s">
        <v>1050</v>
      </c>
      <c r="D5" s="66">
        <v>1</v>
      </c>
    </row>
    <row r="6" spans="1:4" x14ac:dyDescent="0.25">
      <c r="A6" s="66">
        <v>3016056</v>
      </c>
      <c r="B6" s="66" t="s">
        <v>3295</v>
      </c>
      <c r="C6" s="66" t="s">
        <v>3296</v>
      </c>
      <c r="D6" s="66">
        <v>2</v>
      </c>
    </row>
    <row r="7" spans="1:4" x14ac:dyDescent="0.25">
      <c r="A7" s="66">
        <v>3010583</v>
      </c>
      <c r="B7" s="66" t="s">
        <v>3295</v>
      </c>
      <c r="C7" s="66" t="s">
        <v>1572</v>
      </c>
      <c r="D7" s="66">
        <v>1</v>
      </c>
    </row>
    <row r="8" spans="1:4" x14ac:dyDescent="0.25">
      <c r="A8" s="66">
        <v>2012014</v>
      </c>
      <c r="B8" s="66" t="s">
        <v>3295</v>
      </c>
      <c r="C8" s="66" t="s">
        <v>1838</v>
      </c>
      <c r="D8" s="66">
        <v>1</v>
      </c>
    </row>
    <row r="9" spans="1:4" x14ac:dyDescent="0.25">
      <c r="A9" s="66">
        <v>3000152</v>
      </c>
      <c r="B9" s="66" t="s">
        <v>3295</v>
      </c>
      <c r="C9" s="66" t="s">
        <v>62</v>
      </c>
      <c r="D9" s="66">
        <v>1</v>
      </c>
    </row>
  </sheetData>
  <phoneticPr fontId="6" type="noConversion"/>
  <pageMargins left="0.7" right="0.7" top="0.78740157499999996" bottom="0.78740157499999996" header="0.3" footer="0.3"/>
  <tableParts count="1">
    <tablePart r:id="rId1"/>
  </tableParts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39"/>
  <sheetViews>
    <sheetView workbookViewId="0">
      <selection sqref="A1:S239"/>
    </sheetView>
  </sheetViews>
  <sheetFormatPr defaultColWidth="11.42578125" defaultRowHeight="15" x14ac:dyDescent="0.25"/>
  <cols>
    <col min="1" max="1" width="17.140625" customWidth="1"/>
    <col min="2" max="2" width="56" customWidth="1"/>
    <col min="3" max="5" width="52.5703125" customWidth="1"/>
    <col min="6" max="7" width="51.5703125" customWidth="1"/>
    <col min="8" max="8" width="46" customWidth="1"/>
    <col min="9" max="10" width="32.28515625" customWidth="1"/>
    <col min="11" max="12" width="28.85546875" customWidth="1"/>
    <col min="13" max="14" width="31.42578125" customWidth="1"/>
    <col min="15" max="15" width="38" customWidth="1"/>
    <col min="16" max="17" width="34.140625" customWidth="1"/>
    <col min="18" max="18" width="38" customWidth="1"/>
    <col min="19" max="19" width="34.140625" customWidth="1"/>
  </cols>
  <sheetData>
    <row r="1" spans="1:19" ht="90" x14ac:dyDescent="0.25">
      <c r="A1" s="61" t="s">
        <v>59</v>
      </c>
      <c r="B1" s="62" t="s">
        <v>1573</v>
      </c>
      <c r="C1" s="62" t="s">
        <v>1094</v>
      </c>
      <c r="D1" s="62" t="s">
        <v>1973</v>
      </c>
      <c r="E1" s="62" t="s">
        <v>1839</v>
      </c>
      <c r="F1" s="62" t="s">
        <v>1945</v>
      </c>
      <c r="G1" s="62" t="s">
        <v>1946</v>
      </c>
      <c r="H1" s="62" t="s">
        <v>61</v>
      </c>
      <c r="I1" s="63" t="s">
        <v>1049</v>
      </c>
      <c r="J1" s="62" t="s">
        <v>1209</v>
      </c>
      <c r="K1" s="62" t="s">
        <v>1866</v>
      </c>
      <c r="L1" s="62" t="s">
        <v>1327</v>
      </c>
      <c r="M1" s="62" t="s">
        <v>1095</v>
      </c>
      <c r="N1" s="62" t="s">
        <v>1096</v>
      </c>
      <c r="O1" s="62" t="s">
        <v>1574</v>
      </c>
      <c r="P1" s="62" t="s">
        <v>1210</v>
      </c>
      <c r="Q1" s="62" t="s">
        <v>1211</v>
      </c>
      <c r="R1" s="62" t="s">
        <v>1575</v>
      </c>
      <c r="S1" s="62" t="s">
        <v>1166</v>
      </c>
    </row>
    <row r="2" spans="1:19" x14ac:dyDescent="0.25">
      <c r="A2" s="40" t="s">
        <v>561</v>
      </c>
    </row>
    <row r="3" spans="1:19" x14ac:dyDescent="0.25">
      <c r="A3" s="10" t="s">
        <v>2519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</row>
    <row r="4" spans="1:19" x14ac:dyDescent="0.25">
      <c r="A4">
        <v>7072184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</row>
    <row r="5" spans="1:19" x14ac:dyDescent="0.25">
      <c r="A5">
        <v>9108231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</row>
    <row r="6" spans="1:19" x14ac:dyDescent="0.25">
      <c r="A6">
        <v>12061933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</row>
    <row r="7" spans="1:19" x14ac:dyDescent="0.25">
      <c r="A7">
        <v>95005911</v>
      </c>
    </row>
    <row r="8" spans="1:19" x14ac:dyDescent="0.25">
      <c r="A8">
        <v>99001908</v>
      </c>
    </row>
    <row r="9" spans="1:19" x14ac:dyDescent="0.25">
      <c r="A9">
        <v>99004067</v>
      </c>
    </row>
    <row r="10" spans="1:19" x14ac:dyDescent="0.25">
      <c r="A10">
        <v>97002136</v>
      </c>
    </row>
    <row r="11" spans="1:19" x14ac:dyDescent="0.25">
      <c r="A11">
        <v>1502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</row>
    <row r="12" spans="1:19" x14ac:dyDescent="0.25">
      <c r="A12">
        <v>4003543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</row>
    <row r="13" spans="1:19" x14ac:dyDescent="0.25">
      <c r="A13">
        <v>4900261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</row>
    <row r="15" spans="1:19" x14ac:dyDescent="0.25">
      <c r="A15" s="10" t="s">
        <v>2520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</row>
    <row r="16" spans="1:19" x14ac:dyDescent="0.25">
      <c r="A16">
        <v>14242856</v>
      </c>
      <c r="H16">
        <v>4</v>
      </c>
    </row>
    <row r="17" spans="1:19" x14ac:dyDescent="0.25">
      <c r="A17">
        <v>99001183</v>
      </c>
    </row>
    <row r="18" spans="1:19" x14ac:dyDescent="0.25">
      <c r="A18">
        <v>3000983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</row>
    <row r="19" spans="1:19" x14ac:dyDescent="0.25">
      <c r="A19">
        <v>10064335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</row>
    <row r="20" spans="1:19" x14ac:dyDescent="0.25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</row>
    <row r="21" spans="1:19" x14ac:dyDescent="0.25">
      <c r="A21" s="10" t="s">
        <v>2521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</row>
    <row r="22" spans="1:19" x14ac:dyDescent="0.25">
      <c r="A22">
        <v>1480</v>
      </c>
    </row>
    <row r="23" spans="1:19" x14ac:dyDescent="0.25">
      <c r="A23">
        <v>7063959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</row>
    <row r="24" spans="1:19" x14ac:dyDescent="0.25">
      <c r="A24">
        <v>1003215</v>
      </c>
      <c r="B24" s="6"/>
      <c r="C24" s="6"/>
      <c r="D24" s="6"/>
      <c r="E24" s="6"/>
      <c r="F24" s="6"/>
      <c r="G24" s="6"/>
      <c r="H24" s="6">
        <v>8.1999999999999993</v>
      </c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</row>
    <row r="25" spans="1:19" x14ac:dyDescent="0.25">
      <c r="A25">
        <v>99000802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</row>
    <row r="26" spans="1:19" x14ac:dyDescent="0.25">
      <c r="A26">
        <v>99000892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</row>
    <row r="27" spans="1:19" x14ac:dyDescent="0.25">
      <c r="A27">
        <v>1000192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</row>
    <row r="28" spans="1:19" x14ac:dyDescent="0.25">
      <c r="A28">
        <v>1506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</row>
    <row r="29" spans="1:19" x14ac:dyDescent="0.25">
      <c r="A29">
        <v>99000894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</row>
    <row r="30" spans="1:19" x14ac:dyDescent="0.25">
      <c r="A30">
        <v>99000897</v>
      </c>
    </row>
    <row r="31" spans="1:19" x14ac:dyDescent="0.25">
      <c r="A31">
        <v>99001245</v>
      </c>
    </row>
    <row r="32" spans="1:19" x14ac:dyDescent="0.25">
      <c r="A32">
        <v>99001902</v>
      </c>
    </row>
    <row r="33" spans="1:19" x14ac:dyDescent="0.25">
      <c r="A33">
        <v>99001912</v>
      </c>
    </row>
    <row r="34" spans="1:19" x14ac:dyDescent="0.25">
      <c r="A34">
        <v>99001913</v>
      </c>
    </row>
    <row r="35" spans="1:19" x14ac:dyDescent="0.25">
      <c r="A35">
        <v>99001937</v>
      </c>
    </row>
    <row r="36" spans="1:19" x14ac:dyDescent="0.25">
      <c r="A36">
        <v>99001943</v>
      </c>
    </row>
    <row r="37" spans="1:19" x14ac:dyDescent="0.25">
      <c r="A37">
        <v>99001927</v>
      </c>
    </row>
    <row r="38" spans="1:19" x14ac:dyDescent="0.25">
      <c r="A38">
        <v>1505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</row>
    <row r="39" spans="1:19" x14ac:dyDescent="0.25">
      <c r="A39">
        <v>1000197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</row>
    <row r="40" spans="1:19" x14ac:dyDescent="0.25">
      <c r="A40">
        <v>96018835</v>
      </c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</row>
    <row r="41" spans="1:19" x14ac:dyDescent="0.25">
      <c r="A41">
        <v>98008326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</row>
    <row r="42" spans="1:19" x14ac:dyDescent="0.25">
      <c r="A42">
        <v>99000717</v>
      </c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</row>
    <row r="43" spans="1:19" x14ac:dyDescent="0.25"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</row>
    <row r="44" spans="1:19" x14ac:dyDescent="0.25">
      <c r="A44" s="25" t="s">
        <v>169</v>
      </c>
    </row>
    <row r="45" spans="1:19" x14ac:dyDescent="0.25">
      <c r="A45" s="10" t="s">
        <v>143</v>
      </c>
    </row>
    <row r="46" spans="1:19" x14ac:dyDescent="0.25">
      <c r="A46">
        <v>6016435</v>
      </c>
    </row>
    <row r="47" spans="1:19" x14ac:dyDescent="0.25">
      <c r="A47">
        <v>8045149</v>
      </c>
    </row>
    <row r="48" spans="1:19" x14ac:dyDescent="0.25">
      <c r="A48">
        <v>10023001</v>
      </c>
    </row>
    <row r="49" spans="1:1" x14ac:dyDescent="0.25">
      <c r="A49">
        <v>10027526</v>
      </c>
    </row>
    <row r="50" spans="1:1" x14ac:dyDescent="0.25">
      <c r="A50">
        <v>14222171</v>
      </c>
    </row>
    <row r="51" spans="1:1" x14ac:dyDescent="0.25">
      <c r="A51">
        <v>1006143</v>
      </c>
    </row>
    <row r="52" spans="1:1" x14ac:dyDescent="0.25">
      <c r="A52">
        <v>6006917</v>
      </c>
    </row>
    <row r="54" spans="1:1" x14ac:dyDescent="0.25">
      <c r="A54" s="10" t="s">
        <v>146</v>
      </c>
    </row>
    <row r="55" spans="1:1" x14ac:dyDescent="0.25">
      <c r="A55">
        <v>8057159</v>
      </c>
    </row>
    <row r="56" spans="1:1" x14ac:dyDescent="0.25">
      <c r="A56">
        <v>9140312</v>
      </c>
    </row>
    <row r="57" spans="1:1" x14ac:dyDescent="0.25">
      <c r="A57">
        <v>12008230</v>
      </c>
    </row>
    <row r="58" spans="1:1" x14ac:dyDescent="0.25">
      <c r="A58">
        <v>12088444</v>
      </c>
    </row>
    <row r="59" spans="1:1" x14ac:dyDescent="0.25">
      <c r="A59">
        <v>13118872</v>
      </c>
    </row>
    <row r="60" spans="1:1" x14ac:dyDescent="0.25">
      <c r="A60">
        <v>12012030</v>
      </c>
    </row>
    <row r="62" spans="1:1" x14ac:dyDescent="0.25">
      <c r="A62" s="10" t="s">
        <v>120</v>
      </c>
    </row>
    <row r="63" spans="1:1" x14ac:dyDescent="0.25">
      <c r="A63">
        <v>9074418</v>
      </c>
    </row>
    <row r="64" spans="1:1" x14ac:dyDescent="0.25">
      <c r="A64">
        <v>1263</v>
      </c>
    </row>
    <row r="65" spans="1:19" x14ac:dyDescent="0.25">
      <c r="A65">
        <v>98004910</v>
      </c>
    </row>
    <row r="66" spans="1:19" x14ac:dyDescent="0.25">
      <c r="A66">
        <v>7103068</v>
      </c>
    </row>
    <row r="67" spans="1:19" x14ac:dyDescent="0.25">
      <c r="A67">
        <v>11240728</v>
      </c>
    </row>
    <row r="68" spans="1:19" x14ac:dyDescent="0.25"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</row>
    <row r="69" spans="1:19" x14ac:dyDescent="0.25">
      <c r="A69" s="26" t="s">
        <v>170</v>
      </c>
    </row>
    <row r="70" spans="1:19" x14ac:dyDescent="0.25">
      <c r="A70" s="10" t="s">
        <v>143</v>
      </c>
    </row>
    <row r="71" spans="1:19" x14ac:dyDescent="0.25">
      <c r="A71">
        <v>5015869</v>
      </c>
    </row>
    <row r="72" spans="1:19" x14ac:dyDescent="0.25">
      <c r="A72">
        <v>5016969</v>
      </c>
    </row>
    <row r="73" spans="1:19" x14ac:dyDescent="0.25">
      <c r="A73">
        <v>6023231</v>
      </c>
    </row>
    <row r="74" spans="1:19" x14ac:dyDescent="0.25">
      <c r="A74">
        <v>6010712</v>
      </c>
    </row>
    <row r="75" spans="1:19" x14ac:dyDescent="0.25">
      <c r="A75">
        <v>6011198</v>
      </c>
    </row>
    <row r="76" spans="1:19" x14ac:dyDescent="0.25">
      <c r="A76">
        <v>6012681</v>
      </c>
    </row>
    <row r="77" spans="1:19" x14ac:dyDescent="0.25">
      <c r="A77">
        <v>6014511</v>
      </c>
    </row>
    <row r="78" spans="1:19" x14ac:dyDescent="0.25">
      <c r="A78">
        <v>6045127</v>
      </c>
    </row>
    <row r="79" spans="1:19" x14ac:dyDescent="0.25">
      <c r="A79">
        <v>7000458</v>
      </c>
    </row>
    <row r="80" spans="1:19" x14ac:dyDescent="0.25">
      <c r="A80">
        <v>7015502</v>
      </c>
    </row>
    <row r="81" spans="1:1" x14ac:dyDescent="0.25">
      <c r="A81">
        <v>7025847</v>
      </c>
    </row>
    <row r="82" spans="1:1" x14ac:dyDescent="0.25">
      <c r="A82">
        <v>7082707</v>
      </c>
    </row>
    <row r="83" spans="1:1" x14ac:dyDescent="0.25">
      <c r="A83">
        <v>7083159</v>
      </c>
    </row>
    <row r="84" spans="1:1" x14ac:dyDescent="0.25">
      <c r="A84">
        <v>7084659</v>
      </c>
    </row>
    <row r="85" spans="1:1" x14ac:dyDescent="0.25">
      <c r="A85">
        <v>7076814</v>
      </c>
    </row>
    <row r="86" spans="1:1" x14ac:dyDescent="0.25">
      <c r="A86">
        <v>7076815</v>
      </c>
    </row>
    <row r="87" spans="1:1" x14ac:dyDescent="0.25">
      <c r="A87">
        <v>7089231</v>
      </c>
    </row>
    <row r="88" spans="1:1" x14ac:dyDescent="0.25">
      <c r="A88">
        <v>7116004</v>
      </c>
    </row>
    <row r="89" spans="1:1" x14ac:dyDescent="0.25">
      <c r="A89">
        <v>8003819</v>
      </c>
    </row>
    <row r="90" spans="1:1" x14ac:dyDescent="0.25">
      <c r="A90">
        <v>8091779</v>
      </c>
    </row>
    <row r="91" spans="1:1" x14ac:dyDescent="0.25">
      <c r="A91">
        <v>8097989</v>
      </c>
    </row>
    <row r="92" spans="1:1" x14ac:dyDescent="0.25">
      <c r="A92">
        <v>8112522</v>
      </c>
    </row>
    <row r="93" spans="1:1" x14ac:dyDescent="0.25">
      <c r="A93">
        <v>8127397</v>
      </c>
    </row>
    <row r="94" spans="1:1" x14ac:dyDescent="0.25">
      <c r="A94">
        <v>8130998</v>
      </c>
    </row>
    <row r="95" spans="1:1" x14ac:dyDescent="0.25">
      <c r="A95">
        <v>9002836</v>
      </c>
    </row>
    <row r="96" spans="1:1" x14ac:dyDescent="0.25">
      <c r="A96">
        <v>9003331</v>
      </c>
    </row>
    <row r="97" spans="1:1" x14ac:dyDescent="0.25">
      <c r="A97">
        <v>9003370</v>
      </c>
    </row>
    <row r="98" spans="1:1" x14ac:dyDescent="0.25">
      <c r="A98">
        <v>9016278</v>
      </c>
    </row>
    <row r="99" spans="1:1" x14ac:dyDescent="0.25">
      <c r="A99">
        <v>9030684</v>
      </c>
    </row>
    <row r="100" spans="1:1" x14ac:dyDescent="0.25">
      <c r="A100">
        <v>9031387</v>
      </c>
    </row>
    <row r="101" spans="1:1" x14ac:dyDescent="0.25">
      <c r="A101">
        <v>9038676</v>
      </c>
    </row>
    <row r="102" spans="1:1" x14ac:dyDescent="0.25">
      <c r="A102">
        <v>9039416</v>
      </c>
    </row>
    <row r="103" spans="1:1" x14ac:dyDescent="0.25">
      <c r="A103">
        <v>9042861</v>
      </c>
    </row>
    <row r="104" spans="1:1" x14ac:dyDescent="0.25">
      <c r="A104">
        <v>9044899</v>
      </c>
    </row>
    <row r="105" spans="1:1" x14ac:dyDescent="0.25">
      <c r="A105">
        <v>9052398</v>
      </c>
    </row>
    <row r="106" spans="1:1" x14ac:dyDescent="0.25">
      <c r="A106">
        <v>9085204</v>
      </c>
    </row>
    <row r="107" spans="1:1" x14ac:dyDescent="0.25">
      <c r="A107">
        <v>9090323</v>
      </c>
    </row>
    <row r="108" spans="1:1" x14ac:dyDescent="0.25">
      <c r="A108">
        <v>9105492</v>
      </c>
    </row>
    <row r="109" spans="1:1" x14ac:dyDescent="0.25">
      <c r="A109">
        <v>9138470</v>
      </c>
    </row>
    <row r="110" spans="1:1" x14ac:dyDescent="0.25">
      <c r="A110">
        <v>9150676</v>
      </c>
    </row>
    <row r="111" spans="1:1" x14ac:dyDescent="0.25">
      <c r="A111">
        <v>10010926</v>
      </c>
    </row>
    <row r="112" spans="1:1" x14ac:dyDescent="0.25">
      <c r="A112">
        <v>10016588</v>
      </c>
    </row>
    <row r="113" spans="1:14" x14ac:dyDescent="0.25">
      <c r="A113">
        <v>10030897</v>
      </c>
    </row>
    <row r="114" spans="1:14" x14ac:dyDescent="0.25">
      <c r="A114">
        <v>324</v>
      </c>
      <c r="I114">
        <v>6.8</v>
      </c>
    </row>
    <row r="115" spans="1:14" x14ac:dyDescent="0.25">
      <c r="A115">
        <v>3909</v>
      </c>
    </row>
    <row r="116" spans="1:14" x14ac:dyDescent="0.25">
      <c r="A116">
        <v>4663</v>
      </c>
    </row>
    <row r="117" spans="1:14" x14ac:dyDescent="0.25">
      <c r="A117">
        <v>1005522</v>
      </c>
      <c r="B117">
        <v>1.4</v>
      </c>
      <c r="C117">
        <v>0.9</v>
      </c>
      <c r="I117">
        <v>1.3</v>
      </c>
      <c r="M117">
        <v>1.2</v>
      </c>
      <c r="N117">
        <v>2</v>
      </c>
    </row>
    <row r="118" spans="1:14" x14ac:dyDescent="0.25">
      <c r="A118">
        <v>1007631</v>
      </c>
    </row>
    <row r="119" spans="1:14" x14ac:dyDescent="0.25">
      <c r="A119">
        <v>1009760</v>
      </c>
    </row>
    <row r="120" spans="1:14" x14ac:dyDescent="0.25">
      <c r="A120">
        <v>2000646</v>
      </c>
    </row>
    <row r="121" spans="1:14" x14ac:dyDescent="0.25">
      <c r="A121">
        <v>2003761</v>
      </c>
    </row>
    <row r="122" spans="1:14" x14ac:dyDescent="0.25">
      <c r="A122">
        <v>2004061</v>
      </c>
    </row>
    <row r="123" spans="1:14" x14ac:dyDescent="0.25">
      <c r="A123">
        <v>2006469</v>
      </c>
    </row>
    <row r="124" spans="1:14" x14ac:dyDescent="0.25">
      <c r="A124">
        <v>3005132</v>
      </c>
    </row>
    <row r="125" spans="1:14" x14ac:dyDescent="0.25">
      <c r="A125">
        <v>3009119</v>
      </c>
    </row>
    <row r="126" spans="1:14" x14ac:dyDescent="0.25">
      <c r="A126">
        <v>3009936</v>
      </c>
    </row>
    <row r="127" spans="1:14" x14ac:dyDescent="0.25">
      <c r="A127">
        <v>3011094</v>
      </c>
    </row>
    <row r="128" spans="1:14" x14ac:dyDescent="0.25">
      <c r="A128">
        <v>3014643</v>
      </c>
    </row>
    <row r="129" spans="1:18" x14ac:dyDescent="0.25">
      <c r="A129">
        <v>3016056</v>
      </c>
      <c r="I129">
        <v>1.4</v>
      </c>
      <c r="N129">
        <v>1</v>
      </c>
    </row>
    <row r="130" spans="1:18" x14ac:dyDescent="0.25">
      <c r="A130">
        <v>3900219</v>
      </c>
    </row>
    <row r="131" spans="1:18" x14ac:dyDescent="0.25">
      <c r="A131">
        <v>4000158</v>
      </c>
    </row>
    <row r="132" spans="1:18" x14ac:dyDescent="0.25">
      <c r="A132">
        <v>4000304</v>
      </c>
    </row>
    <row r="133" spans="1:18" x14ac:dyDescent="0.25">
      <c r="A133">
        <v>4001905</v>
      </c>
    </row>
    <row r="134" spans="1:18" x14ac:dyDescent="0.25">
      <c r="A134">
        <v>4002206</v>
      </c>
    </row>
    <row r="135" spans="1:18" x14ac:dyDescent="0.25">
      <c r="A135">
        <v>4002715</v>
      </c>
    </row>
    <row r="136" spans="1:18" x14ac:dyDescent="0.25">
      <c r="A136">
        <v>4003924</v>
      </c>
    </row>
    <row r="137" spans="1:18" x14ac:dyDescent="0.25">
      <c r="A137">
        <v>4006051</v>
      </c>
    </row>
    <row r="138" spans="1:18" x14ac:dyDescent="0.25">
      <c r="A138">
        <v>4008140</v>
      </c>
    </row>
    <row r="139" spans="1:18" x14ac:dyDescent="0.25">
      <c r="A139">
        <v>4009906</v>
      </c>
      <c r="J139">
        <v>4.5999999999999996</v>
      </c>
      <c r="O139">
        <v>3.3</v>
      </c>
      <c r="Q139">
        <v>4.8</v>
      </c>
      <c r="R139">
        <v>3.3</v>
      </c>
    </row>
    <row r="140" spans="1:18" x14ac:dyDescent="0.25">
      <c r="A140">
        <v>4011027</v>
      </c>
    </row>
    <row r="141" spans="1:18" x14ac:dyDescent="0.25">
      <c r="A141">
        <v>4011920</v>
      </c>
    </row>
    <row r="142" spans="1:18" x14ac:dyDescent="0.25">
      <c r="A142">
        <v>4012248</v>
      </c>
    </row>
    <row r="143" spans="1:18" x14ac:dyDescent="0.25">
      <c r="A143">
        <v>4013603</v>
      </c>
    </row>
    <row r="144" spans="1:18" x14ac:dyDescent="0.25">
      <c r="A144">
        <v>5004654</v>
      </c>
      <c r="I144">
        <v>5.9</v>
      </c>
    </row>
    <row r="145" spans="1:16" x14ac:dyDescent="0.25">
      <c r="A145" s="65"/>
    </row>
    <row r="146" spans="1:16" x14ac:dyDescent="0.25">
      <c r="A146" s="10" t="s">
        <v>146</v>
      </c>
    </row>
    <row r="147" spans="1:16" x14ac:dyDescent="0.25">
      <c r="A147">
        <v>4289</v>
      </c>
    </row>
    <row r="148" spans="1:16" x14ac:dyDescent="0.25">
      <c r="A148">
        <v>500245</v>
      </c>
    </row>
    <row r="149" spans="1:16" x14ac:dyDescent="0.25">
      <c r="A149">
        <v>2002573</v>
      </c>
    </row>
    <row r="150" spans="1:16" x14ac:dyDescent="0.25">
      <c r="A150">
        <v>2003539</v>
      </c>
    </row>
    <row r="151" spans="1:16" x14ac:dyDescent="0.25">
      <c r="A151">
        <v>2003649</v>
      </c>
    </row>
    <row r="152" spans="1:16" x14ac:dyDescent="0.25">
      <c r="A152">
        <v>2005572</v>
      </c>
    </row>
    <row r="153" spans="1:16" x14ac:dyDescent="0.25">
      <c r="A153">
        <v>2013117</v>
      </c>
    </row>
    <row r="154" spans="1:16" x14ac:dyDescent="0.25">
      <c r="A154">
        <v>3009633</v>
      </c>
    </row>
    <row r="155" spans="1:16" x14ac:dyDescent="0.25">
      <c r="A155">
        <v>3010583</v>
      </c>
      <c r="P155">
        <v>2</v>
      </c>
    </row>
    <row r="156" spans="1:16" x14ac:dyDescent="0.25">
      <c r="A156" s="23">
        <v>3011892</v>
      </c>
    </row>
    <row r="157" spans="1:16" x14ac:dyDescent="0.25">
      <c r="A157">
        <v>4001382</v>
      </c>
    </row>
    <row r="158" spans="1:16" x14ac:dyDescent="0.25">
      <c r="A158">
        <v>5018675</v>
      </c>
      <c r="M158">
        <v>7</v>
      </c>
    </row>
    <row r="159" spans="1:16" x14ac:dyDescent="0.25">
      <c r="A159">
        <v>6050168</v>
      </c>
    </row>
    <row r="160" spans="1:16" x14ac:dyDescent="0.25">
      <c r="A160">
        <v>5006592</v>
      </c>
    </row>
    <row r="161" spans="1:9" x14ac:dyDescent="0.25">
      <c r="A161">
        <v>5007274</v>
      </c>
    </row>
    <row r="162" spans="1:9" x14ac:dyDescent="0.25">
      <c r="A162">
        <v>5015851</v>
      </c>
    </row>
    <row r="163" spans="1:9" x14ac:dyDescent="0.25">
      <c r="A163">
        <v>6015647</v>
      </c>
      <c r="I163">
        <v>0.4</v>
      </c>
    </row>
    <row r="164" spans="1:9" x14ac:dyDescent="0.25">
      <c r="A164">
        <v>6056633</v>
      </c>
    </row>
    <row r="165" spans="1:9" x14ac:dyDescent="0.25">
      <c r="A165">
        <v>7086224</v>
      </c>
    </row>
    <row r="166" spans="1:9" x14ac:dyDescent="0.25">
      <c r="A166">
        <v>8040959</v>
      </c>
    </row>
    <row r="167" spans="1:9" x14ac:dyDescent="0.25">
      <c r="A167">
        <v>8107048</v>
      </c>
    </row>
    <row r="168" spans="1:9" x14ac:dyDescent="0.25">
      <c r="A168">
        <v>8124044</v>
      </c>
    </row>
    <row r="169" spans="1:9" x14ac:dyDescent="0.25">
      <c r="A169">
        <v>8142949</v>
      </c>
    </row>
    <row r="170" spans="1:9" x14ac:dyDescent="0.25">
      <c r="A170">
        <v>9023306</v>
      </c>
    </row>
    <row r="171" spans="1:9" x14ac:dyDescent="0.25">
      <c r="A171">
        <v>9030615</v>
      </c>
    </row>
    <row r="172" spans="1:9" x14ac:dyDescent="0.25">
      <c r="A172">
        <v>9034464</v>
      </c>
    </row>
    <row r="173" spans="1:9" x14ac:dyDescent="0.25">
      <c r="A173">
        <v>9040167</v>
      </c>
    </row>
    <row r="174" spans="1:9" x14ac:dyDescent="0.25">
      <c r="A174">
        <v>9054567</v>
      </c>
    </row>
    <row r="175" spans="1:9" x14ac:dyDescent="0.25">
      <c r="A175">
        <v>9083682</v>
      </c>
    </row>
    <row r="176" spans="1:9" x14ac:dyDescent="0.25">
      <c r="A176">
        <v>9102044</v>
      </c>
    </row>
    <row r="177" spans="1:1" x14ac:dyDescent="0.25">
      <c r="A177">
        <v>9119854</v>
      </c>
    </row>
    <row r="178" spans="1:1" x14ac:dyDescent="0.25">
      <c r="A178">
        <v>9125126</v>
      </c>
    </row>
    <row r="179" spans="1:1" x14ac:dyDescent="0.25">
      <c r="A179">
        <v>9174811</v>
      </c>
    </row>
    <row r="180" spans="1:1" x14ac:dyDescent="0.25">
      <c r="A180">
        <v>10002875</v>
      </c>
    </row>
    <row r="181" spans="1:1" x14ac:dyDescent="0.25">
      <c r="A181">
        <v>10023080</v>
      </c>
    </row>
    <row r="182" spans="1:1" x14ac:dyDescent="0.25">
      <c r="A182">
        <v>10025212</v>
      </c>
    </row>
    <row r="183" spans="1:1" x14ac:dyDescent="0.25">
      <c r="A183">
        <v>10069407</v>
      </c>
    </row>
    <row r="184" spans="1:1" x14ac:dyDescent="0.25">
      <c r="A184">
        <v>10071135</v>
      </c>
    </row>
    <row r="185" spans="1:1" x14ac:dyDescent="0.25">
      <c r="A185">
        <v>10083649</v>
      </c>
    </row>
    <row r="186" spans="1:1" x14ac:dyDescent="0.25">
      <c r="A186">
        <v>10102021</v>
      </c>
    </row>
    <row r="187" spans="1:1" x14ac:dyDescent="0.25">
      <c r="A187">
        <v>10123729</v>
      </c>
    </row>
    <row r="188" spans="1:1" x14ac:dyDescent="0.25">
      <c r="A188">
        <v>10144736</v>
      </c>
    </row>
    <row r="189" spans="1:1" x14ac:dyDescent="0.25">
      <c r="A189">
        <v>10157275</v>
      </c>
    </row>
    <row r="190" spans="1:1" x14ac:dyDescent="0.25">
      <c r="A190" s="65"/>
    </row>
    <row r="191" spans="1:1" x14ac:dyDescent="0.25">
      <c r="A191" s="10" t="s">
        <v>120</v>
      </c>
    </row>
    <row r="192" spans="1:1" x14ac:dyDescent="0.25">
      <c r="A192">
        <v>5281</v>
      </c>
    </row>
    <row r="193" spans="1:11" x14ac:dyDescent="0.25">
      <c r="A193">
        <v>200085</v>
      </c>
    </row>
    <row r="194" spans="1:11" x14ac:dyDescent="0.25">
      <c r="A194">
        <v>500129</v>
      </c>
    </row>
    <row r="195" spans="1:11" x14ac:dyDescent="0.25">
      <c r="A195" s="23">
        <v>1002033</v>
      </c>
    </row>
    <row r="196" spans="1:11" x14ac:dyDescent="0.25">
      <c r="A196">
        <v>1003457</v>
      </c>
    </row>
    <row r="197" spans="1:11" x14ac:dyDescent="0.25">
      <c r="A197">
        <v>2005223</v>
      </c>
    </row>
    <row r="198" spans="1:11" x14ac:dyDescent="0.25">
      <c r="A198">
        <v>2006107</v>
      </c>
    </row>
    <row r="199" spans="1:11" x14ac:dyDescent="0.25">
      <c r="A199">
        <v>2012014</v>
      </c>
      <c r="E199">
        <v>1.5</v>
      </c>
      <c r="K199">
        <v>2</v>
      </c>
    </row>
    <row r="200" spans="1:11" x14ac:dyDescent="0.25">
      <c r="A200">
        <v>3000152</v>
      </c>
      <c r="H200">
        <v>14</v>
      </c>
    </row>
    <row r="201" spans="1:11" x14ac:dyDescent="0.25">
      <c r="A201">
        <v>3014566</v>
      </c>
    </row>
    <row r="202" spans="1:11" x14ac:dyDescent="0.25">
      <c r="A202">
        <v>3015058</v>
      </c>
    </row>
    <row r="203" spans="1:11" x14ac:dyDescent="0.25">
      <c r="A203" s="23">
        <v>4000996</v>
      </c>
    </row>
    <row r="204" spans="1:11" x14ac:dyDescent="0.25">
      <c r="A204">
        <v>4003768</v>
      </c>
    </row>
    <row r="205" spans="1:11" x14ac:dyDescent="0.25">
      <c r="A205">
        <v>4006540</v>
      </c>
    </row>
    <row r="206" spans="1:11" x14ac:dyDescent="0.25">
      <c r="A206">
        <v>4007054</v>
      </c>
    </row>
    <row r="207" spans="1:11" x14ac:dyDescent="0.25">
      <c r="A207">
        <v>4011002</v>
      </c>
    </row>
    <row r="208" spans="1:11" x14ac:dyDescent="0.25">
      <c r="A208">
        <v>4900268</v>
      </c>
    </row>
    <row r="209" spans="1:13" x14ac:dyDescent="0.25">
      <c r="A209">
        <v>5001097</v>
      </c>
      <c r="F209">
        <v>1.5</v>
      </c>
      <c r="G209">
        <v>0.7</v>
      </c>
      <c r="M209">
        <v>1.7</v>
      </c>
    </row>
    <row r="210" spans="1:13" x14ac:dyDescent="0.25">
      <c r="A210">
        <v>5001098</v>
      </c>
      <c r="D210">
        <v>1.5</v>
      </c>
      <c r="F210">
        <v>0.4</v>
      </c>
    </row>
    <row r="211" spans="1:13" x14ac:dyDescent="0.25">
      <c r="A211">
        <v>5006152</v>
      </c>
    </row>
    <row r="212" spans="1:13" x14ac:dyDescent="0.25">
      <c r="A212">
        <v>6012361</v>
      </c>
    </row>
    <row r="213" spans="1:13" x14ac:dyDescent="0.25">
      <c r="A213">
        <v>6015793</v>
      </c>
    </row>
    <row r="214" spans="1:13" x14ac:dyDescent="0.25">
      <c r="A214">
        <v>6043619</v>
      </c>
    </row>
    <row r="215" spans="1:13" x14ac:dyDescent="0.25">
      <c r="A215">
        <v>7001097</v>
      </c>
    </row>
    <row r="216" spans="1:13" x14ac:dyDescent="0.25">
      <c r="A216">
        <v>7011435</v>
      </c>
    </row>
    <row r="217" spans="1:13" x14ac:dyDescent="0.25">
      <c r="A217">
        <v>7045811</v>
      </c>
    </row>
    <row r="218" spans="1:13" x14ac:dyDescent="0.25">
      <c r="A218">
        <v>7071198</v>
      </c>
    </row>
    <row r="219" spans="1:13" x14ac:dyDescent="0.25">
      <c r="A219">
        <v>7101143</v>
      </c>
    </row>
    <row r="220" spans="1:13" x14ac:dyDescent="0.25">
      <c r="A220">
        <v>8073350</v>
      </c>
    </row>
    <row r="221" spans="1:13" x14ac:dyDescent="0.25">
      <c r="A221">
        <v>8073645</v>
      </c>
    </row>
    <row r="222" spans="1:13" x14ac:dyDescent="0.25">
      <c r="A222" s="23">
        <v>8089666</v>
      </c>
    </row>
    <row r="223" spans="1:13" x14ac:dyDescent="0.25">
      <c r="A223">
        <v>8103536</v>
      </c>
    </row>
    <row r="224" spans="1:13" x14ac:dyDescent="0.25">
      <c r="A224">
        <v>8124816</v>
      </c>
    </row>
    <row r="225" spans="1:1" x14ac:dyDescent="0.25">
      <c r="A225">
        <v>9003267</v>
      </c>
    </row>
    <row r="226" spans="1:1" x14ac:dyDescent="0.25">
      <c r="A226">
        <v>9036964</v>
      </c>
    </row>
    <row r="227" spans="1:1" x14ac:dyDescent="0.25">
      <c r="A227">
        <v>9090287</v>
      </c>
    </row>
    <row r="228" spans="1:1" x14ac:dyDescent="0.25">
      <c r="A228">
        <v>9095148</v>
      </c>
    </row>
    <row r="229" spans="1:1" x14ac:dyDescent="0.25">
      <c r="A229">
        <v>9104979</v>
      </c>
    </row>
    <row r="230" spans="1:1" x14ac:dyDescent="0.25">
      <c r="A230">
        <v>9139514</v>
      </c>
    </row>
    <row r="231" spans="1:1" x14ac:dyDescent="0.25">
      <c r="A231">
        <v>10020659</v>
      </c>
    </row>
    <row r="232" spans="1:1" x14ac:dyDescent="0.25">
      <c r="A232">
        <v>10025902</v>
      </c>
    </row>
    <row r="233" spans="1:1" x14ac:dyDescent="0.25">
      <c r="A233">
        <v>10027654</v>
      </c>
    </row>
    <row r="234" spans="1:1" x14ac:dyDescent="0.25">
      <c r="A234">
        <v>10084485</v>
      </c>
    </row>
    <row r="235" spans="1:1" x14ac:dyDescent="0.25">
      <c r="A235">
        <v>10098420</v>
      </c>
    </row>
    <row r="236" spans="1:1" x14ac:dyDescent="0.25">
      <c r="A236">
        <v>10129565</v>
      </c>
    </row>
    <row r="237" spans="1:1" x14ac:dyDescent="0.25">
      <c r="A237">
        <v>10146828</v>
      </c>
    </row>
    <row r="238" spans="1:1" x14ac:dyDescent="0.25">
      <c r="A238">
        <v>10163776</v>
      </c>
    </row>
    <row r="239" spans="1:1" x14ac:dyDescent="0.25">
      <c r="A239">
        <v>10173664</v>
      </c>
    </row>
  </sheetData>
  <conditionalFormatting sqref="A19">
    <cfRule type="duplicateValues" dxfId="10" priority="1"/>
  </conditionalFormatting>
  <pageMargins left="0.7" right="0.7" top="0.78740157499999996" bottom="0.78740157499999996" header="0.3" footer="0.3"/>
  <tableParts count="1">
    <tablePart r:id="rId1"/>
  </tableParts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5"/>
  <sheetViews>
    <sheetView workbookViewId="0">
      <selection activeCell="E24" sqref="E24"/>
    </sheetView>
  </sheetViews>
  <sheetFormatPr defaultColWidth="11.42578125" defaultRowHeight="15" x14ac:dyDescent="0.25"/>
  <cols>
    <col min="1" max="1" width="17.28515625" bestFit="1" customWidth="1"/>
    <col min="2" max="2" width="26.42578125" bestFit="1" customWidth="1"/>
    <col min="3" max="3" width="81.140625" bestFit="1" customWidth="1"/>
    <col min="4" max="4" width="30.28515625" bestFit="1" customWidth="1"/>
  </cols>
  <sheetData>
    <row r="1" spans="1:4" x14ac:dyDescent="0.25">
      <c r="A1" s="66" t="s">
        <v>59</v>
      </c>
      <c r="B1" s="66" t="s">
        <v>3316</v>
      </c>
      <c r="C1" s="66" t="s">
        <v>2564</v>
      </c>
      <c r="D1" s="66" t="s">
        <v>2523</v>
      </c>
    </row>
    <row r="2" spans="1:4" x14ac:dyDescent="0.25">
      <c r="A2" s="66">
        <v>14242856</v>
      </c>
      <c r="B2" s="66" t="s">
        <v>3316</v>
      </c>
      <c r="C2" s="66" t="s">
        <v>61</v>
      </c>
      <c r="D2" s="66">
        <v>1</v>
      </c>
    </row>
    <row r="3" spans="1:4" x14ac:dyDescent="0.25">
      <c r="A3" s="66">
        <v>1003215</v>
      </c>
      <c r="B3" s="66" t="s">
        <v>3316</v>
      </c>
      <c r="C3" s="66" t="s">
        <v>61</v>
      </c>
      <c r="D3" s="66">
        <v>1</v>
      </c>
    </row>
    <row r="4" spans="1:4" x14ac:dyDescent="0.25">
      <c r="A4" s="66">
        <v>324</v>
      </c>
      <c r="B4" s="66" t="s">
        <v>3316</v>
      </c>
      <c r="C4" s="66" t="s">
        <v>1049</v>
      </c>
      <c r="D4" s="66">
        <v>1</v>
      </c>
    </row>
    <row r="5" spans="1:4" x14ac:dyDescent="0.25">
      <c r="A5" s="66">
        <v>1005522</v>
      </c>
      <c r="B5" s="66" t="s">
        <v>3316</v>
      </c>
      <c r="C5" s="66" t="s">
        <v>3317</v>
      </c>
      <c r="D5" s="66">
        <v>5</v>
      </c>
    </row>
    <row r="6" spans="1:4" x14ac:dyDescent="0.25">
      <c r="A6" s="66">
        <v>3016056</v>
      </c>
      <c r="B6" s="66" t="s">
        <v>3316</v>
      </c>
      <c r="C6" s="66" t="s">
        <v>3318</v>
      </c>
      <c r="D6" s="66">
        <v>2</v>
      </c>
    </row>
    <row r="7" spans="1:4" x14ac:dyDescent="0.25">
      <c r="A7" s="66">
        <v>4009906</v>
      </c>
      <c r="B7" s="66" t="s">
        <v>3316</v>
      </c>
      <c r="C7" s="66" t="s">
        <v>3319</v>
      </c>
      <c r="D7" s="66">
        <v>4</v>
      </c>
    </row>
    <row r="8" spans="1:4" x14ac:dyDescent="0.25">
      <c r="A8" s="66">
        <v>5004654</v>
      </c>
      <c r="B8" s="66" t="s">
        <v>3316</v>
      </c>
      <c r="C8" s="66" t="s">
        <v>1049</v>
      </c>
      <c r="D8" s="66">
        <v>1</v>
      </c>
    </row>
    <row r="9" spans="1:4" x14ac:dyDescent="0.25">
      <c r="A9" s="66">
        <v>3010583</v>
      </c>
      <c r="B9" s="66" t="s">
        <v>3316</v>
      </c>
      <c r="C9" s="66" t="s">
        <v>1210</v>
      </c>
      <c r="D9" s="66">
        <v>1</v>
      </c>
    </row>
    <row r="10" spans="1:4" x14ac:dyDescent="0.25">
      <c r="A10" s="66">
        <v>5018675</v>
      </c>
      <c r="B10" s="66" t="s">
        <v>3316</v>
      </c>
      <c r="C10" s="66" t="s">
        <v>1095</v>
      </c>
      <c r="D10" s="66">
        <v>1</v>
      </c>
    </row>
    <row r="11" spans="1:4" x14ac:dyDescent="0.25">
      <c r="A11" s="66">
        <v>6015647</v>
      </c>
      <c r="B11" s="66" t="s">
        <v>3316</v>
      </c>
      <c r="C11" s="66" t="s">
        <v>1049</v>
      </c>
      <c r="D11" s="66">
        <v>1</v>
      </c>
    </row>
    <row r="12" spans="1:4" x14ac:dyDescent="0.25">
      <c r="A12" s="66">
        <v>2012014</v>
      </c>
      <c r="B12" s="66" t="s">
        <v>3316</v>
      </c>
      <c r="C12" s="66" t="s">
        <v>3320</v>
      </c>
      <c r="D12" s="66">
        <v>2</v>
      </c>
    </row>
    <row r="13" spans="1:4" x14ac:dyDescent="0.25">
      <c r="A13" s="66">
        <v>3000152</v>
      </c>
      <c r="B13" s="66" t="s">
        <v>3316</v>
      </c>
      <c r="C13" s="66" t="s">
        <v>61</v>
      </c>
      <c r="D13" s="66">
        <v>1</v>
      </c>
    </row>
    <row r="14" spans="1:4" x14ac:dyDescent="0.25">
      <c r="A14" s="66">
        <v>5001097</v>
      </c>
      <c r="B14" s="66" t="s">
        <v>3316</v>
      </c>
      <c r="C14" s="66" t="s">
        <v>3321</v>
      </c>
      <c r="D14" s="66">
        <v>3</v>
      </c>
    </row>
    <row r="15" spans="1:4" x14ac:dyDescent="0.25">
      <c r="A15" s="66">
        <v>5001098</v>
      </c>
      <c r="B15" s="66" t="s">
        <v>3316</v>
      </c>
      <c r="C15" s="66" t="s">
        <v>3322</v>
      </c>
      <c r="D15" s="66">
        <v>2</v>
      </c>
    </row>
  </sheetData>
  <phoneticPr fontId="6" type="noConversion"/>
  <pageMargins left="0.7" right="0.7" top="0.78740157499999996" bottom="0.78740157499999996" header="0.3" footer="0.3"/>
  <tableParts count="1">
    <tablePart r:id="rId1"/>
  </tableParts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239"/>
  <sheetViews>
    <sheetView workbookViewId="0">
      <selection sqref="A1:Y239"/>
    </sheetView>
  </sheetViews>
  <sheetFormatPr defaultColWidth="11.42578125" defaultRowHeight="15" x14ac:dyDescent="0.25"/>
  <cols>
    <col min="1" max="1" width="17.140625" customWidth="1"/>
    <col min="2" max="3" width="44" customWidth="1"/>
    <col min="4" max="4" width="40.5703125" customWidth="1"/>
    <col min="5" max="5" width="44" customWidth="1"/>
    <col min="6" max="6" width="40.5703125" customWidth="1"/>
    <col min="7" max="9" width="39.5703125" customWidth="1"/>
    <col min="10" max="10" width="55.85546875" customWidth="1"/>
    <col min="11" max="11" width="20.28515625" customWidth="1"/>
    <col min="12" max="13" width="16.85546875" customWidth="1"/>
    <col min="14" max="14" width="20.7109375" customWidth="1"/>
    <col min="15" max="15" width="16.85546875" customWidth="1"/>
    <col min="16" max="16" width="19.42578125" customWidth="1"/>
    <col min="17" max="17" width="23.28515625" customWidth="1"/>
    <col min="18" max="19" width="19.42578125" customWidth="1"/>
    <col min="20" max="20" width="26" customWidth="1"/>
    <col min="21" max="22" width="22.140625" customWidth="1"/>
    <col min="23" max="23" width="26" customWidth="1"/>
    <col min="24" max="24" width="22.140625" customWidth="1"/>
    <col min="25" max="25" width="26" customWidth="1"/>
  </cols>
  <sheetData>
    <row r="1" spans="1:25" ht="90" x14ac:dyDescent="0.25">
      <c r="A1" s="61" t="s">
        <v>59</v>
      </c>
      <c r="B1" s="62" t="s">
        <v>2425</v>
      </c>
      <c r="C1" s="62" t="s">
        <v>1576</v>
      </c>
      <c r="D1" s="62" t="s">
        <v>1042</v>
      </c>
      <c r="E1" s="62" t="s">
        <v>1577</v>
      </c>
      <c r="F1" s="62" t="s">
        <v>1971</v>
      </c>
      <c r="G1" s="62" t="s">
        <v>2426</v>
      </c>
      <c r="H1" s="62" t="s">
        <v>1941</v>
      </c>
      <c r="I1" s="62" t="s">
        <v>1942</v>
      </c>
      <c r="J1" s="62" t="s">
        <v>1867</v>
      </c>
      <c r="K1" s="63" t="s">
        <v>578</v>
      </c>
      <c r="L1" s="62" t="s">
        <v>1578</v>
      </c>
      <c r="M1" s="62" t="s">
        <v>611</v>
      </c>
      <c r="N1" s="62" t="s">
        <v>1579</v>
      </c>
      <c r="O1" s="62" t="s">
        <v>1047</v>
      </c>
      <c r="P1" s="62" t="s">
        <v>1090</v>
      </c>
      <c r="Q1" s="62" t="s">
        <v>1580</v>
      </c>
      <c r="R1" s="62" t="s">
        <v>1091</v>
      </c>
      <c r="S1" s="62" t="s">
        <v>1043</v>
      </c>
      <c r="T1" s="62" t="s">
        <v>1581</v>
      </c>
      <c r="U1" s="62" t="s">
        <v>1311</v>
      </c>
      <c r="V1" s="62" t="s">
        <v>1044</v>
      </c>
      <c r="W1" s="62" t="s">
        <v>1582</v>
      </c>
      <c r="X1" s="62" t="s">
        <v>1231</v>
      </c>
      <c r="Y1" s="62" t="s">
        <v>1583</v>
      </c>
    </row>
    <row r="2" spans="1:25" x14ac:dyDescent="0.25">
      <c r="A2" s="40" t="s">
        <v>561</v>
      </c>
    </row>
    <row r="3" spans="1:25" x14ac:dyDescent="0.25">
      <c r="A3" s="10" t="s">
        <v>2519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</row>
    <row r="4" spans="1:25" x14ac:dyDescent="0.25">
      <c r="A4">
        <v>7072184</v>
      </c>
      <c r="B4" s="6"/>
      <c r="C4" s="6"/>
      <c r="D4" s="6"/>
      <c r="E4" s="6"/>
      <c r="F4" s="6"/>
      <c r="G4" s="6"/>
      <c r="H4" s="6"/>
      <c r="I4" s="6"/>
      <c r="J4">
        <v>80</v>
      </c>
    </row>
    <row r="5" spans="1:25" x14ac:dyDescent="0.25">
      <c r="A5">
        <v>9108231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</row>
    <row r="6" spans="1:25" x14ac:dyDescent="0.25">
      <c r="A6">
        <v>12061933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</row>
    <row r="7" spans="1:25" x14ac:dyDescent="0.25">
      <c r="A7">
        <v>95005911</v>
      </c>
    </row>
    <row r="8" spans="1:25" x14ac:dyDescent="0.25">
      <c r="A8">
        <v>99001908</v>
      </c>
    </row>
    <row r="9" spans="1:25" x14ac:dyDescent="0.25">
      <c r="A9">
        <v>99004067</v>
      </c>
    </row>
    <row r="10" spans="1:25" x14ac:dyDescent="0.25">
      <c r="A10">
        <v>97002136</v>
      </c>
    </row>
    <row r="11" spans="1:25" x14ac:dyDescent="0.25">
      <c r="A11">
        <v>1502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</row>
    <row r="12" spans="1:25" x14ac:dyDescent="0.25">
      <c r="A12">
        <v>4003543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</row>
    <row r="13" spans="1:25" x14ac:dyDescent="0.25">
      <c r="A13">
        <v>4900261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</row>
    <row r="15" spans="1:25" x14ac:dyDescent="0.25">
      <c r="A15" s="10" t="s">
        <v>2520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</row>
    <row r="16" spans="1:25" x14ac:dyDescent="0.25">
      <c r="A16">
        <v>14242856</v>
      </c>
      <c r="J16">
        <v>80</v>
      </c>
    </row>
    <row r="17" spans="1:25" x14ac:dyDescent="0.25">
      <c r="A17">
        <v>99001183</v>
      </c>
    </row>
    <row r="18" spans="1:25" x14ac:dyDescent="0.25">
      <c r="A18">
        <v>3000983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</row>
    <row r="19" spans="1:25" x14ac:dyDescent="0.25">
      <c r="A19">
        <v>10064335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</row>
    <row r="20" spans="1:25" x14ac:dyDescent="0.25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</row>
    <row r="21" spans="1:25" x14ac:dyDescent="0.25">
      <c r="A21" s="10" t="s">
        <v>2521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</row>
    <row r="22" spans="1:25" x14ac:dyDescent="0.25">
      <c r="A22">
        <v>1480</v>
      </c>
    </row>
    <row r="23" spans="1:25" x14ac:dyDescent="0.25">
      <c r="A23">
        <v>7063959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</row>
    <row r="24" spans="1:25" x14ac:dyDescent="0.25">
      <c r="A24">
        <v>1003215</v>
      </c>
      <c r="B24" s="6"/>
      <c r="C24" s="6"/>
      <c r="D24" s="6"/>
      <c r="E24" s="6"/>
      <c r="F24" s="6"/>
      <c r="G24" s="6"/>
      <c r="H24" s="6"/>
      <c r="I24" s="6"/>
      <c r="J24" s="6">
        <v>65</v>
      </c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</row>
    <row r="25" spans="1:25" x14ac:dyDescent="0.25">
      <c r="A25">
        <v>99000802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</row>
    <row r="26" spans="1:25" x14ac:dyDescent="0.25">
      <c r="A26">
        <v>99000892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</row>
    <row r="27" spans="1:25" x14ac:dyDescent="0.25">
      <c r="A27">
        <v>1000192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</row>
    <row r="28" spans="1:25" x14ac:dyDescent="0.25">
      <c r="A28">
        <v>1506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</row>
    <row r="29" spans="1:25" x14ac:dyDescent="0.25">
      <c r="A29">
        <v>99000894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</row>
    <row r="30" spans="1:25" x14ac:dyDescent="0.25">
      <c r="A30">
        <v>99000897</v>
      </c>
    </row>
    <row r="31" spans="1:25" x14ac:dyDescent="0.25">
      <c r="A31">
        <v>99001245</v>
      </c>
    </row>
    <row r="32" spans="1:25" x14ac:dyDescent="0.25">
      <c r="A32">
        <v>99001902</v>
      </c>
    </row>
    <row r="33" spans="1:25" x14ac:dyDescent="0.25">
      <c r="A33">
        <v>99001912</v>
      </c>
    </row>
    <row r="34" spans="1:25" x14ac:dyDescent="0.25">
      <c r="A34">
        <v>99001913</v>
      </c>
    </row>
    <row r="35" spans="1:25" x14ac:dyDescent="0.25">
      <c r="A35">
        <v>99001937</v>
      </c>
    </row>
    <row r="36" spans="1:25" x14ac:dyDescent="0.25">
      <c r="A36">
        <v>99001943</v>
      </c>
    </row>
    <row r="37" spans="1:25" x14ac:dyDescent="0.25">
      <c r="A37">
        <v>99001927</v>
      </c>
    </row>
    <row r="38" spans="1:25" x14ac:dyDescent="0.25">
      <c r="A38">
        <v>1505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</row>
    <row r="39" spans="1:25" x14ac:dyDescent="0.25">
      <c r="A39">
        <v>1000197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</row>
    <row r="40" spans="1:25" x14ac:dyDescent="0.25">
      <c r="A40">
        <v>96018835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</row>
    <row r="41" spans="1:25" x14ac:dyDescent="0.25">
      <c r="A41">
        <v>98008326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</row>
    <row r="42" spans="1:25" x14ac:dyDescent="0.25">
      <c r="A42">
        <v>99000717</v>
      </c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</row>
    <row r="43" spans="1:25" x14ac:dyDescent="0.25"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</row>
    <row r="44" spans="1:25" x14ac:dyDescent="0.25">
      <c r="A44" s="25" t="s">
        <v>169</v>
      </c>
    </row>
    <row r="45" spans="1:25" x14ac:dyDescent="0.25">
      <c r="A45" s="10" t="s">
        <v>143</v>
      </c>
    </row>
    <row r="46" spans="1:25" x14ac:dyDescent="0.25">
      <c r="A46">
        <v>6016435</v>
      </c>
    </row>
    <row r="47" spans="1:25" x14ac:dyDescent="0.25">
      <c r="A47">
        <v>8045149</v>
      </c>
    </row>
    <row r="48" spans="1:25" x14ac:dyDescent="0.25">
      <c r="A48">
        <v>10023001</v>
      </c>
      <c r="J48">
        <v>65</v>
      </c>
    </row>
    <row r="49" spans="1:14" x14ac:dyDescent="0.25">
      <c r="A49">
        <v>10027526</v>
      </c>
      <c r="K49">
        <v>59.46</v>
      </c>
    </row>
    <row r="50" spans="1:14" x14ac:dyDescent="0.25">
      <c r="A50">
        <v>14222171</v>
      </c>
    </row>
    <row r="51" spans="1:14" x14ac:dyDescent="0.25">
      <c r="A51">
        <v>1006143</v>
      </c>
    </row>
    <row r="52" spans="1:14" x14ac:dyDescent="0.25">
      <c r="A52">
        <v>6006917</v>
      </c>
    </row>
    <row r="54" spans="1:14" x14ac:dyDescent="0.25">
      <c r="A54" s="10" t="s">
        <v>146</v>
      </c>
    </row>
    <row r="55" spans="1:14" x14ac:dyDescent="0.25">
      <c r="A55">
        <v>8057159</v>
      </c>
    </row>
    <row r="56" spans="1:14" x14ac:dyDescent="0.25">
      <c r="A56">
        <v>9140312</v>
      </c>
      <c r="M56">
        <v>75.8</v>
      </c>
    </row>
    <row r="57" spans="1:14" x14ac:dyDescent="0.25">
      <c r="A57">
        <v>12008230</v>
      </c>
    </row>
    <row r="58" spans="1:14" x14ac:dyDescent="0.25">
      <c r="A58">
        <v>12088444</v>
      </c>
    </row>
    <row r="59" spans="1:14" x14ac:dyDescent="0.25">
      <c r="A59">
        <v>13118872</v>
      </c>
      <c r="N59">
        <v>87.62</v>
      </c>
    </row>
    <row r="60" spans="1:14" x14ac:dyDescent="0.25">
      <c r="A60">
        <v>12012030</v>
      </c>
    </row>
    <row r="62" spans="1:14" x14ac:dyDescent="0.25">
      <c r="A62" s="10" t="s">
        <v>120</v>
      </c>
    </row>
    <row r="63" spans="1:14" x14ac:dyDescent="0.25">
      <c r="A63">
        <v>9074418</v>
      </c>
      <c r="M63">
        <v>87</v>
      </c>
    </row>
    <row r="64" spans="1:14" x14ac:dyDescent="0.25">
      <c r="A64">
        <v>1263</v>
      </c>
    </row>
    <row r="65" spans="1:25" x14ac:dyDescent="0.25">
      <c r="A65">
        <v>98004910</v>
      </c>
    </row>
    <row r="66" spans="1:25" x14ac:dyDescent="0.25">
      <c r="A66">
        <v>7103068</v>
      </c>
    </row>
    <row r="67" spans="1:25" x14ac:dyDescent="0.25">
      <c r="A67">
        <v>11240728</v>
      </c>
    </row>
    <row r="68" spans="1:25" x14ac:dyDescent="0.25"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</row>
    <row r="69" spans="1:25" x14ac:dyDescent="0.25">
      <c r="A69" s="26" t="s">
        <v>170</v>
      </c>
    </row>
    <row r="70" spans="1:25" x14ac:dyDescent="0.25">
      <c r="A70" s="10" t="s">
        <v>143</v>
      </c>
    </row>
    <row r="71" spans="1:25" x14ac:dyDescent="0.25">
      <c r="A71">
        <v>5015869</v>
      </c>
    </row>
    <row r="72" spans="1:25" x14ac:dyDescent="0.25">
      <c r="A72">
        <v>5016969</v>
      </c>
    </row>
    <row r="73" spans="1:25" x14ac:dyDescent="0.25">
      <c r="A73">
        <v>6023231</v>
      </c>
    </row>
    <row r="74" spans="1:25" x14ac:dyDescent="0.25">
      <c r="A74">
        <v>6010712</v>
      </c>
    </row>
    <row r="75" spans="1:25" x14ac:dyDescent="0.25">
      <c r="A75">
        <v>6011198</v>
      </c>
    </row>
    <row r="76" spans="1:25" x14ac:dyDescent="0.25">
      <c r="A76">
        <v>6012681</v>
      </c>
    </row>
    <row r="77" spans="1:25" x14ac:dyDescent="0.25">
      <c r="A77">
        <v>6014511</v>
      </c>
    </row>
    <row r="78" spans="1:25" x14ac:dyDescent="0.25">
      <c r="A78">
        <v>6045127</v>
      </c>
    </row>
    <row r="79" spans="1:25" x14ac:dyDescent="0.25">
      <c r="A79">
        <v>7000458</v>
      </c>
    </row>
    <row r="80" spans="1:25" x14ac:dyDescent="0.25">
      <c r="A80">
        <v>7015502</v>
      </c>
    </row>
    <row r="81" spans="1:1" x14ac:dyDescent="0.25">
      <c r="A81">
        <v>7025847</v>
      </c>
    </row>
    <row r="82" spans="1:1" x14ac:dyDescent="0.25">
      <c r="A82">
        <v>7082707</v>
      </c>
    </row>
    <row r="83" spans="1:1" x14ac:dyDescent="0.25">
      <c r="A83">
        <v>7083159</v>
      </c>
    </row>
    <row r="84" spans="1:1" x14ac:dyDescent="0.25">
      <c r="A84">
        <v>7084659</v>
      </c>
    </row>
    <row r="85" spans="1:1" x14ac:dyDescent="0.25">
      <c r="A85">
        <v>7076814</v>
      </c>
    </row>
    <row r="86" spans="1:1" x14ac:dyDescent="0.25">
      <c r="A86">
        <v>7076815</v>
      </c>
    </row>
    <row r="87" spans="1:1" x14ac:dyDescent="0.25">
      <c r="A87">
        <v>7089231</v>
      </c>
    </row>
    <row r="88" spans="1:1" x14ac:dyDescent="0.25">
      <c r="A88">
        <v>7116004</v>
      </c>
    </row>
    <row r="89" spans="1:1" x14ac:dyDescent="0.25">
      <c r="A89">
        <v>8003819</v>
      </c>
    </row>
    <row r="90" spans="1:1" x14ac:dyDescent="0.25">
      <c r="A90">
        <v>8091779</v>
      </c>
    </row>
    <row r="91" spans="1:1" x14ac:dyDescent="0.25">
      <c r="A91">
        <v>8097989</v>
      </c>
    </row>
    <row r="92" spans="1:1" x14ac:dyDescent="0.25">
      <c r="A92">
        <v>8112522</v>
      </c>
    </row>
    <row r="93" spans="1:1" x14ac:dyDescent="0.25">
      <c r="A93">
        <v>8127397</v>
      </c>
    </row>
    <row r="94" spans="1:1" x14ac:dyDescent="0.25">
      <c r="A94">
        <v>8130998</v>
      </c>
    </row>
    <row r="95" spans="1:1" x14ac:dyDescent="0.25">
      <c r="A95">
        <v>9002836</v>
      </c>
    </row>
    <row r="96" spans="1:1" x14ac:dyDescent="0.25">
      <c r="A96">
        <v>9003331</v>
      </c>
    </row>
    <row r="97" spans="1:1" x14ac:dyDescent="0.25">
      <c r="A97">
        <v>9003370</v>
      </c>
    </row>
    <row r="98" spans="1:1" x14ac:dyDescent="0.25">
      <c r="A98">
        <v>9016278</v>
      </c>
    </row>
    <row r="99" spans="1:1" x14ac:dyDescent="0.25">
      <c r="A99">
        <v>9030684</v>
      </c>
    </row>
    <row r="100" spans="1:1" x14ac:dyDescent="0.25">
      <c r="A100">
        <v>9031387</v>
      </c>
    </row>
    <row r="101" spans="1:1" x14ac:dyDescent="0.25">
      <c r="A101">
        <v>9038676</v>
      </c>
    </row>
    <row r="102" spans="1:1" x14ac:dyDescent="0.25">
      <c r="A102">
        <v>9039416</v>
      </c>
    </row>
    <row r="103" spans="1:1" x14ac:dyDescent="0.25">
      <c r="A103">
        <v>9042861</v>
      </c>
    </row>
    <row r="104" spans="1:1" x14ac:dyDescent="0.25">
      <c r="A104">
        <v>9044899</v>
      </c>
    </row>
    <row r="105" spans="1:1" x14ac:dyDescent="0.25">
      <c r="A105">
        <v>9052398</v>
      </c>
    </row>
    <row r="106" spans="1:1" x14ac:dyDescent="0.25">
      <c r="A106">
        <v>9085204</v>
      </c>
    </row>
    <row r="107" spans="1:1" x14ac:dyDescent="0.25">
      <c r="A107">
        <v>9090323</v>
      </c>
    </row>
    <row r="108" spans="1:1" x14ac:dyDescent="0.25">
      <c r="A108">
        <v>9105492</v>
      </c>
    </row>
    <row r="109" spans="1:1" x14ac:dyDescent="0.25">
      <c r="A109">
        <v>9138470</v>
      </c>
    </row>
    <row r="110" spans="1:1" x14ac:dyDescent="0.25">
      <c r="A110">
        <v>9150676</v>
      </c>
    </row>
    <row r="111" spans="1:1" x14ac:dyDescent="0.25">
      <c r="A111">
        <v>10010926</v>
      </c>
    </row>
    <row r="112" spans="1:1" x14ac:dyDescent="0.25">
      <c r="A112">
        <v>10016588</v>
      </c>
    </row>
    <row r="113" spans="1:22" x14ac:dyDescent="0.25">
      <c r="A113">
        <v>10030897</v>
      </c>
      <c r="D113">
        <v>44</v>
      </c>
      <c r="K113">
        <v>83</v>
      </c>
      <c r="O113">
        <v>60</v>
      </c>
      <c r="Q113">
        <v>46</v>
      </c>
      <c r="S113">
        <v>42</v>
      </c>
      <c r="V113">
        <v>48</v>
      </c>
    </row>
    <row r="114" spans="1:22" x14ac:dyDescent="0.25">
      <c r="A114">
        <v>324</v>
      </c>
      <c r="K114">
        <v>63.8</v>
      </c>
    </row>
    <row r="115" spans="1:22" x14ac:dyDescent="0.25">
      <c r="A115">
        <v>3909</v>
      </c>
    </row>
    <row r="116" spans="1:22" x14ac:dyDescent="0.25">
      <c r="A116">
        <v>4663</v>
      </c>
    </row>
    <row r="117" spans="1:22" x14ac:dyDescent="0.25">
      <c r="A117">
        <v>1005522</v>
      </c>
      <c r="C117">
        <v>71.599999999999994</v>
      </c>
      <c r="E117">
        <v>79.7</v>
      </c>
      <c r="K117">
        <v>69.400000000000006</v>
      </c>
      <c r="P117">
        <v>74.2</v>
      </c>
    </row>
    <row r="118" spans="1:22" x14ac:dyDescent="0.25">
      <c r="A118">
        <v>1007631</v>
      </c>
    </row>
    <row r="119" spans="1:22" x14ac:dyDescent="0.25">
      <c r="A119">
        <v>1009760</v>
      </c>
    </row>
    <row r="120" spans="1:22" x14ac:dyDescent="0.25">
      <c r="A120">
        <v>2000646</v>
      </c>
    </row>
    <row r="121" spans="1:22" x14ac:dyDescent="0.25">
      <c r="A121">
        <v>2003761</v>
      </c>
    </row>
    <row r="122" spans="1:22" x14ac:dyDescent="0.25">
      <c r="A122">
        <v>2004061</v>
      </c>
    </row>
    <row r="123" spans="1:22" x14ac:dyDescent="0.25">
      <c r="A123">
        <v>2006469</v>
      </c>
    </row>
    <row r="124" spans="1:22" x14ac:dyDescent="0.25">
      <c r="A124">
        <v>3005132</v>
      </c>
    </row>
    <row r="125" spans="1:22" x14ac:dyDescent="0.25">
      <c r="A125">
        <v>3009119</v>
      </c>
    </row>
    <row r="126" spans="1:22" x14ac:dyDescent="0.25">
      <c r="A126">
        <v>3009936</v>
      </c>
    </row>
    <row r="127" spans="1:22" x14ac:dyDescent="0.25">
      <c r="A127">
        <v>3011094</v>
      </c>
    </row>
    <row r="128" spans="1:22" x14ac:dyDescent="0.25">
      <c r="A128">
        <v>3014643</v>
      </c>
    </row>
    <row r="129" spans="1:25" x14ac:dyDescent="0.25">
      <c r="A129">
        <v>3016056</v>
      </c>
      <c r="K129">
        <v>51</v>
      </c>
      <c r="Y129">
        <v>50.2</v>
      </c>
    </row>
    <row r="130" spans="1:25" x14ac:dyDescent="0.25">
      <c r="A130">
        <v>3900219</v>
      </c>
    </row>
    <row r="131" spans="1:25" x14ac:dyDescent="0.25">
      <c r="A131">
        <v>4000158</v>
      </c>
    </row>
    <row r="132" spans="1:25" x14ac:dyDescent="0.25">
      <c r="A132">
        <v>4000304</v>
      </c>
    </row>
    <row r="133" spans="1:25" x14ac:dyDescent="0.25">
      <c r="A133">
        <v>4001905</v>
      </c>
    </row>
    <row r="134" spans="1:25" x14ac:dyDescent="0.25">
      <c r="A134">
        <v>4002206</v>
      </c>
    </row>
    <row r="135" spans="1:25" x14ac:dyDescent="0.25">
      <c r="A135">
        <v>4002715</v>
      </c>
    </row>
    <row r="136" spans="1:25" x14ac:dyDescent="0.25">
      <c r="A136">
        <v>4003924</v>
      </c>
    </row>
    <row r="137" spans="1:25" x14ac:dyDescent="0.25">
      <c r="A137">
        <v>4006051</v>
      </c>
    </row>
    <row r="138" spans="1:25" x14ac:dyDescent="0.25">
      <c r="A138">
        <v>4008140</v>
      </c>
    </row>
    <row r="139" spans="1:25" x14ac:dyDescent="0.25">
      <c r="A139">
        <v>4009906</v>
      </c>
      <c r="L139">
        <v>53.6</v>
      </c>
      <c r="T139">
        <v>69.5</v>
      </c>
      <c r="W139">
        <v>50.9</v>
      </c>
      <c r="X139">
        <v>58</v>
      </c>
    </row>
    <row r="140" spans="1:25" x14ac:dyDescent="0.25">
      <c r="A140">
        <v>4011027</v>
      </c>
    </row>
    <row r="141" spans="1:25" x14ac:dyDescent="0.25">
      <c r="A141">
        <v>4011920</v>
      </c>
    </row>
    <row r="142" spans="1:25" x14ac:dyDescent="0.25">
      <c r="A142">
        <v>4012248</v>
      </c>
    </row>
    <row r="143" spans="1:25" x14ac:dyDescent="0.25">
      <c r="A143">
        <v>4013603</v>
      </c>
    </row>
    <row r="144" spans="1:25" x14ac:dyDescent="0.25">
      <c r="A144">
        <v>5004654</v>
      </c>
      <c r="L144">
        <v>45.3</v>
      </c>
    </row>
    <row r="145" spans="1:21" x14ac:dyDescent="0.25">
      <c r="A145" s="65"/>
    </row>
    <row r="146" spans="1:21" x14ac:dyDescent="0.25">
      <c r="A146" s="10" t="s">
        <v>146</v>
      </c>
    </row>
    <row r="147" spans="1:21" x14ac:dyDescent="0.25">
      <c r="A147">
        <v>4289</v>
      </c>
    </row>
    <row r="148" spans="1:21" x14ac:dyDescent="0.25">
      <c r="A148">
        <v>500245</v>
      </c>
    </row>
    <row r="149" spans="1:21" x14ac:dyDescent="0.25">
      <c r="A149">
        <v>2002573</v>
      </c>
    </row>
    <row r="150" spans="1:21" x14ac:dyDescent="0.25">
      <c r="A150">
        <v>2003539</v>
      </c>
    </row>
    <row r="151" spans="1:21" x14ac:dyDescent="0.25">
      <c r="A151">
        <v>2003649</v>
      </c>
    </row>
    <row r="152" spans="1:21" x14ac:dyDescent="0.25">
      <c r="A152">
        <v>2005572</v>
      </c>
    </row>
    <row r="153" spans="1:21" x14ac:dyDescent="0.25">
      <c r="A153">
        <v>2013117</v>
      </c>
    </row>
    <row r="154" spans="1:21" x14ac:dyDescent="0.25">
      <c r="A154">
        <v>3009633</v>
      </c>
    </row>
    <row r="155" spans="1:21" x14ac:dyDescent="0.25">
      <c r="A155">
        <v>3010583</v>
      </c>
      <c r="U155">
        <v>61</v>
      </c>
    </row>
    <row r="156" spans="1:21" x14ac:dyDescent="0.25">
      <c r="A156" s="23">
        <v>3011892</v>
      </c>
    </row>
    <row r="157" spans="1:21" x14ac:dyDescent="0.25">
      <c r="A157">
        <v>4001382</v>
      </c>
    </row>
    <row r="158" spans="1:21" x14ac:dyDescent="0.25">
      <c r="A158">
        <v>5018675</v>
      </c>
    </row>
    <row r="159" spans="1:21" x14ac:dyDescent="0.25">
      <c r="A159">
        <v>6050168</v>
      </c>
    </row>
    <row r="160" spans="1:21" x14ac:dyDescent="0.25">
      <c r="A160">
        <v>5006592</v>
      </c>
    </row>
    <row r="161" spans="1:11" x14ac:dyDescent="0.25">
      <c r="A161">
        <v>5007274</v>
      </c>
    </row>
    <row r="162" spans="1:11" x14ac:dyDescent="0.25">
      <c r="A162">
        <v>5015851</v>
      </c>
    </row>
    <row r="163" spans="1:11" x14ac:dyDescent="0.25">
      <c r="A163">
        <v>6015647</v>
      </c>
      <c r="K163">
        <v>68.2</v>
      </c>
    </row>
    <row r="164" spans="1:11" x14ac:dyDescent="0.25">
      <c r="A164">
        <v>6056633</v>
      </c>
    </row>
    <row r="165" spans="1:11" x14ac:dyDescent="0.25">
      <c r="A165">
        <v>7086224</v>
      </c>
    </row>
    <row r="166" spans="1:11" x14ac:dyDescent="0.25">
      <c r="A166">
        <v>8040959</v>
      </c>
    </row>
    <row r="167" spans="1:11" x14ac:dyDescent="0.25">
      <c r="A167">
        <v>8107048</v>
      </c>
    </row>
    <row r="168" spans="1:11" x14ac:dyDescent="0.25">
      <c r="A168">
        <v>8124044</v>
      </c>
    </row>
    <row r="169" spans="1:11" x14ac:dyDescent="0.25">
      <c r="A169">
        <v>8142949</v>
      </c>
    </row>
    <row r="170" spans="1:11" x14ac:dyDescent="0.25">
      <c r="A170">
        <v>9023306</v>
      </c>
    </row>
    <row r="171" spans="1:11" x14ac:dyDescent="0.25">
      <c r="A171">
        <v>9030615</v>
      </c>
    </row>
    <row r="172" spans="1:11" x14ac:dyDescent="0.25">
      <c r="A172">
        <v>9034464</v>
      </c>
    </row>
    <row r="173" spans="1:11" x14ac:dyDescent="0.25">
      <c r="A173">
        <v>9040167</v>
      </c>
    </row>
    <row r="174" spans="1:11" x14ac:dyDescent="0.25">
      <c r="A174">
        <v>9054567</v>
      </c>
    </row>
    <row r="175" spans="1:11" x14ac:dyDescent="0.25">
      <c r="A175">
        <v>9083682</v>
      </c>
    </row>
    <row r="176" spans="1:11" x14ac:dyDescent="0.25">
      <c r="A176">
        <v>9102044</v>
      </c>
    </row>
    <row r="177" spans="1:1" x14ac:dyDescent="0.25">
      <c r="A177">
        <v>9119854</v>
      </c>
    </row>
    <row r="178" spans="1:1" x14ac:dyDescent="0.25">
      <c r="A178">
        <v>9125126</v>
      </c>
    </row>
    <row r="179" spans="1:1" x14ac:dyDescent="0.25">
      <c r="A179">
        <v>9174811</v>
      </c>
    </row>
    <row r="180" spans="1:1" x14ac:dyDescent="0.25">
      <c r="A180">
        <v>10002875</v>
      </c>
    </row>
    <row r="181" spans="1:1" x14ac:dyDescent="0.25">
      <c r="A181">
        <v>10023080</v>
      </c>
    </row>
    <row r="182" spans="1:1" x14ac:dyDescent="0.25">
      <c r="A182">
        <v>10025212</v>
      </c>
    </row>
    <row r="183" spans="1:1" x14ac:dyDescent="0.25">
      <c r="A183">
        <v>10069407</v>
      </c>
    </row>
    <row r="184" spans="1:1" x14ac:dyDescent="0.25">
      <c r="A184">
        <v>10071135</v>
      </c>
    </row>
    <row r="185" spans="1:1" x14ac:dyDescent="0.25">
      <c r="A185">
        <v>10083649</v>
      </c>
    </row>
    <row r="186" spans="1:1" x14ac:dyDescent="0.25">
      <c r="A186">
        <v>10102021</v>
      </c>
    </row>
    <row r="187" spans="1:1" x14ac:dyDescent="0.25">
      <c r="A187">
        <v>10123729</v>
      </c>
    </row>
    <row r="188" spans="1:1" x14ac:dyDescent="0.25">
      <c r="A188">
        <v>10144736</v>
      </c>
    </row>
    <row r="189" spans="1:1" x14ac:dyDescent="0.25">
      <c r="A189">
        <v>10157275</v>
      </c>
    </row>
    <row r="190" spans="1:1" x14ac:dyDescent="0.25">
      <c r="A190" s="65"/>
    </row>
    <row r="191" spans="1:1" x14ac:dyDescent="0.25">
      <c r="A191" s="10" t="s">
        <v>120</v>
      </c>
    </row>
    <row r="192" spans="1:1" x14ac:dyDescent="0.25">
      <c r="A192">
        <v>5281</v>
      </c>
    </row>
    <row r="193" spans="1:13" x14ac:dyDescent="0.25">
      <c r="A193">
        <v>200085</v>
      </c>
    </row>
    <row r="194" spans="1:13" x14ac:dyDescent="0.25">
      <c r="A194">
        <v>500129</v>
      </c>
    </row>
    <row r="195" spans="1:13" x14ac:dyDescent="0.25">
      <c r="A195" s="23">
        <v>1002033</v>
      </c>
    </row>
    <row r="196" spans="1:13" x14ac:dyDescent="0.25">
      <c r="A196">
        <v>1003457</v>
      </c>
    </row>
    <row r="197" spans="1:13" x14ac:dyDescent="0.25">
      <c r="A197">
        <v>2005223</v>
      </c>
    </row>
    <row r="198" spans="1:13" x14ac:dyDescent="0.25">
      <c r="A198">
        <v>2006107</v>
      </c>
    </row>
    <row r="199" spans="1:13" x14ac:dyDescent="0.25">
      <c r="A199">
        <v>2012014</v>
      </c>
      <c r="M199">
        <v>36.5</v>
      </c>
    </row>
    <row r="200" spans="1:13" x14ac:dyDescent="0.25">
      <c r="A200">
        <v>3000152</v>
      </c>
      <c r="J200">
        <v>7</v>
      </c>
    </row>
    <row r="201" spans="1:13" x14ac:dyDescent="0.25">
      <c r="A201">
        <v>3014566</v>
      </c>
    </row>
    <row r="202" spans="1:13" x14ac:dyDescent="0.25">
      <c r="A202">
        <v>3015058</v>
      </c>
    </row>
    <row r="203" spans="1:13" x14ac:dyDescent="0.25">
      <c r="A203" s="23">
        <v>4000996</v>
      </c>
    </row>
    <row r="204" spans="1:13" x14ac:dyDescent="0.25">
      <c r="A204">
        <v>4003768</v>
      </c>
    </row>
    <row r="205" spans="1:13" x14ac:dyDescent="0.25">
      <c r="A205">
        <v>4006540</v>
      </c>
    </row>
    <row r="206" spans="1:13" x14ac:dyDescent="0.25">
      <c r="A206">
        <v>4007054</v>
      </c>
    </row>
    <row r="207" spans="1:13" x14ac:dyDescent="0.25">
      <c r="A207">
        <v>4011002</v>
      </c>
    </row>
    <row r="208" spans="1:13" x14ac:dyDescent="0.25">
      <c r="A208">
        <v>4900268</v>
      </c>
    </row>
    <row r="209" spans="1:16" x14ac:dyDescent="0.25">
      <c r="A209">
        <v>5001097</v>
      </c>
      <c r="H209">
        <v>69.900000000000006</v>
      </c>
      <c r="I209">
        <v>76.7</v>
      </c>
      <c r="P209">
        <v>67.900000000000006</v>
      </c>
    </row>
    <row r="210" spans="1:16" x14ac:dyDescent="0.25">
      <c r="A210">
        <v>5001098</v>
      </c>
      <c r="F210">
        <v>79.8</v>
      </c>
      <c r="H210">
        <v>69.400000000000006</v>
      </c>
    </row>
    <row r="211" spans="1:16" x14ac:dyDescent="0.25">
      <c r="A211">
        <v>5006152</v>
      </c>
    </row>
    <row r="212" spans="1:16" x14ac:dyDescent="0.25">
      <c r="A212">
        <v>6012361</v>
      </c>
    </row>
    <row r="213" spans="1:16" x14ac:dyDescent="0.25">
      <c r="A213">
        <v>6015793</v>
      </c>
    </row>
    <row r="214" spans="1:16" x14ac:dyDescent="0.25">
      <c r="A214">
        <v>6043619</v>
      </c>
    </row>
    <row r="215" spans="1:16" x14ac:dyDescent="0.25">
      <c r="A215">
        <v>7001097</v>
      </c>
    </row>
    <row r="216" spans="1:16" x14ac:dyDescent="0.25">
      <c r="A216">
        <v>7011435</v>
      </c>
    </row>
    <row r="217" spans="1:16" x14ac:dyDescent="0.25">
      <c r="A217">
        <v>7045811</v>
      </c>
    </row>
    <row r="218" spans="1:16" x14ac:dyDescent="0.25">
      <c r="A218">
        <v>7071198</v>
      </c>
      <c r="K218">
        <v>57.6</v>
      </c>
    </row>
    <row r="219" spans="1:16" x14ac:dyDescent="0.25">
      <c r="A219">
        <v>7101143</v>
      </c>
    </row>
    <row r="220" spans="1:16" x14ac:dyDescent="0.25">
      <c r="A220">
        <v>8073350</v>
      </c>
    </row>
    <row r="221" spans="1:16" x14ac:dyDescent="0.25">
      <c r="A221">
        <v>8073645</v>
      </c>
    </row>
    <row r="222" spans="1:16" x14ac:dyDescent="0.25">
      <c r="A222" s="23">
        <v>8089666</v>
      </c>
    </row>
    <row r="223" spans="1:16" x14ac:dyDescent="0.25">
      <c r="A223">
        <v>8103536</v>
      </c>
    </row>
    <row r="224" spans="1:16" x14ac:dyDescent="0.25">
      <c r="A224">
        <v>8124816</v>
      </c>
    </row>
    <row r="225" spans="1:14" x14ac:dyDescent="0.25">
      <c r="A225">
        <v>9003267</v>
      </c>
    </row>
    <row r="226" spans="1:14" x14ac:dyDescent="0.25">
      <c r="A226">
        <v>9036964</v>
      </c>
    </row>
    <row r="227" spans="1:14" x14ac:dyDescent="0.25">
      <c r="A227">
        <v>9090287</v>
      </c>
    </row>
    <row r="228" spans="1:14" x14ac:dyDescent="0.25">
      <c r="A228">
        <v>9095148</v>
      </c>
      <c r="B228">
        <v>95.7</v>
      </c>
      <c r="G228">
        <v>30</v>
      </c>
      <c r="K228">
        <v>7</v>
      </c>
      <c r="N228">
        <v>41.7</v>
      </c>
    </row>
    <row r="229" spans="1:14" x14ac:dyDescent="0.25">
      <c r="A229">
        <v>9104979</v>
      </c>
    </row>
    <row r="230" spans="1:14" x14ac:dyDescent="0.25">
      <c r="A230">
        <v>9139514</v>
      </c>
    </row>
    <row r="231" spans="1:14" x14ac:dyDescent="0.25">
      <c r="A231">
        <v>10020659</v>
      </c>
    </row>
    <row r="232" spans="1:14" x14ac:dyDescent="0.25">
      <c r="A232">
        <v>10025902</v>
      </c>
    </row>
    <row r="233" spans="1:14" x14ac:dyDescent="0.25">
      <c r="A233">
        <v>10027654</v>
      </c>
    </row>
    <row r="234" spans="1:14" x14ac:dyDescent="0.25">
      <c r="A234">
        <v>10084485</v>
      </c>
    </row>
    <row r="235" spans="1:14" x14ac:dyDescent="0.25">
      <c r="A235">
        <v>10098420</v>
      </c>
    </row>
    <row r="236" spans="1:14" x14ac:dyDescent="0.25">
      <c r="A236">
        <v>10129565</v>
      </c>
    </row>
    <row r="237" spans="1:14" x14ac:dyDescent="0.25">
      <c r="A237">
        <v>10146828</v>
      </c>
    </row>
    <row r="238" spans="1:14" x14ac:dyDescent="0.25">
      <c r="A238">
        <v>10163776</v>
      </c>
    </row>
    <row r="239" spans="1:14" x14ac:dyDescent="0.25">
      <c r="A239">
        <v>10173664</v>
      </c>
    </row>
  </sheetData>
  <conditionalFormatting sqref="A19">
    <cfRule type="duplicateValues" dxfId="9" priority="1"/>
  </conditionalFormatting>
  <pageMargins left="0.7" right="0.7" top="0.78740157499999996" bottom="0.78740157499999996" header="0.3" footer="0.3"/>
  <tableParts count="1">
    <tablePart r:id="rId1"/>
  </tableParts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3"/>
  <sheetViews>
    <sheetView workbookViewId="0">
      <selection sqref="A1:D23"/>
    </sheetView>
  </sheetViews>
  <sheetFormatPr defaultColWidth="11.42578125" defaultRowHeight="15" x14ac:dyDescent="0.25"/>
  <cols>
    <col min="1" max="1" width="17.28515625" bestFit="1" customWidth="1"/>
    <col min="2" max="2" width="14.140625" bestFit="1" customWidth="1"/>
    <col min="3" max="3" width="81.140625" bestFit="1" customWidth="1"/>
    <col min="4" max="4" width="30.28515625" bestFit="1" customWidth="1"/>
  </cols>
  <sheetData>
    <row r="1" spans="1:4" x14ac:dyDescent="0.25">
      <c r="A1" s="66" t="s">
        <v>59</v>
      </c>
      <c r="B1" s="66" t="s">
        <v>3323</v>
      </c>
      <c r="C1" s="66" t="s">
        <v>2564</v>
      </c>
      <c r="D1" s="66" t="s">
        <v>2523</v>
      </c>
    </row>
    <row r="2" spans="1:4" x14ac:dyDescent="0.25">
      <c r="A2" s="66">
        <v>7072184</v>
      </c>
      <c r="B2" s="66" t="s">
        <v>3323</v>
      </c>
      <c r="C2" s="66" t="s">
        <v>1867</v>
      </c>
      <c r="D2" s="66">
        <v>1</v>
      </c>
    </row>
    <row r="3" spans="1:4" x14ac:dyDescent="0.25">
      <c r="A3" s="66">
        <v>14242856</v>
      </c>
      <c r="B3" s="66" t="s">
        <v>3323</v>
      </c>
      <c r="C3" s="66" t="s">
        <v>1867</v>
      </c>
      <c r="D3" s="66">
        <v>1</v>
      </c>
    </row>
    <row r="4" spans="1:4" x14ac:dyDescent="0.25">
      <c r="A4" s="66">
        <v>1003215</v>
      </c>
      <c r="B4" s="66" t="s">
        <v>3323</v>
      </c>
      <c r="C4" s="66" t="s">
        <v>1867</v>
      </c>
      <c r="D4" s="66">
        <v>1</v>
      </c>
    </row>
    <row r="5" spans="1:4" x14ac:dyDescent="0.25">
      <c r="A5" s="66">
        <v>10023001</v>
      </c>
      <c r="B5" s="66" t="s">
        <v>3323</v>
      </c>
      <c r="C5" s="66" t="s">
        <v>1867</v>
      </c>
      <c r="D5" s="66">
        <v>1</v>
      </c>
    </row>
    <row r="6" spans="1:4" x14ac:dyDescent="0.25">
      <c r="A6" s="66">
        <v>10027526</v>
      </c>
      <c r="B6" s="66" t="s">
        <v>3323</v>
      </c>
      <c r="C6" s="66" t="s">
        <v>578</v>
      </c>
      <c r="D6" s="66">
        <v>1</v>
      </c>
    </row>
    <row r="7" spans="1:4" x14ac:dyDescent="0.25">
      <c r="A7" s="66">
        <v>9140312</v>
      </c>
      <c r="B7" s="66" t="s">
        <v>3323</v>
      </c>
      <c r="C7" s="66" t="s">
        <v>611</v>
      </c>
      <c r="D7" s="66">
        <v>1</v>
      </c>
    </row>
    <row r="8" spans="1:4" x14ac:dyDescent="0.25">
      <c r="A8" s="66">
        <v>13118872</v>
      </c>
      <c r="B8" s="66" t="s">
        <v>3323</v>
      </c>
      <c r="C8" s="66" t="s">
        <v>1579</v>
      </c>
      <c r="D8" s="66">
        <v>1</v>
      </c>
    </row>
    <row r="9" spans="1:4" x14ac:dyDescent="0.25">
      <c r="A9" s="66">
        <v>9074418</v>
      </c>
      <c r="B9" s="66" t="s">
        <v>3323</v>
      </c>
      <c r="C9" s="66" t="s">
        <v>611</v>
      </c>
      <c r="D9" s="66">
        <v>1</v>
      </c>
    </row>
    <row r="10" spans="1:4" x14ac:dyDescent="0.25">
      <c r="A10" s="66">
        <v>10030897</v>
      </c>
      <c r="B10" s="66" t="s">
        <v>3323</v>
      </c>
      <c r="C10" s="66" t="s">
        <v>3324</v>
      </c>
      <c r="D10" s="66">
        <v>6</v>
      </c>
    </row>
    <row r="11" spans="1:4" x14ac:dyDescent="0.25">
      <c r="A11" s="66">
        <v>324</v>
      </c>
      <c r="B11" s="66" t="s">
        <v>3323</v>
      </c>
      <c r="C11" s="66" t="s">
        <v>578</v>
      </c>
      <c r="D11" s="66">
        <v>1</v>
      </c>
    </row>
    <row r="12" spans="1:4" x14ac:dyDescent="0.25">
      <c r="A12" s="66">
        <v>1005522</v>
      </c>
      <c r="B12" s="66" t="s">
        <v>3323</v>
      </c>
      <c r="C12" s="66" t="s">
        <v>3325</v>
      </c>
      <c r="D12" s="66">
        <v>4</v>
      </c>
    </row>
    <row r="13" spans="1:4" x14ac:dyDescent="0.25">
      <c r="A13" s="66">
        <v>3016056</v>
      </c>
      <c r="B13" s="66" t="s">
        <v>3323</v>
      </c>
      <c r="C13" s="66" t="s">
        <v>3326</v>
      </c>
      <c r="D13" s="66">
        <v>2</v>
      </c>
    </row>
    <row r="14" spans="1:4" x14ac:dyDescent="0.25">
      <c r="A14" s="66">
        <v>4009906</v>
      </c>
      <c r="B14" s="66" t="s">
        <v>3323</v>
      </c>
      <c r="C14" s="66" t="s">
        <v>3327</v>
      </c>
      <c r="D14" s="66">
        <v>4</v>
      </c>
    </row>
    <row r="15" spans="1:4" x14ac:dyDescent="0.25">
      <c r="A15" s="66">
        <v>5004654</v>
      </c>
      <c r="B15" s="66" t="s">
        <v>3323</v>
      </c>
      <c r="C15" s="66" t="s">
        <v>1578</v>
      </c>
      <c r="D15" s="66">
        <v>1</v>
      </c>
    </row>
    <row r="16" spans="1:4" x14ac:dyDescent="0.25">
      <c r="A16" s="66">
        <v>3010583</v>
      </c>
      <c r="B16" s="66" t="s">
        <v>3323</v>
      </c>
      <c r="C16" s="66" t="s">
        <v>1311</v>
      </c>
      <c r="D16" s="66">
        <v>1</v>
      </c>
    </row>
    <row r="17" spans="1:4" x14ac:dyDescent="0.25">
      <c r="A17" s="66">
        <v>6015647</v>
      </c>
      <c r="B17" s="66" t="s">
        <v>3323</v>
      </c>
      <c r="C17" s="66" t="s">
        <v>578</v>
      </c>
      <c r="D17" s="66">
        <v>1</v>
      </c>
    </row>
    <row r="18" spans="1:4" x14ac:dyDescent="0.25">
      <c r="A18" s="66">
        <v>2012014</v>
      </c>
      <c r="B18" s="66" t="s">
        <v>3323</v>
      </c>
      <c r="C18" s="66" t="s">
        <v>611</v>
      </c>
      <c r="D18" s="66">
        <v>1</v>
      </c>
    </row>
    <row r="19" spans="1:4" x14ac:dyDescent="0.25">
      <c r="A19" s="66">
        <v>3000152</v>
      </c>
      <c r="B19" s="66" t="s">
        <v>3323</v>
      </c>
      <c r="C19" s="66" t="s">
        <v>1867</v>
      </c>
      <c r="D19" s="66">
        <v>1</v>
      </c>
    </row>
    <row r="20" spans="1:4" x14ac:dyDescent="0.25">
      <c r="A20" s="66">
        <v>5001097</v>
      </c>
      <c r="B20" s="66" t="s">
        <v>3323</v>
      </c>
      <c r="C20" s="66" t="s">
        <v>3328</v>
      </c>
      <c r="D20" s="66">
        <v>3</v>
      </c>
    </row>
    <row r="21" spans="1:4" x14ac:dyDescent="0.25">
      <c r="A21" s="66">
        <v>5001098</v>
      </c>
      <c r="B21" s="66" t="s">
        <v>3323</v>
      </c>
      <c r="C21" s="66" t="s">
        <v>3329</v>
      </c>
      <c r="D21" s="66">
        <v>2</v>
      </c>
    </row>
    <row r="22" spans="1:4" x14ac:dyDescent="0.25">
      <c r="A22" s="66">
        <v>7071198</v>
      </c>
      <c r="B22" s="66" t="s">
        <v>3323</v>
      </c>
      <c r="C22" s="66" t="s">
        <v>578</v>
      </c>
      <c r="D22" s="66">
        <v>1</v>
      </c>
    </row>
    <row r="23" spans="1:4" x14ac:dyDescent="0.25">
      <c r="A23" s="66">
        <v>9095148</v>
      </c>
      <c r="B23" s="66" t="s">
        <v>3323</v>
      </c>
      <c r="C23" s="66" t="s">
        <v>3330</v>
      </c>
      <c r="D23" s="66">
        <v>4</v>
      </c>
    </row>
  </sheetData>
  <phoneticPr fontId="6" type="noConversion"/>
  <pageMargins left="0.7" right="0.7" top="0.78740157499999996" bottom="0.78740157499999996" header="0.3" footer="0.3"/>
  <tableParts count="1">
    <tablePart r:id="rId1"/>
  </tableParts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39"/>
  <sheetViews>
    <sheetView workbookViewId="0">
      <selection sqref="A1:Q239"/>
    </sheetView>
  </sheetViews>
  <sheetFormatPr defaultColWidth="11.42578125" defaultRowHeight="15" x14ac:dyDescent="0.25"/>
  <cols>
    <col min="1" max="1" width="17.140625" customWidth="1"/>
    <col min="2" max="2" width="53.5703125" customWidth="1"/>
    <col min="3" max="5" width="50.140625" customWidth="1"/>
    <col min="6" max="7" width="49.140625" customWidth="1"/>
    <col min="8" max="8" width="44.28515625" customWidth="1"/>
    <col min="9" max="9" width="30.5703125" customWidth="1"/>
    <col min="10" max="11" width="27.140625" customWidth="1"/>
    <col min="12" max="12" width="29.7109375" customWidth="1"/>
    <col min="13" max="13" width="33.5703125" customWidth="1"/>
    <col min="14" max="15" width="32.42578125" customWidth="1"/>
    <col min="16" max="17" width="36.28515625" customWidth="1"/>
  </cols>
  <sheetData>
    <row r="1" spans="1:17" ht="90" x14ac:dyDescent="0.25">
      <c r="A1" s="61" t="s">
        <v>59</v>
      </c>
      <c r="B1" s="62" t="s">
        <v>1584</v>
      </c>
      <c r="C1" s="62" t="s">
        <v>1097</v>
      </c>
      <c r="D1" s="62" t="s">
        <v>1974</v>
      </c>
      <c r="E1" s="62" t="s">
        <v>1840</v>
      </c>
      <c r="F1" s="62" t="s">
        <v>1947</v>
      </c>
      <c r="G1" s="62" t="s">
        <v>1948</v>
      </c>
      <c r="H1" s="62" t="s">
        <v>560</v>
      </c>
      <c r="I1" s="63" t="s">
        <v>1048</v>
      </c>
      <c r="J1" s="62" t="s">
        <v>1585</v>
      </c>
      <c r="K1" s="62" t="s">
        <v>1865</v>
      </c>
      <c r="L1" s="62" t="s">
        <v>1098</v>
      </c>
      <c r="M1" s="62" t="s">
        <v>1586</v>
      </c>
      <c r="N1" s="62" t="s">
        <v>1205</v>
      </c>
      <c r="O1" s="62" t="s">
        <v>1206</v>
      </c>
      <c r="P1" s="62" t="s">
        <v>1587</v>
      </c>
      <c r="Q1" s="62" t="s">
        <v>1588</v>
      </c>
    </row>
    <row r="2" spans="1:17" x14ac:dyDescent="0.25">
      <c r="A2" s="40" t="s">
        <v>561</v>
      </c>
    </row>
    <row r="3" spans="1:17" x14ac:dyDescent="0.25">
      <c r="A3" s="10" t="s">
        <v>2519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</row>
    <row r="4" spans="1:17" x14ac:dyDescent="0.25">
      <c r="A4">
        <v>7072184</v>
      </c>
    </row>
    <row r="5" spans="1:17" x14ac:dyDescent="0.25">
      <c r="A5">
        <v>9108231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</row>
    <row r="6" spans="1:17" x14ac:dyDescent="0.25">
      <c r="A6">
        <v>12061933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</row>
    <row r="7" spans="1:17" x14ac:dyDescent="0.25">
      <c r="A7">
        <v>95005911</v>
      </c>
    </row>
    <row r="8" spans="1:17" x14ac:dyDescent="0.25">
      <c r="A8">
        <v>99001908</v>
      </c>
    </row>
    <row r="9" spans="1:17" x14ac:dyDescent="0.25">
      <c r="A9">
        <v>99004067</v>
      </c>
    </row>
    <row r="10" spans="1:17" x14ac:dyDescent="0.25">
      <c r="A10">
        <v>97002136</v>
      </c>
    </row>
    <row r="11" spans="1:17" x14ac:dyDescent="0.25">
      <c r="A11">
        <v>1502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</row>
    <row r="12" spans="1:17" x14ac:dyDescent="0.25">
      <c r="A12">
        <v>4003543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</row>
    <row r="13" spans="1:17" x14ac:dyDescent="0.25">
      <c r="A13">
        <v>4900261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</row>
    <row r="15" spans="1:17" x14ac:dyDescent="0.25">
      <c r="A15" s="10" t="s">
        <v>2520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</row>
    <row r="16" spans="1:17" x14ac:dyDescent="0.25">
      <c r="A16">
        <v>14242856</v>
      </c>
    </row>
    <row r="17" spans="1:17" x14ac:dyDescent="0.25">
      <c r="A17">
        <v>99001183</v>
      </c>
    </row>
    <row r="18" spans="1:17" x14ac:dyDescent="0.25">
      <c r="A18">
        <v>3000983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</row>
    <row r="19" spans="1:17" x14ac:dyDescent="0.25">
      <c r="A19">
        <v>10064335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</row>
    <row r="20" spans="1:17" x14ac:dyDescent="0.25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</row>
    <row r="21" spans="1:17" x14ac:dyDescent="0.25">
      <c r="A21" s="10" t="s">
        <v>2521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</row>
    <row r="22" spans="1:17" x14ac:dyDescent="0.25">
      <c r="A22">
        <v>1480</v>
      </c>
    </row>
    <row r="23" spans="1:17" x14ac:dyDescent="0.25">
      <c r="A23">
        <v>7063959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</row>
    <row r="24" spans="1:17" x14ac:dyDescent="0.25">
      <c r="A24">
        <v>1003215</v>
      </c>
      <c r="B24" s="6"/>
      <c r="C24" s="6"/>
      <c r="D24" s="6"/>
      <c r="E24" s="6"/>
      <c r="F24" s="6"/>
      <c r="G24" s="6"/>
      <c r="H24" s="6">
        <v>0.5</v>
      </c>
      <c r="I24" s="6"/>
      <c r="J24" s="6"/>
      <c r="K24" s="6"/>
      <c r="L24" s="6"/>
      <c r="M24" s="6"/>
      <c r="N24" s="6"/>
      <c r="O24" s="6"/>
      <c r="P24" s="6"/>
      <c r="Q24" s="6"/>
    </row>
    <row r="25" spans="1:17" x14ac:dyDescent="0.25">
      <c r="A25">
        <v>99000802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</row>
    <row r="26" spans="1:17" x14ac:dyDescent="0.25">
      <c r="A26">
        <v>99000892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</row>
    <row r="27" spans="1:17" x14ac:dyDescent="0.25">
      <c r="A27">
        <v>1000192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</row>
    <row r="28" spans="1:17" x14ac:dyDescent="0.25">
      <c r="A28">
        <v>1506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</row>
    <row r="29" spans="1:17" x14ac:dyDescent="0.25">
      <c r="A29">
        <v>99000894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</row>
    <row r="30" spans="1:17" x14ac:dyDescent="0.25">
      <c r="A30">
        <v>99000897</v>
      </c>
    </row>
    <row r="31" spans="1:17" x14ac:dyDescent="0.25">
      <c r="A31">
        <v>99001245</v>
      </c>
    </row>
    <row r="32" spans="1:17" x14ac:dyDescent="0.25">
      <c r="A32">
        <v>99001902</v>
      </c>
    </row>
    <row r="33" spans="1:17" x14ac:dyDescent="0.25">
      <c r="A33">
        <v>99001912</v>
      </c>
    </row>
    <row r="34" spans="1:17" x14ac:dyDescent="0.25">
      <c r="A34">
        <v>99001913</v>
      </c>
    </row>
    <row r="35" spans="1:17" x14ac:dyDescent="0.25">
      <c r="A35">
        <v>99001937</v>
      </c>
    </row>
    <row r="36" spans="1:17" x14ac:dyDescent="0.25">
      <c r="A36">
        <v>99001943</v>
      </c>
    </row>
    <row r="37" spans="1:17" x14ac:dyDescent="0.25">
      <c r="A37">
        <v>99001927</v>
      </c>
    </row>
    <row r="38" spans="1:17" x14ac:dyDescent="0.25">
      <c r="A38">
        <v>1505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</row>
    <row r="39" spans="1:17" x14ac:dyDescent="0.25">
      <c r="A39">
        <v>1000197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</row>
    <row r="40" spans="1:17" x14ac:dyDescent="0.25">
      <c r="A40">
        <v>96018835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</row>
    <row r="41" spans="1:17" x14ac:dyDescent="0.25">
      <c r="A41">
        <v>98008326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</row>
    <row r="42" spans="1:17" x14ac:dyDescent="0.25">
      <c r="A42">
        <v>99000717</v>
      </c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</row>
    <row r="43" spans="1:17" x14ac:dyDescent="0.25"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</row>
    <row r="44" spans="1:17" x14ac:dyDescent="0.25">
      <c r="A44" s="25" t="s">
        <v>169</v>
      </c>
    </row>
    <row r="45" spans="1:17" x14ac:dyDescent="0.25">
      <c r="A45" s="10" t="s">
        <v>143</v>
      </c>
    </row>
    <row r="46" spans="1:17" x14ac:dyDescent="0.25">
      <c r="A46">
        <v>6016435</v>
      </c>
    </row>
    <row r="47" spans="1:17" x14ac:dyDescent="0.25">
      <c r="A47">
        <v>8045149</v>
      </c>
    </row>
    <row r="48" spans="1:17" x14ac:dyDescent="0.25">
      <c r="A48">
        <v>10023001</v>
      </c>
    </row>
    <row r="49" spans="1:1" x14ac:dyDescent="0.25">
      <c r="A49">
        <v>10027526</v>
      </c>
    </row>
    <row r="50" spans="1:1" x14ac:dyDescent="0.25">
      <c r="A50">
        <v>14222171</v>
      </c>
    </row>
    <row r="51" spans="1:1" x14ac:dyDescent="0.25">
      <c r="A51">
        <v>1006143</v>
      </c>
    </row>
    <row r="52" spans="1:1" x14ac:dyDescent="0.25">
      <c r="A52">
        <v>6006917</v>
      </c>
    </row>
    <row r="54" spans="1:1" x14ac:dyDescent="0.25">
      <c r="A54" s="10" t="s">
        <v>146</v>
      </c>
    </row>
    <row r="55" spans="1:1" x14ac:dyDescent="0.25">
      <c r="A55">
        <v>8057159</v>
      </c>
    </row>
    <row r="56" spans="1:1" x14ac:dyDescent="0.25">
      <c r="A56">
        <v>9140312</v>
      </c>
    </row>
    <row r="57" spans="1:1" x14ac:dyDescent="0.25">
      <c r="A57">
        <v>12008230</v>
      </c>
    </row>
    <row r="58" spans="1:1" x14ac:dyDescent="0.25">
      <c r="A58">
        <v>12088444</v>
      </c>
    </row>
    <row r="59" spans="1:1" x14ac:dyDescent="0.25">
      <c r="A59">
        <v>13118872</v>
      </c>
    </row>
    <row r="60" spans="1:1" x14ac:dyDescent="0.25">
      <c r="A60">
        <v>12012030</v>
      </c>
    </row>
    <row r="62" spans="1:1" x14ac:dyDescent="0.25">
      <c r="A62" s="10" t="s">
        <v>120</v>
      </c>
    </row>
    <row r="63" spans="1:1" x14ac:dyDescent="0.25">
      <c r="A63">
        <v>9074418</v>
      </c>
    </row>
    <row r="64" spans="1:1" x14ac:dyDescent="0.25">
      <c r="A64">
        <v>1263</v>
      </c>
    </row>
    <row r="65" spans="1:17" x14ac:dyDescent="0.25">
      <c r="A65">
        <v>98004910</v>
      </c>
    </row>
    <row r="66" spans="1:17" x14ac:dyDescent="0.25">
      <c r="A66">
        <v>7103068</v>
      </c>
    </row>
    <row r="67" spans="1:17" x14ac:dyDescent="0.25">
      <c r="A67">
        <v>11240728</v>
      </c>
    </row>
    <row r="68" spans="1:17" x14ac:dyDescent="0.25"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</row>
    <row r="69" spans="1:17" x14ac:dyDescent="0.25">
      <c r="A69" s="26" t="s">
        <v>170</v>
      </c>
    </row>
    <row r="70" spans="1:17" x14ac:dyDescent="0.25">
      <c r="A70" s="10" t="s">
        <v>143</v>
      </c>
    </row>
    <row r="71" spans="1:17" x14ac:dyDescent="0.25">
      <c r="A71">
        <v>5015869</v>
      </c>
    </row>
    <row r="72" spans="1:17" x14ac:dyDescent="0.25">
      <c r="A72">
        <v>5016969</v>
      </c>
    </row>
    <row r="73" spans="1:17" x14ac:dyDescent="0.25">
      <c r="A73">
        <v>6023231</v>
      </c>
    </row>
    <row r="74" spans="1:17" x14ac:dyDescent="0.25">
      <c r="A74">
        <v>6010712</v>
      </c>
    </row>
    <row r="75" spans="1:17" x14ac:dyDescent="0.25">
      <c r="A75">
        <v>6011198</v>
      </c>
    </row>
    <row r="76" spans="1:17" x14ac:dyDescent="0.25">
      <c r="A76">
        <v>6012681</v>
      </c>
    </row>
    <row r="77" spans="1:17" x14ac:dyDescent="0.25">
      <c r="A77">
        <v>6014511</v>
      </c>
    </row>
    <row r="78" spans="1:17" x14ac:dyDescent="0.25">
      <c r="A78">
        <v>6045127</v>
      </c>
    </row>
    <row r="79" spans="1:17" x14ac:dyDescent="0.25">
      <c r="A79">
        <v>7000458</v>
      </c>
    </row>
    <row r="80" spans="1:17" x14ac:dyDescent="0.25">
      <c r="A80">
        <v>7015502</v>
      </c>
    </row>
    <row r="81" spans="1:1" x14ac:dyDescent="0.25">
      <c r="A81">
        <v>7025847</v>
      </c>
    </row>
    <row r="82" spans="1:1" x14ac:dyDescent="0.25">
      <c r="A82">
        <v>7082707</v>
      </c>
    </row>
    <row r="83" spans="1:1" x14ac:dyDescent="0.25">
      <c r="A83">
        <v>7083159</v>
      </c>
    </row>
    <row r="84" spans="1:1" x14ac:dyDescent="0.25">
      <c r="A84">
        <v>7084659</v>
      </c>
    </row>
    <row r="85" spans="1:1" x14ac:dyDescent="0.25">
      <c r="A85">
        <v>7076814</v>
      </c>
    </row>
    <row r="86" spans="1:1" x14ac:dyDescent="0.25">
      <c r="A86">
        <v>7076815</v>
      </c>
    </row>
    <row r="87" spans="1:1" x14ac:dyDescent="0.25">
      <c r="A87">
        <v>7089231</v>
      </c>
    </row>
    <row r="88" spans="1:1" x14ac:dyDescent="0.25">
      <c r="A88">
        <v>7116004</v>
      </c>
    </row>
    <row r="89" spans="1:1" x14ac:dyDescent="0.25">
      <c r="A89">
        <v>8003819</v>
      </c>
    </row>
    <row r="90" spans="1:1" x14ac:dyDescent="0.25">
      <c r="A90">
        <v>8091779</v>
      </c>
    </row>
    <row r="91" spans="1:1" x14ac:dyDescent="0.25">
      <c r="A91">
        <v>8097989</v>
      </c>
    </row>
    <row r="92" spans="1:1" x14ac:dyDescent="0.25">
      <c r="A92">
        <v>8112522</v>
      </c>
    </row>
    <row r="93" spans="1:1" x14ac:dyDescent="0.25">
      <c r="A93">
        <v>8127397</v>
      </c>
    </row>
    <row r="94" spans="1:1" x14ac:dyDescent="0.25">
      <c r="A94">
        <v>8130998</v>
      </c>
    </row>
    <row r="95" spans="1:1" x14ac:dyDescent="0.25">
      <c r="A95">
        <v>9002836</v>
      </c>
    </row>
    <row r="96" spans="1:1" x14ac:dyDescent="0.25">
      <c r="A96">
        <v>9003331</v>
      </c>
    </row>
    <row r="97" spans="1:1" x14ac:dyDescent="0.25">
      <c r="A97">
        <v>9003370</v>
      </c>
    </row>
    <row r="98" spans="1:1" x14ac:dyDescent="0.25">
      <c r="A98">
        <v>9016278</v>
      </c>
    </row>
    <row r="99" spans="1:1" x14ac:dyDescent="0.25">
      <c r="A99">
        <v>9030684</v>
      </c>
    </row>
    <row r="100" spans="1:1" x14ac:dyDescent="0.25">
      <c r="A100">
        <v>9031387</v>
      </c>
    </row>
    <row r="101" spans="1:1" x14ac:dyDescent="0.25">
      <c r="A101">
        <v>9038676</v>
      </c>
    </row>
    <row r="102" spans="1:1" x14ac:dyDescent="0.25">
      <c r="A102">
        <v>9039416</v>
      </c>
    </row>
    <row r="103" spans="1:1" x14ac:dyDescent="0.25">
      <c r="A103">
        <v>9042861</v>
      </c>
    </row>
    <row r="104" spans="1:1" x14ac:dyDescent="0.25">
      <c r="A104">
        <v>9044899</v>
      </c>
    </row>
    <row r="105" spans="1:1" x14ac:dyDescent="0.25">
      <c r="A105">
        <v>9052398</v>
      </c>
    </row>
    <row r="106" spans="1:1" x14ac:dyDescent="0.25">
      <c r="A106">
        <v>9085204</v>
      </c>
    </row>
    <row r="107" spans="1:1" x14ac:dyDescent="0.25">
      <c r="A107">
        <v>9090323</v>
      </c>
    </row>
    <row r="108" spans="1:1" x14ac:dyDescent="0.25">
      <c r="A108">
        <v>9105492</v>
      </c>
    </row>
    <row r="109" spans="1:1" x14ac:dyDescent="0.25">
      <c r="A109">
        <v>9138470</v>
      </c>
    </row>
    <row r="110" spans="1:1" x14ac:dyDescent="0.25">
      <c r="A110">
        <v>9150676</v>
      </c>
    </row>
    <row r="111" spans="1:1" x14ac:dyDescent="0.25">
      <c r="A111">
        <v>10010926</v>
      </c>
    </row>
    <row r="112" spans="1:1" x14ac:dyDescent="0.25">
      <c r="A112">
        <v>10016588</v>
      </c>
    </row>
    <row r="113" spans="1:12" x14ac:dyDescent="0.25">
      <c r="A113">
        <v>10030897</v>
      </c>
    </row>
    <row r="114" spans="1:12" x14ac:dyDescent="0.25">
      <c r="A114">
        <v>324</v>
      </c>
      <c r="I114">
        <v>0.1</v>
      </c>
    </row>
    <row r="115" spans="1:12" x14ac:dyDescent="0.25">
      <c r="A115">
        <v>3909</v>
      </c>
    </row>
    <row r="116" spans="1:12" x14ac:dyDescent="0.25">
      <c r="A116">
        <v>4663</v>
      </c>
    </row>
    <row r="117" spans="1:12" x14ac:dyDescent="0.25">
      <c r="A117">
        <v>1005522</v>
      </c>
      <c r="B117">
        <v>0</v>
      </c>
      <c r="C117">
        <v>0.7</v>
      </c>
      <c r="I117">
        <v>0.9</v>
      </c>
      <c r="L117">
        <v>0.7</v>
      </c>
    </row>
    <row r="118" spans="1:12" x14ac:dyDescent="0.25">
      <c r="A118">
        <v>1007631</v>
      </c>
    </row>
    <row r="119" spans="1:12" x14ac:dyDescent="0.25">
      <c r="A119">
        <v>1009760</v>
      </c>
    </row>
    <row r="120" spans="1:12" x14ac:dyDescent="0.25">
      <c r="A120">
        <v>2000646</v>
      </c>
    </row>
    <row r="121" spans="1:12" x14ac:dyDescent="0.25">
      <c r="A121">
        <v>2003761</v>
      </c>
    </row>
    <row r="122" spans="1:12" x14ac:dyDescent="0.25">
      <c r="A122">
        <v>2004061</v>
      </c>
    </row>
    <row r="123" spans="1:12" x14ac:dyDescent="0.25">
      <c r="A123">
        <v>2006469</v>
      </c>
    </row>
    <row r="124" spans="1:12" x14ac:dyDescent="0.25">
      <c r="A124">
        <v>3005132</v>
      </c>
    </row>
    <row r="125" spans="1:12" x14ac:dyDescent="0.25">
      <c r="A125">
        <v>3009119</v>
      </c>
    </row>
    <row r="126" spans="1:12" x14ac:dyDescent="0.25">
      <c r="A126">
        <v>3009936</v>
      </c>
    </row>
    <row r="127" spans="1:12" x14ac:dyDescent="0.25">
      <c r="A127">
        <v>3011094</v>
      </c>
    </row>
    <row r="128" spans="1:12" x14ac:dyDescent="0.25">
      <c r="A128">
        <v>3014643</v>
      </c>
    </row>
    <row r="129" spans="1:17" x14ac:dyDescent="0.25">
      <c r="A129">
        <v>3016056</v>
      </c>
      <c r="I129">
        <v>1.1000000000000001</v>
      </c>
      <c r="Q129">
        <v>0.9</v>
      </c>
    </row>
    <row r="130" spans="1:17" x14ac:dyDescent="0.25">
      <c r="A130">
        <v>3900219</v>
      </c>
    </row>
    <row r="131" spans="1:17" x14ac:dyDescent="0.25">
      <c r="A131">
        <v>4000158</v>
      </c>
    </row>
    <row r="132" spans="1:17" x14ac:dyDescent="0.25">
      <c r="A132">
        <v>4000304</v>
      </c>
    </row>
    <row r="133" spans="1:17" x14ac:dyDescent="0.25">
      <c r="A133">
        <v>4001905</v>
      </c>
    </row>
    <row r="134" spans="1:17" x14ac:dyDescent="0.25">
      <c r="A134">
        <v>4002206</v>
      </c>
    </row>
    <row r="135" spans="1:17" x14ac:dyDescent="0.25">
      <c r="A135">
        <v>4002715</v>
      </c>
    </row>
    <row r="136" spans="1:17" x14ac:dyDescent="0.25">
      <c r="A136">
        <v>4003924</v>
      </c>
    </row>
    <row r="137" spans="1:17" x14ac:dyDescent="0.25">
      <c r="A137">
        <v>4006051</v>
      </c>
    </row>
    <row r="138" spans="1:17" x14ac:dyDescent="0.25">
      <c r="A138">
        <v>4008140</v>
      </c>
    </row>
    <row r="139" spans="1:17" x14ac:dyDescent="0.25">
      <c r="A139">
        <v>4009906</v>
      </c>
      <c r="J139">
        <v>0.8</v>
      </c>
      <c r="N139">
        <v>3.3</v>
      </c>
      <c r="O139">
        <v>4.8</v>
      </c>
      <c r="P139">
        <v>0.8</v>
      </c>
    </row>
    <row r="140" spans="1:17" x14ac:dyDescent="0.25">
      <c r="A140">
        <v>4011027</v>
      </c>
    </row>
    <row r="141" spans="1:17" x14ac:dyDescent="0.25">
      <c r="A141">
        <v>4011920</v>
      </c>
    </row>
    <row r="142" spans="1:17" x14ac:dyDescent="0.25">
      <c r="A142">
        <v>4012248</v>
      </c>
    </row>
    <row r="143" spans="1:17" x14ac:dyDescent="0.25">
      <c r="A143">
        <v>4013603</v>
      </c>
    </row>
    <row r="144" spans="1:17" x14ac:dyDescent="0.25">
      <c r="A144">
        <v>5004654</v>
      </c>
      <c r="J144">
        <v>1.2</v>
      </c>
    </row>
    <row r="145" spans="1:1" x14ac:dyDescent="0.25">
      <c r="A145" s="65"/>
    </row>
    <row r="146" spans="1:1" x14ac:dyDescent="0.25">
      <c r="A146" s="10" t="s">
        <v>146</v>
      </c>
    </row>
    <row r="147" spans="1:1" x14ac:dyDescent="0.25">
      <c r="A147">
        <v>4289</v>
      </c>
    </row>
    <row r="148" spans="1:1" x14ac:dyDescent="0.25">
      <c r="A148">
        <v>500245</v>
      </c>
    </row>
    <row r="149" spans="1:1" x14ac:dyDescent="0.25">
      <c r="A149">
        <v>2002573</v>
      </c>
    </row>
    <row r="150" spans="1:1" x14ac:dyDescent="0.25">
      <c r="A150">
        <v>2003539</v>
      </c>
    </row>
    <row r="151" spans="1:1" x14ac:dyDescent="0.25">
      <c r="A151">
        <v>2003649</v>
      </c>
    </row>
    <row r="152" spans="1:1" x14ac:dyDescent="0.25">
      <c r="A152">
        <v>2005572</v>
      </c>
    </row>
    <row r="153" spans="1:1" x14ac:dyDescent="0.25">
      <c r="A153">
        <v>2013117</v>
      </c>
    </row>
    <row r="154" spans="1:1" x14ac:dyDescent="0.25">
      <c r="A154">
        <v>3009633</v>
      </c>
    </row>
    <row r="155" spans="1:1" x14ac:dyDescent="0.25">
      <c r="A155">
        <v>3010583</v>
      </c>
    </row>
    <row r="156" spans="1:1" x14ac:dyDescent="0.25">
      <c r="A156" s="23">
        <v>3011892</v>
      </c>
    </row>
    <row r="157" spans="1:1" x14ac:dyDescent="0.25">
      <c r="A157">
        <v>4001382</v>
      </c>
    </row>
    <row r="158" spans="1:1" x14ac:dyDescent="0.25">
      <c r="A158">
        <v>5018675</v>
      </c>
    </row>
    <row r="159" spans="1:1" x14ac:dyDescent="0.25">
      <c r="A159">
        <v>6050168</v>
      </c>
    </row>
    <row r="160" spans="1:1" x14ac:dyDescent="0.25">
      <c r="A160">
        <v>5006592</v>
      </c>
    </row>
    <row r="161" spans="1:9" x14ac:dyDescent="0.25">
      <c r="A161">
        <v>5007274</v>
      </c>
    </row>
    <row r="162" spans="1:9" x14ac:dyDescent="0.25">
      <c r="A162">
        <v>5015851</v>
      </c>
    </row>
    <row r="163" spans="1:9" x14ac:dyDescent="0.25">
      <c r="A163">
        <v>6015647</v>
      </c>
      <c r="I163">
        <v>0.5</v>
      </c>
    </row>
    <row r="164" spans="1:9" x14ac:dyDescent="0.25">
      <c r="A164">
        <v>6056633</v>
      </c>
    </row>
    <row r="165" spans="1:9" x14ac:dyDescent="0.25">
      <c r="A165">
        <v>7086224</v>
      </c>
    </row>
    <row r="166" spans="1:9" x14ac:dyDescent="0.25">
      <c r="A166">
        <v>8040959</v>
      </c>
    </row>
    <row r="167" spans="1:9" x14ac:dyDescent="0.25">
      <c r="A167">
        <v>8107048</v>
      </c>
    </row>
    <row r="168" spans="1:9" x14ac:dyDescent="0.25">
      <c r="A168">
        <v>8124044</v>
      </c>
    </row>
    <row r="169" spans="1:9" x14ac:dyDescent="0.25">
      <c r="A169">
        <v>8142949</v>
      </c>
    </row>
    <row r="170" spans="1:9" x14ac:dyDescent="0.25">
      <c r="A170">
        <v>9023306</v>
      </c>
    </row>
    <row r="171" spans="1:9" x14ac:dyDescent="0.25">
      <c r="A171">
        <v>9030615</v>
      </c>
    </row>
    <row r="172" spans="1:9" x14ac:dyDescent="0.25">
      <c r="A172">
        <v>9034464</v>
      </c>
    </row>
    <row r="173" spans="1:9" x14ac:dyDescent="0.25">
      <c r="A173">
        <v>9040167</v>
      </c>
    </row>
    <row r="174" spans="1:9" x14ac:dyDescent="0.25">
      <c r="A174">
        <v>9054567</v>
      </c>
    </row>
    <row r="175" spans="1:9" x14ac:dyDescent="0.25">
      <c r="A175">
        <v>9083682</v>
      </c>
    </row>
    <row r="176" spans="1:9" x14ac:dyDescent="0.25">
      <c r="A176">
        <v>9102044</v>
      </c>
    </row>
    <row r="177" spans="1:1" x14ac:dyDescent="0.25">
      <c r="A177">
        <v>9119854</v>
      </c>
    </row>
    <row r="178" spans="1:1" x14ac:dyDescent="0.25">
      <c r="A178">
        <v>9125126</v>
      </c>
    </row>
    <row r="179" spans="1:1" x14ac:dyDescent="0.25">
      <c r="A179">
        <v>9174811</v>
      </c>
    </row>
    <row r="180" spans="1:1" x14ac:dyDescent="0.25">
      <c r="A180">
        <v>10002875</v>
      </c>
    </row>
    <row r="181" spans="1:1" x14ac:dyDescent="0.25">
      <c r="A181">
        <v>10023080</v>
      </c>
    </row>
    <row r="182" spans="1:1" x14ac:dyDescent="0.25">
      <c r="A182">
        <v>10025212</v>
      </c>
    </row>
    <row r="183" spans="1:1" x14ac:dyDescent="0.25">
      <c r="A183">
        <v>10069407</v>
      </c>
    </row>
    <row r="184" spans="1:1" x14ac:dyDescent="0.25">
      <c r="A184">
        <v>10071135</v>
      </c>
    </row>
    <row r="185" spans="1:1" x14ac:dyDescent="0.25">
      <c r="A185">
        <v>10083649</v>
      </c>
    </row>
    <row r="186" spans="1:1" x14ac:dyDescent="0.25">
      <c r="A186">
        <v>10102021</v>
      </c>
    </row>
    <row r="187" spans="1:1" x14ac:dyDescent="0.25">
      <c r="A187">
        <v>10123729</v>
      </c>
    </row>
    <row r="188" spans="1:1" x14ac:dyDescent="0.25">
      <c r="A188">
        <v>10144736</v>
      </c>
    </row>
    <row r="189" spans="1:1" x14ac:dyDescent="0.25">
      <c r="A189">
        <v>10157275</v>
      </c>
    </row>
    <row r="190" spans="1:1" x14ac:dyDescent="0.25">
      <c r="A190" s="65"/>
    </row>
    <row r="191" spans="1:1" x14ac:dyDescent="0.25">
      <c r="A191" s="10" t="s">
        <v>120</v>
      </c>
    </row>
    <row r="192" spans="1:1" x14ac:dyDescent="0.25">
      <c r="A192">
        <v>5281</v>
      </c>
    </row>
    <row r="193" spans="1:11" x14ac:dyDescent="0.25">
      <c r="A193">
        <v>200085</v>
      </c>
    </row>
    <row r="194" spans="1:11" x14ac:dyDescent="0.25">
      <c r="A194">
        <v>500129</v>
      </c>
    </row>
    <row r="195" spans="1:11" x14ac:dyDescent="0.25">
      <c r="A195" s="23">
        <v>1002033</v>
      </c>
    </row>
    <row r="196" spans="1:11" x14ac:dyDescent="0.25">
      <c r="A196">
        <v>1003457</v>
      </c>
    </row>
    <row r="197" spans="1:11" x14ac:dyDescent="0.25">
      <c r="A197">
        <v>2005223</v>
      </c>
    </row>
    <row r="198" spans="1:11" x14ac:dyDescent="0.25">
      <c r="A198">
        <v>2006107</v>
      </c>
    </row>
    <row r="199" spans="1:11" x14ac:dyDescent="0.25">
      <c r="A199">
        <v>2012014</v>
      </c>
      <c r="E199">
        <v>0.6</v>
      </c>
      <c r="K199">
        <v>1</v>
      </c>
    </row>
    <row r="200" spans="1:11" x14ac:dyDescent="0.25">
      <c r="A200">
        <v>3000152</v>
      </c>
    </row>
    <row r="201" spans="1:11" x14ac:dyDescent="0.25">
      <c r="A201">
        <v>3014566</v>
      </c>
    </row>
    <row r="202" spans="1:11" x14ac:dyDescent="0.25">
      <c r="A202">
        <v>3015058</v>
      </c>
    </row>
    <row r="203" spans="1:11" x14ac:dyDescent="0.25">
      <c r="A203" s="23">
        <v>4000996</v>
      </c>
    </row>
    <row r="204" spans="1:11" x14ac:dyDescent="0.25">
      <c r="A204">
        <v>4003768</v>
      </c>
    </row>
    <row r="205" spans="1:11" x14ac:dyDescent="0.25">
      <c r="A205">
        <v>4006540</v>
      </c>
    </row>
    <row r="206" spans="1:11" x14ac:dyDescent="0.25">
      <c r="A206">
        <v>4007054</v>
      </c>
    </row>
    <row r="207" spans="1:11" x14ac:dyDescent="0.25">
      <c r="A207">
        <v>4011002</v>
      </c>
    </row>
    <row r="208" spans="1:11" x14ac:dyDescent="0.25">
      <c r="A208">
        <v>4900268</v>
      </c>
    </row>
    <row r="209" spans="1:12" x14ac:dyDescent="0.25">
      <c r="A209">
        <v>5001097</v>
      </c>
      <c r="F209">
        <v>1.1000000000000001</v>
      </c>
      <c r="G209">
        <v>0.6</v>
      </c>
      <c r="L209">
        <v>1.1000000000000001</v>
      </c>
    </row>
    <row r="210" spans="1:12" x14ac:dyDescent="0.25">
      <c r="A210">
        <v>5001098</v>
      </c>
      <c r="D210">
        <v>0.4</v>
      </c>
      <c r="F210">
        <v>0.6</v>
      </c>
    </row>
    <row r="211" spans="1:12" x14ac:dyDescent="0.25">
      <c r="A211">
        <v>5006152</v>
      </c>
    </row>
    <row r="212" spans="1:12" x14ac:dyDescent="0.25">
      <c r="A212">
        <v>6012361</v>
      </c>
    </row>
    <row r="213" spans="1:12" x14ac:dyDescent="0.25">
      <c r="A213">
        <v>6015793</v>
      </c>
    </row>
    <row r="214" spans="1:12" x14ac:dyDescent="0.25">
      <c r="A214">
        <v>6043619</v>
      </c>
    </row>
    <row r="215" spans="1:12" x14ac:dyDescent="0.25">
      <c r="A215">
        <v>7001097</v>
      </c>
    </row>
    <row r="216" spans="1:12" x14ac:dyDescent="0.25">
      <c r="A216">
        <v>7011435</v>
      </c>
    </row>
    <row r="217" spans="1:12" x14ac:dyDescent="0.25">
      <c r="A217">
        <v>7045811</v>
      </c>
    </row>
    <row r="218" spans="1:12" x14ac:dyDescent="0.25">
      <c r="A218">
        <v>7071198</v>
      </c>
    </row>
    <row r="219" spans="1:12" x14ac:dyDescent="0.25">
      <c r="A219">
        <v>7101143</v>
      </c>
    </row>
    <row r="220" spans="1:12" x14ac:dyDescent="0.25">
      <c r="A220">
        <v>8073350</v>
      </c>
    </row>
    <row r="221" spans="1:12" x14ac:dyDescent="0.25">
      <c r="A221">
        <v>8073645</v>
      </c>
    </row>
    <row r="222" spans="1:12" x14ac:dyDescent="0.25">
      <c r="A222" s="23">
        <v>8089666</v>
      </c>
    </row>
    <row r="223" spans="1:12" x14ac:dyDescent="0.25">
      <c r="A223">
        <v>8103536</v>
      </c>
    </row>
    <row r="224" spans="1:12" x14ac:dyDescent="0.25">
      <c r="A224">
        <v>8124816</v>
      </c>
    </row>
    <row r="225" spans="1:1" x14ac:dyDescent="0.25">
      <c r="A225">
        <v>9003267</v>
      </c>
    </row>
    <row r="226" spans="1:1" x14ac:dyDescent="0.25">
      <c r="A226">
        <v>9036964</v>
      </c>
    </row>
    <row r="227" spans="1:1" x14ac:dyDescent="0.25">
      <c r="A227">
        <v>9090287</v>
      </c>
    </row>
    <row r="228" spans="1:1" x14ac:dyDescent="0.25">
      <c r="A228">
        <v>9095148</v>
      </c>
    </row>
    <row r="229" spans="1:1" x14ac:dyDescent="0.25">
      <c r="A229">
        <v>9104979</v>
      </c>
    </row>
    <row r="230" spans="1:1" x14ac:dyDescent="0.25">
      <c r="A230">
        <v>9139514</v>
      </c>
    </row>
    <row r="231" spans="1:1" x14ac:dyDescent="0.25">
      <c r="A231">
        <v>10020659</v>
      </c>
    </row>
    <row r="232" spans="1:1" x14ac:dyDescent="0.25">
      <c r="A232">
        <v>10025902</v>
      </c>
    </row>
    <row r="233" spans="1:1" x14ac:dyDescent="0.25">
      <c r="A233">
        <v>10027654</v>
      </c>
    </row>
    <row r="234" spans="1:1" x14ac:dyDescent="0.25">
      <c r="A234">
        <v>10084485</v>
      </c>
    </row>
    <row r="235" spans="1:1" x14ac:dyDescent="0.25">
      <c r="A235">
        <v>10098420</v>
      </c>
    </row>
    <row r="236" spans="1:1" x14ac:dyDescent="0.25">
      <c r="A236">
        <v>10129565</v>
      </c>
    </row>
    <row r="237" spans="1:1" x14ac:dyDescent="0.25">
      <c r="A237">
        <v>10146828</v>
      </c>
    </row>
    <row r="238" spans="1:1" x14ac:dyDescent="0.25">
      <c r="A238">
        <v>10163776</v>
      </c>
    </row>
    <row r="239" spans="1:1" x14ac:dyDescent="0.25">
      <c r="A239">
        <v>10173664</v>
      </c>
    </row>
  </sheetData>
  <conditionalFormatting sqref="A19">
    <cfRule type="duplicateValues" dxfId="8" priority="1"/>
  </conditionalFormatting>
  <pageMargins left="0.7" right="0.7" top="0.78740157499999996" bottom="0.78740157499999996" header="0.3" footer="0.3"/>
  <tableParts count="1">
    <tablePart r:id="rId1"/>
  </tableParts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Views>
    <sheetView workbookViewId="0">
      <selection activeCell="D29" sqref="D29"/>
    </sheetView>
  </sheetViews>
  <sheetFormatPr defaultColWidth="11.42578125" defaultRowHeight="15" x14ac:dyDescent="0.25"/>
  <cols>
    <col min="1" max="1" width="17.28515625" bestFit="1" customWidth="1"/>
    <col min="2" max="2" width="24.7109375" bestFit="1" customWidth="1"/>
    <col min="3" max="3" width="81.140625" bestFit="1" customWidth="1"/>
    <col min="4" max="4" width="30.28515625" bestFit="1" customWidth="1"/>
  </cols>
  <sheetData>
    <row r="1" spans="1:4" x14ac:dyDescent="0.25">
      <c r="A1" s="66" t="s">
        <v>59</v>
      </c>
      <c r="B1" s="66" t="s">
        <v>3331</v>
      </c>
      <c r="C1" s="66" t="s">
        <v>2564</v>
      </c>
      <c r="D1" s="66" t="s">
        <v>2523</v>
      </c>
    </row>
    <row r="2" spans="1:4" x14ac:dyDescent="0.25">
      <c r="A2" s="66">
        <v>1003215</v>
      </c>
      <c r="B2" s="66" t="s">
        <v>3331</v>
      </c>
      <c r="C2" s="66" t="s">
        <v>560</v>
      </c>
      <c r="D2" s="66">
        <v>1</v>
      </c>
    </row>
    <row r="3" spans="1:4" x14ac:dyDescent="0.25">
      <c r="A3" s="66">
        <v>324</v>
      </c>
      <c r="B3" s="66" t="s">
        <v>3331</v>
      </c>
      <c r="C3" s="66" t="s">
        <v>1048</v>
      </c>
      <c r="D3" s="66">
        <v>1</v>
      </c>
    </row>
    <row r="4" spans="1:4" x14ac:dyDescent="0.25">
      <c r="A4" s="66">
        <v>1005522</v>
      </c>
      <c r="B4" s="66" t="s">
        <v>3331</v>
      </c>
      <c r="C4" s="66" t="s">
        <v>3332</v>
      </c>
      <c r="D4" s="66">
        <v>4</v>
      </c>
    </row>
    <row r="5" spans="1:4" x14ac:dyDescent="0.25">
      <c r="A5" s="66">
        <v>3016056</v>
      </c>
      <c r="B5" s="66" t="s">
        <v>3331</v>
      </c>
      <c r="C5" s="66" t="s">
        <v>3333</v>
      </c>
      <c r="D5" s="66">
        <v>2</v>
      </c>
    </row>
    <row r="6" spans="1:4" x14ac:dyDescent="0.25">
      <c r="A6" s="66">
        <v>4009906</v>
      </c>
      <c r="B6" s="66" t="s">
        <v>3331</v>
      </c>
      <c r="C6" s="66" t="s">
        <v>3334</v>
      </c>
      <c r="D6" s="66">
        <v>4</v>
      </c>
    </row>
    <row r="7" spans="1:4" x14ac:dyDescent="0.25">
      <c r="A7" s="66">
        <v>5004654</v>
      </c>
      <c r="B7" s="66" t="s">
        <v>3331</v>
      </c>
      <c r="C7" s="66" t="s">
        <v>1585</v>
      </c>
      <c r="D7" s="66">
        <v>1</v>
      </c>
    </row>
    <row r="8" spans="1:4" x14ac:dyDescent="0.25">
      <c r="A8" s="66">
        <v>6015647</v>
      </c>
      <c r="B8" s="66" t="s">
        <v>3331</v>
      </c>
      <c r="C8" s="66" t="s">
        <v>1048</v>
      </c>
      <c r="D8" s="66">
        <v>1</v>
      </c>
    </row>
    <row r="9" spans="1:4" x14ac:dyDescent="0.25">
      <c r="A9" s="66">
        <v>2012014</v>
      </c>
      <c r="B9" s="66" t="s">
        <v>3331</v>
      </c>
      <c r="C9" s="66" t="s">
        <v>3335</v>
      </c>
      <c r="D9" s="66">
        <v>2</v>
      </c>
    </row>
    <row r="10" spans="1:4" x14ac:dyDescent="0.25">
      <c r="A10" s="66">
        <v>5001097</v>
      </c>
      <c r="B10" s="66" t="s">
        <v>3331</v>
      </c>
      <c r="C10" s="66" t="s">
        <v>3336</v>
      </c>
      <c r="D10" s="66">
        <v>3</v>
      </c>
    </row>
    <row r="11" spans="1:4" x14ac:dyDescent="0.25">
      <c r="A11" s="66">
        <v>5001098</v>
      </c>
      <c r="B11" s="66" t="s">
        <v>3331</v>
      </c>
      <c r="C11" s="66" t="s">
        <v>3337</v>
      </c>
      <c r="D11" s="66">
        <v>2</v>
      </c>
    </row>
  </sheetData>
  <phoneticPr fontId="6" type="noConversion"/>
  <pageMargins left="0.7" right="0.7" top="0.78740157499999996" bottom="0.78740157499999996" header="0.3" footer="0.3"/>
  <tableParts count="1">
    <tablePart r:id="rId1"/>
  </tableParts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239"/>
  <sheetViews>
    <sheetView workbookViewId="0">
      <selection sqref="A1:V239"/>
    </sheetView>
  </sheetViews>
  <sheetFormatPr defaultColWidth="11.42578125" defaultRowHeight="15" x14ac:dyDescent="0.25"/>
  <cols>
    <col min="1" max="1" width="17.140625" customWidth="1"/>
    <col min="2" max="2" width="37.28515625" customWidth="1"/>
    <col min="3" max="4" width="36.28515625" customWidth="1"/>
    <col min="5" max="5" width="35.140625" customWidth="1"/>
    <col min="6" max="6" width="31.5703125" customWidth="1"/>
    <col min="7" max="7" width="17.85546875" customWidth="1"/>
    <col min="8" max="12" width="13.5703125" customWidth="1"/>
    <col min="13" max="13" width="20.85546875" customWidth="1"/>
    <col min="14" max="16" width="16.140625" customWidth="1"/>
    <col min="17" max="17" width="20.85546875" customWidth="1"/>
    <col min="18" max="19" width="16.140625" customWidth="1"/>
    <col min="20" max="21" width="18.85546875" customWidth="1"/>
    <col min="22" max="22" width="23.5703125" customWidth="1"/>
  </cols>
  <sheetData>
    <row r="1" spans="1:22" ht="60" x14ac:dyDescent="0.25">
      <c r="A1" s="61" t="s">
        <v>59</v>
      </c>
      <c r="B1" s="62" t="s">
        <v>1884</v>
      </c>
      <c r="C1" s="62" t="s">
        <v>1885</v>
      </c>
      <c r="D1" s="62" t="s">
        <v>788</v>
      </c>
      <c r="E1" s="62" t="s">
        <v>2401</v>
      </c>
      <c r="F1" s="62" t="s">
        <v>1589</v>
      </c>
      <c r="G1" s="63" t="s">
        <v>50</v>
      </c>
      <c r="H1" s="62" t="s">
        <v>2402</v>
      </c>
      <c r="I1" s="62" t="s">
        <v>2229</v>
      </c>
      <c r="J1" s="62" t="s">
        <v>1263</v>
      </c>
      <c r="K1" s="62" t="s">
        <v>95</v>
      </c>
      <c r="L1" s="62" t="s">
        <v>1264</v>
      </c>
      <c r="M1" s="62" t="s">
        <v>1590</v>
      </c>
      <c r="N1" s="62" t="s">
        <v>2077</v>
      </c>
      <c r="O1" s="62" t="s">
        <v>644</v>
      </c>
      <c r="P1" s="62" t="s">
        <v>1325</v>
      </c>
      <c r="Q1" s="62" t="s">
        <v>1591</v>
      </c>
      <c r="R1" s="62" t="s">
        <v>2143</v>
      </c>
      <c r="S1" s="62" t="s">
        <v>643</v>
      </c>
      <c r="T1" s="62" t="s">
        <v>2339</v>
      </c>
      <c r="U1" s="62" t="s">
        <v>2340</v>
      </c>
      <c r="V1" s="62" t="s">
        <v>1592</v>
      </c>
    </row>
    <row r="2" spans="1:22" x14ac:dyDescent="0.25">
      <c r="A2" s="40" t="s">
        <v>561</v>
      </c>
    </row>
    <row r="3" spans="1:22" x14ac:dyDescent="0.25">
      <c r="A3" s="10" t="s">
        <v>2519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</row>
    <row r="4" spans="1:22" x14ac:dyDescent="0.25">
      <c r="A4">
        <v>7072184</v>
      </c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</row>
    <row r="5" spans="1:22" x14ac:dyDescent="0.25">
      <c r="A5">
        <v>9108231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</row>
    <row r="6" spans="1:22" x14ac:dyDescent="0.25">
      <c r="A6">
        <v>12061933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</row>
    <row r="7" spans="1:22" x14ac:dyDescent="0.25">
      <c r="A7">
        <v>95005911</v>
      </c>
    </row>
    <row r="8" spans="1:22" x14ac:dyDescent="0.25">
      <c r="A8">
        <v>99001908</v>
      </c>
    </row>
    <row r="9" spans="1:22" x14ac:dyDescent="0.25">
      <c r="A9">
        <v>99004067</v>
      </c>
    </row>
    <row r="10" spans="1:22" x14ac:dyDescent="0.25">
      <c r="A10">
        <v>97002136</v>
      </c>
    </row>
    <row r="11" spans="1:22" x14ac:dyDescent="0.25">
      <c r="A11">
        <v>1502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</row>
    <row r="12" spans="1:22" x14ac:dyDescent="0.25">
      <c r="A12">
        <v>4003543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</row>
    <row r="13" spans="1:22" x14ac:dyDescent="0.25">
      <c r="A13">
        <v>4900261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</row>
    <row r="15" spans="1:22" x14ac:dyDescent="0.25">
      <c r="A15" s="10" t="s">
        <v>2520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</row>
    <row r="16" spans="1:22" x14ac:dyDescent="0.25">
      <c r="A16">
        <v>14242856</v>
      </c>
      <c r="G16" s="6">
        <v>22</v>
      </c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</row>
    <row r="17" spans="1:22" x14ac:dyDescent="0.25">
      <c r="A17">
        <v>99001183</v>
      </c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</row>
    <row r="18" spans="1:22" x14ac:dyDescent="0.25">
      <c r="A18">
        <v>3000983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</row>
    <row r="19" spans="1:22" x14ac:dyDescent="0.25">
      <c r="A19">
        <v>10064335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</row>
    <row r="20" spans="1:22" x14ac:dyDescent="0.25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</row>
    <row r="21" spans="1:22" x14ac:dyDescent="0.25">
      <c r="A21" s="10" t="s">
        <v>2521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</row>
    <row r="22" spans="1:22" x14ac:dyDescent="0.25">
      <c r="A22">
        <v>1480</v>
      </c>
    </row>
    <row r="23" spans="1:22" x14ac:dyDescent="0.25">
      <c r="A23">
        <v>7063959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</row>
    <row r="24" spans="1:22" x14ac:dyDescent="0.25">
      <c r="A24">
        <v>1003215</v>
      </c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</row>
    <row r="25" spans="1:22" x14ac:dyDescent="0.25">
      <c r="A25">
        <v>99000802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</row>
    <row r="26" spans="1:22" x14ac:dyDescent="0.25">
      <c r="A26">
        <v>99000892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</row>
    <row r="27" spans="1:22" x14ac:dyDescent="0.25">
      <c r="A27">
        <v>1000192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</row>
    <row r="28" spans="1:22" x14ac:dyDescent="0.25">
      <c r="A28">
        <v>1506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</row>
    <row r="29" spans="1:22" x14ac:dyDescent="0.25">
      <c r="A29">
        <v>99000894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</row>
    <row r="30" spans="1:22" x14ac:dyDescent="0.25">
      <c r="A30">
        <v>99000897</v>
      </c>
    </row>
    <row r="31" spans="1:22" x14ac:dyDescent="0.25">
      <c r="A31">
        <v>99001245</v>
      </c>
    </row>
    <row r="32" spans="1:22" x14ac:dyDescent="0.25">
      <c r="A32">
        <v>99001902</v>
      </c>
    </row>
    <row r="33" spans="1:22" x14ac:dyDescent="0.25">
      <c r="A33">
        <v>99001912</v>
      </c>
    </row>
    <row r="34" spans="1:22" x14ac:dyDescent="0.25">
      <c r="A34">
        <v>99001913</v>
      </c>
    </row>
    <row r="35" spans="1:22" x14ac:dyDescent="0.25">
      <c r="A35">
        <v>99001937</v>
      </c>
    </row>
    <row r="36" spans="1:22" x14ac:dyDescent="0.25">
      <c r="A36">
        <v>99001943</v>
      </c>
    </row>
    <row r="37" spans="1:22" x14ac:dyDescent="0.25">
      <c r="A37">
        <v>99001927</v>
      </c>
    </row>
    <row r="38" spans="1:22" x14ac:dyDescent="0.25">
      <c r="A38">
        <v>1505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</row>
    <row r="39" spans="1:22" x14ac:dyDescent="0.25">
      <c r="A39">
        <v>1000197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</row>
    <row r="40" spans="1:22" x14ac:dyDescent="0.25">
      <c r="A40">
        <v>96018835</v>
      </c>
      <c r="B40" s="6"/>
      <c r="C40" s="6"/>
      <c r="D40" s="6"/>
      <c r="E40" s="6"/>
      <c r="F40" s="6"/>
      <c r="G40" s="6"/>
      <c r="H40" s="6"/>
      <c r="I40" s="6"/>
      <c r="J40" s="6"/>
      <c r="K40" s="6">
        <v>25</v>
      </c>
      <c r="L40" s="6"/>
      <c r="M40" s="6">
        <v>22</v>
      </c>
      <c r="N40" s="6"/>
      <c r="O40" s="6"/>
      <c r="P40" s="6"/>
      <c r="Q40" s="6"/>
      <c r="R40" s="6"/>
      <c r="S40" s="6"/>
      <c r="T40" s="6"/>
      <c r="U40" s="6"/>
      <c r="V40" s="6"/>
    </row>
    <row r="41" spans="1:22" x14ac:dyDescent="0.25">
      <c r="A41">
        <v>98008326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</row>
    <row r="42" spans="1:22" x14ac:dyDescent="0.25">
      <c r="A42">
        <v>99000717</v>
      </c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</row>
    <row r="43" spans="1:22" x14ac:dyDescent="0.25"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</row>
    <row r="44" spans="1:22" x14ac:dyDescent="0.25">
      <c r="A44" s="25" t="s">
        <v>169</v>
      </c>
    </row>
    <row r="45" spans="1:22" x14ac:dyDescent="0.25">
      <c r="A45" s="10" t="s">
        <v>143</v>
      </c>
    </row>
    <row r="46" spans="1:22" x14ac:dyDescent="0.25">
      <c r="A46">
        <v>6016435</v>
      </c>
    </row>
    <row r="47" spans="1:22" x14ac:dyDescent="0.25">
      <c r="A47">
        <v>8045149</v>
      </c>
    </row>
    <row r="48" spans="1:22" x14ac:dyDescent="0.25">
      <c r="A48">
        <v>10023001</v>
      </c>
    </row>
    <row r="49" spans="1:19" x14ac:dyDescent="0.25">
      <c r="A49">
        <v>10027526</v>
      </c>
    </row>
    <row r="50" spans="1:19" x14ac:dyDescent="0.25">
      <c r="A50">
        <v>14222171</v>
      </c>
    </row>
    <row r="51" spans="1:19" x14ac:dyDescent="0.25">
      <c r="A51">
        <v>1006143</v>
      </c>
    </row>
    <row r="52" spans="1:19" x14ac:dyDescent="0.25">
      <c r="A52">
        <v>6006917</v>
      </c>
    </row>
    <row r="54" spans="1:19" x14ac:dyDescent="0.25">
      <c r="A54" s="10" t="s">
        <v>146</v>
      </c>
    </row>
    <row r="55" spans="1:19" x14ac:dyDescent="0.25">
      <c r="A55">
        <v>8057159</v>
      </c>
    </row>
    <row r="56" spans="1:19" x14ac:dyDescent="0.25">
      <c r="A56">
        <v>9140312</v>
      </c>
    </row>
    <row r="57" spans="1:19" x14ac:dyDescent="0.25">
      <c r="A57">
        <v>12008230</v>
      </c>
    </row>
    <row r="58" spans="1:19" x14ac:dyDescent="0.25">
      <c r="A58">
        <v>12088444</v>
      </c>
    </row>
    <row r="59" spans="1:19" x14ac:dyDescent="0.25">
      <c r="A59">
        <v>13118872</v>
      </c>
    </row>
    <row r="60" spans="1:19" x14ac:dyDescent="0.25">
      <c r="A60">
        <v>12012030</v>
      </c>
      <c r="O60">
        <v>217</v>
      </c>
      <c r="S60">
        <v>206</v>
      </c>
    </row>
    <row r="62" spans="1:19" x14ac:dyDescent="0.25">
      <c r="A62" s="10" t="s">
        <v>120</v>
      </c>
    </row>
    <row r="63" spans="1:19" x14ac:dyDescent="0.25">
      <c r="A63">
        <v>9074418</v>
      </c>
    </row>
    <row r="64" spans="1:19" x14ac:dyDescent="0.25">
      <c r="A64">
        <v>1263</v>
      </c>
    </row>
    <row r="65" spans="1:22" x14ac:dyDescent="0.25">
      <c r="A65">
        <v>98004910</v>
      </c>
    </row>
    <row r="66" spans="1:22" x14ac:dyDescent="0.25">
      <c r="A66">
        <v>7103068</v>
      </c>
      <c r="F66">
        <v>16</v>
      </c>
    </row>
    <row r="67" spans="1:22" x14ac:dyDescent="0.25">
      <c r="A67">
        <v>11240728</v>
      </c>
    </row>
    <row r="68" spans="1:22" x14ac:dyDescent="0.25"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</row>
    <row r="69" spans="1:22" x14ac:dyDescent="0.25">
      <c r="A69" s="26" t="s">
        <v>170</v>
      </c>
    </row>
    <row r="70" spans="1:22" x14ac:dyDescent="0.25">
      <c r="A70" s="10" t="s">
        <v>143</v>
      </c>
    </row>
    <row r="71" spans="1:22" x14ac:dyDescent="0.25">
      <c r="A71">
        <v>5015869</v>
      </c>
    </row>
    <row r="72" spans="1:22" x14ac:dyDescent="0.25">
      <c r="A72">
        <v>5016969</v>
      </c>
    </row>
    <row r="73" spans="1:22" x14ac:dyDescent="0.25">
      <c r="A73">
        <v>6023231</v>
      </c>
    </row>
    <row r="74" spans="1:22" x14ac:dyDescent="0.25">
      <c r="A74">
        <v>6010712</v>
      </c>
    </row>
    <row r="75" spans="1:22" x14ac:dyDescent="0.25">
      <c r="A75">
        <v>6011198</v>
      </c>
    </row>
    <row r="76" spans="1:22" x14ac:dyDescent="0.25">
      <c r="A76">
        <v>6012681</v>
      </c>
    </row>
    <row r="77" spans="1:22" x14ac:dyDescent="0.25">
      <c r="A77">
        <v>6014511</v>
      </c>
    </row>
    <row r="78" spans="1:22" x14ac:dyDescent="0.25">
      <c r="A78">
        <v>6045127</v>
      </c>
    </row>
    <row r="79" spans="1:22" x14ac:dyDescent="0.25">
      <c r="A79">
        <v>7000458</v>
      </c>
    </row>
    <row r="80" spans="1:22" x14ac:dyDescent="0.25">
      <c r="A80">
        <v>7015502</v>
      </c>
    </row>
    <row r="81" spans="1:4" x14ac:dyDescent="0.25">
      <c r="A81">
        <v>7025847</v>
      </c>
      <c r="D81">
        <v>14.257</v>
      </c>
    </row>
    <row r="82" spans="1:4" x14ac:dyDescent="0.25">
      <c r="A82">
        <v>7082707</v>
      </c>
    </row>
    <row r="83" spans="1:4" x14ac:dyDescent="0.25">
      <c r="A83">
        <v>7083159</v>
      </c>
    </row>
    <row r="84" spans="1:4" x14ac:dyDescent="0.25">
      <c r="A84">
        <v>7084659</v>
      </c>
    </row>
    <row r="85" spans="1:4" x14ac:dyDescent="0.25">
      <c r="A85">
        <v>7076814</v>
      </c>
    </row>
    <row r="86" spans="1:4" x14ac:dyDescent="0.25">
      <c r="A86">
        <v>7076815</v>
      </c>
    </row>
    <row r="87" spans="1:4" x14ac:dyDescent="0.25">
      <c r="A87">
        <v>7089231</v>
      </c>
    </row>
    <row r="88" spans="1:4" x14ac:dyDescent="0.25">
      <c r="A88">
        <v>7116004</v>
      </c>
    </row>
    <row r="89" spans="1:4" x14ac:dyDescent="0.25">
      <c r="A89">
        <v>8003819</v>
      </c>
    </row>
    <row r="90" spans="1:4" x14ac:dyDescent="0.25">
      <c r="A90">
        <v>8091779</v>
      </c>
    </row>
    <row r="91" spans="1:4" x14ac:dyDescent="0.25">
      <c r="A91">
        <v>8097989</v>
      </c>
    </row>
    <row r="92" spans="1:4" x14ac:dyDescent="0.25">
      <c r="A92">
        <v>8112522</v>
      </c>
    </row>
    <row r="93" spans="1:4" x14ac:dyDescent="0.25">
      <c r="A93">
        <v>8127397</v>
      </c>
    </row>
    <row r="94" spans="1:4" x14ac:dyDescent="0.25">
      <c r="A94">
        <v>8130998</v>
      </c>
    </row>
    <row r="95" spans="1:4" x14ac:dyDescent="0.25">
      <c r="A95">
        <v>9002836</v>
      </c>
    </row>
    <row r="96" spans="1:4" x14ac:dyDescent="0.25">
      <c r="A96">
        <v>9003331</v>
      </c>
    </row>
    <row r="97" spans="1:17" x14ac:dyDescent="0.25">
      <c r="A97">
        <v>9003370</v>
      </c>
    </row>
    <row r="98" spans="1:17" x14ac:dyDescent="0.25">
      <c r="A98">
        <v>9016278</v>
      </c>
    </row>
    <row r="99" spans="1:17" x14ac:dyDescent="0.25">
      <c r="A99">
        <v>9030684</v>
      </c>
    </row>
    <row r="100" spans="1:17" x14ac:dyDescent="0.25">
      <c r="A100">
        <v>9031387</v>
      </c>
    </row>
    <row r="101" spans="1:17" x14ac:dyDescent="0.25">
      <c r="A101">
        <v>9038676</v>
      </c>
    </row>
    <row r="102" spans="1:17" x14ac:dyDescent="0.25">
      <c r="A102">
        <v>9039416</v>
      </c>
    </row>
    <row r="103" spans="1:17" x14ac:dyDescent="0.25">
      <c r="A103">
        <v>9042861</v>
      </c>
      <c r="Q103">
        <v>60</v>
      </c>
    </row>
    <row r="104" spans="1:17" x14ac:dyDescent="0.25">
      <c r="A104">
        <v>9044899</v>
      </c>
    </row>
    <row r="105" spans="1:17" x14ac:dyDescent="0.25">
      <c r="A105">
        <v>9052398</v>
      </c>
    </row>
    <row r="106" spans="1:17" x14ac:dyDescent="0.25">
      <c r="A106">
        <v>9085204</v>
      </c>
    </row>
    <row r="107" spans="1:17" x14ac:dyDescent="0.25">
      <c r="A107">
        <v>9090323</v>
      </c>
    </row>
    <row r="108" spans="1:17" x14ac:dyDescent="0.25">
      <c r="A108">
        <v>9105492</v>
      </c>
    </row>
    <row r="109" spans="1:17" x14ac:dyDescent="0.25">
      <c r="A109">
        <v>9138470</v>
      </c>
    </row>
    <row r="110" spans="1:17" x14ac:dyDescent="0.25">
      <c r="A110">
        <v>9150676</v>
      </c>
    </row>
    <row r="111" spans="1:17" x14ac:dyDescent="0.25">
      <c r="A111">
        <v>10010926</v>
      </c>
    </row>
    <row r="112" spans="1:17" x14ac:dyDescent="0.25">
      <c r="A112">
        <v>10016588</v>
      </c>
    </row>
    <row r="113" spans="1:11" x14ac:dyDescent="0.25">
      <c r="A113">
        <v>10030897</v>
      </c>
    </row>
    <row r="114" spans="1:11" x14ac:dyDescent="0.25">
      <c r="A114">
        <v>324</v>
      </c>
    </row>
    <row r="115" spans="1:11" x14ac:dyDescent="0.25">
      <c r="A115">
        <v>3909</v>
      </c>
      <c r="K115">
        <v>56.8</v>
      </c>
    </row>
    <row r="116" spans="1:11" x14ac:dyDescent="0.25">
      <c r="A116">
        <v>4663</v>
      </c>
    </row>
    <row r="117" spans="1:11" x14ac:dyDescent="0.25">
      <c r="A117">
        <v>1005522</v>
      </c>
    </row>
    <row r="118" spans="1:11" x14ac:dyDescent="0.25">
      <c r="A118">
        <v>1007631</v>
      </c>
    </row>
    <row r="119" spans="1:11" x14ac:dyDescent="0.25">
      <c r="A119">
        <v>1009760</v>
      </c>
    </row>
    <row r="120" spans="1:11" x14ac:dyDescent="0.25">
      <c r="A120">
        <v>2000646</v>
      </c>
    </row>
    <row r="121" spans="1:11" x14ac:dyDescent="0.25">
      <c r="A121">
        <v>2003761</v>
      </c>
    </row>
    <row r="122" spans="1:11" x14ac:dyDescent="0.25">
      <c r="A122">
        <v>2004061</v>
      </c>
    </row>
    <row r="123" spans="1:11" x14ac:dyDescent="0.25">
      <c r="A123">
        <v>2006469</v>
      </c>
    </row>
    <row r="124" spans="1:11" x14ac:dyDescent="0.25">
      <c r="A124">
        <v>3005132</v>
      </c>
    </row>
    <row r="125" spans="1:11" x14ac:dyDescent="0.25">
      <c r="A125">
        <v>3009119</v>
      </c>
    </row>
    <row r="126" spans="1:11" x14ac:dyDescent="0.25">
      <c r="A126">
        <v>3009936</v>
      </c>
    </row>
    <row r="127" spans="1:11" x14ac:dyDescent="0.25">
      <c r="A127">
        <v>3011094</v>
      </c>
    </row>
    <row r="128" spans="1:11" x14ac:dyDescent="0.25">
      <c r="A128">
        <v>3014643</v>
      </c>
    </row>
    <row r="129" spans="1:22" x14ac:dyDescent="0.25">
      <c r="A129">
        <v>3016056</v>
      </c>
      <c r="V129">
        <v>66.7</v>
      </c>
    </row>
    <row r="130" spans="1:22" x14ac:dyDescent="0.25">
      <c r="A130">
        <v>3900219</v>
      </c>
    </row>
    <row r="131" spans="1:22" x14ac:dyDescent="0.25">
      <c r="A131">
        <v>4000158</v>
      </c>
    </row>
    <row r="132" spans="1:22" x14ac:dyDescent="0.25">
      <c r="A132">
        <v>4000304</v>
      </c>
    </row>
    <row r="133" spans="1:22" x14ac:dyDescent="0.25">
      <c r="A133">
        <v>4001905</v>
      </c>
    </row>
    <row r="134" spans="1:22" x14ac:dyDescent="0.25">
      <c r="A134">
        <v>4002206</v>
      </c>
    </row>
    <row r="135" spans="1:22" x14ac:dyDescent="0.25">
      <c r="A135">
        <v>4002715</v>
      </c>
    </row>
    <row r="136" spans="1:22" x14ac:dyDescent="0.25">
      <c r="A136">
        <v>4003924</v>
      </c>
    </row>
    <row r="137" spans="1:22" x14ac:dyDescent="0.25">
      <c r="A137">
        <v>4006051</v>
      </c>
    </row>
    <row r="138" spans="1:22" x14ac:dyDescent="0.25">
      <c r="A138">
        <v>4008140</v>
      </c>
    </row>
    <row r="139" spans="1:22" x14ac:dyDescent="0.25">
      <c r="A139">
        <v>4009906</v>
      </c>
    </row>
    <row r="140" spans="1:22" x14ac:dyDescent="0.25">
      <c r="A140">
        <v>4011027</v>
      </c>
    </row>
    <row r="141" spans="1:22" x14ac:dyDescent="0.25">
      <c r="A141">
        <v>4011920</v>
      </c>
    </row>
    <row r="142" spans="1:22" x14ac:dyDescent="0.25">
      <c r="A142">
        <v>4012248</v>
      </c>
    </row>
    <row r="143" spans="1:22" x14ac:dyDescent="0.25">
      <c r="A143">
        <v>4013603</v>
      </c>
    </row>
    <row r="144" spans="1:22" x14ac:dyDescent="0.25">
      <c r="A144">
        <v>5004654</v>
      </c>
      <c r="J144">
        <v>28</v>
      </c>
      <c r="L144">
        <v>33</v>
      </c>
    </row>
    <row r="145" spans="1:16" x14ac:dyDescent="0.25">
      <c r="A145" s="65"/>
    </row>
    <row r="146" spans="1:16" x14ac:dyDescent="0.25">
      <c r="A146" s="10" t="s">
        <v>146</v>
      </c>
    </row>
    <row r="147" spans="1:16" x14ac:dyDescent="0.25">
      <c r="A147">
        <v>4289</v>
      </c>
    </row>
    <row r="148" spans="1:16" x14ac:dyDescent="0.25">
      <c r="A148">
        <v>500245</v>
      </c>
    </row>
    <row r="149" spans="1:16" x14ac:dyDescent="0.25">
      <c r="A149">
        <v>2002573</v>
      </c>
    </row>
    <row r="150" spans="1:16" x14ac:dyDescent="0.25">
      <c r="A150">
        <v>2003539</v>
      </c>
    </row>
    <row r="151" spans="1:16" x14ac:dyDescent="0.25">
      <c r="A151">
        <v>2003649</v>
      </c>
    </row>
    <row r="152" spans="1:16" x14ac:dyDescent="0.25">
      <c r="A152">
        <v>2005572</v>
      </c>
    </row>
    <row r="153" spans="1:16" x14ac:dyDescent="0.25">
      <c r="A153">
        <v>2013117</v>
      </c>
    </row>
    <row r="154" spans="1:16" x14ac:dyDescent="0.25">
      <c r="A154">
        <v>3009633</v>
      </c>
    </row>
    <row r="155" spans="1:16" x14ac:dyDescent="0.25">
      <c r="A155">
        <v>3010583</v>
      </c>
    </row>
    <row r="156" spans="1:16" x14ac:dyDescent="0.25">
      <c r="A156" s="23">
        <v>3011892</v>
      </c>
    </row>
    <row r="157" spans="1:16" x14ac:dyDescent="0.25">
      <c r="A157">
        <v>4001382</v>
      </c>
      <c r="P157">
        <v>26</v>
      </c>
    </row>
    <row r="158" spans="1:16" x14ac:dyDescent="0.25">
      <c r="A158">
        <v>5018675</v>
      </c>
    </row>
    <row r="159" spans="1:16" x14ac:dyDescent="0.25">
      <c r="A159">
        <v>6050168</v>
      </c>
    </row>
    <row r="160" spans="1:16" x14ac:dyDescent="0.25">
      <c r="A160">
        <v>5006592</v>
      </c>
    </row>
    <row r="161" spans="1:18" x14ac:dyDescent="0.25">
      <c r="A161">
        <v>5007274</v>
      </c>
      <c r="G161">
        <v>33</v>
      </c>
      <c r="N161">
        <v>27</v>
      </c>
    </row>
    <row r="162" spans="1:18" x14ac:dyDescent="0.25">
      <c r="A162">
        <v>5015851</v>
      </c>
    </row>
    <row r="163" spans="1:18" x14ac:dyDescent="0.25">
      <c r="A163">
        <v>6015647</v>
      </c>
      <c r="G163">
        <v>37</v>
      </c>
      <c r="I163">
        <v>33.9</v>
      </c>
    </row>
    <row r="164" spans="1:18" x14ac:dyDescent="0.25">
      <c r="A164">
        <v>6056633</v>
      </c>
    </row>
    <row r="165" spans="1:18" x14ac:dyDescent="0.25">
      <c r="A165">
        <v>7086224</v>
      </c>
      <c r="R165">
        <v>29.6</v>
      </c>
    </row>
    <row r="166" spans="1:18" x14ac:dyDescent="0.25">
      <c r="A166">
        <v>8040959</v>
      </c>
    </row>
    <row r="167" spans="1:18" x14ac:dyDescent="0.25">
      <c r="A167">
        <v>8107048</v>
      </c>
    </row>
    <row r="168" spans="1:18" x14ac:dyDescent="0.25">
      <c r="A168">
        <v>8124044</v>
      </c>
    </row>
    <row r="169" spans="1:18" x14ac:dyDescent="0.25">
      <c r="A169">
        <v>8142949</v>
      </c>
    </row>
    <row r="170" spans="1:18" x14ac:dyDescent="0.25">
      <c r="A170">
        <v>9023306</v>
      </c>
    </row>
    <row r="171" spans="1:18" x14ac:dyDescent="0.25">
      <c r="A171">
        <v>9030615</v>
      </c>
    </row>
    <row r="172" spans="1:18" x14ac:dyDescent="0.25">
      <c r="A172">
        <v>9034464</v>
      </c>
    </row>
    <row r="173" spans="1:18" x14ac:dyDescent="0.25">
      <c r="A173">
        <v>9040167</v>
      </c>
      <c r="G173">
        <v>35.799999999999997</v>
      </c>
    </row>
    <row r="174" spans="1:18" x14ac:dyDescent="0.25">
      <c r="A174">
        <v>9054567</v>
      </c>
    </row>
    <row r="175" spans="1:18" x14ac:dyDescent="0.25">
      <c r="A175">
        <v>9083682</v>
      </c>
    </row>
    <row r="176" spans="1:18" x14ac:dyDescent="0.25">
      <c r="A176">
        <v>9102044</v>
      </c>
    </row>
    <row r="177" spans="1:1" x14ac:dyDescent="0.25">
      <c r="A177">
        <v>9119854</v>
      </c>
    </row>
    <row r="178" spans="1:1" x14ac:dyDescent="0.25">
      <c r="A178">
        <v>9125126</v>
      </c>
    </row>
    <row r="179" spans="1:1" x14ac:dyDescent="0.25">
      <c r="A179">
        <v>9174811</v>
      </c>
    </row>
    <row r="180" spans="1:1" x14ac:dyDescent="0.25">
      <c r="A180">
        <v>10002875</v>
      </c>
    </row>
    <row r="181" spans="1:1" x14ac:dyDescent="0.25">
      <c r="A181">
        <v>10023080</v>
      </c>
    </row>
    <row r="182" spans="1:1" x14ac:dyDescent="0.25">
      <c r="A182">
        <v>10025212</v>
      </c>
    </row>
    <row r="183" spans="1:1" x14ac:dyDescent="0.25">
      <c r="A183">
        <v>10069407</v>
      </c>
    </row>
    <row r="184" spans="1:1" x14ac:dyDescent="0.25">
      <c r="A184">
        <v>10071135</v>
      </c>
    </row>
    <row r="185" spans="1:1" x14ac:dyDescent="0.25">
      <c r="A185">
        <v>10083649</v>
      </c>
    </row>
    <row r="186" spans="1:1" x14ac:dyDescent="0.25">
      <c r="A186">
        <v>10102021</v>
      </c>
    </row>
    <row r="187" spans="1:1" x14ac:dyDescent="0.25">
      <c r="A187">
        <v>10123729</v>
      </c>
    </row>
    <row r="188" spans="1:1" x14ac:dyDescent="0.25">
      <c r="A188">
        <v>10144736</v>
      </c>
    </row>
    <row r="189" spans="1:1" x14ac:dyDescent="0.25">
      <c r="A189">
        <v>10157275</v>
      </c>
    </row>
    <row r="190" spans="1:1" x14ac:dyDescent="0.25">
      <c r="A190" s="65"/>
    </row>
    <row r="191" spans="1:1" x14ac:dyDescent="0.25">
      <c r="A191" s="10" t="s">
        <v>120</v>
      </c>
    </row>
    <row r="192" spans="1:1" x14ac:dyDescent="0.25">
      <c r="A192">
        <v>5281</v>
      </c>
    </row>
    <row r="193" spans="1:10" x14ac:dyDescent="0.25">
      <c r="A193">
        <v>200085</v>
      </c>
    </row>
    <row r="194" spans="1:10" x14ac:dyDescent="0.25">
      <c r="A194">
        <v>500129</v>
      </c>
    </row>
    <row r="195" spans="1:10" x14ac:dyDescent="0.25">
      <c r="A195" s="23">
        <v>1002033</v>
      </c>
    </row>
    <row r="196" spans="1:10" x14ac:dyDescent="0.25">
      <c r="A196">
        <v>1003457</v>
      </c>
    </row>
    <row r="197" spans="1:10" x14ac:dyDescent="0.25">
      <c r="A197">
        <v>2005223</v>
      </c>
    </row>
    <row r="198" spans="1:10" x14ac:dyDescent="0.25">
      <c r="A198">
        <v>2006107</v>
      </c>
    </row>
    <row r="199" spans="1:10" x14ac:dyDescent="0.25">
      <c r="A199">
        <v>2012014</v>
      </c>
    </row>
    <row r="200" spans="1:10" x14ac:dyDescent="0.25">
      <c r="A200">
        <v>3000152</v>
      </c>
    </row>
    <row r="201" spans="1:10" x14ac:dyDescent="0.25">
      <c r="A201">
        <v>3014566</v>
      </c>
    </row>
    <row r="202" spans="1:10" x14ac:dyDescent="0.25">
      <c r="A202">
        <v>3015058</v>
      </c>
      <c r="B202">
        <v>44</v>
      </c>
      <c r="C202" s="14">
        <v>28</v>
      </c>
    </row>
    <row r="203" spans="1:10" x14ac:dyDescent="0.25">
      <c r="A203" s="23">
        <v>4000996</v>
      </c>
      <c r="J203">
        <v>28.3</v>
      </c>
    </row>
    <row r="204" spans="1:10" x14ac:dyDescent="0.25">
      <c r="A204">
        <v>4003768</v>
      </c>
    </row>
    <row r="205" spans="1:10" x14ac:dyDescent="0.25">
      <c r="A205">
        <v>4006540</v>
      </c>
    </row>
    <row r="206" spans="1:10" x14ac:dyDescent="0.25">
      <c r="A206">
        <v>4007054</v>
      </c>
    </row>
    <row r="207" spans="1:10" x14ac:dyDescent="0.25">
      <c r="A207">
        <v>4011002</v>
      </c>
    </row>
    <row r="208" spans="1:10" x14ac:dyDescent="0.25">
      <c r="A208">
        <v>4900268</v>
      </c>
    </row>
    <row r="209" spans="1:8" x14ac:dyDescent="0.25">
      <c r="A209">
        <v>5001097</v>
      </c>
    </row>
    <row r="210" spans="1:8" x14ac:dyDescent="0.25">
      <c r="A210">
        <v>5001098</v>
      </c>
    </row>
    <row r="211" spans="1:8" x14ac:dyDescent="0.25">
      <c r="A211">
        <v>5006152</v>
      </c>
    </row>
    <row r="212" spans="1:8" x14ac:dyDescent="0.25">
      <c r="A212">
        <v>6012361</v>
      </c>
    </row>
    <row r="213" spans="1:8" x14ac:dyDescent="0.25">
      <c r="A213">
        <v>6015793</v>
      </c>
    </row>
    <row r="214" spans="1:8" x14ac:dyDescent="0.25">
      <c r="A214">
        <v>6043619</v>
      </c>
    </row>
    <row r="215" spans="1:8" x14ac:dyDescent="0.25">
      <c r="A215">
        <v>7001097</v>
      </c>
    </row>
    <row r="216" spans="1:8" x14ac:dyDescent="0.25">
      <c r="A216">
        <v>7011435</v>
      </c>
    </row>
    <row r="217" spans="1:8" x14ac:dyDescent="0.25">
      <c r="A217">
        <v>7045811</v>
      </c>
    </row>
    <row r="218" spans="1:8" x14ac:dyDescent="0.25">
      <c r="A218">
        <v>7071198</v>
      </c>
    </row>
    <row r="219" spans="1:8" x14ac:dyDescent="0.25">
      <c r="A219">
        <v>7101143</v>
      </c>
    </row>
    <row r="220" spans="1:8" x14ac:dyDescent="0.25">
      <c r="A220">
        <v>8073350</v>
      </c>
    </row>
    <row r="221" spans="1:8" x14ac:dyDescent="0.25">
      <c r="A221">
        <v>8073645</v>
      </c>
    </row>
    <row r="222" spans="1:8" x14ac:dyDescent="0.25">
      <c r="A222" s="23">
        <v>8089666</v>
      </c>
      <c r="D222">
        <v>19</v>
      </c>
      <c r="E222">
        <v>15</v>
      </c>
      <c r="G222" s="14">
        <v>15.75</v>
      </c>
      <c r="H222">
        <v>22</v>
      </c>
    </row>
    <row r="223" spans="1:8" x14ac:dyDescent="0.25">
      <c r="A223">
        <v>8103536</v>
      </c>
    </row>
    <row r="224" spans="1:8" x14ac:dyDescent="0.25">
      <c r="A224">
        <v>8124816</v>
      </c>
    </row>
    <row r="225" spans="1:8" x14ac:dyDescent="0.25">
      <c r="A225">
        <v>9003267</v>
      </c>
    </row>
    <row r="226" spans="1:8" x14ac:dyDescent="0.25">
      <c r="A226">
        <v>9036964</v>
      </c>
    </row>
    <row r="227" spans="1:8" x14ac:dyDescent="0.25">
      <c r="A227">
        <v>9090287</v>
      </c>
    </row>
    <row r="228" spans="1:8" x14ac:dyDescent="0.25">
      <c r="A228">
        <v>9095148</v>
      </c>
      <c r="H228">
        <v>46</v>
      </c>
    </row>
    <row r="229" spans="1:8" x14ac:dyDescent="0.25">
      <c r="A229">
        <v>9104979</v>
      </c>
    </row>
    <row r="230" spans="1:8" x14ac:dyDescent="0.25">
      <c r="A230">
        <v>9139514</v>
      </c>
    </row>
    <row r="231" spans="1:8" x14ac:dyDescent="0.25">
      <c r="A231">
        <v>10020659</v>
      </c>
    </row>
    <row r="232" spans="1:8" x14ac:dyDescent="0.25">
      <c r="A232">
        <v>10025902</v>
      </c>
    </row>
    <row r="233" spans="1:8" x14ac:dyDescent="0.25">
      <c r="A233">
        <v>10027654</v>
      </c>
    </row>
    <row r="234" spans="1:8" x14ac:dyDescent="0.25">
      <c r="A234">
        <v>10084485</v>
      </c>
    </row>
    <row r="235" spans="1:8" x14ac:dyDescent="0.25">
      <c r="A235">
        <v>10098420</v>
      </c>
    </row>
    <row r="236" spans="1:8" x14ac:dyDescent="0.25">
      <c r="A236">
        <v>10129565</v>
      </c>
    </row>
    <row r="237" spans="1:8" x14ac:dyDescent="0.25">
      <c r="A237">
        <v>10146828</v>
      </c>
    </row>
    <row r="238" spans="1:8" x14ac:dyDescent="0.25">
      <c r="A238">
        <v>10163776</v>
      </c>
    </row>
    <row r="239" spans="1:8" x14ac:dyDescent="0.25">
      <c r="A239">
        <v>10173664</v>
      </c>
    </row>
  </sheetData>
  <conditionalFormatting sqref="A19">
    <cfRule type="duplicateValues" dxfId="7" priority="1"/>
  </conditionalFormatting>
  <pageMargins left="0.7" right="0.7" top="0.78740157499999996" bottom="0.78740157499999996" header="0.3" footer="0.3"/>
  <tableParts count="1">
    <tablePart r:id="rId1"/>
  </tableParts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9"/>
  <sheetViews>
    <sheetView workbookViewId="0">
      <selection sqref="A1:D19"/>
    </sheetView>
  </sheetViews>
  <sheetFormatPr defaultColWidth="11.42578125" defaultRowHeight="15" x14ac:dyDescent="0.25"/>
  <cols>
    <col min="1" max="1" width="17.28515625" bestFit="1" customWidth="1"/>
    <col min="2" max="2" width="10.85546875" bestFit="1" customWidth="1"/>
    <col min="3" max="3" width="81.140625" bestFit="1" customWidth="1"/>
    <col min="4" max="4" width="30.28515625" bestFit="1" customWidth="1"/>
  </cols>
  <sheetData>
    <row r="1" spans="1:4" x14ac:dyDescent="0.25">
      <c r="A1" s="66" t="s">
        <v>59</v>
      </c>
      <c r="B1" s="66" t="s">
        <v>3338</v>
      </c>
      <c r="C1" s="66" t="s">
        <v>2564</v>
      </c>
      <c r="D1" s="66" t="s">
        <v>2523</v>
      </c>
    </row>
    <row r="2" spans="1:4" x14ac:dyDescent="0.25">
      <c r="A2" s="66">
        <v>14242856</v>
      </c>
      <c r="B2" s="66" t="s">
        <v>3338</v>
      </c>
      <c r="C2" s="66" t="s">
        <v>50</v>
      </c>
      <c r="D2" s="66">
        <v>1</v>
      </c>
    </row>
    <row r="3" spans="1:4" x14ac:dyDescent="0.25">
      <c r="A3" s="66">
        <v>96018835</v>
      </c>
      <c r="B3" s="66" t="s">
        <v>3338</v>
      </c>
      <c r="C3" s="66" t="s">
        <v>3339</v>
      </c>
      <c r="D3" s="66">
        <v>2</v>
      </c>
    </row>
    <row r="4" spans="1:4" x14ac:dyDescent="0.25">
      <c r="A4" s="66">
        <v>12012030</v>
      </c>
      <c r="B4" s="66" t="s">
        <v>3338</v>
      </c>
      <c r="C4" s="66" t="s">
        <v>3340</v>
      </c>
      <c r="D4" s="66">
        <v>2</v>
      </c>
    </row>
    <row r="5" spans="1:4" x14ac:dyDescent="0.25">
      <c r="A5" s="66">
        <v>7103068</v>
      </c>
      <c r="B5" s="66" t="s">
        <v>3338</v>
      </c>
      <c r="C5" s="66" t="s">
        <v>1589</v>
      </c>
      <c r="D5" s="66">
        <v>1</v>
      </c>
    </row>
    <row r="6" spans="1:4" x14ac:dyDescent="0.25">
      <c r="A6" s="66">
        <v>7025847</v>
      </c>
      <c r="B6" s="66" t="s">
        <v>3338</v>
      </c>
      <c r="C6" s="66" t="s">
        <v>788</v>
      </c>
      <c r="D6" s="66">
        <v>1</v>
      </c>
    </row>
    <row r="7" spans="1:4" x14ac:dyDescent="0.25">
      <c r="A7" s="66">
        <v>9042861</v>
      </c>
      <c r="B7" s="66" t="s">
        <v>3338</v>
      </c>
      <c r="C7" s="66" t="s">
        <v>1591</v>
      </c>
      <c r="D7" s="66">
        <v>1</v>
      </c>
    </row>
    <row r="8" spans="1:4" x14ac:dyDescent="0.25">
      <c r="A8" s="66">
        <v>3909</v>
      </c>
      <c r="B8" s="66" t="s">
        <v>3338</v>
      </c>
      <c r="C8" s="66" t="s">
        <v>95</v>
      </c>
      <c r="D8" s="66">
        <v>1</v>
      </c>
    </row>
    <row r="9" spans="1:4" x14ac:dyDescent="0.25">
      <c r="A9" s="66">
        <v>3016056</v>
      </c>
      <c r="B9" s="66" t="s">
        <v>3338</v>
      </c>
      <c r="C9" s="66" t="s">
        <v>1592</v>
      </c>
      <c r="D9" s="66">
        <v>1</v>
      </c>
    </row>
    <row r="10" spans="1:4" x14ac:dyDescent="0.25">
      <c r="A10" s="66">
        <v>5004654</v>
      </c>
      <c r="B10" s="66" t="s">
        <v>3338</v>
      </c>
      <c r="C10" s="66" t="s">
        <v>3341</v>
      </c>
      <c r="D10" s="66">
        <v>2</v>
      </c>
    </row>
    <row r="11" spans="1:4" x14ac:dyDescent="0.25">
      <c r="A11" s="66">
        <v>4001382</v>
      </c>
      <c r="B11" s="66" t="s">
        <v>3338</v>
      </c>
      <c r="C11" s="66" t="s">
        <v>1325</v>
      </c>
      <c r="D11" s="66">
        <v>1</v>
      </c>
    </row>
    <row r="12" spans="1:4" x14ac:dyDescent="0.25">
      <c r="A12" s="66">
        <v>5007274</v>
      </c>
      <c r="B12" s="66" t="s">
        <v>3338</v>
      </c>
      <c r="C12" s="66" t="s">
        <v>3342</v>
      </c>
      <c r="D12" s="66">
        <v>2</v>
      </c>
    </row>
    <row r="13" spans="1:4" x14ac:dyDescent="0.25">
      <c r="A13" s="66">
        <v>6015647</v>
      </c>
      <c r="B13" s="66" t="s">
        <v>3338</v>
      </c>
      <c r="C13" s="66" t="s">
        <v>3343</v>
      </c>
      <c r="D13" s="66">
        <v>2</v>
      </c>
    </row>
    <row r="14" spans="1:4" x14ac:dyDescent="0.25">
      <c r="A14" s="66">
        <v>7086224</v>
      </c>
      <c r="B14" s="66" t="s">
        <v>3338</v>
      </c>
      <c r="C14" s="66" t="s">
        <v>2143</v>
      </c>
      <c r="D14" s="66">
        <v>1</v>
      </c>
    </row>
    <row r="15" spans="1:4" x14ac:dyDescent="0.25">
      <c r="A15" s="66">
        <v>9040167</v>
      </c>
      <c r="B15" s="66" t="s">
        <v>3338</v>
      </c>
      <c r="C15" s="66" t="s">
        <v>50</v>
      </c>
      <c r="D15" s="66">
        <v>1</v>
      </c>
    </row>
    <row r="16" spans="1:4" x14ac:dyDescent="0.25">
      <c r="A16" s="66">
        <v>3015058</v>
      </c>
      <c r="B16" s="66" t="s">
        <v>3338</v>
      </c>
      <c r="C16" s="66" t="s">
        <v>3344</v>
      </c>
      <c r="D16" s="66">
        <v>2</v>
      </c>
    </row>
    <row r="17" spans="1:4" x14ac:dyDescent="0.25">
      <c r="A17" s="66">
        <v>4000996</v>
      </c>
      <c r="B17" s="66" t="s">
        <v>3338</v>
      </c>
      <c r="C17" s="66" t="s">
        <v>1263</v>
      </c>
      <c r="D17" s="66">
        <v>1</v>
      </c>
    </row>
    <row r="18" spans="1:4" x14ac:dyDescent="0.25">
      <c r="A18" s="66">
        <v>8089666</v>
      </c>
      <c r="B18" s="66" t="s">
        <v>3338</v>
      </c>
      <c r="C18" s="66" t="s">
        <v>3345</v>
      </c>
      <c r="D18" s="66">
        <v>4</v>
      </c>
    </row>
    <row r="19" spans="1:4" x14ac:dyDescent="0.25">
      <c r="A19" s="66">
        <v>9095148</v>
      </c>
      <c r="B19" s="66" t="s">
        <v>3338</v>
      </c>
      <c r="C19" s="66" t="s">
        <v>2402</v>
      </c>
      <c r="D19" s="66">
        <v>1</v>
      </c>
    </row>
  </sheetData>
  <phoneticPr fontId="6" type="noConversion"/>
  <pageMargins left="0.7" right="0.7" top="0.78740157499999996" bottom="0.78740157499999996" header="0.3" footer="0.3"/>
  <tableParts count="1">
    <tablePart r:id="rId1"/>
  </tableParts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239"/>
  <sheetViews>
    <sheetView workbookViewId="0">
      <selection activeCell="B1" sqref="B1:B1048576"/>
    </sheetView>
  </sheetViews>
  <sheetFormatPr defaultColWidth="11.42578125" defaultRowHeight="15" x14ac:dyDescent="0.25"/>
  <cols>
    <col min="1" max="1" width="17.140625" customWidth="1"/>
    <col min="2" max="2" width="12.42578125" customWidth="1"/>
    <col min="3" max="4" width="51.7109375" customWidth="1"/>
    <col min="5" max="6" width="48.28515625" customWidth="1"/>
    <col min="7" max="7" width="51.7109375" customWidth="1"/>
    <col min="8" max="10" width="48.28515625" customWidth="1"/>
    <col min="11" max="11" width="50.7109375" customWidth="1"/>
    <col min="12" max="14" width="47.28515625" customWidth="1"/>
    <col min="15" max="16" width="50.7109375" customWidth="1"/>
    <col min="17" max="17" width="46.140625" customWidth="1"/>
    <col min="18" max="18" width="41.7109375" customWidth="1"/>
    <col min="19" max="19" width="28" customWidth="1"/>
    <col min="20" max="22" width="24.5703125" customWidth="1"/>
    <col min="23" max="23" width="28.42578125" customWidth="1"/>
    <col min="24" max="25" width="24.5703125" customWidth="1"/>
    <col min="26" max="26" width="27.140625" customWidth="1"/>
    <col min="27" max="27" width="31" customWidth="1"/>
    <col min="28" max="31" width="27.140625" customWidth="1"/>
    <col min="32" max="32" width="31" customWidth="1"/>
    <col min="33" max="35" width="27.140625" customWidth="1"/>
    <col min="36" max="36" width="31" customWidth="1"/>
    <col min="37" max="40" width="27.140625" customWidth="1"/>
    <col min="41" max="41" width="29.85546875" customWidth="1"/>
    <col min="42" max="42" width="33.7109375" customWidth="1"/>
    <col min="43" max="46" width="29.85546875" customWidth="1"/>
    <col min="47" max="48" width="33.7109375" customWidth="1"/>
    <col min="49" max="49" width="29.85546875" customWidth="1"/>
    <col min="50" max="50" width="33.7109375" customWidth="1"/>
  </cols>
  <sheetData>
    <row r="1" spans="1:50" x14ac:dyDescent="0.25">
      <c r="A1" s="61" t="s">
        <v>59</v>
      </c>
      <c r="B1" s="61" t="s">
        <v>3346</v>
      </c>
      <c r="C1" s="62" t="s">
        <v>2358</v>
      </c>
      <c r="D1" s="62" t="s">
        <v>1601</v>
      </c>
      <c r="E1" s="62" t="s">
        <v>1082</v>
      </c>
      <c r="F1" s="62" t="s">
        <v>1161</v>
      </c>
      <c r="G1" s="62" t="s">
        <v>1602</v>
      </c>
      <c r="H1" s="62" t="s">
        <v>1083</v>
      </c>
      <c r="I1" s="62" t="s">
        <v>1966</v>
      </c>
      <c r="J1" s="62" t="s">
        <v>1843</v>
      </c>
      <c r="K1" s="62" t="s">
        <v>1603</v>
      </c>
      <c r="L1" s="62" t="s">
        <v>848</v>
      </c>
      <c r="M1" s="62" t="s">
        <v>1933</v>
      </c>
      <c r="N1" s="62" t="s">
        <v>1908</v>
      </c>
      <c r="O1" s="62" t="s">
        <v>2389</v>
      </c>
      <c r="P1" s="62" t="s">
        <v>1604</v>
      </c>
      <c r="Q1" s="62" t="s">
        <v>896</v>
      </c>
      <c r="R1" s="62" t="s">
        <v>639</v>
      </c>
      <c r="S1" s="63" t="s">
        <v>866</v>
      </c>
      <c r="T1" s="62" t="s">
        <v>867</v>
      </c>
      <c r="U1" s="62" t="s">
        <v>849</v>
      </c>
      <c r="V1" s="62" t="s">
        <v>888</v>
      </c>
      <c r="W1" s="62" t="s">
        <v>1605</v>
      </c>
      <c r="X1" s="62" t="s">
        <v>1113</v>
      </c>
      <c r="Y1" s="62" t="s">
        <v>1244</v>
      </c>
      <c r="Z1" s="62" t="s">
        <v>1136</v>
      </c>
      <c r="AA1" s="62" t="s">
        <v>1606</v>
      </c>
      <c r="AB1" s="62" t="s">
        <v>1114</v>
      </c>
      <c r="AC1" s="62" t="s">
        <v>1137</v>
      </c>
      <c r="AD1" s="62" t="s">
        <v>871</v>
      </c>
      <c r="AE1" s="62" t="s">
        <v>923</v>
      </c>
      <c r="AF1" s="62" t="s">
        <v>1607</v>
      </c>
      <c r="AG1" s="62" t="s">
        <v>1115</v>
      </c>
      <c r="AH1" s="62" t="s">
        <v>1921</v>
      </c>
      <c r="AI1" s="62" t="s">
        <v>1299</v>
      </c>
      <c r="AJ1" s="62" t="s">
        <v>1608</v>
      </c>
      <c r="AK1" s="62" t="s">
        <v>1300</v>
      </c>
      <c r="AL1" s="62" t="s">
        <v>2139</v>
      </c>
      <c r="AM1" s="62" t="s">
        <v>2125</v>
      </c>
      <c r="AN1" s="62" t="s">
        <v>889</v>
      </c>
      <c r="AO1" s="62" t="s">
        <v>1197</v>
      </c>
      <c r="AP1" s="62" t="s">
        <v>1609</v>
      </c>
      <c r="AQ1" s="62" t="s">
        <v>2336</v>
      </c>
      <c r="AR1" s="62" t="s">
        <v>1062</v>
      </c>
      <c r="AS1" s="62" t="s">
        <v>1068</v>
      </c>
      <c r="AT1" s="62" t="s">
        <v>1198</v>
      </c>
      <c r="AU1" s="62" t="s">
        <v>2351</v>
      </c>
      <c r="AV1" s="62" t="s">
        <v>1610</v>
      </c>
      <c r="AW1" s="62" t="s">
        <v>1165</v>
      </c>
      <c r="AX1" s="62" t="s">
        <v>1611</v>
      </c>
    </row>
    <row r="2" spans="1:50" x14ac:dyDescent="0.25">
      <c r="A2" s="40" t="s">
        <v>561</v>
      </c>
      <c r="B2" s="40"/>
    </row>
    <row r="3" spans="1:50" x14ac:dyDescent="0.25">
      <c r="B3" s="10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</row>
    <row r="4" spans="1:50" x14ac:dyDescent="0.25">
      <c r="A4">
        <v>7072184</v>
      </c>
      <c r="B4" s="10" t="s">
        <v>3398</v>
      </c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</row>
    <row r="5" spans="1:50" x14ac:dyDescent="0.25">
      <c r="A5">
        <v>9108231</v>
      </c>
      <c r="B5" s="10" t="s">
        <v>3398</v>
      </c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</row>
    <row r="6" spans="1:50" x14ac:dyDescent="0.25">
      <c r="A6">
        <v>12061933</v>
      </c>
      <c r="B6" s="10" t="s">
        <v>3398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</row>
    <row r="7" spans="1:50" x14ac:dyDescent="0.25">
      <c r="A7">
        <v>95005911</v>
      </c>
      <c r="B7" s="10" t="s">
        <v>3398</v>
      </c>
    </row>
    <row r="8" spans="1:50" x14ac:dyDescent="0.25">
      <c r="A8">
        <v>99001908</v>
      </c>
      <c r="B8" s="10" t="s">
        <v>3398</v>
      </c>
    </row>
    <row r="9" spans="1:50" x14ac:dyDescent="0.25">
      <c r="A9">
        <v>99004067</v>
      </c>
      <c r="B9" s="10" t="s">
        <v>3398</v>
      </c>
    </row>
    <row r="10" spans="1:50" x14ac:dyDescent="0.25">
      <c r="A10">
        <v>97002136</v>
      </c>
      <c r="B10" s="10" t="s">
        <v>3398</v>
      </c>
    </row>
    <row r="11" spans="1:50" x14ac:dyDescent="0.25">
      <c r="A11">
        <v>1502</v>
      </c>
      <c r="B11" s="10" t="s">
        <v>3398</v>
      </c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</row>
    <row r="12" spans="1:50" x14ac:dyDescent="0.25">
      <c r="A12">
        <v>4003543</v>
      </c>
      <c r="B12" s="10" t="s">
        <v>3398</v>
      </c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</row>
    <row r="13" spans="1:50" x14ac:dyDescent="0.25">
      <c r="A13">
        <v>4900261</v>
      </c>
      <c r="B13" s="10" t="s">
        <v>3398</v>
      </c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</row>
    <row r="15" spans="1:50" x14ac:dyDescent="0.25">
      <c r="B15" s="10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</row>
    <row r="16" spans="1:50" x14ac:dyDescent="0.25">
      <c r="A16">
        <v>14242856</v>
      </c>
      <c r="B16" s="10" t="s">
        <v>3399</v>
      </c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</row>
    <row r="17" spans="1:50" x14ac:dyDescent="0.25">
      <c r="A17">
        <v>99001183</v>
      </c>
      <c r="B17" s="10" t="s">
        <v>3399</v>
      </c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</row>
    <row r="18" spans="1:50" x14ac:dyDescent="0.25">
      <c r="A18">
        <v>3000983</v>
      </c>
      <c r="B18" s="10" t="s">
        <v>3399</v>
      </c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</row>
    <row r="19" spans="1:50" x14ac:dyDescent="0.25">
      <c r="A19">
        <v>10064335</v>
      </c>
      <c r="B19" s="10" t="s">
        <v>3399</v>
      </c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</row>
    <row r="20" spans="1:50" x14ac:dyDescent="0.25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</row>
    <row r="21" spans="1:50" x14ac:dyDescent="0.25">
      <c r="B21" s="10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</row>
    <row r="22" spans="1:50" x14ac:dyDescent="0.25">
      <c r="A22">
        <v>1480</v>
      </c>
      <c r="B22" s="10" t="s">
        <v>3400</v>
      </c>
    </row>
    <row r="23" spans="1:50" x14ac:dyDescent="0.25">
      <c r="A23">
        <v>7063959</v>
      </c>
      <c r="B23" s="10" t="s">
        <v>3400</v>
      </c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</row>
    <row r="24" spans="1:50" x14ac:dyDescent="0.25">
      <c r="A24">
        <v>1003215</v>
      </c>
      <c r="B24" s="10" t="s">
        <v>3400</v>
      </c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>
        <v>40</v>
      </c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</row>
    <row r="25" spans="1:50" x14ac:dyDescent="0.25">
      <c r="A25">
        <v>99000802</v>
      </c>
      <c r="B25" s="10" t="s">
        <v>3400</v>
      </c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</row>
    <row r="26" spans="1:50" x14ac:dyDescent="0.25">
      <c r="A26">
        <v>99000892</v>
      </c>
      <c r="B26" s="10" t="s">
        <v>3400</v>
      </c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</row>
    <row r="27" spans="1:50" x14ac:dyDescent="0.25">
      <c r="A27">
        <v>1000192</v>
      </c>
      <c r="B27" s="10" t="s">
        <v>3400</v>
      </c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</row>
    <row r="28" spans="1:50" x14ac:dyDescent="0.25">
      <c r="A28">
        <v>1506</v>
      </c>
      <c r="B28" s="10" t="s">
        <v>3400</v>
      </c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</row>
    <row r="29" spans="1:50" x14ac:dyDescent="0.25">
      <c r="A29">
        <v>99000894</v>
      </c>
      <c r="B29" s="10" t="s">
        <v>3400</v>
      </c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</row>
    <row r="30" spans="1:50" x14ac:dyDescent="0.25">
      <c r="A30">
        <v>99000897</v>
      </c>
      <c r="B30" s="10" t="s">
        <v>3400</v>
      </c>
    </row>
    <row r="31" spans="1:50" x14ac:dyDescent="0.25">
      <c r="A31">
        <v>99001245</v>
      </c>
      <c r="B31" s="10" t="s">
        <v>3400</v>
      </c>
    </row>
    <row r="32" spans="1:50" x14ac:dyDescent="0.25">
      <c r="A32">
        <v>99001902</v>
      </c>
      <c r="B32" s="10" t="s">
        <v>3400</v>
      </c>
    </row>
    <row r="33" spans="1:50" x14ac:dyDescent="0.25">
      <c r="A33">
        <v>99001912</v>
      </c>
      <c r="B33" s="10" t="s">
        <v>3400</v>
      </c>
    </row>
    <row r="34" spans="1:50" x14ac:dyDescent="0.25">
      <c r="A34">
        <v>99001913</v>
      </c>
      <c r="B34" s="10" t="s">
        <v>3400</v>
      </c>
    </row>
    <row r="35" spans="1:50" x14ac:dyDescent="0.25">
      <c r="A35">
        <v>99001937</v>
      </c>
      <c r="B35" s="10" t="s">
        <v>3400</v>
      </c>
    </row>
    <row r="36" spans="1:50" x14ac:dyDescent="0.25">
      <c r="A36">
        <v>99001943</v>
      </c>
      <c r="B36" s="10" t="s">
        <v>3400</v>
      </c>
    </row>
    <row r="37" spans="1:50" x14ac:dyDescent="0.25">
      <c r="A37">
        <v>99001927</v>
      </c>
      <c r="B37" s="10" t="s">
        <v>3400</v>
      </c>
    </row>
    <row r="38" spans="1:50" x14ac:dyDescent="0.25">
      <c r="A38">
        <v>1505</v>
      </c>
      <c r="B38" s="10" t="s">
        <v>3400</v>
      </c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</row>
    <row r="39" spans="1:50" x14ac:dyDescent="0.25">
      <c r="A39">
        <v>1000197</v>
      </c>
      <c r="B39" s="10" t="s">
        <v>3400</v>
      </c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</row>
    <row r="40" spans="1:50" x14ac:dyDescent="0.25">
      <c r="A40">
        <v>96018835</v>
      </c>
      <c r="B40" s="10" t="s">
        <v>3400</v>
      </c>
    </row>
    <row r="41" spans="1:50" x14ac:dyDescent="0.25">
      <c r="A41">
        <v>98008326</v>
      </c>
      <c r="B41" s="10" t="s">
        <v>3400</v>
      </c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</row>
    <row r="42" spans="1:50" x14ac:dyDescent="0.25">
      <c r="A42">
        <v>99000717</v>
      </c>
      <c r="B42" s="10" t="s">
        <v>3400</v>
      </c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</row>
    <row r="43" spans="1:50" x14ac:dyDescent="0.25"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</row>
    <row r="44" spans="1:50" x14ac:dyDescent="0.25">
      <c r="A44" s="25" t="s">
        <v>169</v>
      </c>
      <c r="B44" s="25"/>
    </row>
    <row r="45" spans="1:50" x14ac:dyDescent="0.25">
      <c r="A45" s="10"/>
      <c r="B45" s="10"/>
    </row>
    <row r="46" spans="1:50" x14ac:dyDescent="0.25">
      <c r="A46">
        <v>6016435</v>
      </c>
      <c r="B46" t="s">
        <v>3347</v>
      </c>
    </row>
    <row r="47" spans="1:50" x14ac:dyDescent="0.25">
      <c r="A47">
        <v>8045149</v>
      </c>
      <c r="B47" t="s">
        <v>3347</v>
      </c>
    </row>
    <row r="48" spans="1:50" x14ac:dyDescent="0.25">
      <c r="A48">
        <v>10023001</v>
      </c>
      <c r="B48" t="s">
        <v>3347</v>
      </c>
      <c r="R48">
        <v>40</v>
      </c>
    </row>
    <row r="49" spans="1:18" x14ac:dyDescent="0.25">
      <c r="A49">
        <v>10027526</v>
      </c>
      <c r="B49" t="s">
        <v>3347</v>
      </c>
    </row>
    <row r="50" spans="1:18" x14ac:dyDescent="0.25">
      <c r="A50">
        <v>14222171</v>
      </c>
      <c r="B50" t="s">
        <v>3347</v>
      </c>
      <c r="R50">
        <v>36</v>
      </c>
    </row>
    <row r="51" spans="1:18" x14ac:dyDescent="0.25">
      <c r="A51">
        <v>1006143</v>
      </c>
      <c r="B51" t="s">
        <v>3347</v>
      </c>
      <c r="R51">
        <v>51.8</v>
      </c>
    </row>
    <row r="52" spans="1:18" x14ac:dyDescent="0.25">
      <c r="A52">
        <v>6006917</v>
      </c>
      <c r="B52" t="s">
        <v>3347</v>
      </c>
    </row>
    <row r="54" spans="1:18" x14ac:dyDescent="0.25">
      <c r="B54" s="10"/>
    </row>
    <row r="55" spans="1:18" x14ac:dyDescent="0.25">
      <c r="A55">
        <v>8057159</v>
      </c>
      <c r="B55" s="10" t="s">
        <v>3348</v>
      </c>
    </row>
    <row r="56" spans="1:18" x14ac:dyDescent="0.25">
      <c r="A56">
        <v>9140312</v>
      </c>
      <c r="B56" s="10" t="s">
        <v>3348</v>
      </c>
    </row>
    <row r="57" spans="1:18" x14ac:dyDescent="0.25">
      <c r="A57">
        <v>12008230</v>
      </c>
      <c r="B57" s="10" t="s">
        <v>3348</v>
      </c>
    </row>
    <row r="58" spans="1:18" x14ac:dyDescent="0.25">
      <c r="A58">
        <v>12088444</v>
      </c>
      <c r="B58" s="10" t="s">
        <v>3348</v>
      </c>
    </row>
    <row r="59" spans="1:18" x14ac:dyDescent="0.25">
      <c r="A59">
        <v>13118872</v>
      </c>
      <c r="B59" s="10" t="s">
        <v>3348</v>
      </c>
    </row>
    <row r="60" spans="1:18" x14ac:dyDescent="0.25">
      <c r="A60">
        <v>12012030</v>
      </c>
      <c r="B60" s="10" t="s">
        <v>3348</v>
      </c>
    </row>
    <row r="62" spans="1:18" x14ac:dyDescent="0.25">
      <c r="A62" s="10"/>
      <c r="B62" s="10"/>
    </row>
    <row r="63" spans="1:18" x14ac:dyDescent="0.25">
      <c r="A63">
        <v>9074418</v>
      </c>
      <c r="B63" s="10" t="s">
        <v>3349</v>
      </c>
    </row>
    <row r="64" spans="1:18" x14ac:dyDescent="0.25">
      <c r="A64">
        <v>1263</v>
      </c>
      <c r="B64" s="10" t="s">
        <v>3349</v>
      </c>
    </row>
    <row r="65" spans="1:50" x14ac:dyDescent="0.25">
      <c r="A65">
        <v>98004910</v>
      </c>
      <c r="B65" s="10" t="s">
        <v>3349</v>
      </c>
    </row>
    <row r="66" spans="1:50" x14ac:dyDescent="0.25">
      <c r="A66">
        <v>7103068</v>
      </c>
      <c r="B66" s="10" t="s">
        <v>3349</v>
      </c>
    </row>
    <row r="67" spans="1:50" x14ac:dyDescent="0.25">
      <c r="A67">
        <v>11240728</v>
      </c>
      <c r="B67" s="10" t="s">
        <v>3349</v>
      </c>
    </row>
    <row r="68" spans="1:50" x14ac:dyDescent="0.25"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</row>
    <row r="69" spans="1:50" x14ac:dyDescent="0.25">
      <c r="A69" s="26" t="s">
        <v>170</v>
      </c>
      <c r="B69" s="26"/>
    </row>
    <row r="70" spans="1:50" x14ac:dyDescent="0.25">
      <c r="A70" s="10"/>
      <c r="B70" s="10"/>
    </row>
    <row r="71" spans="1:50" x14ac:dyDescent="0.25">
      <c r="A71">
        <v>5015869</v>
      </c>
      <c r="B71" t="s">
        <v>3350</v>
      </c>
    </row>
    <row r="72" spans="1:50" x14ac:dyDescent="0.25">
      <c r="A72">
        <v>5016969</v>
      </c>
      <c r="B72" t="s">
        <v>3350</v>
      </c>
    </row>
    <row r="73" spans="1:50" x14ac:dyDescent="0.25">
      <c r="A73">
        <v>6023231</v>
      </c>
      <c r="B73" t="s">
        <v>3350</v>
      </c>
    </row>
    <row r="74" spans="1:50" x14ac:dyDescent="0.25">
      <c r="A74">
        <v>6010712</v>
      </c>
      <c r="B74" t="s">
        <v>3350</v>
      </c>
    </row>
    <row r="75" spans="1:50" x14ac:dyDescent="0.25">
      <c r="A75">
        <v>6011198</v>
      </c>
      <c r="B75" t="s">
        <v>3350</v>
      </c>
    </row>
    <row r="76" spans="1:50" x14ac:dyDescent="0.25">
      <c r="A76">
        <v>6012681</v>
      </c>
      <c r="B76" t="s">
        <v>3350</v>
      </c>
    </row>
    <row r="77" spans="1:50" x14ac:dyDescent="0.25">
      <c r="A77">
        <v>6014511</v>
      </c>
      <c r="B77" t="s">
        <v>3350</v>
      </c>
    </row>
    <row r="78" spans="1:50" x14ac:dyDescent="0.25">
      <c r="A78">
        <v>6045127</v>
      </c>
      <c r="B78" t="s">
        <v>3350</v>
      </c>
    </row>
    <row r="79" spans="1:50" x14ac:dyDescent="0.25">
      <c r="A79">
        <v>7000458</v>
      </c>
      <c r="B79" t="s">
        <v>3350</v>
      </c>
    </row>
    <row r="80" spans="1:50" x14ac:dyDescent="0.25">
      <c r="A80">
        <v>7015502</v>
      </c>
      <c r="B80" t="s">
        <v>3350</v>
      </c>
    </row>
    <row r="81" spans="1:42" x14ac:dyDescent="0.25">
      <c r="A81">
        <v>7025847</v>
      </c>
      <c r="B81" t="s">
        <v>3350</v>
      </c>
    </row>
    <row r="82" spans="1:42" x14ac:dyDescent="0.25">
      <c r="A82">
        <v>7082707</v>
      </c>
      <c r="B82" t="s">
        <v>3350</v>
      </c>
    </row>
    <row r="83" spans="1:42" x14ac:dyDescent="0.25">
      <c r="A83">
        <v>7083159</v>
      </c>
      <c r="B83" t="s">
        <v>3350</v>
      </c>
    </row>
    <row r="84" spans="1:42" x14ac:dyDescent="0.25">
      <c r="A84">
        <v>7084659</v>
      </c>
      <c r="B84" t="s">
        <v>3350</v>
      </c>
    </row>
    <row r="85" spans="1:42" x14ac:dyDescent="0.25">
      <c r="A85">
        <v>7076814</v>
      </c>
      <c r="B85" t="s">
        <v>3350</v>
      </c>
    </row>
    <row r="86" spans="1:42" x14ac:dyDescent="0.25">
      <c r="A86">
        <v>7076815</v>
      </c>
      <c r="B86" t="s">
        <v>3350</v>
      </c>
    </row>
    <row r="87" spans="1:42" x14ac:dyDescent="0.25">
      <c r="A87">
        <v>7089231</v>
      </c>
      <c r="B87" t="s">
        <v>3350</v>
      </c>
      <c r="R87">
        <v>30.5</v>
      </c>
    </row>
    <row r="88" spans="1:42" x14ac:dyDescent="0.25">
      <c r="A88">
        <v>7116004</v>
      </c>
      <c r="B88" t="s">
        <v>3350</v>
      </c>
    </row>
    <row r="89" spans="1:42" x14ac:dyDescent="0.25">
      <c r="A89">
        <v>8003819</v>
      </c>
      <c r="B89" t="s">
        <v>3350</v>
      </c>
    </row>
    <row r="90" spans="1:42" x14ac:dyDescent="0.25">
      <c r="A90">
        <v>8091779</v>
      </c>
      <c r="B90" t="s">
        <v>3350</v>
      </c>
    </row>
    <row r="91" spans="1:42" x14ac:dyDescent="0.25">
      <c r="A91">
        <v>8097989</v>
      </c>
      <c r="B91" t="s">
        <v>3350</v>
      </c>
    </row>
    <row r="92" spans="1:42" x14ac:dyDescent="0.25">
      <c r="A92">
        <v>8112522</v>
      </c>
      <c r="B92" t="s">
        <v>3350</v>
      </c>
    </row>
    <row r="93" spans="1:42" x14ac:dyDescent="0.25">
      <c r="A93">
        <v>8127397</v>
      </c>
      <c r="B93" t="s">
        <v>3350</v>
      </c>
    </row>
    <row r="94" spans="1:42" x14ac:dyDescent="0.25">
      <c r="A94">
        <v>8130998</v>
      </c>
      <c r="B94" t="s">
        <v>3350</v>
      </c>
    </row>
    <row r="95" spans="1:42" x14ac:dyDescent="0.25">
      <c r="A95">
        <v>9002836</v>
      </c>
      <c r="B95" t="s">
        <v>3350</v>
      </c>
    </row>
    <row r="96" spans="1:42" x14ac:dyDescent="0.25">
      <c r="A96">
        <v>9003331</v>
      </c>
      <c r="B96" t="s">
        <v>3350</v>
      </c>
      <c r="AP96">
        <v>47</v>
      </c>
    </row>
    <row r="97" spans="1:40" x14ac:dyDescent="0.25">
      <c r="A97">
        <v>9003370</v>
      </c>
      <c r="B97" t="s">
        <v>3350</v>
      </c>
      <c r="S97">
        <v>43</v>
      </c>
    </row>
    <row r="98" spans="1:40" x14ac:dyDescent="0.25">
      <c r="A98">
        <v>9016278</v>
      </c>
      <c r="B98" t="s">
        <v>3350</v>
      </c>
      <c r="L98">
        <v>36</v>
      </c>
      <c r="P98">
        <v>32</v>
      </c>
      <c r="U98">
        <v>31</v>
      </c>
    </row>
    <row r="99" spans="1:40" x14ac:dyDescent="0.25">
      <c r="A99">
        <v>9030684</v>
      </c>
      <c r="B99" t="s">
        <v>3350</v>
      </c>
      <c r="S99">
        <v>22</v>
      </c>
      <c r="T99">
        <v>26</v>
      </c>
      <c r="AD99">
        <v>35</v>
      </c>
    </row>
    <row r="100" spans="1:40" x14ac:dyDescent="0.25">
      <c r="A100">
        <v>9031387</v>
      </c>
      <c r="B100" t="s">
        <v>3350</v>
      </c>
      <c r="AJ100">
        <v>42</v>
      </c>
    </row>
    <row r="101" spans="1:40" x14ac:dyDescent="0.25">
      <c r="A101">
        <v>9038676</v>
      </c>
      <c r="B101" t="s">
        <v>3350</v>
      </c>
      <c r="S101">
        <v>44.6</v>
      </c>
      <c r="U101">
        <v>39.9</v>
      </c>
    </row>
    <row r="102" spans="1:40" x14ac:dyDescent="0.25">
      <c r="A102">
        <v>9039416</v>
      </c>
      <c r="B102" t="s">
        <v>3350</v>
      </c>
      <c r="V102">
        <v>30</v>
      </c>
      <c r="W102">
        <v>28</v>
      </c>
      <c r="AD102">
        <v>27</v>
      </c>
      <c r="AN102">
        <v>31</v>
      </c>
    </row>
    <row r="103" spans="1:40" x14ac:dyDescent="0.25">
      <c r="A103">
        <v>9042861</v>
      </c>
      <c r="B103" t="s">
        <v>3350</v>
      </c>
    </row>
    <row r="104" spans="1:40" x14ac:dyDescent="0.25">
      <c r="A104">
        <v>9044899</v>
      </c>
      <c r="B104" t="s">
        <v>3350</v>
      </c>
      <c r="K104">
        <v>39</v>
      </c>
      <c r="Q104">
        <v>36</v>
      </c>
      <c r="S104">
        <v>42</v>
      </c>
      <c r="U104">
        <v>40</v>
      </c>
      <c r="AA104">
        <v>42</v>
      </c>
    </row>
    <row r="105" spans="1:40" x14ac:dyDescent="0.25">
      <c r="A105">
        <v>9052398</v>
      </c>
      <c r="B105" t="s">
        <v>3350</v>
      </c>
      <c r="S105">
        <v>38</v>
      </c>
    </row>
    <row r="106" spans="1:40" x14ac:dyDescent="0.25">
      <c r="A106">
        <v>9085204</v>
      </c>
      <c r="B106" t="s">
        <v>3350</v>
      </c>
    </row>
    <row r="107" spans="1:40" x14ac:dyDescent="0.25">
      <c r="A107">
        <v>9090323</v>
      </c>
      <c r="B107" t="s">
        <v>3350</v>
      </c>
    </row>
    <row r="108" spans="1:40" x14ac:dyDescent="0.25">
      <c r="A108">
        <v>9105492</v>
      </c>
      <c r="B108" t="s">
        <v>3350</v>
      </c>
    </row>
    <row r="109" spans="1:40" x14ac:dyDescent="0.25">
      <c r="A109">
        <v>9138470</v>
      </c>
      <c r="B109" t="s">
        <v>3350</v>
      </c>
    </row>
    <row r="110" spans="1:40" x14ac:dyDescent="0.25">
      <c r="A110">
        <v>9150676</v>
      </c>
      <c r="B110" t="s">
        <v>3350</v>
      </c>
    </row>
    <row r="111" spans="1:40" x14ac:dyDescent="0.25">
      <c r="A111">
        <v>10010926</v>
      </c>
      <c r="B111" t="s">
        <v>3350</v>
      </c>
      <c r="S111">
        <v>30</v>
      </c>
      <c r="T111">
        <v>27</v>
      </c>
      <c r="U111">
        <v>28</v>
      </c>
      <c r="AA111">
        <v>24</v>
      </c>
      <c r="AE111">
        <v>33</v>
      </c>
      <c r="AF111">
        <v>30</v>
      </c>
    </row>
    <row r="112" spans="1:40" x14ac:dyDescent="0.25">
      <c r="A112">
        <v>10016588</v>
      </c>
      <c r="B112" t="s">
        <v>3350</v>
      </c>
    </row>
    <row r="113" spans="1:45" x14ac:dyDescent="0.25">
      <c r="A113">
        <v>10030897</v>
      </c>
      <c r="B113" t="s">
        <v>3350</v>
      </c>
    </row>
    <row r="114" spans="1:45" x14ac:dyDescent="0.25">
      <c r="A114">
        <v>324</v>
      </c>
      <c r="B114" t="s">
        <v>3350</v>
      </c>
      <c r="S114">
        <v>46</v>
      </c>
      <c r="AR114">
        <v>34</v>
      </c>
    </row>
    <row r="115" spans="1:45" x14ac:dyDescent="0.25">
      <c r="A115">
        <v>3909</v>
      </c>
      <c r="B115" t="s">
        <v>3350</v>
      </c>
      <c r="AS115">
        <v>43</v>
      </c>
    </row>
    <row r="116" spans="1:45" x14ac:dyDescent="0.25">
      <c r="A116">
        <v>4663</v>
      </c>
      <c r="B116" t="s">
        <v>3350</v>
      </c>
    </row>
    <row r="117" spans="1:45" x14ac:dyDescent="0.25">
      <c r="A117">
        <v>1005522</v>
      </c>
      <c r="B117" t="s">
        <v>3350</v>
      </c>
      <c r="E117">
        <v>43.8</v>
      </c>
      <c r="H117">
        <v>40.6</v>
      </c>
      <c r="S117">
        <v>44.1</v>
      </c>
      <c r="AA117">
        <v>44.2</v>
      </c>
      <c r="AF117">
        <v>45.4</v>
      </c>
    </row>
    <row r="118" spans="1:45" x14ac:dyDescent="0.25">
      <c r="A118">
        <v>1007631</v>
      </c>
      <c r="B118" t="s">
        <v>3350</v>
      </c>
    </row>
    <row r="119" spans="1:45" x14ac:dyDescent="0.25">
      <c r="A119">
        <v>1009760</v>
      </c>
      <c r="B119" t="s">
        <v>3350</v>
      </c>
      <c r="V119">
        <v>43.5</v>
      </c>
      <c r="AB119">
        <v>40.6</v>
      </c>
      <c r="AD119">
        <v>42.9</v>
      </c>
      <c r="AG119">
        <v>42.8</v>
      </c>
    </row>
    <row r="120" spans="1:45" x14ac:dyDescent="0.25">
      <c r="A120">
        <v>2000646</v>
      </c>
      <c r="B120" t="s">
        <v>3350</v>
      </c>
      <c r="S120">
        <v>44.5</v>
      </c>
      <c r="T120">
        <v>32.5</v>
      </c>
      <c r="AA120">
        <v>39</v>
      </c>
      <c r="AB120">
        <v>38</v>
      </c>
      <c r="AC120">
        <v>40</v>
      </c>
    </row>
    <row r="121" spans="1:45" x14ac:dyDescent="0.25">
      <c r="A121">
        <v>2003761</v>
      </c>
      <c r="B121" t="s">
        <v>3350</v>
      </c>
    </row>
    <row r="122" spans="1:45" x14ac:dyDescent="0.25">
      <c r="A122">
        <v>2004061</v>
      </c>
      <c r="B122" t="s">
        <v>3350</v>
      </c>
    </row>
    <row r="123" spans="1:45" x14ac:dyDescent="0.25">
      <c r="A123">
        <v>2006469</v>
      </c>
      <c r="B123" t="s">
        <v>3350</v>
      </c>
    </row>
    <row r="124" spans="1:45" x14ac:dyDescent="0.25">
      <c r="A124">
        <v>3005132</v>
      </c>
      <c r="B124" t="s">
        <v>3350</v>
      </c>
    </row>
    <row r="125" spans="1:45" x14ac:dyDescent="0.25">
      <c r="A125">
        <v>3009119</v>
      </c>
      <c r="B125" t="s">
        <v>3350</v>
      </c>
    </row>
    <row r="126" spans="1:45" x14ac:dyDescent="0.25">
      <c r="A126">
        <v>3009936</v>
      </c>
      <c r="B126" t="s">
        <v>3350</v>
      </c>
    </row>
    <row r="127" spans="1:45" x14ac:dyDescent="0.25">
      <c r="A127">
        <v>3011094</v>
      </c>
      <c r="B127" t="s">
        <v>3350</v>
      </c>
    </row>
    <row r="128" spans="1:45" x14ac:dyDescent="0.25">
      <c r="A128">
        <v>3014643</v>
      </c>
      <c r="B128" t="s">
        <v>3350</v>
      </c>
    </row>
    <row r="129" spans="1:49" x14ac:dyDescent="0.25">
      <c r="A129">
        <v>3016056</v>
      </c>
      <c r="B129" t="s">
        <v>3350</v>
      </c>
      <c r="S129">
        <v>40.5</v>
      </c>
      <c r="AW129">
        <v>42.3</v>
      </c>
    </row>
    <row r="130" spans="1:49" x14ac:dyDescent="0.25">
      <c r="A130">
        <v>3900219</v>
      </c>
      <c r="B130" t="s">
        <v>3350</v>
      </c>
    </row>
    <row r="131" spans="1:49" x14ac:dyDescent="0.25">
      <c r="A131">
        <v>4000158</v>
      </c>
      <c r="B131" t="s">
        <v>3350</v>
      </c>
    </row>
    <row r="132" spans="1:49" x14ac:dyDescent="0.25">
      <c r="A132">
        <v>4000304</v>
      </c>
      <c r="B132" t="s">
        <v>3350</v>
      </c>
    </row>
    <row r="133" spans="1:49" x14ac:dyDescent="0.25">
      <c r="A133">
        <v>4001905</v>
      </c>
      <c r="B133" t="s">
        <v>3350</v>
      </c>
    </row>
    <row r="134" spans="1:49" x14ac:dyDescent="0.25">
      <c r="A134">
        <v>4002206</v>
      </c>
      <c r="B134" t="s">
        <v>3350</v>
      </c>
      <c r="S134">
        <v>50</v>
      </c>
      <c r="X134">
        <v>44</v>
      </c>
    </row>
    <row r="135" spans="1:49" x14ac:dyDescent="0.25">
      <c r="A135">
        <v>4002715</v>
      </c>
      <c r="B135" t="s">
        <v>3350</v>
      </c>
    </row>
    <row r="136" spans="1:49" x14ac:dyDescent="0.25">
      <c r="A136">
        <v>4003924</v>
      </c>
      <c r="B136" t="s">
        <v>3350</v>
      </c>
    </row>
    <row r="137" spans="1:49" x14ac:dyDescent="0.25">
      <c r="A137">
        <v>4006051</v>
      </c>
      <c r="B137" t="s">
        <v>3350</v>
      </c>
    </row>
    <row r="138" spans="1:49" x14ac:dyDescent="0.25">
      <c r="A138">
        <v>4008140</v>
      </c>
      <c r="B138" t="s">
        <v>3350</v>
      </c>
    </row>
    <row r="139" spans="1:49" x14ac:dyDescent="0.25">
      <c r="A139">
        <v>4009906</v>
      </c>
      <c r="B139" t="s">
        <v>3350</v>
      </c>
      <c r="T139">
        <v>40.5</v>
      </c>
      <c r="AO139">
        <v>37.1</v>
      </c>
      <c r="AT139">
        <v>38.1</v>
      </c>
      <c r="AV139">
        <v>38.9</v>
      </c>
    </row>
    <row r="140" spans="1:49" x14ac:dyDescent="0.25">
      <c r="A140">
        <v>4011027</v>
      </c>
      <c r="B140" t="s">
        <v>3350</v>
      </c>
      <c r="T140">
        <v>24</v>
      </c>
      <c r="U140">
        <v>28</v>
      </c>
      <c r="V140">
        <v>32</v>
      </c>
      <c r="Z140">
        <v>34</v>
      </c>
      <c r="AF140">
        <v>36</v>
      </c>
    </row>
    <row r="141" spans="1:49" x14ac:dyDescent="0.25">
      <c r="A141">
        <v>4011920</v>
      </c>
      <c r="B141" t="s">
        <v>3350</v>
      </c>
    </row>
    <row r="142" spans="1:49" x14ac:dyDescent="0.25">
      <c r="A142">
        <v>4012248</v>
      </c>
      <c r="B142" t="s">
        <v>3350</v>
      </c>
    </row>
    <row r="143" spans="1:49" x14ac:dyDescent="0.25">
      <c r="A143">
        <v>4013603</v>
      </c>
      <c r="B143" t="s">
        <v>3350</v>
      </c>
    </row>
    <row r="144" spans="1:49" x14ac:dyDescent="0.25">
      <c r="A144">
        <v>5004654</v>
      </c>
      <c r="B144" t="s">
        <v>3350</v>
      </c>
      <c r="T144">
        <v>37.700000000000003</v>
      </c>
      <c r="V144">
        <v>34.200000000000003</v>
      </c>
      <c r="W144">
        <v>36.700000000000003</v>
      </c>
      <c r="X144">
        <v>38.6</v>
      </c>
      <c r="Y144">
        <v>35.9</v>
      </c>
      <c r="AA144">
        <v>37.700000000000003</v>
      </c>
      <c r="AC144">
        <v>36.700000000000003</v>
      </c>
      <c r="AF144">
        <v>37.1</v>
      </c>
    </row>
    <row r="145" spans="1:37" x14ac:dyDescent="0.25">
      <c r="A145" s="65"/>
      <c r="B145" s="65"/>
    </row>
    <row r="146" spans="1:37" x14ac:dyDescent="0.25">
      <c r="A146" s="10"/>
      <c r="B146" s="10"/>
    </row>
    <row r="147" spans="1:37" x14ac:dyDescent="0.25">
      <c r="A147">
        <v>4289</v>
      </c>
      <c r="B147" t="s">
        <v>3351</v>
      </c>
    </row>
    <row r="148" spans="1:37" x14ac:dyDescent="0.25">
      <c r="A148">
        <v>500245</v>
      </c>
      <c r="B148" t="s">
        <v>3351</v>
      </c>
      <c r="S148">
        <v>36</v>
      </c>
      <c r="V148">
        <v>33.799999999999997</v>
      </c>
      <c r="AB148">
        <v>0.41</v>
      </c>
    </row>
    <row r="149" spans="1:37" x14ac:dyDescent="0.25">
      <c r="A149">
        <v>2002573</v>
      </c>
      <c r="B149" t="s">
        <v>3351</v>
      </c>
      <c r="Z149">
        <v>41</v>
      </c>
    </row>
    <row r="150" spans="1:37" x14ac:dyDescent="0.25">
      <c r="A150">
        <v>2003539</v>
      </c>
      <c r="B150" t="s">
        <v>3351</v>
      </c>
    </row>
    <row r="151" spans="1:37" x14ac:dyDescent="0.25">
      <c r="A151">
        <v>2003649</v>
      </c>
      <c r="B151" t="s">
        <v>3351</v>
      </c>
    </row>
    <row r="152" spans="1:37" x14ac:dyDescent="0.25">
      <c r="A152">
        <v>2005572</v>
      </c>
      <c r="B152" t="s">
        <v>3351</v>
      </c>
      <c r="S152">
        <v>42</v>
      </c>
      <c r="U152">
        <v>44</v>
      </c>
      <c r="X152">
        <v>43</v>
      </c>
    </row>
    <row r="153" spans="1:37" x14ac:dyDescent="0.25">
      <c r="A153">
        <v>2013117</v>
      </c>
      <c r="B153" t="s">
        <v>3351</v>
      </c>
    </row>
    <row r="154" spans="1:37" x14ac:dyDescent="0.25">
      <c r="A154">
        <v>3009633</v>
      </c>
      <c r="B154" t="s">
        <v>3351</v>
      </c>
      <c r="AF154">
        <v>44</v>
      </c>
      <c r="AI154">
        <v>45</v>
      </c>
      <c r="AK154">
        <v>43</v>
      </c>
    </row>
    <row r="155" spans="1:37" x14ac:dyDescent="0.25">
      <c r="A155">
        <v>3010583</v>
      </c>
      <c r="B155" t="s">
        <v>3351</v>
      </c>
    </row>
    <row r="156" spans="1:37" x14ac:dyDescent="0.25">
      <c r="A156" s="23">
        <v>3011892</v>
      </c>
      <c r="B156" t="s">
        <v>3351</v>
      </c>
      <c r="AB156">
        <v>42</v>
      </c>
    </row>
    <row r="157" spans="1:37" x14ac:dyDescent="0.25">
      <c r="A157">
        <v>4001382</v>
      </c>
      <c r="B157" t="s">
        <v>3351</v>
      </c>
    </row>
    <row r="158" spans="1:37" x14ac:dyDescent="0.25">
      <c r="A158">
        <v>5018675</v>
      </c>
      <c r="B158" t="s">
        <v>3351</v>
      </c>
    </row>
    <row r="159" spans="1:37" x14ac:dyDescent="0.25">
      <c r="A159">
        <v>6050168</v>
      </c>
      <c r="B159" t="s">
        <v>3351</v>
      </c>
    </row>
    <row r="160" spans="1:37" x14ac:dyDescent="0.25">
      <c r="A160">
        <v>5006592</v>
      </c>
      <c r="B160" t="s">
        <v>3351</v>
      </c>
    </row>
    <row r="161" spans="1:39" x14ac:dyDescent="0.25">
      <c r="A161">
        <v>5007274</v>
      </c>
      <c r="B161" t="s">
        <v>3351</v>
      </c>
    </row>
    <row r="162" spans="1:39" x14ac:dyDescent="0.25">
      <c r="A162">
        <v>5015851</v>
      </c>
      <c r="B162" t="s">
        <v>3351</v>
      </c>
    </row>
    <row r="163" spans="1:39" x14ac:dyDescent="0.25">
      <c r="A163">
        <v>6015647</v>
      </c>
      <c r="B163" t="s">
        <v>3351</v>
      </c>
      <c r="S163">
        <v>47.7</v>
      </c>
      <c r="U163">
        <v>45.9</v>
      </c>
      <c r="V163">
        <v>43.8</v>
      </c>
      <c r="Y163">
        <v>45.3</v>
      </c>
      <c r="AB163">
        <v>43.9</v>
      </c>
      <c r="AF163">
        <v>42</v>
      </c>
      <c r="AM163">
        <v>40</v>
      </c>
    </row>
    <row r="164" spans="1:39" x14ac:dyDescent="0.25">
      <c r="A164">
        <v>6056633</v>
      </c>
      <c r="B164" t="s">
        <v>3351</v>
      </c>
    </row>
    <row r="165" spans="1:39" x14ac:dyDescent="0.25">
      <c r="A165">
        <v>7086224</v>
      </c>
      <c r="B165" t="s">
        <v>3351</v>
      </c>
      <c r="AC165">
        <v>40</v>
      </c>
      <c r="AL165">
        <v>35</v>
      </c>
    </row>
    <row r="166" spans="1:39" x14ac:dyDescent="0.25">
      <c r="A166">
        <v>8040959</v>
      </c>
      <c r="B166" t="s">
        <v>3351</v>
      </c>
    </row>
    <row r="167" spans="1:39" x14ac:dyDescent="0.25">
      <c r="A167">
        <v>8107048</v>
      </c>
      <c r="B167" t="s">
        <v>3351</v>
      </c>
    </row>
    <row r="168" spans="1:39" x14ac:dyDescent="0.25">
      <c r="A168">
        <v>8124044</v>
      </c>
      <c r="B168" t="s">
        <v>3351</v>
      </c>
    </row>
    <row r="169" spans="1:39" x14ac:dyDescent="0.25">
      <c r="A169">
        <v>8142949</v>
      </c>
      <c r="B169" t="s">
        <v>3351</v>
      </c>
    </row>
    <row r="170" spans="1:39" x14ac:dyDescent="0.25">
      <c r="A170">
        <v>9023306</v>
      </c>
      <c r="B170" t="s">
        <v>3351</v>
      </c>
    </row>
    <row r="171" spans="1:39" x14ac:dyDescent="0.25">
      <c r="A171">
        <v>9030615</v>
      </c>
      <c r="B171" t="s">
        <v>3351</v>
      </c>
      <c r="V171">
        <v>42</v>
      </c>
      <c r="AB171">
        <v>5.2</v>
      </c>
    </row>
    <row r="172" spans="1:39" x14ac:dyDescent="0.25">
      <c r="A172">
        <v>9034464</v>
      </c>
      <c r="B172" t="s">
        <v>3351</v>
      </c>
    </row>
    <row r="173" spans="1:39" x14ac:dyDescent="0.25">
      <c r="A173">
        <v>9040167</v>
      </c>
      <c r="B173" t="s">
        <v>3351</v>
      </c>
      <c r="P173">
        <v>38</v>
      </c>
    </row>
    <row r="174" spans="1:39" x14ac:dyDescent="0.25">
      <c r="A174">
        <v>9054567</v>
      </c>
      <c r="B174" t="s">
        <v>3351</v>
      </c>
    </row>
    <row r="175" spans="1:39" x14ac:dyDescent="0.25">
      <c r="A175">
        <v>9083682</v>
      </c>
      <c r="B175" t="s">
        <v>3351</v>
      </c>
      <c r="R175">
        <v>45</v>
      </c>
    </row>
    <row r="176" spans="1:39" x14ac:dyDescent="0.25">
      <c r="A176">
        <v>9102044</v>
      </c>
      <c r="B176" t="s">
        <v>3351</v>
      </c>
    </row>
    <row r="177" spans="1:31" x14ac:dyDescent="0.25">
      <c r="A177">
        <v>9119854</v>
      </c>
      <c r="B177" t="s">
        <v>3351</v>
      </c>
    </row>
    <row r="178" spans="1:31" x14ac:dyDescent="0.25">
      <c r="A178">
        <v>9125126</v>
      </c>
      <c r="B178" t="s">
        <v>3351</v>
      </c>
    </row>
    <row r="179" spans="1:31" x14ac:dyDescent="0.25">
      <c r="A179">
        <v>9174811</v>
      </c>
      <c r="B179" t="s">
        <v>3351</v>
      </c>
    </row>
    <row r="180" spans="1:31" x14ac:dyDescent="0.25">
      <c r="A180">
        <v>10002875</v>
      </c>
      <c r="B180" t="s">
        <v>3351</v>
      </c>
    </row>
    <row r="181" spans="1:31" x14ac:dyDescent="0.25">
      <c r="A181">
        <v>10023080</v>
      </c>
      <c r="B181" t="s">
        <v>3351</v>
      </c>
    </row>
    <row r="182" spans="1:31" x14ac:dyDescent="0.25">
      <c r="A182">
        <v>10025212</v>
      </c>
      <c r="B182" t="s">
        <v>3351</v>
      </c>
    </row>
    <row r="183" spans="1:31" x14ac:dyDescent="0.25">
      <c r="A183">
        <v>10069407</v>
      </c>
      <c r="B183" t="s">
        <v>3351</v>
      </c>
    </row>
    <row r="184" spans="1:31" x14ac:dyDescent="0.25">
      <c r="A184">
        <v>10071135</v>
      </c>
      <c r="B184" t="s">
        <v>3351</v>
      </c>
      <c r="AE184">
        <v>48</v>
      </c>
    </row>
    <row r="185" spans="1:31" x14ac:dyDescent="0.25">
      <c r="A185">
        <v>10083649</v>
      </c>
      <c r="B185" t="s">
        <v>3351</v>
      </c>
    </row>
    <row r="186" spans="1:31" x14ac:dyDescent="0.25">
      <c r="A186">
        <v>10102021</v>
      </c>
      <c r="B186" t="s">
        <v>3351</v>
      </c>
    </row>
    <row r="187" spans="1:31" x14ac:dyDescent="0.25">
      <c r="A187">
        <v>10123729</v>
      </c>
      <c r="B187" t="s">
        <v>3351</v>
      </c>
    </row>
    <row r="188" spans="1:31" x14ac:dyDescent="0.25">
      <c r="A188">
        <v>10144736</v>
      </c>
      <c r="B188" t="s">
        <v>3351</v>
      </c>
    </row>
    <row r="189" spans="1:31" x14ac:dyDescent="0.25">
      <c r="A189">
        <v>10157275</v>
      </c>
      <c r="B189" t="s">
        <v>3351</v>
      </c>
    </row>
    <row r="190" spans="1:31" x14ac:dyDescent="0.25">
      <c r="A190" s="65"/>
      <c r="B190" s="65"/>
    </row>
    <row r="191" spans="1:31" x14ac:dyDescent="0.25">
      <c r="A191" s="10"/>
      <c r="B191" s="10"/>
    </row>
    <row r="192" spans="1:31" x14ac:dyDescent="0.25">
      <c r="A192">
        <v>5281</v>
      </c>
      <c r="B192" t="s">
        <v>3352</v>
      </c>
    </row>
    <row r="193" spans="1:34" x14ac:dyDescent="0.25">
      <c r="A193">
        <v>200085</v>
      </c>
      <c r="B193" t="s">
        <v>3352</v>
      </c>
    </row>
    <row r="194" spans="1:34" x14ac:dyDescent="0.25">
      <c r="A194">
        <v>500129</v>
      </c>
      <c r="B194" t="s">
        <v>3352</v>
      </c>
    </row>
    <row r="195" spans="1:34" x14ac:dyDescent="0.25">
      <c r="A195" s="23">
        <v>1002033</v>
      </c>
      <c r="B195" t="s">
        <v>3352</v>
      </c>
    </row>
    <row r="196" spans="1:34" x14ac:dyDescent="0.25">
      <c r="A196">
        <v>1003457</v>
      </c>
      <c r="B196" t="s">
        <v>3352</v>
      </c>
    </row>
    <row r="197" spans="1:34" x14ac:dyDescent="0.25">
      <c r="A197">
        <v>2005223</v>
      </c>
      <c r="B197" t="s">
        <v>3352</v>
      </c>
    </row>
    <row r="198" spans="1:34" x14ac:dyDescent="0.25">
      <c r="A198">
        <v>2006107</v>
      </c>
      <c r="B198" t="s">
        <v>3352</v>
      </c>
    </row>
    <row r="199" spans="1:34" x14ac:dyDescent="0.25">
      <c r="A199">
        <v>2012014</v>
      </c>
      <c r="B199" t="s">
        <v>3352</v>
      </c>
      <c r="J199">
        <v>40</v>
      </c>
      <c r="V199">
        <v>32.200000000000003</v>
      </c>
    </row>
    <row r="200" spans="1:34" x14ac:dyDescent="0.25">
      <c r="A200">
        <v>3000152</v>
      </c>
      <c r="B200" t="s">
        <v>3352</v>
      </c>
      <c r="R200">
        <v>44</v>
      </c>
    </row>
    <row r="201" spans="1:34" x14ac:dyDescent="0.25">
      <c r="A201">
        <v>3014566</v>
      </c>
      <c r="B201" t="s">
        <v>3352</v>
      </c>
    </row>
    <row r="202" spans="1:34" x14ac:dyDescent="0.25">
      <c r="A202">
        <v>3015058</v>
      </c>
      <c r="B202" t="s">
        <v>3352</v>
      </c>
      <c r="J202">
        <v>34.9</v>
      </c>
      <c r="K202" s="14">
        <v>34.299999999999997</v>
      </c>
      <c r="L202">
        <v>39.9</v>
      </c>
      <c r="N202">
        <v>31.7</v>
      </c>
      <c r="T202">
        <v>31.2</v>
      </c>
      <c r="U202">
        <v>34.700000000000003</v>
      </c>
      <c r="Y202">
        <v>32.200000000000003</v>
      </c>
      <c r="AA202">
        <v>33.200000000000003</v>
      </c>
    </row>
    <row r="203" spans="1:34" x14ac:dyDescent="0.25">
      <c r="A203" s="23">
        <v>4000996</v>
      </c>
      <c r="B203" t="s">
        <v>3352</v>
      </c>
      <c r="T203">
        <v>36</v>
      </c>
    </row>
    <row r="204" spans="1:34" x14ac:dyDescent="0.25">
      <c r="A204">
        <v>4003768</v>
      </c>
      <c r="B204" t="s">
        <v>3352</v>
      </c>
    </row>
    <row r="205" spans="1:34" x14ac:dyDescent="0.25">
      <c r="A205">
        <v>4006540</v>
      </c>
      <c r="B205" t="s">
        <v>3352</v>
      </c>
      <c r="AC205">
        <v>42</v>
      </c>
      <c r="AH205">
        <v>44</v>
      </c>
    </row>
    <row r="206" spans="1:34" x14ac:dyDescent="0.25">
      <c r="A206">
        <v>4007054</v>
      </c>
      <c r="B206" t="s">
        <v>3352</v>
      </c>
      <c r="W206">
        <v>39</v>
      </c>
    </row>
    <row r="207" spans="1:34" x14ac:dyDescent="0.25">
      <c r="A207">
        <v>4011002</v>
      </c>
      <c r="B207" t="s">
        <v>3352</v>
      </c>
      <c r="S207">
        <v>42</v>
      </c>
      <c r="T207">
        <v>38</v>
      </c>
      <c r="X207">
        <v>40</v>
      </c>
      <c r="AA207">
        <v>41</v>
      </c>
    </row>
    <row r="208" spans="1:34" x14ac:dyDescent="0.25">
      <c r="A208">
        <v>4900268</v>
      </c>
      <c r="B208" t="s">
        <v>3352</v>
      </c>
    </row>
    <row r="209" spans="1:27" x14ac:dyDescent="0.25">
      <c r="A209">
        <v>5001097</v>
      </c>
      <c r="B209" t="s">
        <v>3352</v>
      </c>
      <c r="L209">
        <v>40.6</v>
      </c>
      <c r="M209">
        <v>39.9</v>
      </c>
      <c r="S209">
        <v>40</v>
      </c>
      <c r="AA209">
        <v>42.4</v>
      </c>
    </row>
    <row r="210" spans="1:27" x14ac:dyDescent="0.25">
      <c r="A210">
        <v>5001098</v>
      </c>
      <c r="B210" t="s">
        <v>3352</v>
      </c>
      <c r="I210">
        <v>41.8</v>
      </c>
      <c r="K210">
        <v>41.6</v>
      </c>
      <c r="L210">
        <v>41.1</v>
      </c>
    </row>
    <row r="211" spans="1:27" x14ac:dyDescent="0.25">
      <c r="A211">
        <v>5006152</v>
      </c>
      <c r="B211" t="s">
        <v>3352</v>
      </c>
      <c r="P211">
        <v>47</v>
      </c>
      <c r="T211">
        <v>31</v>
      </c>
    </row>
    <row r="212" spans="1:27" x14ac:dyDescent="0.25">
      <c r="A212">
        <v>6012361</v>
      </c>
      <c r="B212" t="s">
        <v>3352</v>
      </c>
    </row>
    <row r="213" spans="1:27" x14ac:dyDescent="0.25">
      <c r="A213">
        <v>6015793</v>
      </c>
      <c r="B213" t="s">
        <v>3352</v>
      </c>
    </row>
    <row r="214" spans="1:27" x14ac:dyDescent="0.25">
      <c r="A214">
        <v>6043619</v>
      </c>
      <c r="B214" t="s">
        <v>3352</v>
      </c>
    </row>
    <row r="215" spans="1:27" x14ac:dyDescent="0.25">
      <c r="A215">
        <v>7001097</v>
      </c>
      <c r="B215" t="s">
        <v>3352</v>
      </c>
    </row>
    <row r="216" spans="1:27" x14ac:dyDescent="0.25">
      <c r="A216">
        <v>7011435</v>
      </c>
      <c r="B216" t="s">
        <v>3352</v>
      </c>
      <c r="S216">
        <v>37</v>
      </c>
      <c r="U216">
        <v>33</v>
      </c>
      <c r="Y216">
        <v>38</v>
      </c>
    </row>
    <row r="217" spans="1:27" x14ac:dyDescent="0.25">
      <c r="A217">
        <v>7045811</v>
      </c>
      <c r="B217" t="s">
        <v>3352</v>
      </c>
    </row>
    <row r="218" spans="1:27" x14ac:dyDescent="0.25">
      <c r="A218">
        <v>7071198</v>
      </c>
      <c r="B218" t="s">
        <v>3352</v>
      </c>
      <c r="C218">
        <v>35.6</v>
      </c>
      <c r="W218">
        <v>36.700000000000003</v>
      </c>
    </row>
    <row r="219" spans="1:27" x14ac:dyDescent="0.25">
      <c r="A219">
        <v>7101143</v>
      </c>
      <c r="B219" t="s">
        <v>3352</v>
      </c>
    </row>
    <row r="220" spans="1:27" x14ac:dyDescent="0.25">
      <c r="A220">
        <v>8073350</v>
      </c>
      <c r="B220" t="s">
        <v>3352</v>
      </c>
    </row>
    <row r="221" spans="1:27" x14ac:dyDescent="0.25">
      <c r="A221">
        <v>8073645</v>
      </c>
      <c r="B221" t="s">
        <v>3352</v>
      </c>
    </row>
    <row r="222" spans="1:27" x14ac:dyDescent="0.25">
      <c r="A222" s="23">
        <v>8089666</v>
      </c>
      <c r="B222" t="s">
        <v>3352</v>
      </c>
      <c r="O222">
        <v>32</v>
      </c>
      <c r="P222" s="14">
        <v>27</v>
      </c>
      <c r="Q222">
        <v>34</v>
      </c>
      <c r="S222" s="14">
        <v>25</v>
      </c>
      <c r="T222">
        <v>29</v>
      </c>
    </row>
    <row r="223" spans="1:27" x14ac:dyDescent="0.25">
      <c r="A223">
        <v>8103536</v>
      </c>
      <c r="B223" t="s">
        <v>3352</v>
      </c>
    </row>
    <row r="224" spans="1:27" x14ac:dyDescent="0.25">
      <c r="A224">
        <v>8124816</v>
      </c>
      <c r="B224" t="s">
        <v>3352</v>
      </c>
    </row>
    <row r="225" spans="1:25" x14ac:dyDescent="0.25">
      <c r="A225">
        <v>9003267</v>
      </c>
      <c r="B225" t="s">
        <v>3352</v>
      </c>
    </row>
    <row r="226" spans="1:25" x14ac:dyDescent="0.25">
      <c r="A226">
        <v>9036964</v>
      </c>
      <c r="B226" t="s">
        <v>3352</v>
      </c>
      <c r="T226">
        <v>46</v>
      </c>
    </row>
    <row r="227" spans="1:25" x14ac:dyDescent="0.25">
      <c r="A227">
        <v>9090287</v>
      </c>
      <c r="B227" t="s">
        <v>3352</v>
      </c>
      <c r="V227">
        <v>34</v>
      </c>
      <c r="X227">
        <v>36</v>
      </c>
      <c r="Y227">
        <v>36</v>
      </c>
    </row>
    <row r="228" spans="1:25" x14ac:dyDescent="0.25">
      <c r="A228">
        <v>9095148</v>
      </c>
      <c r="B228" t="s">
        <v>3352</v>
      </c>
    </row>
    <row r="229" spans="1:25" x14ac:dyDescent="0.25">
      <c r="A229">
        <v>9104979</v>
      </c>
      <c r="B229" t="s">
        <v>3352</v>
      </c>
    </row>
    <row r="230" spans="1:25" x14ac:dyDescent="0.25">
      <c r="A230">
        <v>9139514</v>
      </c>
      <c r="B230" t="s">
        <v>3352</v>
      </c>
    </row>
    <row r="231" spans="1:25" x14ac:dyDescent="0.25">
      <c r="A231">
        <v>10020659</v>
      </c>
      <c r="B231" t="s">
        <v>3352</v>
      </c>
    </row>
    <row r="232" spans="1:25" x14ac:dyDescent="0.25">
      <c r="A232">
        <v>10025902</v>
      </c>
      <c r="B232" t="s">
        <v>3352</v>
      </c>
    </row>
    <row r="233" spans="1:25" x14ac:dyDescent="0.25">
      <c r="A233">
        <v>10027654</v>
      </c>
      <c r="B233" t="s">
        <v>3352</v>
      </c>
    </row>
    <row r="234" spans="1:25" x14ac:dyDescent="0.25">
      <c r="A234">
        <v>10084485</v>
      </c>
      <c r="B234" t="s">
        <v>3352</v>
      </c>
    </row>
    <row r="235" spans="1:25" x14ac:dyDescent="0.25">
      <c r="A235">
        <v>10098420</v>
      </c>
      <c r="B235" t="s">
        <v>3352</v>
      </c>
    </row>
    <row r="236" spans="1:25" x14ac:dyDescent="0.25">
      <c r="A236">
        <v>10129565</v>
      </c>
      <c r="B236" t="s">
        <v>3352</v>
      </c>
    </row>
    <row r="237" spans="1:25" x14ac:dyDescent="0.25">
      <c r="A237">
        <v>10146828</v>
      </c>
      <c r="B237" t="s">
        <v>3352</v>
      </c>
    </row>
    <row r="238" spans="1:25" x14ac:dyDescent="0.25">
      <c r="A238">
        <v>10163776</v>
      </c>
      <c r="B238" t="s">
        <v>3352</v>
      </c>
    </row>
    <row r="239" spans="1:25" x14ac:dyDescent="0.25">
      <c r="A239">
        <v>10173664</v>
      </c>
      <c r="B239" t="s">
        <v>3352</v>
      </c>
      <c r="V239">
        <v>46</v>
      </c>
    </row>
  </sheetData>
  <conditionalFormatting sqref="A19">
    <cfRule type="duplicateValues" dxfId="6" priority="1"/>
  </conditionalFormatting>
  <pageMargins left="0.7" right="0.7" top="0.78740157499999996" bottom="0.78740157499999996" header="0.3" footer="0.3"/>
  <tableParts count="1">
    <tablePart r:id="rId1"/>
  </tableParts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3"/>
  <sheetViews>
    <sheetView workbookViewId="0">
      <selection activeCell="B2" sqref="B2"/>
    </sheetView>
  </sheetViews>
  <sheetFormatPr defaultColWidth="11.42578125" defaultRowHeight="15" x14ac:dyDescent="0.25"/>
  <cols>
    <col min="1" max="1" width="17.28515625" bestFit="1" customWidth="1"/>
    <col min="2" max="2" width="12.5703125" bestFit="1" customWidth="1"/>
    <col min="3" max="3" width="13.140625" bestFit="1" customWidth="1"/>
    <col min="4" max="4" width="81.140625" bestFit="1" customWidth="1"/>
    <col min="5" max="5" width="30.28515625" bestFit="1" customWidth="1"/>
  </cols>
  <sheetData>
    <row r="1" spans="1:5" x14ac:dyDescent="0.25">
      <c r="A1" s="66" t="s">
        <v>59</v>
      </c>
      <c r="B1" s="66" t="s">
        <v>3346</v>
      </c>
      <c r="C1" s="66" t="s">
        <v>3353</v>
      </c>
      <c r="D1" s="66" t="s">
        <v>2564</v>
      </c>
      <c r="E1" s="66" t="s">
        <v>2523</v>
      </c>
    </row>
    <row r="2" spans="1:5" x14ac:dyDescent="0.25">
      <c r="A2" s="66">
        <v>1003215</v>
      </c>
      <c r="B2" s="66" t="s">
        <v>3400</v>
      </c>
      <c r="C2" s="66" t="s">
        <v>3353</v>
      </c>
      <c r="D2" s="66" t="s">
        <v>3354</v>
      </c>
      <c r="E2" s="66">
        <v>1</v>
      </c>
    </row>
    <row r="3" spans="1:5" x14ac:dyDescent="0.25">
      <c r="A3" s="66">
        <v>10023001</v>
      </c>
      <c r="B3" s="66" t="s">
        <v>3347</v>
      </c>
      <c r="C3" s="66" t="s">
        <v>3353</v>
      </c>
      <c r="D3" s="66" t="s">
        <v>3354</v>
      </c>
      <c r="E3" s="66">
        <v>1</v>
      </c>
    </row>
    <row r="4" spans="1:5" x14ac:dyDescent="0.25">
      <c r="A4" s="66">
        <v>14222171</v>
      </c>
      <c r="B4" s="66" t="s">
        <v>3347</v>
      </c>
      <c r="C4" s="66" t="s">
        <v>3353</v>
      </c>
      <c r="D4" s="66" t="s">
        <v>3354</v>
      </c>
      <c r="E4" s="66">
        <v>1</v>
      </c>
    </row>
    <row r="5" spans="1:5" x14ac:dyDescent="0.25">
      <c r="A5" s="66">
        <v>1006143</v>
      </c>
      <c r="B5" s="66" t="s">
        <v>3347</v>
      </c>
      <c r="C5" s="66" t="s">
        <v>3353</v>
      </c>
      <c r="D5" s="66" t="s">
        <v>3354</v>
      </c>
      <c r="E5" s="66">
        <v>1</v>
      </c>
    </row>
    <row r="6" spans="1:5" x14ac:dyDescent="0.25">
      <c r="A6" s="66">
        <v>7089231</v>
      </c>
      <c r="B6" s="66" t="s">
        <v>3350</v>
      </c>
      <c r="C6" s="66" t="s">
        <v>3353</v>
      </c>
      <c r="D6" s="66" t="s">
        <v>3354</v>
      </c>
      <c r="E6" s="66">
        <v>1</v>
      </c>
    </row>
    <row r="7" spans="1:5" x14ac:dyDescent="0.25">
      <c r="A7" s="66">
        <v>9003331</v>
      </c>
      <c r="B7" s="66" t="s">
        <v>3350</v>
      </c>
      <c r="C7" s="66" t="s">
        <v>3353</v>
      </c>
      <c r="D7" s="66" t="s">
        <v>3355</v>
      </c>
      <c r="E7" s="66">
        <v>1</v>
      </c>
    </row>
    <row r="8" spans="1:5" x14ac:dyDescent="0.25">
      <c r="A8" s="66">
        <v>9003370</v>
      </c>
      <c r="B8" s="66" t="s">
        <v>3350</v>
      </c>
      <c r="C8" s="66" t="s">
        <v>3353</v>
      </c>
      <c r="D8" s="66" t="s">
        <v>3356</v>
      </c>
      <c r="E8" s="66">
        <v>1</v>
      </c>
    </row>
    <row r="9" spans="1:5" x14ac:dyDescent="0.25">
      <c r="A9" s="66">
        <v>9016278</v>
      </c>
      <c r="B9" s="66" t="s">
        <v>3350</v>
      </c>
      <c r="C9" s="66" t="s">
        <v>3353</v>
      </c>
      <c r="D9" s="66" t="s">
        <v>3357</v>
      </c>
      <c r="E9" s="66">
        <v>3</v>
      </c>
    </row>
    <row r="10" spans="1:5" x14ac:dyDescent="0.25">
      <c r="A10" s="66">
        <v>9030684</v>
      </c>
      <c r="B10" s="66" t="s">
        <v>3350</v>
      </c>
      <c r="C10" s="66" t="s">
        <v>3353</v>
      </c>
      <c r="D10" s="66" t="s">
        <v>3358</v>
      </c>
      <c r="E10" s="66">
        <v>3</v>
      </c>
    </row>
    <row r="11" spans="1:5" x14ac:dyDescent="0.25">
      <c r="A11" s="66">
        <v>9031387</v>
      </c>
      <c r="B11" s="66" t="s">
        <v>3350</v>
      </c>
      <c r="C11" s="66" t="s">
        <v>3353</v>
      </c>
      <c r="D11" s="66" t="s">
        <v>3359</v>
      </c>
      <c r="E11" s="66">
        <v>1</v>
      </c>
    </row>
    <row r="12" spans="1:5" x14ac:dyDescent="0.25">
      <c r="A12" s="66">
        <v>9038676</v>
      </c>
      <c r="B12" s="66" t="s">
        <v>3350</v>
      </c>
      <c r="C12" s="66" t="s">
        <v>3353</v>
      </c>
      <c r="D12" s="66" t="s">
        <v>3360</v>
      </c>
      <c r="E12" s="66">
        <v>2</v>
      </c>
    </row>
    <row r="13" spans="1:5" x14ac:dyDescent="0.25">
      <c r="A13" s="66">
        <v>9039416</v>
      </c>
      <c r="B13" s="66" t="s">
        <v>3350</v>
      </c>
      <c r="C13" s="66" t="s">
        <v>3353</v>
      </c>
      <c r="D13" s="66" t="s">
        <v>3361</v>
      </c>
      <c r="E13" s="66">
        <v>4</v>
      </c>
    </row>
    <row r="14" spans="1:5" x14ac:dyDescent="0.25">
      <c r="A14" s="66">
        <v>9044899</v>
      </c>
      <c r="B14" s="66" t="s">
        <v>3350</v>
      </c>
      <c r="C14" s="66" t="s">
        <v>3353</v>
      </c>
      <c r="D14" s="66" t="s">
        <v>3362</v>
      </c>
      <c r="E14" s="66">
        <v>5</v>
      </c>
    </row>
    <row r="15" spans="1:5" x14ac:dyDescent="0.25">
      <c r="A15" s="66">
        <v>9052398</v>
      </c>
      <c r="B15" s="66" t="s">
        <v>3350</v>
      </c>
      <c r="C15" s="66" t="s">
        <v>3353</v>
      </c>
      <c r="D15" s="66" t="s">
        <v>3356</v>
      </c>
      <c r="E15" s="66">
        <v>1</v>
      </c>
    </row>
    <row r="16" spans="1:5" x14ac:dyDescent="0.25">
      <c r="A16" s="66">
        <v>10010926</v>
      </c>
      <c r="B16" s="66" t="s">
        <v>3350</v>
      </c>
      <c r="C16" s="66" t="s">
        <v>3353</v>
      </c>
      <c r="D16" s="66" t="s">
        <v>3363</v>
      </c>
      <c r="E16" s="66">
        <v>6</v>
      </c>
    </row>
    <row r="17" spans="1:5" x14ac:dyDescent="0.25">
      <c r="A17" s="66">
        <v>324</v>
      </c>
      <c r="B17" s="66" t="s">
        <v>3350</v>
      </c>
      <c r="C17" s="66" t="s">
        <v>3353</v>
      </c>
      <c r="D17" s="66" t="s">
        <v>3364</v>
      </c>
      <c r="E17" s="66">
        <v>2</v>
      </c>
    </row>
    <row r="18" spans="1:5" x14ac:dyDescent="0.25">
      <c r="A18" s="66">
        <v>3909</v>
      </c>
      <c r="B18" s="66" t="s">
        <v>3350</v>
      </c>
      <c r="C18" s="66" t="s">
        <v>3353</v>
      </c>
      <c r="D18" s="66" t="s">
        <v>3365</v>
      </c>
      <c r="E18" s="66">
        <v>1</v>
      </c>
    </row>
    <row r="19" spans="1:5" x14ac:dyDescent="0.25">
      <c r="A19" s="66">
        <v>1005522</v>
      </c>
      <c r="B19" s="66" t="s">
        <v>3350</v>
      </c>
      <c r="C19" s="66" t="s">
        <v>3353</v>
      </c>
      <c r="D19" s="66" t="s">
        <v>3366</v>
      </c>
      <c r="E19" s="66">
        <v>5</v>
      </c>
    </row>
    <row r="20" spans="1:5" x14ac:dyDescent="0.25">
      <c r="A20" s="66">
        <v>1009760</v>
      </c>
      <c r="B20" s="66" t="s">
        <v>3350</v>
      </c>
      <c r="C20" s="66" t="s">
        <v>3353</v>
      </c>
      <c r="D20" s="66" t="s">
        <v>3367</v>
      </c>
      <c r="E20" s="66">
        <v>4</v>
      </c>
    </row>
    <row r="21" spans="1:5" x14ac:dyDescent="0.25">
      <c r="A21" s="66">
        <v>2000646</v>
      </c>
      <c r="B21" s="66" t="s">
        <v>3350</v>
      </c>
      <c r="C21" s="66" t="s">
        <v>3353</v>
      </c>
      <c r="D21" s="66" t="s">
        <v>3368</v>
      </c>
      <c r="E21" s="66">
        <v>5</v>
      </c>
    </row>
    <row r="22" spans="1:5" x14ac:dyDescent="0.25">
      <c r="A22" s="66">
        <v>3016056</v>
      </c>
      <c r="B22" s="66" t="s">
        <v>3350</v>
      </c>
      <c r="C22" s="66" t="s">
        <v>3353</v>
      </c>
      <c r="D22" s="66" t="s">
        <v>3369</v>
      </c>
      <c r="E22" s="66">
        <v>2</v>
      </c>
    </row>
    <row r="23" spans="1:5" x14ac:dyDescent="0.25">
      <c r="A23" s="66">
        <v>4002206</v>
      </c>
      <c r="B23" s="66" t="s">
        <v>3350</v>
      </c>
      <c r="C23" s="66" t="s">
        <v>3353</v>
      </c>
      <c r="D23" s="66" t="s">
        <v>3370</v>
      </c>
      <c r="E23" s="66">
        <v>2</v>
      </c>
    </row>
    <row r="24" spans="1:5" x14ac:dyDescent="0.25">
      <c r="A24" s="66">
        <v>4009906</v>
      </c>
      <c r="B24" s="66" t="s">
        <v>3350</v>
      </c>
      <c r="C24" s="66" t="s">
        <v>3353</v>
      </c>
      <c r="D24" s="66" t="s">
        <v>3371</v>
      </c>
      <c r="E24" s="66">
        <v>4</v>
      </c>
    </row>
    <row r="25" spans="1:5" x14ac:dyDescent="0.25">
      <c r="A25" s="66">
        <v>4011027</v>
      </c>
      <c r="B25" s="66" t="s">
        <v>3350</v>
      </c>
      <c r="C25" s="66" t="s">
        <v>3353</v>
      </c>
      <c r="D25" s="66" t="s">
        <v>3372</v>
      </c>
      <c r="E25" s="66">
        <v>5</v>
      </c>
    </row>
    <row r="26" spans="1:5" x14ac:dyDescent="0.25">
      <c r="A26" s="66">
        <v>5004654</v>
      </c>
      <c r="B26" s="66" t="s">
        <v>3350</v>
      </c>
      <c r="C26" s="66" t="s">
        <v>3353</v>
      </c>
      <c r="D26" s="66" t="s">
        <v>3373</v>
      </c>
      <c r="E26" s="66">
        <v>8</v>
      </c>
    </row>
    <row r="27" spans="1:5" x14ac:dyDescent="0.25">
      <c r="A27" s="66">
        <v>500245</v>
      </c>
      <c r="B27" s="66" t="s">
        <v>3351</v>
      </c>
      <c r="C27" s="66" t="s">
        <v>3353</v>
      </c>
      <c r="D27" s="66" t="s">
        <v>3374</v>
      </c>
      <c r="E27" s="66">
        <v>3</v>
      </c>
    </row>
    <row r="28" spans="1:5" x14ac:dyDescent="0.25">
      <c r="A28" s="66">
        <v>2002573</v>
      </c>
      <c r="B28" s="66" t="s">
        <v>3351</v>
      </c>
      <c r="C28" s="66" t="s">
        <v>3353</v>
      </c>
      <c r="D28" s="66" t="s">
        <v>3375</v>
      </c>
      <c r="E28" s="66">
        <v>1</v>
      </c>
    </row>
    <row r="29" spans="1:5" x14ac:dyDescent="0.25">
      <c r="A29" s="66">
        <v>2005572</v>
      </c>
      <c r="B29" s="66" t="s">
        <v>3351</v>
      </c>
      <c r="C29" s="66" t="s">
        <v>3353</v>
      </c>
      <c r="D29" s="66" t="s">
        <v>3376</v>
      </c>
      <c r="E29" s="66">
        <v>3</v>
      </c>
    </row>
    <row r="30" spans="1:5" x14ac:dyDescent="0.25">
      <c r="A30" s="66">
        <v>3009633</v>
      </c>
      <c r="B30" s="66" t="s">
        <v>3351</v>
      </c>
      <c r="C30" s="66" t="s">
        <v>3353</v>
      </c>
      <c r="D30" s="66" t="s">
        <v>3377</v>
      </c>
      <c r="E30" s="66">
        <v>3</v>
      </c>
    </row>
    <row r="31" spans="1:5" x14ac:dyDescent="0.25">
      <c r="A31" s="66">
        <v>3011892</v>
      </c>
      <c r="B31" s="66" t="s">
        <v>3351</v>
      </c>
      <c r="C31" s="66" t="s">
        <v>3353</v>
      </c>
      <c r="D31" s="66" t="s">
        <v>3378</v>
      </c>
      <c r="E31" s="66">
        <v>1</v>
      </c>
    </row>
    <row r="32" spans="1:5" x14ac:dyDescent="0.25">
      <c r="A32" s="66">
        <v>6015647</v>
      </c>
      <c r="B32" s="66" t="s">
        <v>3351</v>
      </c>
      <c r="C32" s="66" t="s">
        <v>3353</v>
      </c>
      <c r="D32" s="66" t="s">
        <v>3379</v>
      </c>
      <c r="E32" s="66">
        <v>7</v>
      </c>
    </row>
    <row r="33" spans="1:5" x14ac:dyDescent="0.25">
      <c r="A33" s="66">
        <v>7086224</v>
      </c>
      <c r="B33" s="66" t="s">
        <v>3351</v>
      </c>
      <c r="C33" s="66" t="s">
        <v>3353</v>
      </c>
      <c r="D33" s="66" t="s">
        <v>3380</v>
      </c>
      <c r="E33" s="66">
        <v>2</v>
      </c>
    </row>
    <row r="34" spans="1:5" x14ac:dyDescent="0.25">
      <c r="A34" s="66">
        <v>9030615</v>
      </c>
      <c r="B34" s="66" t="s">
        <v>3351</v>
      </c>
      <c r="C34" s="66" t="s">
        <v>3353</v>
      </c>
      <c r="D34" s="66" t="s">
        <v>3381</v>
      </c>
      <c r="E34" s="66">
        <v>2</v>
      </c>
    </row>
    <row r="35" spans="1:5" x14ac:dyDescent="0.25">
      <c r="A35" s="66">
        <v>9040167</v>
      </c>
      <c r="B35" s="66" t="s">
        <v>3351</v>
      </c>
      <c r="C35" s="66" t="s">
        <v>3353</v>
      </c>
      <c r="D35" s="66" t="s">
        <v>3382</v>
      </c>
      <c r="E35" s="66">
        <v>1</v>
      </c>
    </row>
    <row r="36" spans="1:5" x14ac:dyDescent="0.25">
      <c r="A36" s="66">
        <v>9083682</v>
      </c>
      <c r="B36" s="66" t="s">
        <v>3351</v>
      </c>
      <c r="C36" s="66" t="s">
        <v>3353</v>
      </c>
      <c r="D36" s="66" t="s">
        <v>3354</v>
      </c>
      <c r="E36" s="66">
        <v>1</v>
      </c>
    </row>
    <row r="37" spans="1:5" x14ac:dyDescent="0.25">
      <c r="A37" s="66">
        <v>10071135</v>
      </c>
      <c r="B37" s="66" t="s">
        <v>3351</v>
      </c>
      <c r="C37" s="66" t="s">
        <v>3353</v>
      </c>
      <c r="D37" s="66" t="s">
        <v>3383</v>
      </c>
      <c r="E37" s="66">
        <v>1</v>
      </c>
    </row>
    <row r="38" spans="1:5" x14ac:dyDescent="0.25">
      <c r="A38" s="66">
        <v>2012014</v>
      </c>
      <c r="B38" s="66" t="s">
        <v>3352</v>
      </c>
      <c r="C38" s="66" t="s">
        <v>3353</v>
      </c>
      <c r="D38" s="66" t="s">
        <v>3384</v>
      </c>
      <c r="E38" s="66">
        <v>2</v>
      </c>
    </row>
    <row r="39" spans="1:5" x14ac:dyDescent="0.25">
      <c r="A39" s="66">
        <v>3000152</v>
      </c>
      <c r="B39" s="66" t="s">
        <v>3352</v>
      </c>
      <c r="C39" s="66" t="s">
        <v>3353</v>
      </c>
      <c r="D39" s="66" t="s">
        <v>3354</v>
      </c>
      <c r="E39" s="66">
        <v>1</v>
      </c>
    </row>
    <row r="40" spans="1:5" x14ac:dyDescent="0.25">
      <c r="A40" s="66">
        <v>3015058</v>
      </c>
      <c r="B40" s="66" t="s">
        <v>3352</v>
      </c>
      <c r="C40" s="66" t="s">
        <v>3353</v>
      </c>
      <c r="D40" s="66" t="s">
        <v>3385</v>
      </c>
      <c r="E40" s="66">
        <v>8</v>
      </c>
    </row>
    <row r="41" spans="1:5" x14ac:dyDescent="0.25">
      <c r="A41">
        <v>4000996</v>
      </c>
      <c r="B41" t="s">
        <v>3352</v>
      </c>
      <c r="C41" t="s">
        <v>3353</v>
      </c>
      <c r="D41" t="s">
        <v>3386</v>
      </c>
      <c r="E41">
        <v>1</v>
      </c>
    </row>
    <row r="42" spans="1:5" x14ac:dyDescent="0.25">
      <c r="A42">
        <v>4006540</v>
      </c>
      <c r="B42" t="s">
        <v>3352</v>
      </c>
      <c r="C42" t="s">
        <v>3353</v>
      </c>
      <c r="D42" t="s">
        <v>3387</v>
      </c>
      <c r="E42">
        <v>2</v>
      </c>
    </row>
    <row r="43" spans="1:5" x14ac:dyDescent="0.25">
      <c r="A43">
        <v>4007054</v>
      </c>
      <c r="B43" t="s">
        <v>3352</v>
      </c>
      <c r="C43" t="s">
        <v>3353</v>
      </c>
      <c r="D43" t="s">
        <v>3388</v>
      </c>
      <c r="E43">
        <v>1</v>
      </c>
    </row>
    <row r="44" spans="1:5" x14ac:dyDescent="0.25">
      <c r="A44">
        <v>4011002</v>
      </c>
      <c r="B44" t="s">
        <v>3352</v>
      </c>
      <c r="C44" t="s">
        <v>3353</v>
      </c>
      <c r="D44" t="s">
        <v>3389</v>
      </c>
      <c r="E44">
        <v>4</v>
      </c>
    </row>
    <row r="45" spans="1:5" x14ac:dyDescent="0.25">
      <c r="A45">
        <v>5001097</v>
      </c>
      <c r="B45" t="s">
        <v>3352</v>
      </c>
      <c r="C45" t="s">
        <v>3353</v>
      </c>
      <c r="D45" t="s">
        <v>3390</v>
      </c>
      <c r="E45">
        <v>4</v>
      </c>
    </row>
    <row r="46" spans="1:5" x14ac:dyDescent="0.25">
      <c r="A46">
        <v>5001098</v>
      </c>
      <c r="B46" t="s">
        <v>3352</v>
      </c>
      <c r="C46" t="s">
        <v>3353</v>
      </c>
      <c r="D46" t="s">
        <v>3391</v>
      </c>
      <c r="E46">
        <v>3</v>
      </c>
    </row>
    <row r="47" spans="1:5" x14ac:dyDescent="0.25">
      <c r="A47">
        <v>5006152</v>
      </c>
      <c r="B47" t="s">
        <v>3352</v>
      </c>
      <c r="C47" t="s">
        <v>3353</v>
      </c>
      <c r="D47" t="s">
        <v>3392</v>
      </c>
      <c r="E47">
        <v>2</v>
      </c>
    </row>
    <row r="48" spans="1:5" x14ac:dyDescent="0.25">
      <c r="A48">
        <v>7011435</v>
      </c>
      <c r="B48" t="s">
        <v>3352</v>
      </c>
      <c r="C48" t="s">
        <v>3353</v>
      </c>
      <c r="D48" t="s">
        <v>3393</v>
      </c>
      <c r="E48">
        <v>3</v>
      </c>
    </row>
    <row r="49" spans="1:5" x14ac:dyDescent="0.25">
      <c r="A49">
        <v>7071198</v>
      </c>
      <c r="B49" t="s">
        <v>3352</v>
      </c>
      <c r="C49" t="s">
        <v>3353</v>
      </c>
      <c r="D49" t="s">
        <v>3394</v>
      </c>
      <c r="E49">
        <v>2</v>
      </c>
    </row>
    <row r="50" spans="1:5" x14ac:dyDescent="0.25">
      <c r="A50">
        <v>8089666</v>
      </c>
      <c r="B50" t="s">
        <v>3352</v>
      </c>
      <c r="C50" t="s">
        <v>3353</v>
      </c>
      <c r="D50" t="s">
        <v>3395</v>
      </c>
      <c r="E50">
        <v>5</v>
      </c>
    </row>
    <row r="51" spans="1:5" x14ac:dyDescent="0.25">
      <c r="A51">
        <v>9036964</v>
      </c>
      <c r="B51" t="s">
        <v>3352</v>
      </c>
      <c r="C51" t="s">
        <v>3353</v>
      </c>
      <c r="D51" t="s">
        <v>3386</v>
      </c>
      <c r="E51">
        <v>1</v>
      </c>
    </row>
    <row r="52" spans="1:5" x14ac:dyDescent="0.25">
      <c r="A52">
        <v>9090287</v>
      </c>
      <c r="B52" t="s">
        <v>3352</v>
      </c>
      <c r="C52" t="s">
        <v>3353</v>
      </c>
      <c r="D52" t="s">
        <v>3396</v>
      </c>
      <c r="E52">
        <v>3</v>
      </c>
    </row>
    <row r="53" spans="1:5" x14ac:dyDescent="0.25">
      <c r="A53">
        <v>10173664</v>
      </c>
      <c r="B53" t="s">
        <v>3352</v>
      </c>
      <c r="C53" t="s">
        <v>3353</v>
      </c>
      <c r="D53" t="s">
        <v>3397</v>
      </c>
      <c r="E53">
        <v>1</v>
      </c>
    </row>
  </sheetData>
  <phoneticPr fontId="6" type="noConversion"/>
  <pageMargins left="0.7" right="0.7" top="0.78740157499999996" bottom="0.78740157499999996" header="0.3" footer="0.3"/>
  <tableParts count="1">
    <tablePart r:id="rId1"/>
  </tableParts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239"/>
  <sheetViews>
    <sheetView workbookViewId="0">
      <selection activeCell="B1" sqref="B1:B1048576"/>
    </sheetView>
  </sheetViews>
  <sheetFormatPr defaultColWidth="11.42578125" defaultRowHeight="15" x14ac:dyDescent="0.25"/>
  <cols>
    <col min="1" max="1" width="17.140625" customWidth="1"/>
    <col min="2" max="2" width="12.42578125" customWidth="1"/>
    <col min="3" max="3" width="37.140625" customWidth="1"/>
    <col min="4" max="6" width="34" customWidth="1"/>
    <col min="7" max="12" width="33" customWidth="1"/>
    <col min="13" max="13" width="31.85546875" customWidth="1"/>
    <col min="14" max="14" width="27.140625" customWidth="1"/>
    <col min="15" max="15" width="13.42578125" customWidth="1"/>
    <col min="19" max="19" width="13.85546875" customWidth="1"/>
    <col min="22" max="22" width="12.85546875" customWidth="1"/>
    <col min="23" max="23" width="16.42578125" customWidth="1"/>
    <col min="24" max="26" width="12.85546875" customWidth="1"/>
    <col min="27" max="27" width="16.42578125" customWidth="1"/>
    <col min="28" max="30" width="12.85546875" customWidth="1"/>
    <col min="31" max="32" width="19.140625" customWidth="1"/>
    <col min="33" max="34" width="15.5703125" customWidth="1"/>
    <col min="35" max="35" width="19.140625" customWidth="1"/>
  </cols>
  <sheetData>
    <row r="1" spans="1:35" ht="60" x14ac:dyDescent="0.25">
      <c r="A1" s="9" t="s">
        <v>59</v>
      </c>
      <c r="B1" s="61" t="s">
        <v>3346</v>
      </c>
      <c r="C1" s="4" t="s">
        <v>1612</v>
      </c>
      <c r="D1" s="4" t="s">
        <v>1084</v>
      </c>
      <c r="E1" s="4" t="s">
        <v>1967</v>
      </c>
      <c r="F1" s="4" t="s">
        <v>1844</v>
      </c>
      <c r="G1" s="4" t="s">
        <v>1824</v>
      </c>
      <c r="H1" s="4" t="s">
        <v>1909</v>
      </c>
      <c r="I1" s="4" t="s">
        <v>1934</v>
      </c>
      <c r="J1" s="4" t="s">
        <v>1935</v>
      </c>
      <c r="K1" s="4" t="s">
        <v>2390</v>
      </c>
      <c r="L1" s="4" t="s">
        <v>1999</v>
      </c>
      <c r="M1" s="4" t="s">
        <v>2391</v>
      </c>
      <c r="N1" s="4" t="s">
        <v>574</v>
      </c>
      <c r="O1" s="45" t="s">
        <v>890</v>
      </c>
      <c r="P1" s="4" t="s">
        <v>1138</v>
      </c>
      <c r="Q1" s="4" t="s">
        <v>1864</v>
      </c>
      <c r="R1" s="4" t="s">
        <v>1116</v>
      </c>
      <c r="S1" s="4" t="s">
        <v>1613</v>
      </c>
      <c r="T1" s="4" t="s">
        <v>1193</v>
      </c>
      <c r="U1" s="4" t="s">
        <v>2231</v>
      </c>
      <c r="V1" s="4" t="s">
        <v>1085</v>
      </c>
      <c r="W1" s="4" t="s">
        <v>1614</v>
      </c>
      <c r="X1" s="4" t="s">
        <v>1139</v>
      </c>
      <c r="Y1" s="4" t="s">
        <v>1117</v>
      </c>
      <c r="Z1" s="4" t="s">
        <v>1086</v>
      </c>
      <c r="AA1" s="4" t="s">
        <v>1615</v>
      </c>
      <c r="AB1" s="4" t="s">
        <v>1301</v>
      </c>
      <c r="AC1" s="4" t="s">
        <v>1302</v>
      </c>
      <c r="AD1" s="4" t="s">
        <v>2129</v>
      </c>
      <c r="AE1" s="4" t="s">
        <v>1616</v>
      </c>
      <c r="AF1" s="4" t="s">
        <v>2333</v>
      </c>
      <c r="AG1" s="4" t="s">
        <v>1229</v>
      </c>
      <c r="AH1" s="4" t="s">
        <v>1230</v>
      </c>
      <c r="AI1" s="4" t="s">
        <v>1617</v>
      </c>
    </row>
    <row r="2" spans="1:35" x14ac:dyDescent="0.25">
      <c r="A2" s="40" t="s">
        <v>561</v>
      </c>
      <c r="B2" s="40"/>
    </row>
    <row r="3" spans="1:35" x14ac:dyDescent="0.25">
      <c r="A3" s="10" t="s">
        <v>2519</v>
      </c>
      <c r="B3" s="10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</row>
    <row r="4" spans="1:35" x14ac:dyDescent="0.25">
      <c r="A4">
        <v>7072184</v>
      </c>
      <c r="B4" s="10" t="s">
        <v>3398</v>
      </c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</row>
    <row r="5" spans="1:35" x14ac:dyDescent="0.25">
      <c r="A5">
        <v>9108231</v>
      </c>
      <c r="B5" s="10" t="s">
        <v>3398</v>
      </c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</row>
    <row r="6" spans="1:35" x14ac:dyDescent="0.25">
      <c r="A6">
        <v>12061933</v>
      </c>
      <c r="B6" s="10" t="s">
        <v>3398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</row>
    <row r="7" spans="1:35" x14ac:dyDescent="0.25">
      <c r="A7">
        <v>95005911</v>
      </c>
      <c r="B7" s="10" t="s">
        <v>3398</v>
      </c>
    </row>
    <row r="8" spans="1:35" x14ac:dyDescent="0.25">
      <c r="A8">
        <v>99001908</v>
      </c>
      <c r="B8" s="10" t="s">
        <v>3398</v>
      </c>
    </row>
    <row r="9" spans="1:35" x14ac:dyDescent="0.25">
      <c r="A9">
        <v>99004067</v>
      </c>
      <c r="B9" s="10" t="s">
        <v>3398</v>
      </c>
    </row>
    <row r="10" spans="1:35" x14ac:dyDescent="0.25">
      <c r="A10">
        <v>97002136</v>
      </c>
      <c r="B10" s="10" t="s">
        <v>3398</v>
      </c>
    </row>
    <row r="11" spans="1:35" x14ac:dyDescent="0.25">
      <c r="A11">
        <v>1502</v>
      </c>
      <c r="B11" s="10" t="s">
        <v>3398</v>
      </c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</row>
    <row r="12" spans="1:35" x14ac:dyDescent="0.25">
      <c r="A12">
        <v>4003543</v>
      </c>
      <c r="B12" s="10" t="s">
        <v>3398</v>
      </c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</row>
    <row r="13" spans="1:35" x14ac:dyDescent="0.25">
      <c r="A13">
        <v>4900261</v>
      </c>
      <c r="B13" s="10" t="s">
        <v>3398</v>
      </c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</row>
    <row r="15" spans="1:35" x14ac:dyDescent="0.25">
      <c r="A15" s="10" t="s">
        <v>2520</v>
      </c>
      <c r="B15" s="10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</row>
    <row r="16" spans="1:35" x14ac:dyDescent="0.25">
      <c r="A16">
        <v>14242856</v>
      </c>
      <c r="B16" s="10" t="s">
        <v>3399</v>
      </c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</row>
    <row r="17" spans="1:35" x14ac:dyDescent="0.25">
      <c r="A17">
        <v>99001183</v>
      </c>
      <c r="B17" s="10" t="s">
        <v>3399</v>
      </c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</row>
    <row r="18" spans="1:35" x14ac:dyDescent="0.25">
      <c r="A18">
        <v>3000983</v>
      </c>
      <c r="B18" s="10" t="s">
        <v>3399</v>
      </c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</row>
    <row r="19" spans="1:35" x14ac:dyDescent="0.25">
      <c r="A19">
        <v>10064335</v>
      </c>
      <c r="B19" s="10" t="s">
        <v>3399</v>
      </c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</row>
    <row r="20" spans="1:35" x14ac:dyDescent="0.25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</row>
    <row r="21" spans="1:35" x14ac:dyDescent="0.25">
      <c r="A21" s="10" t="s">
        <v>2521</v>
      </c>
      <c r="B21" s="10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</row>
    <row r="22" spans="1:35" x14ac:dyDescent="0.25">
      <c r="A22">
        <v>1480</v>
      </c>
      <c r="B22" s="10" t="s">
        <v>3400</v>
      </c>
    </row>
    <row r="23" spans="1:35" x14ac:dyDescent="0.25">
      <c r="A23">
        <v>7063959</v>
      </c>
      <c r="B23" s="10" t="s">
        <v>3400</v>
      </c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</row>
    <row r="24" spans="1:35" x14ac:dyDescent="0.25">
      <c r="A24">
        <v>1003215</v>
      </c>
      <c r="B24" s="10" t="s">
        <v>3400</v>
      </c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>
        <v>82</v>
      </c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</row>
    <row r="25" spans="1:35" x14ac:dyDescent="0.25">
      <c r="A25">
        <v>99000802</v>
      </c>
      <c r="B25" s="10" t="s">
        <v>3400</v>
      </c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</row>
    <row r="26" spans="1:35" x14ac:dyDescent="0.25">
      <c r="A26">
        <v>99000892</v>
      </c>
      <c r="B26" s="10" t="s">
        <v>3400</v>
      </c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</row>
    <row r="27" spans="1:35" x14ac:dyDescent="0.25">
      <c r="A27">
        <v>1000192</v>
      </c>
      <c r="B27" s="10" t="s">
        <v>3400</v>
      </c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</row>
    <row r="28" spans="1:35" x14ac:dyDescent="0.25">
      <c r="A28">
        <v>1506</v>
      </c>
      <c r="B28" s="10" t="s">
        <v>3400</v>
      </c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</row>
    <row r="29" spans="1:35" x14ac:dyDescent="0.25">
      <c r="A29">
        <v>99000894</v>
      </c>
      <c r="B29" s="10" t="s">
        <v>3400</v>
      </c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</row>
    <row r="30" spans="1:35" x14ac:dyDescent="0.25">
      <c r="A30">
        <v>99000897</v>
      </c>
      <c r="B30" s="10" t="s">
        <v>3400</v>
      </c>
    </row>
    <row r="31" spans="1:35" x14ac:dyDescent="0.25">
      <c r="A31">
        <v>99001245</v>
      </c>
      <c r="B31" s="10" t="s">
        <v>3400</v>
      </c>
    </row>
    <row r="32" spans="1:35" x14ac:dyDescent="0.25">
      <c r="A32">
        <v>99001902</v>
      </c>
      <c r="B32" s="10" t="s">
        <v>3400</v>
      </c>
    </row>
    <row r="33" spans="1:35" x14ac:dyDescent="0.25">
      <c r="A33">
        <v>99001912</v>
      </c>
      <c r="B33" s="10" t="s">
        <v>3400</v>
      </c>
    </row>
    <row r="34" spans="1:35" x14ac:dyDescent="0.25">
      <c r="A34">
        <v>99001913</v>
      </c>
      <c r="B34" s="10" t="s">
        <v>3400</v>
      </c>
    </row>
    <row r="35" spans="1:35" x14ac:dyDescent="0.25">
      <c r="A35">
        <v>99001937</v>
      </c>
      <c r="B35" s="10" t="s">
        <v>3400</v>
      </c>
    </row>
    <row r="36" spans="1:35" x14ac:dyDescent="0.25">
      <c r="A36">
        <v>99001943</v>
      </c>
      <c r="B36" s="10" t="s">
        <v>3400</v>
      </c>
    </row>
    <row r="37" spans="1:35" x14ac:dyDescent="0.25">
      <c r="A37">
        <v>99001927</v>
      </c>
      <c r="B37" s="10" t="s">
        <v>3400</v>
      </c>
    </row>
    <row r="38" spans="1:35" x14ac:dyDescent="0.25">
      <c r="A38">
        <v>1505</v>
      </c>
      <c r="B38" s="10" t="s">
        <v>3400</v>
      </c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</row>
    <row r="39" spans="1:35" x14ac:dyDescent="0.25">
      <c r="A39">
        <v>1000197</v>
      </c>
      <c r="B39" s="10" t="s">
        <v>3400</v>
      </c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</row>
    <row r="40" spans="1:35" x14ac:dyDescent="0.25">
      <c r="A40">
        <v>96018835</v>
      </c>
      <c r="B40" s="10" t="s">
        <v>3400</v>
      </c>
    </row>
    <row r="41" spans="1:35" x14ac:dyDescent="0.25">
      <c r="A41">
        <v>98008326</v>
      </c>
      <c r="B41" s="10" t="s">
        <v>3400</v>
      </c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</row>
    <row r="42" spans="1:35" x14ac:dyDescent="0.25">
      <c r="A42">
        <v>99000717</v>
      </c>
      <c r="B42" s="10" t="s">
        <v>3400</v>
      </c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</row>
    <row r="43" spans="1:35" x14ac:dyDescent="0.25"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</row>
    <row r="44" spans="1:35" x14ac:dyDescent="0.25">
      <c r="A44" s="25" t="s">
        <v>169</v>
      </c>
      <c r="B44" s="25"/>
    </row>
    <row r="45" spans="1:35" x14ac:dyDescent="0.25">
      <c r="A45" s="10" t="s">
        <v>143</v>
      </c>
      <c r="B45" s="10"/>
    </row>
    <row r="46" spans="1:35" x14ac:dyDescent="0.25">
      <c r="A46">
        <v>6016435</v>
      </c>
      <c r="B46" t="s">
        <v>3347</v>
      </c>
    </row>
    <row r="47" spans="1:35" x14ac:dyDescent="0.25">
      <c r="A47">
        <v>8045149</v>
      </c>
      <c r="B47" t="s">
        <v>3347</v>
      </c>
    </row>
    <row r="48" spans="1:35" x14ac:dyDescent="0.25">
      <c r="A48">
        <v>10023001</v>
      </c>
      <c r="B48" t="s">
        <v>3347</v>
      </c>
      <c r="N48">
        <v>82</v>
      </c>
    </row>
    <row r="49" spans="1:2" x14ac:dyDescent="0.25">
      <c r="A49">
        <v>10027526</v>
      </c>
      <c r="B49" t="s">
        <v>3347</v>
      </c>
    </row>
    <row r="50" spans="1:2" x14ac:dyDescent="0.25">
      <c r="A50">
        <v>14222171</v>
      </c>
      <c r="B50" t="s">
        <v>3347</v>
      </c>
    </row>
    <row r="51" spans="1:2" x14ac:dyDescent="0.25">
      <c r="A51">
        <v>1006143</v>
      </c>
      <c r="B51" t="s">
        <v>3347</v>
      </c>
    </row>
    <row r="52" spans="1:2" x14ac:dyDescent="0.25">
      <c r="A52">
        <v>6006917</v>
      </c>
      <c r="B52" t="s">
        <v>3347</v>
      </c>
    </row>
    <row r="54" spans="1:2" x14ac:dyDescent="0.25">
      <c r="A54" s="10" t="s">
        <v>146</v>
      </c>
      <c r="B54" s="10"/>
    </row>
    <row r="55" spans="1:2" x14ac:dyDescent="0.25">
      <c r="A55">
        <v>8057159</v>
      </c>
      <c r="B55" s="10" t="s">
        <v>3348</v>
      </c>
    </row>
    <row r="56" spans="1:2" x14ac:dyDescent="0.25">
      <c r="A56">
        <v>9140312</v>
      </c>
      <c r="B56" s="10" t="s">
        <v>3348</v>
      </c>
    </row>
    <row r="57" spans="1:2" x14ac:dyDescent="0.25">
      <c r="A57">
        <v>12008230</v>
      </c>
      <c r="B57" s="10" t="s">
        <v>3348</v>
      </c>
    </row>
    <row r="58" spans="1:2" x14ac:dyDescent="0.25">
      <c r="A58">
        <v>12088444</v>
      </c>
      <c r="B58" s="10" t="s">
        <v>3348</v>
      </c>
    </row>
    <row r="59" spans="1:2" x14ac:dyDescent="0.25">
      <c r="A59">
        <v>13118872</v>
      </c>
      <c r="B59" s="10" t="s">
        <v>3348</v>
      </c>
    </row>
    <row r="60" spans="1:2" x14ac:dyDescent="0.25">
      <c r="A60">
        <v>12012030</v>
      </c>
      <c r="B60" s="10" t="s">
        <v>3348</v>
      </c>
    </row>
    <row r="62" spans="1:2" x14ac:dyDescent="0.25">
      <c r="A62" s="10" t="s">
        <v>120</v>
      </c>
      <c r="B62" s="10"/>
    </row>
    <row r="63" spans="1:2" x14ac:dyDescent="0.25">
      <c r="A63">
        <v>9074418</v>
      </c>
      <c r="B63" s="10" t="s">
        <v>3349</v>
      </c>
    </row>
    <row r="64" spans="1:2" x14ac:dyDescent="0.25">
      <c r="A64">
        <v>1263</v>
      </c>
      <c r="B64" s="10" t="s">
        <v>3349</v>
      </c>
    </row>
    <row r="65" spans="1:35" x14ac:dyDescent="0.25">
      <c r="A65">
        <v>98004910</v>
      </c>
      <c r="B65" s="10" t="s">
        <v>3349</v>
      </c>
    </row>
    <row r="66" spans="1:35" x14ac:dyDescent="0.25">
      <c r="A66">
        <v>7103068</v>
      </c>
      <c r="B66" s="10" t="s">
        <v>3349</v>
      </c>
    </row>
    <row r="67" spans="1:35" x14ac:dyDescent="0.25">
      <c r="A67">
        <v>11240728</v>
      </c>
      <c r="B67" s="10" t="s">
        <v>3349</v>
      </c>
    </row>
    <row r="68" spans="1:35" x14ac:dyDescent="0.25"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</row>
    <row r="69" spans="1:35" x14ac:dyDescent="0.25">
      <c r="A69" s="26" t="s">
        <v>170</v>
      </c>
      <c r="B69" s="26"/>
    </row>
    <row r="70" spans="1:35" x14ac:dyDescent="0.25">
      <c r="A70" s="10" t="s">
        <v>143</v>
      </c>
      <c r="B70" s="10"/>
    </row>
    <row r="71" spans="1:35" x14ac:dyDescent="0.25">
      <c r="A71">
        <v>5015869</v>
      </c>
      <c r="B71" t="s">
        <v>3350</v>
      </c>
    </row>
    <row r="72" spans="1:35" x14ac:dyDescent="0.25">
      <c r="A72">
        <v>5016969</v>
      </c>
      <c r="B72" t="s">
        <v>3350</v>
      </c>
    </row>
    <row r="73" spans="1:35" x14ac:dyDescent="0.25">
      <c r="A73">
        <v>6023231</v>
      </c>
      <c r="B73" t="s">
        <v>3350</v>
      </c>
    </row>
    <row r="74" spans="1:35" x14ac:dyDescent="0.25">
      <c r="A74">
        <v>6010712</v>
      </c>
      <c r="B74" t="s">
        <v>3350</v>
      </c>
    </row>
    <row r="75" spans="1:35" x14ac:dyDescent="0.25">
      <c r="A75">
        <v>6011198</v>
      </c>
      <c r="B75" t="s">
        <v>3350</v>
      </c>
    </row>
    <row r="76" spans="1:35" x14ac:dyDescent="0.25">
      <c r="A76">
        <v>6012681</v>
      </c>
      <c r="B76" t="s">
        <v>3350</v>
      </c>
    </row>
    <row r="77" spans="1:35" x14ac:dyDescent="0.25">
      <c r="A77">
        <v>6014511</v>
      </c>
      <c r="B77" t="s">
        <v>3350</v>
      </c>
    </row>
    <row r="78" spans="1:35" x14ac:dyDescent="0.25">
      <c r="A78">
        <v>6045127</v>
      </c>
      <c r="B78" t="s">
        <v>3350</v>
      </c>
    </row>
    <row r="79" spans="1:35" x14ac:dyDescent="0.25">
      <c r="A79">
        <v>7000458</v>
      </c>
      <c r="B79" t="s">
        <v>3350</v>
      </c>
    </row>
    <row r="80" spans="1:35" x14ac:dyDescent="0.25">
      <c r="A80">
        <v>7015502</v>
      </c>
      <c r="B80" t="s">
        <v>3350</v>
      </c>
    </row>
    <row r="81" spans="1:2" x14ac:dyDescent="0.25">
      <c r="A81">
        <v>7025847</v>
      </c>
      <c r="B81" t="s">
        <v>3350</v>
      </c>
    </row>
    <row r="82" spans="1:2" x14ac:dyDescent="0.25">
      <c r="A82">
        <v>7082707</v>
      </c>
      <c r="B82" t="s">
        <v>3350</v>
      </c>
    </row>
    <row r="83" spans="1:2" x14ac:dyDescent="0.25">
      <c r="A83">
        <v>7083159</v>
      </c>
      <c r="B83" t="s">
        <v>3350</v>
      </c>
    </row>
    <row r="84" spans="1:2" x14ac:dyDescent="0.25">
      <c r="A84">
        <v>7084659</v>
      </c>
      <c r="B84" t="s">
        <v>3350</v>
      </c>
    </row>
    <row r="85" spans="1:2" x14ac:dyDescent="0.25">
      <c r="A85">
        <v>7076814</v>
      </c>
      <c r="B85" t="s">
        <v>3350</v>
      </c>
    </row>
    <row r="86" spans="1:2" x14ac:dyDescent="0.25">
      <c r="A86">
        <v>7076815</v>
      </c>
      <c r="B86" t="s">
        <v>3350</v>
      </c>
    </row>
    <row r="87" spans="1:2" x14ac:dyDescent="0.25">
      <c r="A87">
        <v>7089231</v>
      </c>
      <c r="B87" t="s">
        <v>3350</v>
      </c>
    </row>
    <row r="88" spans="1:2" x14ac:dyDescent="0.25">
      <c r="A88">
        <v>7116004</v>
      </c>
      <c r="B88" t="s">
        <v>3350</v>
      </c>
    </row>
    <row r="89" spans="1:2" x14ac:dyDescent="0.25">
      <c r="A89">
        <v>8003819</v>
      </c>
      <c r="B89" t="s">
        <v>3350</v>
      </c>
    </row>
    <row r="90" spans="1:2" x14ac:dyDescent="0.25">
      <c r="A90">
        <v>8091779</v>
      </c>
      <c r="B90" t="s">
        <v>3350</v>
      </c>
    </row>
    <row r="91" spans="1:2" x14ac:dyDescent="0.25">
      <c r="A91">
        <v>8097989</v>
      </c>
      <c r="B91" t="s">
        <v>3350</v>
      </c>
    </row>
    <row r="92" spans="1:2" x14ac:dyDescent="0.25">
      <c r="A92">
        <v>8112522</v>
      </c>
      <c r="B92" t="s">
        <v>3350</v>
      </c>
    </row>
    <row r="93" spans="1:2" x14ac:dyDescent="0.25">
      <c r="A93">
        <v>8127397</v>
      </c>
      <c r="B93" t="s">
        <v>3350</v>
      </c>
    </row>
    <row r="94" spans="1:2" x14ac:dyDescent="0.25">
      <c r="A94">
        <v>8130998</v>
      </c>
      <c r="B94" t="s">
        <v>3350</v>
      </c>
    </row>
    <row r="95" spans="1:2" x14ac:dyDescent="0.25">
      <c r="A95">
        <v>9002836</v>
      </c>
      <c r="B95" t="s">
        <v>3350</v>
      </c>
    </row>
    <row r="96" spans="1:2" x14ac:dyDescent="0.25">
      <c r="A96">
        <v>9003331</v>
      </c>
      <c r="B96" t="s">
        <v>3350</v>
      </c>
    </row>
    <row r="97" spans="1:19" x14ac:dyDescent="0.25">
      <c r="A97">
        <v>9003370</v>
      </c>
      <c r="B97" t="s">
        <v>3350</v>
      </c>
    </row>
    <row r="98" spans="1:19" x14ac:dyDescent="0.25">
      <c r="A98">
        <v>9016278</v>
      </c>
      <c r="B98" t="s">
        <v>3350</v>
      </c>
    </row>
    <row r="99" spans="1:19" x14ac:dyDescent="0.25">
      <c r="A99">
        <v>9030684</v>
      </c>
      <c r="B99" t="s">
        <v>3350</v>
      </c>
    </row>
    <row r="100" spans="1:19" x14ac:dyDescent="0.25">
      <c r="A100">
        <v>9031387</v>
      </c>
      <c r="B100" t="s">
        <v>3350</v>
      </c>
    </row>
    <row r="101" spans="1:19" x14ac:dyDescent="0.25">
      <c r="A101">
        <v>9038676</v>
      </c>
      <c r="B101" t="s">
        <v>3350</v>
      </c>
    </row>
    <row r="102" spans="1:19" x14ac:dyDescent="0.25">
      <c r="A102">
        <v>9039416</v>
      </c>
      <c r="B102" t="s">
        <v>3350</v>
      </c>
      <c r="S102">
        <v>91.4</v>
      </c>
    </row>
    <row r="103" spans="1:19" x14ac:dyDescent="0.25">
      <c r="A103">
        <v>9042861</v>
      </c>
      <c r="B103" t="s">
        <v>3350</v>
      </c>
    </row>
    <row r="104" spans="1:19" x14ac:dyDescent="0.25">
      <c r="A104">
        <v>9044899</v>
      </c>
      <c r="B104" t="s">
        <v>3350</v>
      </c>
    </row>
    <row r="105" spans="1:19" x14ac:dyDescent="0.25">
      <c r="A105">
        <v>9052398</v>
      </c>
      <c r="B105" t="s">
        <v>3350</v>
      </c>
    </row>
    <row r="106" spans="1:19" x14ac:dyDescent="0.25">
      <c r="A106">
        <v>9085204</v>
      </c>
      <c r="B106" t="s">
        <v>3350</v>
      </c>
    </row>
    <row r="107" spans="1:19" x14ac:dyDescent="0.25">
      <c r="A107">
        <v>9090323</v>
      </c>
      <c r="B107" t="s">
        <v>3350</v>
      </c>
    </row>
    <row r="108" spans="1:19" x14ac:dyDescent="0.25">
      <c r="A108">
        <v>9105492</v>
      </c>
      <c r="B108" t="s">
        <v>3350</v>
      </c>
    </row>
    <row r="109" spans="1:19" x14ac:dyDescent="0.25">
      <c r="A109">
        <v>9138470</v>
      </c>
      <c r="B109" t="s">
        <v>3350</v>
      </c>
    </row>
    <row r="110" spans="1:19" x14ac:dyDescent="0.25">
      <c r="A110">
        <v>9150676</v>
      </c>
      <c r="B110" t="s">
        <v>3350</v>
      </c>
    </row>
    <row r="111" spans="1:19" x14ac:dyDescent="0.25">
      <c r="A111">
        <v>10010926</v>
      </c>
      <c r="B111" t="s">
        <v>3350</v>
      </c>
    </row>
    <row r="112" spans="1:19" x14ac:dyDescent="0.25">
      <c r="A112">
        <v>10016588</v>
      </c>
      <c r="B112" t="s">
        <v>3350</v>
      </c>
    </row>
    <row r="113" spans="1:27" x14ac:dyDescent="0.25">
      <c r="A113">
        <v>10030897</v>
      </c>
      <c r="B113" t="s">
        <v>3350</v>
      </c>
    </row>
    <row r="114" spans="1:27" x14ac:dyDescent="0.25">
      <c r="A114">
        <v>324</v>
      </c>
      <c r="B114" t="s">
        <v>3350</v>
      </c>
    </row>
    <row r="115" spans="1:27" x14ac:dyDescent="0.25">
      <c r="A115">
        <v>3909</v>
      </c>
      <c r="B115" t="s">
        <v>3350</v>
      </c>
    </row>
    <row r="116" spans="1:27" x14ac:dyDescent="0.25">
      <c r="A116">
        <v>4663</v>
      </c>
      <c r="B116" t="s">
        <v>3350</v>
      </c>
    </row>
    <row r="117" spans="1:27" x14ac:dyDescent="0.25">
      <c r="A117">
        <v>1005522</v>
      </c>
      <c r="B117" t="s">
        <v>3350</v>
      </c>
      <c r="C117">
        <v>91.7</v>
      </c>
      <c r="D117">
        <v>73.400000000000006</v>
      </c>
      <c r="O117">
        <v>96.7</v>
      </c>
      <c r="V117">
        <v>97.2</v>
      </c>
      <c r="Z117">
        <v>96.7</v>
      </c>
    </row>
    <row r="118" spans="1:27" x14ac:dyDescent="0.25">
      <c r="A118">
        <v>1007631</v>
      </c>
      <c r="B118" t="s">
        <v>3350</v>
      </c>
    </row>
    <row r="119" spans="1:27" x14ac:dyDescent="0.25">
      <c r="A119">
        <v>1009760</v>
      </c>
      <c r="B119" t="s">
        <v>3350</v>
      </c>
      <c r="R119">
        <v>94.3</v>
      </c>
      <c r="W119">
        <v>91.9</v>
      </c>
      <c r="Y119">
        <v>95.4</v>
      </c>
      <c r="AA119">
        <v>90.7</v>
      </c>
    </row>
    <row r="120" spans="1:27" x14ac:dyDescent="0.25">
      <c r="A120">
        <v>2000646</v>
      </c>
      <c r="B120" t="s">
        <v>3350</v>
      </c>
      <c r="O120">
        <v>89.5</v>
      </c>
      <c r="P120">
        <v>87.5</v>
      </c>
      <c r="V120">
        <v>85</v>
      </c>
      <c r="W120">
        <v>86</v>
      </c>
      <c r="X120">
        <v>86</v>
      </c>
    </row>
    <row r="121" spans="1:27" x14ac:dyDescent="0.25">
      <c r="A121">
        <v>2003761</v>
      </c>
      <c r="B121" t="s">
        <v>3350</v>
      </c>
    </row>
    <row r="122" spans="1:27" x14ac:dyDescent="0.25">
      <c r="A122">
        <v>2004061</v>
      </c>
      <c r="B122" t="s">
        <v>3350</v>
      </c>
    </row>
    <row r="123" spans="1:27" x14ac:dyDescent="0.25">
      <c r="A123">
        <v>2006469</v>
      </c>
      <c r="B123" t="s">
        <v>3350</v>
      </c>
    </row>
    <row r="124" spans="1:27" x14ac:dyDescent="0.25">
      <c r="A124">
        <v>3005132</v>
      </c>
      <c r="B124" t="s">
        <v>3350</v>
      </c>
    </row>
    <row r="125" spans="1:27" x14ac:dyDescent="0.25">
      <c r="A125">
        <v>3009119</v>
      </c>
      <c r="B125" t="s">
        <v>3350</v>
      </c>
    </row>
    <row r="126" spans="1:27" x14ac:dyDescent="0.25">
      <c r="A126">
        <v>3009936</v>
      </c>
      <c r="B126" t="s">
        <v>3350</v>
      </c>
    </row>
    <row r="127" spans="1:27" x14ac:dyDescent="0.25">
      <c r="A127">
        <v>3011094</v>
      </c>
      <c r="B127" t="s">
        <v>3350</v>
      </c>
    </row>
    <row r="128" spans="1:27" x14ac:dyDescent="0.25">
      <c r="A128">
        <v>3014643</v>
      </c>
      <c r="B128" t="s">
        <v>3350</v>
      </c>
    </row>
    <row r="129" spans="1:35" x14ac:dyDescent="0.25">
      <c r="A129">
        <v>3016056</v>
      </c>
      <c r="B129" t="s">
        <v>3350</v>
      </c>
      <c r="O129">
        <v>89</v>
      </c>
      <c r="AI129">
        <v>89.7</v>
      </c>
    </row>
    <row r="130" spans="1:35" x14ac:dyDescent="0.25">
      <c r="A130">
        <v>3900219</v>
      </c>
      <c r="B130" t="s">
        <v>3350</v>
      </c>
    </row>
    <row r="131" spans="1:35" x14ac:dyDescent="0.25">
      <c r="A131">
        <v>4000158</v>
      </c>
      <c r="B131" t="s">
        <v>3350</v>
      </c>
    </row>
    <row r="132" spans="1:35" x14ac:dyDescent="0.25">
      <c r="A132">
        <v>4000304</v>
      </c>
      <c r="B132" t="s">
        <v>3350</v>
      </c>
    </row>
    <row r="133" spans="1:35" x14ac:dyDescent="0.25">
      <c r="A133">
        <v>4001905</v>
      </c>
      <c r="B133" t="s">
        <v>3350</v>
      </c>
    </row>
    <row r="134" spans="1:35" x14ac:dyDescent="0.25">
      <c r="A134">
        <v>4002206</v>
      </c>
      <c r="B134" t="s">
        <v>3350</v>
      </c>
      <c r="O134">
        <v>92.8</v>
      </c>
      <c r="T134">
        <v>95.2</v>
      </c>
    </row>
    <row r="135" spans="1:35" x14ac:dyDescent="0.25">
      <c r="A135">
        <v>4002715</v>
      </c>
      <c r="B135" t="s">
        <v>3350</v>
      </c>
    </row>
    <row r="136" spans="1:35" x14ac:dyDescent="0.25">
      <c r="A136">
        <v>4003924</v>
      </c>
      <c r="B136" t="s">
        <v>3350</v>
      </c>
    </row>
    <row r="137" spans="1:35" x14ac:dyDescent="0.25">
      <c r="A137">
        <v>4006051</v>
      </c>
      <c r="B137" t="s">
        <v>3350</v>
      </c>
    </row>
    <row r="138" spans="1:35" x14ac:dyDescent="0.25">
      <c r="A138">
        <v>4008140</v>
      </c>
      <c r="B138" t="s">
        <v>3350</v>
      </c>
    </row>
    <row r="139" spans="1:35" x14ac:dyDescent="0.25">
      <c r="A139">
        <v>4009906</v>
      </c>
      <c r="B139" t="s">
        <v>3350</v>
      </c>
      <c r="P139">
        <v>94.8</v>
      </c>
      <c r="AE139">
        <v>93.8</v>
      </c>
      <c r="AG139">
        <v>91.3</v>
      </c>
      <c r="AH139">
        <v>90.3</v>
      </c>
    </row>
    <row r="140" spans="1:35" x14ac:dyDescent="0.25">
      <c r="A140">
        <v>4011027</v>
      </c>
      <c r="B140" t="s">
        <v>3350</v>
      </c>
    </row>
    <row r="141" spans="1:35" x14ac:dyDescent="0.25">
      <c r="A141">
        <v>4011920</v>
      </c>
      <c r="B141" t="s">
        <v>3350</v>
      </c>
    </row>
    <row r="142" spans="1:35" x14ac:dyDescent="0.25">
      <c r="A142">
        <v>4012248</v>
      </c>
      <c r="B142" t="s">
        <v>3350</v>
      </c>
    </row>
    <row r="143" spans="1:35" x14ac:dyDescent="0.25">
      <c r="A143">
        <v>4013603</v>
      </c>
      <c r="B143" t="s">
        <v>3350</v>
      </c>
    </row>
    <row r="144" spans="1:35" x14ac:dyDescent="0.25">
      <c r="A144">
        <v>5004654</v>
      </c>
      <c r="B144" t="s">
        <v>3350</v>
      </c>
      <c r="P144">
        <v>92.8</v>
      </c>
      <c r="R144">
        <v>93.1</v>
      </c>
      <c r="S144">
        <v>93</v>
      </c>
      <c r="T144">
        <v>93.9</v>
      </c>
      <c r="V144">
        <v>94.4</v>
      </c>
      <c r="X144">
        <v>93.4</v>
      </c>
      <c r="Z144">
        <v>94.8</v>
      </c>
    </row>
    <row r="145" spans="1:29" x14ac:dyDescent="0.25">
      <c r="A145" s="65"/>
      <c r="B145" s="65"/>
    </row>
    <row r="146" spans="1:29" x14ac:dyDescent="0.25">
      <c r="A146" s="10" t="s">
        <v>146</v>
      </c>
      <c r="B146" s="10"/>
    </row>
    <row r="147" spans="1:29" x14ac:dyDescent="0.25">
      <c r="A147">
        <v>4289</v>
      </c>
      <c r="B147" t="s">
        <v>3351</v>
      </c>
    </row>
    <row r="148" spans="1:29" x14ac:dyDescent="0.25">
      <c r="A148">
        <v>500245</v>
      </c>
      <c r="B148" t="s">
        <v>3351</v>
      </c>
    </row>
    <row r="149" spans="1:29" x14ac:dyDescent="0.25">
      <c r="A149">
        <v>2002573</v>
      </c>
      <c r="B149" t="s">
        <v>3351</v>
      </c>
    </row>
    <row r="150" spans="1:29" x14ac:dyDescent="0.25">
      <c r="A150">
        <v>2003539</v>
      </c>
      <c r="B150" t="s">
        <v>3351</v>
      </c>
    </row>
    <row r="151" spans="1:29" x14ac:dyDescent="0.25">
      <c r="A151">
        <v>2003649</v>
      </c>
      <c r="B151" t="s">
        <v>3351</v>
      </c>
    </row>
    <row r="152" spans="1:29" x14ac:dyDescent="0.25">
      <c r="A152">
        <v>2005572</v>
      </c>
      <c r="B152" t="s">
        <v>3351</v>
      </c>
    </row>
    <row r="153" spans="1:29" x14ac:dyDescent="0.25">
      <c r="A153">
        <v>2013117</v>
      </c>
      <c r="B153" t="s">
        <v>3351</v>
      </c>
    </row>
    <row r="154" spans="1:29" x14ac:dyDescent="0.25">
      <c r="A154">
        <v>3009633</v>
      </c>
      <c r="B154" t="s">
        <v>3351</v>
      </c>
      <c r="Z154">
        <v>91.6</v>
      </c>
      <c r="AB154">
        <v>89.8</v>
      </c>
      <c r="AC154">
        <v>90.4</v>
      </c>
    </row>
    <row r="155" spans="1:29" x14ac:dyDescent="0.25">
      <c r="A155">
        <v>3010583</v>
      </c>
      <c r="B155" t="s">
        <v>3351</v>
      </c>
    </row>
    <row r="156" spans="1:29" x14ac:dyDescent="0.25">
      <c r="A156" s="23">
        <v>3011892</v>
      </c>
      <c r="B156" t="s">
        <v>3351</v>
      </c>
    </row>
    <row r="157" spans="1:29" x14ac:dyDescent="0.25">
      <c r="A157">
        <v>4001382</v>
      </c>
      <c r="B157" t="s">
        <v>3351</v>
      </c>
    </row>
    <row r="158" spans="1:29" x14ac:dyDescent="0.25">
      <c r="A158">
        <v>5018675</v>
      </c>
      <c r="B158" t="s">
        <v>3351</v>
      </c>
    </row>
    <row r="159" spans="1:29" x14ac:dyDescent="0.25">
      <c r="A159">
        <v>6050168</v>
      </c>
      <c r="B159" t="s">
        <v>3351</v>
      </c>
    </row>
    <row r="160" spans="1:29" x14ac:dyDescent="0.25">
      <c r="A160">
        <v>5006592</v>
      </c>
      <c r="B160" t="s">
        <v>3351</v>
      </c>
    </row>
    <row r="161" spans="1:30" x14ac:dyDescent="0.25">
      <c r="A161">
        <v>5007274</v>
      </c>
      <c r="B161" t="s">
        <v>3351</v>
      </c>
    </row>
    <row r="162" spans="1:30" x14ac:dyDescent="0.25">
      <c r="A162">
        <v>5015851</v>
      </c>
      <c r="B162" t="s">
        <v>3351</v>
      </c>
    </row>
    <row r="163" spans="1:30" x14ac:dyDescent="0.25">
      <c r="A163">
        <v>6015647</v>
      </c>
      <c r="B163" t="s">
        <v>3351</v>
      </c>
      <c r="O163">
        <v>87.7</v>
      </c>
      <c r="Q163">
        <v>89</v>
      </c>
      <c r="R163">
        <v>88.1</v>
      </c>
      <c r="U163">
        <v>86.9</v>
      </c>
      <c r="W163">
        <v>86.8</v>
      </c>
      <c r="Z163">
        <v>94.1</v>
      </c>
      <c r="AD163">
        <v>91.6</v>
      </c>
    </row>
    <row r="164" spans="1:30" x14ac:dyDescent="0.25">
      <c r="A164">
        <v>6056633</v>
      </c>
      <c r="B164" t="s">
        <v>3351</v>
      </c>
    </row>
    <row r="165" spans="1:30" x14ac:dyDescent="0.25">
      <c r="A165">
        <v>7086224</v>
      </c>
      <c r="B165" t="s">
        <v>3351</v>
      </c>
      <c r="X165">
        <v>92.6</v>
      </c>
    </row>
    <row r="166" spans="1:30" x14ac:dyDescent="0.25">
      <c r="A166">
        <v>8040959</v>
      </c>
      <c r="B166" t="s">
        <v>3351</v>
      </c>
    </row>
    <row r="167" spans="1:30" x14ac:dyDescent="0.25">
      <c r="A167">
        <v>8107048</v>
      </c>
      <c r="B167" t="s">
        <v>3351</v>
      </c>
    </row>
    <row r="168" spans="1:30" x14ac:dyDescent="0.25">
      <c r="A168">
        <v>8124044</v>
      </c>
      <c r="B168" t="s">
        <v>3351</v>
      </c>
    </row>
    <row r="169" spans="1:30" x14ac:dyDescent="0.25">
      <c r="A169">
        <v>8142949</v>
      </c>
      <c r="B169" t="s">
        <v>3351</v>
      </c>
    </row>
    <row r="170" spans="1:30" x14ac:dyDescent="0.25">
      <c r="A170">
        <v>9023306</v>
      </c>
      <c r="B170" t="s">
        <v>3351</v>
      </c>
    </row>
    <row r="171" spans="1:30" x14ac:dyDescent="0.25">
      <c r="A171">
        <v>9030615</v>
      </c>
      <c r="B171" t="s">
        <v>3351</v>
      </c>
    </row>
    <row r="172" spans="1:30" x14ac:dyDescent="0.25">
      <c r="A172">
        <v>9034464</v>
      </c>
      <c r="B172" t="s">
        <v>3351</v>
      </c>
    </row>
    <row r="173" spans="1:30" x14ac:dyDescent="0.25">
      <c r="A173">
        <v>9040167</v>
      </c>
      <c r="B173" t="s">
        <v>3351</v>
      </c>
    </row>
    <row r="174" spans="1:30" x14ac:dyDescent="0.25">
      <c r="A174">
        <v>9054567</v>
      </c>
      <c r="B174" t="s">
        <v>3351</v>
      </c>
    </row>
    <row r="175" spans="1:30" x14ac:dyDescent="0.25">
      <c r="A175">
        <v>9083682</v>
      </c>
      <c r="B175" t="s">
        <v>3351</v>
      </c>
      <c r="N175">
        <v>89</v>
      </c>
    </row>
    <row r="176" spans="1:30" x14ac:dyDescent="0.25">
      <c r="A176">
        <v>9102044</v>
      </c>
      <c r="B176" t="s">
        <v>3351</v>
      </c>
    </row>
    <row r="177" spans="1:18" x14ac:dyDescent="0.25">
      <c r="A177">
        <v>9119854</v>
      </c>
      <c r="B177" t="s">
        <v>3351</v>
      </c>
    </row>
    <row r="178" spans="1:18" x14ac:dyDescent="0.25">
      <c r="A178">
        <v>9125126</v>
      </c>
      <c r="B178" t="s">
        <v>3351</v>
      </c>
    </row>
    <row r="179" spans="1:18" x14ac:dyDescent="0.25">
      <c r="A179">
        <v>9174811</v>
      </c>
      <c r="B179" t="s">
        <v>3351</v>
      </c>
    </row>
    <row r="180" spans="1:18" x14ac:dyDescent="0.25">
      <c r="A180">
        <v>10002875</v>
      </c>
      <c r="B180" t="s">
        <v>3351</v>
      </c>
    </row>
    <row r="181" spans="1:18" x14ac:dyDescent="0.25">
      <c r="A181">
        <v>10023080</v>
      </c>
      <c r="B181" t="s">
        <v>3351</v>
      </c>
    </row>
    <row r="182" spans="1:18" x14ac:dyDescent="0.25">
      <c r="A182">
        <v>10025212</v>
      </c>
      <c r="B182" t="s">
        <v>3351</v>
      </c>
    </row>
    <row r="183" spans="1:18" x14ac:dyDescent="0.25">
      <c r="A183">
        <v>10069407</v>
      </c>
      <c r="B183" t="s">
        <v>3351</v>
      </c>
    </row>
    <row r="184" spans="1:18" x14ac:dyDescent="0.25">
      <c r="A184">
        <v>10071135</v>
      </c>
      <c r="B184" t="s">
        <v>3351</v>
      </c>
    </row>
    <row r="185" spans="1:18" x14ac:dyDescent="0.25">
      <c r="A185">
        <v>10083649</v>
      </c>
      <c r="B185" t="s">
        <v>3351</v>
      </c>
    </row>
    <row r="186" spans="1:18" x14ac:dyDescent="0.25">
      <c r="A186">
        <v>10102021</v>
      </c>
      <c r="B186" t="s">
        <v>3351</v>
      </c>
      <c r="O186" s="3">
        <v>73</v>
      </c>
      <c r="R186" s="3">
        <v>73.599999999999994</v>
      </c>
    </row>
    <row r="187" spans="1:18" x14ac:dyDescent="0.25">
      <c r="A187">
        <v>10123729</v>
      </c>
      <c r="B187" t="s">
        <v>3351</v>
      </c>
    </row>
    <row r="188" spans="1:18" x14ac:dyDescent="0.25">
      <c r="A188">
        <v>10144736</v>
      </c>
      <c r="B188" t="s">
        <v>3351</v>
      </c>
    </row>
    <row r="189" spans="1:18" x14ac:dyDescent="0.25">
      <c r="A189">
        <v>10157275</v>
      </c>
      <c r="B189" t="s">
        <v>3351</v>
      </c>
    </row>
    <row r="190" spans="1:18" x14ac:dyDescent="0.25">
      <c r="A190" s="65"/>
      <c r="B190" s="65"/>
    </row>
    <row r="191" spans="1:18" x14ac:dyDescent="0.25">
      <c r="A191" s="10" t="s">
        <v>120</v>
      </c>
      <c r="B191" s="10"/>
    </row>
    <row r="192" spans="1:18" x14ac:dyDescent="0.25">
      <c r="A192">
        <v>5281</v>
      </c>
      <c r="B192" t="s">
        <v>3352</v>
      </c>
    </row>
    <row r="193" spans="1:22" x14ac:dyDescent="0.25">
      <c r="A193">
        <v>200085</v>
      </c>
      <c r="B193" t="s">
        <v>3352</v>
      </c>
    </row>
    <row r="194" spans="1:22" x14ac:dyDescent="0.25">
      <c r="A194">
        <v>500129</v>
      </c>
      <c r="B194" t="s">
        <v>3352</v>
      </c>
    </row>
    <row r="195" spans="1:22" x14ac:dyDescent="0.25">
      <c r="A195" s="23">
        <v>1002033</v>
      </c>
      <c r="B195" t="s">
        <v>3352</v>
      </c>
      <c r="D195">
        <v>91</v>
      </c>
      <c r="G195">
        <v>90</v>
      </c>
      <c r="O195">
        <v>91</v>
      </c>
    </row>
    <row r="196" spans="1:22" x14ac:dyDescent="0.25">
      <c r="A196">
        <v>1003457</v>
      </c>
      <c r="B196" t="s">
        <v>3352</v>
      </c>
    </row>
    <row r="197" spans="1:22" x14ac:dyDescent="0.25">
      <c r="A197">
        <v>2005223</v>
      </c>
      <c r="B197" t="s">
        <v>3352</v>
      </c>
    </row>
    <row r="198" spans="1:22" x14ac:dyDescent="0.25">
      <c r="A198">
        <v>2006107</v>
      </c>
      <c r="B198" t="s">
        <v>3352</v>
      </c>
    </row>
    <row r="199" spans="1:22" x14ac:dyDescent="0.25">
      <c r="A199">
        <v>2012014</v>
      </c>
      <c r="B199" t="s">
        <v>3352</v>
      </c>
      <c r="F199">
        <v>98</v>
      </c>
      <c r="Q199">
        <v>95</v>
      </c>
    </row>
    <row r="200" spans="1:22" x14ac:dyDescent="0.25">
      <c r="A200">
        <v>3000152</v>
      </c>
      <c r="B200" t="s">
        <v>3352</v>
      </c>
    </row>
    <row r="201" spans="1:22" x14ac:dyDescent="0.25">
      <c r="A201">
        <v>3014566</v>
      </c>
      <c r="B201" t="s">
        <v>3352</v>
      </c>
    </row>
    <row r="202" spans="1:22" x14ac:dyDescent="0.25">
      <c r="A202">
        <v>3015058</v>
      </c>
      <c r="B202" t="s">
        <v>3352</v>
      </c>
      <c r="F202">
        <v>86.3</v>
      </c>
      <c r="H202">
        <v>86.75</v>
      </c>
      <c r="P202">
        <v>86.2</v>
      </c>
      <c r="Q202">
        <v>87.6</v>
      </c>
      <c r="V202">
        <v>85.6</v>
      </c>
    </row>
    <row r="203" spans="1:22" x14ac:dyDescent="0.25">
      <c r="A203" s="23">
        <v>4000996</v>
      </c>
      <c r="B203" t="s">
        <v>3352</v>
      </c>
      <c r="P203">
        <v>81</v>
      </c>
    </row>
    <row r="204" spans="1:22" x14ac:dyDescent="0.25">
      <c r="A204">
        <v>4003768</v>
      </c>
      <c r="B204" t="s">
        <v>3352</v>
      </c>
    </row>
    <row r="205" spans="1:22" x14ac:dyDescent="0.25">
      <c r="A205">
        <v>4006540</v>
      </c>
      <c r="B205" t="s">
        <v>3352</v>
      </c>
    </row>
    <row r="206" spans="1:22" x14ac:dyDescent="0.25">
      <c r="A206">
        <v>4007054</v>
      </c>
      <c r="B206" t="s">
        <v>3352</v>
      </c>
    </row>
    <row r="207" spans="1:22" x14ac:dyDescent="0.25">
      <c r="A207">
        <v>4011002</v>
      </c>
      <c r="B207" t="s">
        <v>3352</v>
      </c>
    </row>
    <row r="208" spans="1:22" x14ac:dyDescent="0.25">
      <c r="A208">
        <v>4900268</v>
      </c>
      <c r="B208" t="s">
        <v>3352</v>
      </c>
    </row>
    <row r="209" spans="1:22" x14ac:dyDescent="0.25">
      <c r="A209">
        <v>5001097</v>
      </c>
      <c r="B209" t="s">
        <v>3352</v>
      </c>
      <c r="I209">
        <v>80.5</v>
      </c>
      <c r="J209">
        <v>80.099999999999994</v>
      </c>
      <c r="O209">
        <v>80.7</v>
      </c>
      <c r="V209">
        <v>81.3</v>
      </c>
    </row>
    <row r="210" spans="1:22" x14ac:dyDescent="0.25">
      <c r="A210">
        <v>5001098</v>
      </c>
      <c r="B210" t="s">
        <v>3352</v>
      </c>
      <c r="E210">
        <v>85.2</v>
      </c>
      <c r="H210">
        <v>85.3</v>
      </c>
      <c r="I210">
        <v>85.2</v>
      </c>
    </row>
    <row r="211" spans="1:22" x14ac:dyDescent="0.25">
      <c r="A211">
        <v>5006152</v>
      </c>
      <c r="B211" t="s">
        <v>3352</v>
      </c>
      <c r="L211">
        <v>90.5</v>
      </c>
      <c r="P211">
        <v>35.4</v>
      </c>
    </row>
    <row r="212" spans="1:22" x14ac:dyDescent="0.25">
      <c r="A212">
        <v>6012361</v>
      </c>
      <c r="B212" t="s">
        <v>3352</v>
      </c>
    </row>
    <row r="213" spans="1:22" x14ac:dyDescent="0.25">
      <c r="A213">
        <v>6015793</v>
      </c>
      <c r="B213" t="s">
        <v>3352</v>
      </c>
    </row>
    <row r="214" spans="1:22" x14ac:dyDescent="0.25">
      <c r="A214">
        <v>6043619</v>
      </c>
      <c r="B214" t="s">
        <v>3352</v>
      </c>
    </row>
    <row r="215" spans="1:22" x14ac:dyDescent="0.25">
      <c r="A215">
        <v>7001097</v>
      </c>
      <c r="B215" t="s">
        <v>3352</v>
      </c>
    </row>
    <row r="216" spans="1:22" x14ac:dyDescent="0.25">
      <c r="A216">
        <v>7011435</v>
      </c>
      <c r="B216" t="s">
        <v>3352</v>
      </c>
    </row>
    <row r="217" spans="1:22" x14ac:dyDescent="0.25">
      <c r="A217">
        <v>7045811</v>
      </c>
      <c r="B217" t="s">
        <v>3352</v>
      </c>
    </row>
    <row r="218" spans="1:22" x14ac:dyDescent="0.25">
      <c r="A218">
        <v>7071198</v>
      </c>
      <c r="B218" t="s">
        <v>3352</v>
      </c>
    </row>
    <row r="219" spans="1:22" x14ac:dyDescent="0.25">
      <c r="A219">
        <v>7101143</v>
      </c>
      <c r="B219" t="s">
        <v>3352</v>
      </c>
    </row>
    <row r="220" spans="1:22" x14ac:dyDescent="0.25">
      <c r="A220">
        <v>8073350</v>
      </c>
      <c r="B220" t="s">
        <v>3352</v>
      </c>
    </row>
    <row r="221" spans="1:22" x14ac:dyDescent="0.25">
      <c r="A221">
        <v>8073645</v>
      </c>
      <c r="B221" t="s">
        <v>3352</v>
      </c>
    </row>
    <row r="222" spans="1:22" x14ac:dyDescent="0.25">
      <c r="A222" s="23">
        <v>8089666</v>
      </c>
      <c r="B222" t="s">
        <v>3352</v>
      </c>
      <c r="K222">
        <v>86</v>
      </c>
      <c r="L222" s="14">
        <v>84</v>
      </c>
      <c r="M222">
        <v>81</v>
      </c>
      <c r="O222" s="14">
        <v>85</v>
      </c>
      <c r="P222">
        <v>89</v>
      </c>
    </row>
    <row r="223" spans="1:22" x14ac:dyDescent="0.25">
      <c r="A223">
        <v>8103536</v>
      </c>
      <c r="B223" t="s">
        <v>3352</v>
      </c>
    </row>
    <row r="224" spans="1:22" x14ac:dyDescent="0.25">
      <c r="A224">
        <v>8124816</v>
      </c>
      <c r="B224" t="s">
        <v>3352</v>
      </c>
    </row>
    <row r="225" spans="1:2" x14ac:dyDescent="0.25">
      <c r="A225">
        <v>9003267</v>
      </c>
      <c r="B225" t="s">
        <v>3352</v>
      </c>
    </row>
    <row r="226" spans="1:2" x14ac:dyDescent="0.25">
      <c r="A226">
        <v>9036964</v>
      </c>
      <c r="B226" t="s">
        <v>3352</v>
      </c>
    </row>
    <row r="227" spans="1:2" x14ac:dyDescent="0.25">
      <c r="A227">
        <v>9090287</v>
      </c>
      <c r="B227" t="s">
        <v>3352</v>
      </c>
    </row>
    <row r="228" spans="1:2" x14ac:dyDescent="0.25">
      <c r="A228">
        <v>9095148</v>
      </c>
      <c r="B228" t="s">
        <v>3352</v>
      </c>
    </row>
    <row r="229" spans="1:2" x14ac:dyDescent="0.25">
      <c r="A229">
        <v>9104979</v>
      </c>
      <c r="B229" t="s">
        <v>3352</v>
      </c>
    </row>
    <row r="230" spans="1:2" x14ac:dyDescent="0.25">
      <c r="A230">
        <v>9139514</v>
      </c>
      <c r="B230" t="s">
        <v>3352</v>
      </c>
    </row>
    <row r="231" spans="1:2" x14ac:dyDescent="0.25">
      <c r="A231">
        <v>10020659</v>
      </c>
      <c r="B231" t="s">
        <v>3352</v>
      </c>
    </row>
    <row r="232" spans="1:2" x14ac:dyDescent="0.25">
      <c r="A232">
        <v>10025902</v>
      </c>
      <c r="B232" t="s">
        <v>3352</v>
      </c>
    </row>
    <row r="233" spans="1:2" x14ac:dyDescent="0.25">
      <c r="A233">
        <v>10027654</v>
      </c>
      <c r="B233" t="s">
        <v>3352</v>
      </c>
    </row>
    <row r="234" spans="1:2" x14ac:dyDescent="0.25">
      <c r="A234">
        <v>10084485</v>
      </c>
      <c r="B234" t="s">
        <v>3352</v>
      </c>
    </row>
    <row r="235" spans="1:2" x14ac:dyDescent="0.25">
      <c r="A235">
        <v>10098420</v>
      </c>
      <c r="B235" t="s">
        <v>3352</v>
      </c>
    </row>
    <row r="236" spans="1:2" x14ac:dyDescent="0.25">
      <c r="A236">
        <v>10129565</v>
      </c>
      <c r="B236" t="s">
        <v>3352</v>
      </c>
    </row>
    <row r="237" spans="1:2" x14ac:dyDescent="0.25">
      <c r="A237">
        <v>10146828</v>
      </c>
      <c r="B237" t="s">
        <v>3352</v>
      </c>
    </row>
    <row r="238" spans="1:2" x14ac:dyDescent="0.25">
      <c r="A238">
        <v>10163776</v>
      </c>
      <c r="B238" t="s">
        <v>3352</v>
      </c>
    </row>
    <row r="239" spans="1:2" x14ac:dyDescent="0.25">
      <c r="A239">
        <v>10173664</v>
      </c>
      <c r="B239" t="s">
        <v>3352</v>
      </c>
    </row>
  </sheetData>
  <conditionalFormatting sqref="A19">
    <cfRule type="duplicateValues" dxfId="5" priority="1"/>
  </conditionalFormatting>
  <pageMargins left="0.7" right="0.7" top="0.78740157499999996" bottom="0.78740157499999996" header="0.3" footer="0.3"/>
  <tableParts count="1">
    <tablePart r:id="rId1"/>
  </tableParts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4"/>
  <sheetViews>
    <sheetView workbookViewId="0">
      <selection activeCell="D34" sqref="D34"/>
    </sheetView>
  </sheetViews>
  <sheetFormatPr defaultColWidth="11.42578125" defaultRowHeight="15" x14ac:dyDescent="0.25"/>
  <cols>
    <col min="1" max="1" width="17.28515625" bestFit="1" customWidth="1"/>
    <col min="2" max="2" width="12.5703125" bestFit="1" customWidth="1"/>
    <col min="3" max="3" width="7.5703125" bestFit="1" customWidth="1"/>
    <col min="4" max="4" width="81.140625" bestFit="1" customWidth="1"/>
    <col min="5" max="5" width="30.28515625" bestFit="1" customWidth="1"/>
  </cols>
  <sheetData>
    <row r="1" spans="1:5" x14ac:dyDescent="0.25">
      <c r="A1" s="66" t="s">
        <v>59</v>
      </c>
      <c r="B1" s="66" t="s">
        <v>3346</v>
      </c>
      <c r="C1" s="66" t="s">
        <v>3401</v>
      </c>
      <c r="D1" s="66" t="s">
        <v>2564</v>
      </c>
      <c r="E1" s="66" t="s">
        <v>2523</v>
      </c>
    </row>
    <row r="2" spans="1:5" x14ac:dyDescent="0.25">
      <c r="A2" s="66">
        <v>1003215</v>
      </c>
      <c r="B2" s="66" t="s">
        <v>3400</v>
      </c>
      <c r="C2" s="66" t="s">
        <v>3401</v>
      </c>
      <c r="D2" s="66" t="s">
        <v>574</v>
      </c>
      <c r="E2" s="66">
        <v>1</v>
      </c>
    </row>
    <row r="3" spans="1:5" x14ac:dyDescent="0.25">
      <c r="A3" s="66">
        <v>10023001</v>
      </c>
      <c r="B3" s="66" t="s">
        <v>3347</v>
      </c>
      <c r="C3" s="66" t="s">
        <v>3401</v>
      </c>
      <c r="D3" s="66" t="s">
        <v>574</v>
      </c>
      <c r="E3" s="66">
        <v>1</v>
      </c>
    </row>
    <row r="4" spans="1:5" x14ac:dyDescent="0.25">
      <c r="A4" s="66">
        <v>9039416</v>
      </c>
      <c r="B4" s="66" t="s">
        <v>3350</v>
      </c>
      <c r="C4" s="66" t="s">
        <v>3401</v>
      </c>
      <c r="D4" s="66" t="s">
        <v>1613</v>
      </c>
      <c r="E4" s="66">
        <v>1</v>
      </c>
    </row>
    <row r="5" spans="1:5" x14ac:dyDescent="0.25">
      <c r="A5" s="66">
        <v>1005522</v>
      </c>
      <c r="B5" s="66" t="s">
        <v>3350</v>
      </c>
      <c r="C5" s="66" t="s">
        <v>3401</v>
      </c>
      <c r="D5" s="66" t="s">
        <v>3402</v>
      </c>
      <c r="E5" s="66">
        <v>5</v>
      </c>
    </row>
    <row r="6" spans="1:5" x14ac:dyDescent="0.25">
      <c r="A6" s="66">
        <v>1009760</v>
      </c>
      <c r="B6" s="66" t="s">
        <v>3350</v>
      </c>
      <c r="C6" s="66" t="s">
        <v>3401</v>
      </c>
      <c r="D6" s="66" t="s">
        <v>3403</v>
      </c>
      <c r="E6" s="66">
        <v>4</v>
      </c>
    </row>
    <row r="7" spans="1:5" x14ac:dyDescent="0.25">
      <c r="A7" s="66">
        <v>2000646</v>
      </c>
      <c r="B7" s="66" t="s">
        <v>3350</v>
      </c>
      <c r="C7" s="66" t="s">
        <v>3401</v>
      </c>
      <c r="D7" s="66" t="s">
        <v>3404</v>
      </c>
      <c r="E7" s="66">
        <v>5</v>
      </c>
    </row>
    <row r="8" spans="1:5" x14ac:dyDescent="0.25">
      <c r="A8" s="66">
        <v>3016056</v>
      </c>
      <c r="B8" s="66" t="s">
        <v>3350</v>
      </c>
      <c r="C8" s="66" t="s">
        <v>3401</v>
      </c>
      <c r="D8" s="66" t="s">
        <v>3405</v>
      </c>
      <c r="E8" s="66">
        <v>2</v>
      </c>
    </row>
    <row r="9" spans="1:5" x14ac:dyDescent="0.25">
      <c r="A9" s="66">
        <v>4002206</v>
      </c>
      <c r="B9" s="66" t="s">
        <v>3350</v>
      </c>
      <c r="C9" s="66" t="s">
        <v>3401</v>
      </c>
      <c r="D9" s="66" t="s">
        <v>3406</v>
      </c>
      <c r="E9" s="66">
        <v>2</v>
      </c>
    </row>
    <row r="10" spans="1:5" x14ac:dyDescent="0.25">
      <c r="A10" s="66">
        <v>4009906</v>
      </c>
      <c r="B10" s="66" t="s">
        <v>3350</v>
      </c>
      <c r="C10" s="66" t="s">
        <v>3401</v>
      </c>
      <c r="D10" s="66" t="s">
        <v>3407</v>
      </c>
      <c r="E10" s="66">
        <v>4</v>
      </c>
    </row>
    <row r="11" spans="1:5" x14ac:dyDescent="0.25">
      <c r="A11" s="66">
        <v>5004654</v>
      </c>
      <c r="B11" s="66" t="s">
        <v>3350</v>
      </c>
      <c r="C11" s="66" t="s">
        <v>3401</v>
      </c>
      <c r="D11" s="66" t="s">
        <v>3408</v>
      </c>
      <c r="E11" s="66">
        <v>7</v>
      </c>
    </row>
    <row r="12" spans="1:5" x14ac:dyDescent="0.25">
      <c r="A12" s="66">
        <v>3009633</v>
      </c>
      <c r="B12" s="66" t="s">
        <v>3351</v>
      </c>
      <c r="C12" s="66" t="s">
        <v>3401</v>
      </c>
      <c r="D12" s="66" t="s">
        <v>3409</v>
      </c>
      <c r="E12" s="66">
        <v>3</v>
      </c>
    </row>
    <row r="13" spans="1:5" x14ac:dyDescent="0.25">
      <c r="A13" s="66">
        <v>6015647</v>
      </c>
      <c r="B13" s="66" t="s">
        <v>3351</v>
      </c>
      <c r="C13" s="66" t="s">
        <v>3401</v>
      </c>
      <c r="D13" s="66" t="s">
        <v>3410</v>
      </c>
      <c r="E13" s="66">
        <v>7</v>
      </c>
    </row>
    <row r="14" spans="1:5" x14ac:dyDescent="0.25">
      <c r="A14" s="66">
        <v>7086224</v>
      </c>
      <c r="B14" s="66" t="s">
        <v>3351</v>
      </c>
      <c r="C14" s="66" t="s">
        <v>3401</v>
      </c>
      <c r="D14" s="66" t="s">
        <v>1139</v>
      </c>
      <c r="E14" s="66">
        <v>1</v>
      </c>
    </row>
    <row r="15" spans="1:5" x14ac:dyDescent="0.25">
      <c r="A15" s="66">
        <v>9083682</v>
      </c>
      <c r="B15" s="66" t="s">
        <v>3351</v>
      </c>
      <c r="C15" s="66" t="s">
        <v>3401</v>
      </c>
      <c r="D15" s="66" t="s">
        <v>574</v>
      </c>
      <c r="E15" s="66">
        <v>1</v>
      </c>
    </row>
    <row r="16" spans="1:5" x14ac:dyDescent="0.25">
      <c r="A16" s="66">
        <v>10102021</v>
      </c>
      <c r="B16" s="66" t="s">
        <v>3351</v>
      </c>
      <c r="C16" s="66" t="s">
        <v>3401</v>
      </c>
      <c r="D16" s="66" t="s">
        <v>3411</v>
      </c>
      <c r="E16" s="66">
        <v>2</v>
      </c>
    </row>
    <row r="17" spans="1:5" x14ac:dyDescent="0.25">
      <c r="A17" s="66">
        <v>1002033</v>
      </c>
      <c r="B17" s="66" t="s">
        <v>3352</v>
      </c>
      <c r="C17" s="66" t="s">
        <v>3401</v>
      </c>
      <c r="D17" s="66" t="s">
        <v>3412</v>
      </c>
      <c r="E17" s="66">
        <v>3</v>
      </c>
    </row>
    <row r="18" spans="1:5" x14ac:dyDescent="0.25">
      <c r="A18" s="66">
        <v>2012014</v>
      </c>
      <c r="B18" s="66" t="s">
        <v>3352</v>
      </c>
      <c r="C18" s="66" t="s">
        <v>3401</v>
      </c>
      <c r="D18" s="66" t="s">
        <v>3413</v>
      </c>
      <c r="E18" s="66">
        <v>2</v>
      </c>
    </row>
    <row r="19" spans="1:5" x14ac:dyDescent="0.25">
      <c r="A19" s="66">
        <v>3015058</v>
      </c>
      <c r="B19" s="66" t="s">
        <v>3352</v>
      </c>
      <c r="C19" s="66" t="s">
        <v>3401</v>
      </c>
      <c r="D19" s="66" t="s">
        <v>3414</v>
      </c>
      <c r="E19" s="66">
        <v>5</v>
      </c>
    </row>
    <row r="20" spans="1:5" x14ac:dyDescent="0.25">
      <c r="A20" s="66">
        <v>4000996</v>
      </c>
      <c r="B20" s="66" t="s">
        <v>3352</v>
      </c>
      <c r="C20" s="66" t="s">
        <v>3401</v>
      </c>
      <c r="D20" s="66" t="s">
        <v>1138</v>
      </c>
      <c r="E20" s="66">
        <v>1</v>
      </c>
    </row>
    <row r="21" spans="1:5" x14ac:dyDescent="0.25">
      <c r="A21" s="66">
        <v>5001097</v>
      </c>
      <c r="B21" s="66" t="s">
        <v>3352</v>
      </c>
      <c r="C21" s="66" t="s">
        <v>3401</v>
      </c>
      <c r="D21" s="66" t="s">
        <v>3415</v>
      </c>
      <c r="E21" s="66">
        <v>4</v>
      </c>
    </row>
    <row r="22" spans="1:5" x14ac:dyDescent="0.25">
      <c r="A22" s="66">
        <v>5001098</v>
      </c>
      <c r="B22" s="66" t="s">
        <v>3352</v>
      </c>
      <c r="C22" s="66" t="s">
        <v>3401</v>
      </c>
      <c r="D22" s="66" t="s">
        <v>3416</v>
      </c>
      <c r="E22" s="66">
        <v>3</v>
      </c>
    </row>
    <row r="23" spans="1:5" x14ac:dyDescent="0.25">
      <c r="A23" s="66">
        <v>5006152</v>
      </c>
      <c r="B23" s="66" t="s">
        <v>3352</v>
      </c>
      <c r="C23" s="66" t="s">
        <v>3401</v>
      </c>
      <c r="D23" s="66" t="s">
        <v>3417</v>
      </c>
      <c r="E23" s="66">
        <v>2</v>
      </c>
    </row>
    <row r="24" spans="1:5" x14ac:dyDescent="0.25">
      <c r="A24" s="66">
        <v>8089666</v>
      </c>
      <c r="B24" s="66" t="s">
        <v>3352</v>
      </c>
      <c r="C24" s="66" t="s">
        <v>3401</v>
      </c>
      <c r="D24" s="66" t="s">
        <v>3418</v>
      </c>
      <c r="E24" s="66">
        <v>5</v>
      </c>
    </row>
  </sheetData>
  <phoneticPr fontId="6" type="noConversion"/>
  <pageMargins left="0.7" right="0.7" top="0.78740157499999996" bottom="0.78740157499999996" header="0.3" footer="0.3"/>
  <tableParts count="1">
    <tablePart r:id="rId1"/>
  </tableParts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239"/>
  <sheetViews>
    <sheetView workbookViewId="0">
      <selection activeCell="B1" sqref="B1:B1048576"/>
    </sheetView>
  </sheetViews>
  <sheetFormatPr defaultColWidth="11.42578125" defaultRowHeight="15" x14ac:dyDescent="0.25"/>
  <cols>
    <col min="1" max="1" width="17.140625" customWidth="1"/>
    <col min="2" max="2" width="12.42578125" customWidth="1"/>
    <col min="3" max="3" width="38" customWidth="1"/>
    <col min="4" max="6" width="34" customWidth="1"/>
    <col min="7" max="11" width="33" customWidth="1"/>
    <col min="12" max="12" width="31.85546875" customWidth="1"/>
    <col min="13" max="13" width="28" customWidth="1"/>
    <col min="14" max="14" width="19.5703125" customWidth="1"/>
    <col min="18" max="18" width="14.7109375" customWidth="1"/>
    <col min="21" max="22" width="12.85546875" customWidth="1"/>
    <col min="23" max="23" width="17.28515625" customWidth="1"/>
    <col min="24" max="27" width="12.85546875" customWidth="1"/>
    <col min="28" max="28" width="20" customWidth="1"/>
    <col min="29" max="30" width="15.5703125" customWidth="1"/>
    <col min="31" max="31" width="20" customWidth="1"/>
  </cols>
  <sheetData>
    <row r="1" spans="1:31" ht="60" x14ac:dyDescent="0.25">
      <c r="A1" s="9" t="s">
        <v>59</v>
      </c>
      <c r="B1" s="61" t="s">
        <v>3346</v>
      </c>
      <c r="C1" s="4" t="s">
        <v>1618</v>
      </c>
      <c r="D1" s="4" t="s">
        <v>1087</v>
      </c>
      <c r="E1" s="4" t="s">
        <v>1968</v>
      </c>
      <c r="F1" s="4" t="s">
        <v>1845</v>
      </c>
      <c r="G1" s="4" t="s">
        <v>1910</v>
      </c>
      <c r="H1" s="4" t="s">
        <v>1936</v>
      </c>
      <c r="I1" s="4" t="s">
        <v>1937</v>
      </c>
      <c r="J1" s="4" t="s">
        <v>2392</v>
      </c>
      <c r="K1" s="4" t="s">
        <v>2000</v>
      </c>
      <c r="L1" s="4" t="s">
        <v>2393</v>
      </c>
      <c r="M1" s="4" t="s">
        <v>575</v>
      </c>
      <c r="N1" s="45" t="s">
        <v>1118</v>
      </c>
      <c r="O1" s="4" t="s">
        <v>957</v>
      </c>
      <c r="P1" s="4" t="s">
        <v>958</v>
      </c>
      <c r="Q1" s="4" t="s">
        <v>1119</v>
      </c>
      <c r="R1" s="4" t="s">
        <v>1619</v>
      </c>
      <c r="S1" s="4" t="s">
        <v>1245</v>
      </c>
      <c r="T1" s="4" t="s">
        <v>2232</v>
      </c>
      <c r="U1" s="4" t="s">
        <v>959</v>
      </c>
      <c r="V1" s="4" t="s">
        <v>960</v>
      </c>
      <c r="W1" s="4" t="s">
        <v>1620</v>
      </c>
      <c r="X1" s="4" t="s">
        <v>961</v>
      </c>
      <c r="Y1" s="4" t="s">
        <v>962</v>
      </c>
      <c r="Z1" s="4" t="s">
        <v>1120</v>
      </c>
      <c r="AA1" s="4" t="s">
        <v>2127</v>
      </c>
      <c r="AB1" s="4" t="s">
        <v>1621</v>
      </c>
      <c r="AC1" s="4" t="s">
        <v>1224</v>
      </c>
      <c r="AD1" s="4" t="s">
        <v>1225</v>
      </c>
      <c r="AE1" s="4" t="s">
        <v>1622</v>
      </c>
    </row>
    <row r="2" spans="1:31" x14ac:dyDescent="0.25">
      <c r="A2" s="40" t="s">
        <v>561</v>
      </c>
      <c r="B2" s="40"/>
    </row>
    <row r="3" spans="1:31" x14ac:dyDescent="0.25">
      <c r="A3" s="10" t="s">
        <v>2519</v>
      </c>
      <c r="B3" s="10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</row>
    <row r="4" spans="1:31" x14ac:dyDescent="0.25">
      <c r="A4">
        <v>7072184</v>
      </c>
      <c r="B4" s="10" t="s">
        <v>3398</v>
      </c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</row>
    <row r="5" spans="1:31" x14ac:dyDescent="0.25">
      <c r="A5">
        <v>9108231</v>
      </c>
      <c r="B5" s="10" t="s">
        <v>3398</v>
      </c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</row>
    <row r="6" spans="1:31" x14ac:dyDescent="0.25">
      <c r="A6">
        <v>12061933</v>
      </c>
      <c r="B6" s="10" t="s">
        <v>3398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</row>
    <row r="7" spans="1:31" x14ac:dyDescent="0.25">
      <c r="A7">
        <v>95005911</v>
      </c>
      <c r="B7" s="10" t="s">
        <v>3398</v>
      </c>
    </row>
    <row r="8" spans="1:31" x14ac:dyDescent="0.25">
      <c r="A8">
        <v>99001908</v>
      </c>
      <c r="B8" s="10" t="s">
        <v>3398</v>
      </c>
    </row>
    <row r="9" spans="1:31" x14ac:dyDescent="0.25">
      <c r="A9">
        <v>99004067</v>
      </c>
      <c r="B9" s="10" t="s">
        <v>3398</v>
      </c>
    </row>
    <row r="10" spans="1:31" x14ac:dyDescent="0.25">
      <c r="A10">
        <v>97002136</v>
      </c>
      <c r="B10" s="10" t="s">
        <v>3398</v>
      </c>
    </row>
    <row r="11" spans="1:31" x14ac:dyDescent="0.25">
      <c r="A11">
        <v>1502</v>
      </c>
      <c r="B11" s="10" t="s">
        <v>3398</v>
      </c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</row>
    <row r="12" spans="1:31" x14ac:dyDescent="0.25">
      <c r="A12">
        <v>4003543</v>
      </c>
      <c r="B12" s="10" t="s">
        <v>3398</v>
      </c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</row>
    <row r="13" spans="1:31" x14ac:dyDescent="0.25">
      <c r="A13">
        <v>4900261</v>
      </c>
      <c r="B13" s="10" t="s">
        <v>3398</v>
      </c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</row>
    <row r="15" spans="1:31" x14ac:dyDescent="0.25">
      <c r="A15" s="10" t="s">
        <v>2520</v>
      </c>
      <c r="B15" s="10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</row>
    <row r="16" spans="1:31" x14ac:dyDescent="0.25">
      <c r="A16">
        <v>14242856</v>
      </c>
      <c r="B16" s="10" t="s">
        <v>3399</v>
      </c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</row>
    <row r="17" spans="1:31" x14ac:dyDescent="0.25">
      <c r="A17">
        <v>99001183</v>
      </c>
      <c r="B17" s="10" t="s">
        <v>3399</v>
      </c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</row>
    <row r="18" spans="1:31" x14ac:dyDescent="0.25">
      <c r="A18">
        <v>3000983</v>
      </c>
      <c r="B18" s="10" t="s">
        <v>3399</v>
      </c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</row>
    <row r="19" spans="1:31" x14ac:dyDescent="0.25">
      <c r="A19">
        <v>10064335</v>
      </c>
      <c r="B19" s="10" t="s">
        <v>3399</v>
      </c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</row>
    <row r="20" spans="1:31" x14ac:dyDescent="0.25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</row>
    <row r="21" spans="1:31" x14ac:dyDescent="0.25">
      <c r="A21" s="10" t="s">
        <v>2521</v>
      </c>
      <c r="B21" s="10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</row>
    <row r="22" spans="1:31" x14ac:dyDescent="0.25">
      <c r="A22">
        <v>1480</v>
      </c>
      <c r="B22" s="10" t="s">
        <v>3400</v>
      </c>
    </row>
    <row r="23" spans="1:31" x14ac:dyDescent="0.25">
      <c r="A23">
        <v>7063959</v>
      </c>
      <c r="B23" s="10" t="s">
        <v>3400</v>
      </c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</row>
    <row r="24" spans="1:31" x14ac:dyDescent="0.25">
      <c r="A24">
        <v>1003215</v>
      </c>
      <c r="B24" s="10" t="s">
        <v>3400</v>
      </c>
      <c r="C24" s="6"/>
      <c r="D24" s="6"/>
      <c r="E24" s="6"/>
      <c r="F24" s="6"/>
      <c r="G24" s="6"/>
      <c r="H24" s="6"/>
      <c r="I24" s="6"/>
      <c r="J24" s="6"/>
      <c r="K24" s="6"/>
      <c r="L24" s="6"/>
      <c r="M24" s="6">
        <v>30</v>
      </c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</row>
    <row r="25" spans="1:31" x14ac:dyDescent="0.25">
      <c r="A25">
        <v>99000802</v>
      </c>
      <c r="B25" s="10" t="s">
        <v>3400</v>
      </c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</row>
    <row r="26" spans="1:31" x14ac:dyDescent="0.25">
      <c r="A26">
        <v>99000892</v>
      </c>
      <c r="B26" s="10" t="s">
        <v>3400</v>
      </c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</row>
    <row r="27" spans="1:31" x14ac:dyDescent="0.25">
      <c r="A27">
        <v>1000192</v>
      </c>
      <c r="B27" s="10" t="s">
        <v>3400</v>
      </c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</row>
    <row r="28" spans="1:31" x14ac:dyDescent="0.25">
      <c r="A28">
        <v>1506</v>
      </c>
      <c r="B28" s="10" t="s">
        <v>3400</v>
      </c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</row>
    <row r="29" spans="1:31" x14ac:dyDescent="0.25">
      <c r="A29">
        <v>99000894</v>
      </c>
      <c r="B29" s="10" t="s">
        <v>3400</v>
      </c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</row>
    <row r="30" spans="1:31" x14ac:dyDescent="0.25">
      <c r="A30">
        <v>99000897</v>
      </c>
      <c r="B30" s="10" t="s">
        <v>3400</v>
      </c>
    </row>
    <row r="31" spans="1:31" x14ac:dyDescent="0.25">
      <c r="A31">
        <v>99001245</v>
      </c>
      <c r="B31" s="10" t="s">
        <v>3400</v>
      </c>
    </row>
    <row r="32" spans="1:31" x14ac:dyDescent="0.25">
      <c r="A32">
        <v>99001902</v>
      </c>
      <c r="B32" s="10" t="s">
        <v>3400</v>
      </c>
    </row>
    <row r="33" spans="1:31" x14ac:dyDescent="0.25">
      <c r="A33">
        <v>99001912</v>
      </c>
      <c r="B33" s="10" t="s">
        <v>3400</v>
      </c>
    </row>
    <row r="34" spans="1:31" x14ac:dyDescent="0.25">
      <c r="A34">
        <v>99001913</v>
      </c>
      <c r="B34" s="10" t="s">
        <v>3400</v>
      </c>
    </row>
    <row r="35" spans="1:31" x14ac:dyDescent="0.25">
      <c r="A35">
        <v>99001937</v>
      </c>
      <c r="B35" s="10" t="s">
        <v>3400</v>
      </c>
    </row>
    <row r="36" spans="1:31" x14ac:dyDescent="0.25">
      <c r="A36">
        <v>99001943</v>
      </c>
      <c r="B36" s="10" t="s">
        <v>3400</v>
      </c>
    </row>
    <row r="37" spans="1:31" x14ac:dyDescent="0.25">
      <c r="A37">
        <v>99001927</v>
      </c>
      <c r="B37" s="10" t="s">
        <v>3400</v>
      </c>
    </row>
    <row r="38" spans="1:31" x14ac:dyDescent="0.25">
      <c r="A38">
        <v>1505</v>
      </c>
      <c r="B38" s="10" t="s">
        <v>3400</v>
      </c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</row>
    <row r="39" spans="1:31" x14ac:dyDescent="0.25">
      <c r="A39">
        <v>1000197</v>
      </c>
      <c r="B39" s="10" t="s">
        <v>3400</v>
      </c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</row>
    <row r="40" spans="1:31" x14ac:dyDescent="0.25">
      <c r="A40">
        <v>96018835</v>
      </c>
      <c r="B40" s="10" t="s">
        <v>3400</v>
      </c>
    </row>
    <row r="41" spans="1:31" x14ac:dyDescent="0.25">
      <c r="A41">
        <v>98008326</v>
      </c>
      <c r="B41" s="10" t="s">
        <v>3400</v>
      </c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</row>
    <row r="42" spans="1:31" x14ac:dyDescent="0.25">
      <c r="A42">
        <v>99000717</v>
      </c>
      <c r="B42" s="10" t="s">
        <v>3400</v>
      </c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</row>
    <row r="43" spans="1:31" x14ac:dyDescent="0.25"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</row>
    <row r="44" spans="1:31" x14ac:dyDescent="0.25">
      <c r="A44" s="25" t="s">
        <v>169</v>
      </c>
      <c r="B44" s="25"/>
    </row>
    <row r="45" spans="1:31" x14ac:dyDescent="0.25">
      <c r="A45" s="10" t="s">
        <v>143</v>
      </c>
      <c r="B45" s="10"/>
    </row>
    <row r="46" spans="1:31" x14ac:dyDescent="0.25">
      <c r="A46">
        <v>6016435</v>
      </c>
      <c r="B46" t="s">
        <v>3347</v>
      </c>
    </row>
    <row r="47" spans="1:31" x14ac:dyDescent="0.25">
      <c r="A47">
        <v>8045149</v>
      </c>
      <c r="B47" t="s">
        <v>3347</v>
      </c>
    </row>
    <row r="48" spans="1:31" x14ac:dyDescent="0.25">
      <c r="A48">
        <v>10023001</v>
      </c>
      <c r="B48" t="s">
        <v>3347</v>
      </c>
      <c r="M48">
        <v>30</v>
      </c>
    </row>
    <row r="49" spans="1:13" x14ac:dyDescent="0.25">
      <c r="A49">
        <v>10027526</v>
      </c>
      <c r="B49" t="s">
        <v>3347</v>
      </c>
    </row>
    <row r="50" spans="1:13" x14ac:dyDescent="0.25">
      <c r="A50">
        <v>14222171</v>
      </c>
      <c r="B50" t="s">
        <v>3347</v>
      </c>
    </row>
    <row r="51" spans="1:13" x14ac:dyDescent="0.25">
      <c r="A51">
        <v>1006143</v>
      </c>
      <c r="B51" t="s">
        <v>3347</v>
      </c>
      <c r="M51">
        <v>32</v>
      </c>
    </row>
    <row r="52" spans="1:13" x14ac:dyDescent="0.25">
      <c r="A52">
        <v>6006917</v>
      </c>
      <c r="B52" t="s">
        <v>3347</v>
      </c>
    </row>
    <row r="54" spans="1:13" x14ac:dyDescent="0.25">
      <c r="A54" s="10" t="s">
        <v>146</v>
      </c>
      <c r="B54" s="10"/>
    </row>
    <row r="55" spans="1:13" x14ac:dyDescent="0.25">
      <c r="A55">
        <v>8057159</v>
      </c>
      <c r="B55" s="10" t="s">
        <v>3348</v>
      </c>
    </row>
    <row r="56" spans="1:13" x14ac:dyDescent="0.25">
      <c r="A56">
        <v>9140312</v>
      </c>
      <c r="B56" s="10" t="s">
        <v>3348</v>
      </c>
    </row>
    <row r="57" spans="1:13" x14ac:dyDescent="0.25">
      <c r="A57">
        <v>12008230</v>
      </c>
      <c r="B57" s="10" t="s">
        <v>3348</v>
      </c>
    </row>
    <row r="58" spans="1:13" x14ac:dyDescent="0.25">
      <c r="A58">
        <v>12088444</v>
      </c>
      <c r="B58" s="10" t="s">
        <v>3348</v>
      </c>
    </row>
    <row r="59" spans="1:13" x14ac:dyDescent="0.25">
      <c r="A59">
        <v>13118872</v>
      </c>
      <c r="B59" s="10" t="s">
        <v>3348</v>
      </c>
    </row>
    <row r="60" spans="1:13" x14ac:dyDescent="0.25">
      <c r="A60">
        <v>12012030</v>
      </c>
      <c r="B60" s="10" t="s">
        <v>3348</v>
      </c>
    </row>
    <row r="62" spans="1:13" x14ac:dyDescent="0.25">
      <c r="A62" s="10" t="s">
        <v>120</v>
      </c>
      <c r="B62" s="10"/>
    </row>
    <row r="63" spans="1:13" x14ac:dyDescent="0.25">
      <c r="A63">
        <v>9074418</v>
      </c>
      <c r="B63" s="10" t="s">
        <v>3349</v>
      </c>
    </row>
    <row r="64" spans="1:13" x14ac:dyDescent="0.25">
      <c r="A64">
        <v>1263</v>
      </c>
      <c r="B64" s="10" t="s">
        <v>3349</v>
      </c>
    </row>
    <row r="65" spans="1:31" x14ac:dyDescent="0.25">
      <c r="A65">
        <v>98004910</v>
      </c>
      <c r="B65" s="10" t="s">
        <v>3349</v>
      </c>
    </row>
    <row r="66" spans="1:31" x14ac:dyDescent="0.25">
      <c r="A66">
        <v>7103068</v>
      </c>
      <c r="B66" s="10" t="s">
        <v>3349</v>
      </c>
    </row>
    <row r="67" spans="1:31" x14ac:dyDescent="0.25">
      <c r="A67">
        <v>11240728</v>
      </c>
      <c r="B67" s="10" t="s">
        <v>3349</v>
      </c>
    </row>
    <row r="68" spans="1:31" x14ac:dyDescent="0.25"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</row>
    <row r="69" spans="1:31" x14ac:dyDescent="0.25">
      <c r="A69" s="26" t="s">
        <v>170</v>
      </c>
      <c r="B69" s="26"/>
    </row>
    <row r="70" spans="1:31" x14ac:dyDescent="0.25">
      <c r="A70" s="10" t="s">
        <v>143</v>
      </c>
      <c r="B70" s="10"/>
    </row>
    <row r="71" spans="1:31" x14ac:dyDescent="0.25">
      <c r="A71">
        <v>5015869</v>
      </c>
      <c r="B71" t="s">
        <v>3350</v>
      </c>
    </row>
    <row r="72" spans="1:31" x14ac:dyDescent="0.25">
      <c r="A72">
        <v>5016969</v>
      </c>
      <c r="B72" t="s">
        <v>3350</v>
      </c>
    </row>
    <row r="73" spans="1:31" x14ac:dyDescent="0.25">
      <c r="A73">
        <v>6023231</v>
      </c>
      <c r="B73" t="s">
        <v>3350</v>
      </c>
    </row>
    <row r="74" spans="1:31" x14ac:dyDescent="0.25">
      <c r="A74">
        <v>6010712</v>
      </c>
      <c r="B74" t="s">
        <v>3350</v>
      </c>
    </row>
    <row r="75" spans="1:31" x14ac:dyDescent="0.25">
      <c r="A75">
        <v>6011198</v>
      </c>
      <c r="B75" t="s">
        <v>3350</v>
      </c>
    </row>
    <row r="76" spans="1:31" x14ac:dyDescent="0.25">
      <c r="A76">
        <v>6012681</v>
      </c>
      <c r="B76" t="s">
        <v>3350</v>
      </c>
    </row>
    <row r="77" spans="1:31" x14ac:dyDescent="0.25">
      <c r="A77">
        <v>6014511</v>
      </c>
      <c r="B77" t="s">
        <v>3350</v>
      </c>
    </row>
    <row r="78" spans="1:31" x14ac:dyDescent="0.25">
      <c r="A78">
        <v>6045127</v>
      </c>
      <c r="B78" t="s">
        <v>3350</v>
      </c>
    </row>
    <row r="79" spans="1:31" x14ac:dyDescent="0.25">
      <c r="A79">
        <v>7000458</v>
      </c>
      <c r="B79" t="s">
        <v>3350</v>
      </c>
    </row>
    <row r="80" spans="1:31" x14ac:dyDescent="0.25">
      <c r="A80">
        <v>7015502</v>
      </c>
      <c r="B80" t="s">
        <v>3350</v>
      </c>
    </row>
    <row r="81" spans="1:2" x14ac:dyDescent="0.25">
      <c r="A81">
        <v>7025847</v>
      </c>
      <c r="B81" t="s">
        <v>3350</v>
      </c>
    </row>
    <row r="82" spans="1:2" x14ac:dyDescent="0.25">
      <c r="A82">
        <v>7082707</v>
      </c>
      <c r="B82" t="s">
        <v>3350</v>
      </c>
    </row>
    <row r="83" spans="1:2" x14ac:dyDescent="0.25">
      <c r="A83">
        <v>7083159</v>
      </c>
      <c r="B83" t="s">
        <v>3350</v>
      </c>
    </row>
    <row r="84" spans="1:2" x14ac:dyDescent="0.25">
      <c r="A84">
        <v>7084659</v>
      </c>
      <c r="B84" t="s">
        <v>3350</v>
      </c>
    </row>
    <row r="85" spans="1:2" x14ac:dyDescent="0.25">
      <c r="A85">
        <v>7076814</v>
      </c>
      <c r="B85" t="s">
        <v>3350</v>
      </c>
    </row>
    <row r="86" spans="1:2" x14ac:dyDescent="0.25">
      <c r="A86">
        <v>7076815</v>
      </c>
      <c r="B86" t="s">
        <v>3350</v>
      </c>
    </row>
    <row r="87" spans="1:2" x14ac:dyDescent="0.25">
      <c r="A87">
        <v>7089231</v>
      </c>
      <c r="B87" t="s">
        <v>3350</v>
      </c>
    </row>
    <row r="88" spans="1:2" x14ac:dyDescent="0.25">
      <c r="A88">
        <v>7116004</v>
      </c>
      <c r="B88" t="s">
        <v>3350</v>
      </c>
    </row>
    <row r="89" spans="1:2" x14ac:dyDescent="0.25">
      <c r="A89">
        <v>8003819</v>
      </c>
      <c r="B89" t="s">
        <v>3350</v>
      </c>
    </row>
    <row r="90" spans="1:2" x14ac:dyDescent="0.25">
      <c r="A90">
        <v>8091779</v>
      </c>
      <c r="B90" t="s">
        <v>3350</v>
      </c>
    </row>
    <row r="91" spans="1:2" x14ac:dyDescent="0.25">
      <c r="A91">
        <v>8097989</v>
      </c>
      <c r="B91" t="s">
        <v>3350</v>
      </c>
    </row>
    <row r="92" spans="1:2" x14ac:dyDescent="0.25">
      <c r="A92">
        <v>8112522</v>
      </c>
      <c r="B92" t="s">
        <v>3350</v>
      </c>
    </row>
    <row r="93" spans="1:2" x14ac:dyDescent="0.25">
      <c r="A93">
        <v>8127397</v>
      </c>
      <c r="B93" t="s">
        <v>3350</v>
      </c>
    </row>
    <row r="94" spans="1:2" x14ac:dyDescent="0.25">
      <c r="A94">
        <v>8130998</v>
      </c>
      <c r="B94" t="s">
        <v>3350</v>
      </c>
    </row>
    <row r="95" spans="1:2" x14ac:dyDescent="0.25">
      <c r="A95">
        <v>9002836</v>
      </c>
      <c r="B95" t="s">
        <v>3350</v>
      </c>
    </row>
    <row r="96" spans="1:2" x14ac:dyDescent="0.25">
      <c r="A96">
        <v>9003331</v>
      </c>
      <c r="B96" t="s">
        <v>3350</v>
      </c>
    </row>
    <row r="97" spans="1:31" x14ac:dyDescent="0.25">
      <c r="A97">
        <v>9003370</v>
      </c>
      <c r="B97" t="s">
        <v>3350</v>
      </c>
    </row>
    <row r="98" spans="1:31" x14ac:dyDescent="0.25">
      <c r="A98">
        <v>9016278</v>
      </c>
      <c r="B98" t="s">
        <v>3350</v>
      </c>
    </row>
    <row r="99" spans="1:31" x14ac:dyDescent="0.25">
      <c r="A99">
        <v>9030684</v>
      </c>
      <c r="B99" t="s">
        <v>3350</v>
      </c>
    </row>
    <row r="100" spans="1:31" x14ac:dyDescent="0.25">
      <c r="A100">
        <v>9031387</v>
      </c>
      <c r="B100" t="s">
        <v>3350</v>
      </c>
    </row>
    <row r="101" spans="1:31" x14ac:dyDescent="0.25">
      <c r="A101">
        <v>9038676</v>
      </c>
      <c r="B101" t="s">
        <v>3350</v>
      </c>
    </row>
    <row r="102" spans="1:31" x14ac:dyDescent="0.25">
      <c r="A102">
        <v>9039416</v>
      </c>
      <c r="B102" t="s">
        <v>3350</v>
      </c>
      <c r="R102">
        <v>30.213750000000001</v>
      </c>
    </row>
    <row r="103" spans="1:31" x14ac:dyDescent="0.25">
      <c r="A103">
        <v>9042861</v>
      </c>
      <c r="B103" t="s">
        <v>3350</v>
      </c>
    </row>
    <row r="104" spans="1:31" x14ac:dyDescent="0.25">
      <c r="A104">
        <v>9044899</v>
      </c>
      <c r="B104" t="s">
        <v>3350</v>
      </c>
    </row>
    <row r="105" spans="1:31" x14ac:dyDescent="0.25">
      <c r="A105">
        <v>9052398</v>
      </c>
      <c r="B105" t="s">
        <v>3350</v>
      </c>
    </row>
    <row r="106" spans="1:31" x14ac:dyDescent="0.25">
      <c r="A106">
        <v>9085204</v>
      </c>
      <c r="B106" t="s">
        <v>3350</v>
      </c>
    </row>
    <row r="107" spans="1:31" x14ac:dyDescent="0.25">
      <c r="A107">
        <v>9090323</v>
      </c>
      <c r="B107" t="s">
        <v>3350</v>
      </c>
    </row>
    <row r="108" spans="1:31" x14ac:dyDescent="0.25">
      <c r="A108">
        <v>9105492</v>
      </c>
      <c r="B108" t="s">
        <v>3350</v>
      </c>
    </row>
    <row r="109" spans="1:31" x14ac:dyDescent="0.25">
      <c r="A109">
        <v>9138470</v>
      </c>
      <c r="B109" t="s">
        <v>3350</v>
      </c>
    </row>
    <row r="110" spans="1:31" x14ac:dyDescent="0.25">
      <c r="A110">
        <v>9150676</v>
      </c>
      <c r="B110" t="s">
        <v>3350</v>
      </c>
    </row>
    <row r="111" spans="1:31" x14ac:dyDescent="0.25">
      <c r="A111">
        <v>10010926</v>
      </c>
      <c r="B111" t="s">
        <v>3350</v>
      </c>
      <c r="O111" s="3">
        <v>33.6783</v>
      </c>
      <c r="P111" s="3">
        <v>33.356000000000002</v>
      </c>
      <c r="Q111" s="3"/>
      <c r="U111" s="3">
        <v>33.839399999999998</v>
      </c>
      <c r="V111" s="3">
        <v>31.744599999999998</v>
      </c>
      <c r="W111" s="3"/>
      <c r="X111" s="3">
        <v>31.744599999999998</v>
      </c>
      <c r="Y111" s="3">
        <v>30.777699999999999</v>
      </c>
      <c r="Z111" s="3"/>
      <c r="AA111" s="3"/>
      <c r="AB111" s="3"/>
      <c r="AC111" s="3"/>
      <c r="AD111" s="3"/>
      <c r="AE111" s="3"/>
    </row>
    <row r="112" spans="1:31" x14ac:dyDescent="0.25">
      <c r="A112">
        <v>10016588</v>
      </c>
      <c r="B112" t="s">
        <v>3350</v>
      </c>
    </row>
    <row r="113" spans="1:26" x14ac:dyDescent="0.25">
      <c r="A113">
        <v>10030897</v>
      </c>
      <c r="B113" t="s">
        <v>3350</v>
      </c>
    </row>
    <row r="114" spans="1:26" x14ac:dyDescent="0.25">
      <c r="A114">
        <v>324</v>
      </c>
      <c r="B114" t="s">
        <v>3350</v>
      </c>
    </row>
    <row r="115" spans="1:26" x14ac:dyDescent="0.25">
      <c r="A115">
        <v>3909</v>
      </c>
      <c r="B115" t="s">
        <v>3350</v>
      </c>
    </row>
    <row r="116" spans="1:26" x14ac:dyDescent="0.25">
      <c r="A116">
        <v>4663</v>
      </c>
      <c r="B116" t="s">
        <v>3350</v>
      </c>
    </row>
    <row r="117" spans="1:26" x14ac:dyDescent="0.25">
      <c r="A117">
        <v>1005522</v>
      </c>
      <c r="B117" t="s">
        <v>3350</v>
      </c>
      <c r="C117">
        <v>31.8</v>
      </c>
      <c r="D117">
        <v>34.9</v>
      </c>
      <c r="N117">
        <v>33.799999999999997</v>
      </c>
      <c r="U117">
        <v>33</v>
      </c>
      <c r="Y117">
        <v>31.8</v>
      </c>
    </row>
    <row r="118" spans="1:26" x14ac:dyDescent="0.25">
      <c r="A118">
        <v>1007631</v>
      </c>
      <c r="B118" t="s">
        <v>3350</v>
      </c>
    </row>
    <row r="119" spans="1:26" x14ac:dyDescent="0.25">
      <c r="A119">
        <v>1009760</v>
      </c>
      <c r="B119" t="s">
        <v>3350</v>
      </c>
      <c r="Q119">
        <v>29.9</v>
      </c>
      <c r="V119">
        <v>30.7</v>
      </c>
      <c r="X119">
        <v>30.4</v>
      </c>
      <c r="Z119">
        <v>29.6</v>
      </c>
    </row>
    <row r="120" spans="1:26" x14ac:dyDescent="0.25">
      <c r="A120">
        <v>2000646</v>
      </c>
      <c r="B120" t="s">
        <v>3350</v>
      </c>
      <c r="N120">
        <v>30</v>
      </c>
      <c r="O120">
        <v>30</v>
      </c>
      <c r="U120">
        <v>29</v>
      </c>
      <c r="V120">
        <v>29</v>
      </c>
      <c r="W120">
        <v>29</v>
      </c>
    </row>
    <row r="121" spans="1:26" x14ac:dyDescent="0.25">
      <c r="A121">
        <v>2003761</v>
      </c>
      <c r="B121" t="s">
        <v>3350</v>
      </c>
    </row>
    <row r="122" spans="1:26" x14ac:dyDescent="0.25">
      <c r="A122">
        <v>2004061</v>
      </c>
      <c r="B122" t="s">
        <v>3350</v>
      </c>
    </row>
    <row r="123" spans="1:26" x14ac:dyDescent="0.25">
      <c r="A123">
        <v>2006469</v>
      </c>
      <c r="B123" t="s">
        <v>3350</v>
      </c>
    </row>
    <row r="124" spans="1:26" x14ac:dyDescent="0.25">
      <c r="A124">
        <v>3005132</v>
      </c>
      <c r="B124" t="s">
        <v>3350</v>
      </c>
    </row>
    <row r="125" spans="1:26" x14ac:dyDescent="0.25">
      <c r="A125">
        <v>3009119</v>
      </c>
      <c r="B125" t="s">
        <v>3350</v>
      </c>
    </row>
    <row r="126" spans="1:26" x14ac:dyDescent="0.25">
      <c r="A126">
        <v>3009936</v>
      </c>
      <c r="B126" t="s">
        <v>3350</v>
      </c>
    </row>
    <row r="127" spans="1:26" x14ac:dyDescent="0.25">
      <c r="A127">
        <v>3011094</v>
      </c>
      <c r="B127" t="s">
        <v>3350</v>
      </c>
    </row>
    <row r="128" spans="1:26" x14ac:dyDescent="0.25">
      <c r="A128">
        <v>3014643</v>
      </c>
      <c r="B128" t="s">
        <v>3350</v>
      </c>
    </row>
    <row r="129" spans="1:31" x14ac:dyDescent="0.25">
      <c r="A129">
        <v>3016056</v>
      </c>
      <c r="B129" t="s">
        <v>3350</v>
      </c>
      <c r="N129">
        <v>29.2</v>
      </c>
      <c r="AE129">
        <v>30.3</v>
      </c>
    </row>
    <row r="130" spans="1:31" x14ac:dyDescent="0.25">
      <c r="A130">
        <v>3900219</v>
      </c>
      <c r="B130" t="s">
        <v>3350</v>
      </c>
    </row>
    <row r="131" spans="1:31" x14ac:dyDescent="0.25">
      <c r="A131">
        <v>4000158</v>
      </c>
      <c r="B131" t="s">
        <v>3350</v>
      </c>
    </row>
    <row r="132" spans="1:31" x14ac:dyDescent="0.25">
      <c r="A132">
        <v>4000304</v>
      </c>
      <c r="B132" t="s">
        <v>3350</v>
      </c>
    </row>
    <row r="133" spans="1:31" x14ac:dyDescent="0.25">
      <c r="A133">
        <v>4001905</v>
      </c>
      <c r="B133" t="s">
        <v>3350</v>
      </c>
    </row>
    <row r="134" spans="1:31" x14ac:dyDescent="0.25">
      <c r="A134">
        <v>4002206</v>
      </c>
      <c r="B134" t="s">
        <v>3350</v>
      </c>
    </row>
    <row r="135" spans="1:31" x14ac:dyDescent="0.25">
      <c r="A135">
        <v>4002715</v>
      </c>
      <c r="B135" t="s">
        <v>3350</v>
      </c>
    </row>
    <row r="136" spans="1:31" x14ac:dyDescent="0.25">
      <c r="A136">
        <v>4003924</v>
      </c>
      <c r="B136" t="s">
        <v>3350</v>
      </c>
    </row>
    <row r="137" spans="1:31" x14ac:dyDescent="0.25">
      <c r="A137">
        <v>4006051</v>
      </c>
      <c r="B137" t="s">
        <v>3350</v>
      </c>
    </row>
    <row r="138" spans="1:31" x14ac:dyDescent="0.25">
      <c r="A138">
        <v>4008140</v>
      </c>
      <c r="B138" t="s">
        <v>3350</v>
      </c>
    </row>
    <row r="139" spans="1:31" x14ac:dyDescent="0.25">
      <c r="A139">
        <v>4009906</v>
      </c>
      <c r="B139" t="s">
        <v>3350</v>
      </c>
      <c r="O139">
        <v>31.4</v>
      </c>
      <c r="AB139">
        <v>30.5</v>
      </c>
      <c r="AC139">
        <v>31</v>
      </c>
      <c r="AD139">
        <v>30.2</v>
      </c>
    </row>
    <row r="140" spans="1:31" x14ac:dyDescent="0.25">
      <c r="A140">
        <v>4011027</v>
      </c>
      <c r="B140" t="s">
        <v>3350</v>
      </c>
    </row>
    <row r="141" spans="1:31" x14ac:dyDescent="0.25">
      <c r="A141">
        <v>4011920</v>
      </c>
      <c r="B141" t="s">
        <v>3350</v>
      </c>
    </row>
    <row r="142" spans="1:31" x14ac:dyDescent="0.25">
      <c r="A142">
        <v>4012248</v>
      </c>
      <c r="B142" t="s">
        <v>3350</v>
      </c>
    </row>
    <row r="143" spans="1:31" x14ac:dyDescent="0.25">
      <c r="A143">
        <v>4013603</v>
      </c>
      <c r="B143" t="s">
        <v>3350</v>
      </c>
    </row>
    <row r="144" spans="1:31" x14ac:dyDescent="0.25">
      <c r="A144">
        <v>5004654</v>
      </c>
      <c r="B144" t="s">
        <v>3350</v>
      </c>
      <c r="O144" s="3">
        <v>28.844100000000001</v>
      </c>
      <c r="Q144" s="3">
        <v>27.716100000000001</v>
      </c>
      <c r="R144" s="3">
        <v>27.716100000000001</v>
      </c>
      <c r="S144" s="3">
        <v>29.488600000000002</v>
      </c>
      <c r="T144" s="3"/>
      <c r="U144" s="3">
        <v>29.327500000000001</v>
      </c>
      <c r="W144" s="3">
        <v>29.1663</v>
      </c>
      <c r="Y144" s="3">
        <v>29.327500000000001</v>
      </c>
    </row>
    <row r="145" spans="1:2" x14ac:dyDescent="0.25">
      <c r="A145" s="65"/>
      <c r="B145" s="65"/>
    </row>
    <row r="146" spans="1:2" x14ac:dyDescent="0.25">
      <c r="A146" s="10" t="s">
        <v>146</v>
      </c>
      <c r="B146" s="10"/>
    </row>
    <row r="147" spans="1:2" x14ac:dyDescent="0.25">
      <c r="A147">
        <v>4289</v>
      </c>
      <c r="B147" t="s">
        <v>3351</v>
      </c>
    </row>
    <row r="148" spans="1:2" x14ac:dyDescent="0.25">
      <c r="A148">
        <v>500245</v>
      </c>
      <c r="B148" t="s">
        <v>3351</v>
      </c>
    </row>
    <row r="149" spans="1:2" x14ac:dyDescent="0.25">
      <c r="A149">
        <v>2002573</v>
      </c>
      <c r="B149" t="s">
        <v>3351</v>
      </c>
    </row>
    <row r="150" spans="1:2" x14ac:dyDescent="0.25">
      <c r="A150">
        <v>2003539</v>
      </c>
      <c r="B150" t="s">
        <v>3351</v>
      </c>
    </row>
    <row r="151" spans="1:2" x14ac:dyDescent="0.25">
      <c r="A151">
        <v>2003649</v>
      </c>
      <c r="B151" t="s">
        <v>3351</v>
      </c>
    </row>
    <row r="152" spans="1:2" x14ac:dyDescent="0.25">
      <c r="A152">
        <v>2005572</v>
      </c>
      <c r="B152" t="s">
        <v>3351</v>
      </c>
    </row>
    <row r="153" spans="1:2" x14ac:dyDescent="0.25">
      <c r="A153">
        <v>2013117</v>
      </c>
      <c r="B153" t="s">
        <v>3351</v>
      </c>
    </row>
    <row r="154" spans="1:2" x14ac:dyDescent="0.25">
      <c r="A154">
        <v>3009633</v>
      </c>
      <c r="B154" t="s">
        <v>3351</v>
      </c>
    </row>
    <row r="155" spans="1:2" x14ac:dyDescent="0.25">
      <c r="A155">
        <v>3010583</v>
      </c>
      <c r="B155" t="s">
        <v>3351</v>
      </c>
    </row>
    <row r="156" spans="1:2" x14ac:dyDescent="0.25">
      <c r="A156" s="23">
        <v>3011892</v>
      </c>
      <c r="B156" t="s">
        <v>3351</v>
      </c>
    </row>
    <row r="157" spans="1:2" x14ac:dyDescent="0.25">
      <c r="A157">
        <v>4001382</v>
      </c>
      <c r="B157" t="s">
        <v>3351</v>
      </c>
    </row>
    <row r="158" spans="1:2" x14ac:dyDescent="0.25">
      <c r="A158">
        <v>5018675</v>
      </c>
      <c r="B158" t="s">
        <v>3351</v>
      </c>
    </row>
    <row r="159" spans="1:2" x14ac:dyDescent="0.25">
      <c r="A159">
        <v>6050168</v>
      </c>
      <c r="B159" t="s">
        <v>3351</v>
      </c>
    </row>
    <row r="160" spans="1:2" x14ac:dyDescent="0.25">
      <c r="A160">
        <v>5006592</v>
      </c>
      <c r="B160" t="s">
        <v>3351</v>
      </c>
    </row>
    <row r="161" spans="1:27" x14ac:dyDescent="0.25">
      <c r="A161">
        <v>5007274</v>
      </c>
      <c r="B161" t="s">
        <v>3351</v>
      </c>
    </row>
    <row r="162" spans="1:27" x14ac:dyDescent="0.25">
      <c r="A162">
        <v>5015851</v>
      </c>
      <c r="B162" t="s">
        <v>3351</v>
      </c>
    </row>
    <row r="163" spans="1:27" x14ac:dyDescent="0.25">
      <c r="A163">
        <v>6015647</v>
      </c>
      <c r="B163" t="s">
        <v>3351</v>
      </c>
      <c r="N163">
        <v>29.4</v>
      </c>
      <c r="P163">
        <v>29.5</v>
      </c>
      <c r="Q163">
        <v>29.2</v>
      </c>
      <c r="T163">
        <v>29.1</v>
      </c>
      <c r="Y163">
        <v>30.5</v>
      </c>
      <c r="AA163">
        <v>31.1</v>
      </c>
    </row>
    <row r="164" spans="1:27" x14ac:dyDescent="0.25">
      <c r="A164">
        <v>6056633</v>
      </c>
      <c r="B164" t="s">
        <v>3351</v>
      </c>
    </row>
    <row r="165" spans="1:27" x14ac:dyDescent="0.25">
      <c r="A165">
        <v>7086224</v>
      </c>
      <c r="B165" t="s">
        <v>3351</v>
      </c>
    </row>
    <row r="166" spans="1:27" x14ac:dyDescent="0.25">
      <c r="A166">
        <v>8040959</v>
      </c>
      <c r="B166" t="s">
        <v>3351</v>
      </c>
    </row>
    <row r="167" spans="1:27" x14ac:dyDescent="0.25">
      <c r="A167">
        <v>8107048</v>
      </c>
      <c r="B167" t="s">
        <v>3351</v>
      </c>
    </row>
    <row r="168" spans="1:27" x14ac:dyDescent="0.25">
      <c r="A168">
        <v>8124044</v>
      </c>
      <c r="B168" t="s">
        <v>3351</v>
      </c>
    </row>
    <row r="169" spans="1:27" x14ac:dyDescent="0.25">
      <c r="A169">
        <v>8142949</v>
      </c>
      <c r="B169" t="s">
        <v>3351</v>
      </c>
    </row>
    <row r="170" spans="1:27" x14ac:dyDescent="0.25">
      <c r="A170">
        <v>9023306</v>
      </c>
      <c r="B170" t="s">
        <v>3351</v>
      </c>
    </row>
    <row r="171" spans="1:27" x14ac:dyDescent="0.25">
      <c r="A171">
        <v>9030615</v>
      </c>
      <c r="B171" t="s">
        <v>3351</v>
      </c>
      <c r="Q171" s="3"/>
    </row>
    <row r="172" spans="1:27" x14ac:dyDescent="0.25">
      <c r="A172">
        <v>9034464</v>
      </c>
      <c r="B172" t="s">
        <v>3351</v>
      </c>
    </row>
    <row r="173" spans="1:27" x14ac:dyDescent="0.25">
      <c r="A173">
        <v>9040167</v>
      </c>
      <c r="B173" t="s">
        <v>3351</v>
      </c>
    </row>
    <row r="174" spans="1:27" x14ac:dyDescent="0.25">
      <c r="A174">
        <v>9054567</v>
      </c>
      <c r="B174" t="s">
        <v>3351</v>
      </c>
    </row>
    <row r="175" spans="1:27" x14ac:dyDescent="0.25">
      <c r="A175">
        <v>9083682</v>
      </c>
      <c r="B175" t="s">
        <v>3351</v>
      </c>
    </row>
    <row r="176" spans="1:27" x14ac:dyDescent="0.25">
      <c r="A176">
        <v>9102044</v>
      </c>
      <c r="B176" t="s">
        <v>3351</v>
      </c>
    </row>
    <row r="177" spans="1:17" x14ac:dyDescent="0.25">
      <c r="A177">
        <v>9119854</v>
      </c>
      <c r="B177" t="s">
        <v>3351</v>
      </c>
    </row>
    <row r="178" spans="1:17" x14ac:dyDescent="0.25">
      <c r="A178">
        <v>9125126</v>
      </c>
      <c r="B178" t="s">
        <v>3351</v>
      </c>
    </row>
    <row r="179" spans="1:17" x14ac:dyDescent="0.25">
      <c r="A179">
        <v>9174811</v>
      </c>
      <c r="B179" t="s">
        <v>3351</v>
      </c>
    </row>
    <row r="180" spans="1:17" x14ac:dyDescent="0.25">
      <c r="A180">
        <v>10002875</v>
      </c>
      <c r="B180" t="s">
        <v>3351</v>
      </c>
    </row>
    <row r="181" spans="1:17" x14ac:dyDescent="0.25">
      <c r="A181">
        <v>10023080</v>
      </c>
      <c r="B181" t="s">
        <v>3351</v>
      </c>
    </row>
    <row r="182" spans="1:17" x14ac:dyDescent="0.25">
      <c r="A182">
        <v>10025212</v>
      </c>
      <c r="B182" t="s">
        <v>3351</v>
      </c>
    </row>
    <row r="183" spans="1:17" x14ac:dyDescent="0.25">
      <c r="A183">
        <v>10069407</v>
      </c>
      <c r="B183" t="s">
        <v>3351</v>
      </c>
    </row>
    <row r="184" spans="1:17" x14ac:dyDescent="0.25">
      <c r="A184">
        <v>10071135</v>
      </c>
      <c r="B184" t="s">
        <v>3351</v>
      </c>
    </row>
    <row r="185" spans="1:17" x14ac:dyDescent="0.25">
      <c r="A185">
        <v>10083649</v>
      </c>
      <c r="B185" t="s">
        <v>3351</v>
      </c>
    </row>
    <row r="186" spans="1:17" x14ac:dyDescent="0.25">
      <c r="A186">
        <v>10102021</v>
      </c>
      <c r="B186" t="s">
        <v>3351</v>
      </c>
      <c r="N186" s="3">
        <v>24.332100000000001</v>
      </c>
      <c r="Q186" s="3">
        <v>24.009899999999998</v>
      </c>
    </row>
    <row r="187" spans="1:17" x14ac:dyDescent="0.25">
      <c r="A187">
        <v>10123729</v>
      </c>
      <c r="B187" t="s">
        <v>3351</v>
      </c>
    </row>
    <row r="188" spans="1:17" x14ac:dyDescent="0.25">
      <c r="A188">
        <v>10144736</v>
      </c>
      <c r="B188" t="s">
        <v>3351</v>
      </c>
    </row>
    <row r="189" spans="1:17" x14ac:dyDescent="0.25">
      <c r="A189">
        <v>10157275</v>
      </c>
      <c r="B189" t="s">
        <v>3351</v>
      </c>
    </row>
    <row r="190" spans="1:17" x14ac:dyDescent="0.25">
      <c r="A190" s="65"/>
      <c r="B190" s="65"/>
    </row>
    <row r="191" spans="1:17" x14ac:dyDescent="0.25">
      <c r="A191" s="10" t="s">
        <v>120</v>
      </c>
      <c r="B191" s="10"/>
    </row>
    <row r="192" spans="1:17" x14ac:dyDescent="0.25">
      <c r="A192">
        <v>5281</v>
      </c>
      <c r="B192" t="s">
        <v>3352</v>
      </c>
    </row>
    <row r="193" spans="1:21" x14ac:dyDescent="0.25">
      <c r="A193">
        <v>200085</v>
      </c>
      <c r="B193" t="s">
        <v>3352</v>
      </c>
    </row>
    <row r="194" spans="1:21" x14ac:dyDescent="0.25">
      <c r="A194">
        <v>500129</v>
      </c>
      <c r="B194" t="s">
        <v>3352</v>
      </c>
    </row>
    <row r="195" spans="1:21" x14ac:dyDescent="0.25">
      <c r="A195" s="23">
        <v>1002033</v>
      </c>
      <c r="B195" t="s">
        <v>3352</v>
      </c>
    </row>
    <row r="196" spans="1:21" x14ac:dyDescent="0.25">
      <c r="A196">
        <v>1003457</v>
      </c>
      <c r="B196" t="s">
        <v>3352</v>
      </c>
    </row>
    <row r="197" spans="1:21" x14ac:dyDescent="0.25">
      <c r="A197">
        <v>2005223</v>
      </c>
      <c r="B197" t="s">
        <v>3352</v>
      </c>
    </row>
    <row r="198" spans="1:21" x14ac:dyDescent="0.25">
      <c r="A198">
        <v>2006107</v>
      </c>
      <c r="B198" t="s">
        <v>3352</v>
      </c>
    </row>
    <row r="199" spans="1:21" x14ac:dyDescent="0.25">
      <c r="A199">
        <v>2012014</v>
      </c>
      <c r="B199" t="s">
        <v>3352</v>
      </c>
      <c r="F199">
        <v>33</v>
      </c>
      <c r="P199">
        <v>33.6</v>
      </c>
    </row>
    <row r="200" spans="1:21" x14ac:dyDescent="0.25">
      <c r="A200">
        <v>3000152</v>
      </c>
      <c r="B200" t="s">
        <v>3352</v>
      </c>
    </row>
    <row r="201" spans="1:21" x14ac:dyDescent="0.25">
      <c r="A201">
        <v>3014566</v>
      </c>
      <c r="B201" t="s">
        <v>3352</v>
      </c>
    </row>
    <row r="202" spans="1:21" x14ac:dyDescent="0.25">
      <c r="A202">
        <v>3015058</v>
      </c>
      <c r="B202" t="s">
        <v>3352</v>
      </c>
      <c r="F202">
        <v>28.1</v>
      </c>
      <c r="G202" s="14">
        <v>28.25</v>
      </c>
      <c r="O202">
        <v>28.8</v>
      </c>
      <c r="P202">
        <v>28.4</v>
      </c>
      <c r="U202">
        <v>28.1</v>
      </c>
    </row>
    <row r="203" spans="1:21" x14ac:dyDescent="0.25">
      <c r="A203" s="23">
        <v>4000996</v>
      </c>
      <c r="B203" t="s">
        <v>3352</v>
      </c>
    </row>
    <row r="204" spans="1:21" x14ac:dyDescent="0.25">
      <c r="A204">
        <v>4003768</v>
      </c>
      <c r="B204" t="s">
        <v>3352</v>
      </c>
    </row>
    <row r="205" spans="1:21" x14ac:dyDescent="0.25">
      <c r="A205">
        <v>4006540</v>
      </c>
      <c r="B205" t="s">
        <v>3352</v>
      </c>
    </row>
    <row r="206" spans="1:21" x14ac:dyDescent="0.25">
      <c r="A206">
        <v>4007054</v>
      </c>
      <c r="B206" t="s">
        <v>3352</v>
      </c>
    </row>
    <row r="207" spans="1:21" x14ac:dyDescent="0.25">
      <c r="A207">
        <v>4011002</v>
      </c>
      <c r="B207" t="s">
        <v>3352</v>
      </c>
    </row>
    <row r="208" spans="1:21" x14ac:dyDescent="0.25">
      <c r="A208">
        <v>4900268</v>
      </c>
      <c r="B208" t="s">
        <v>3352</v>
      </c>
    </row>
    <row r="209" spans="1:21" x14ac:dyDescent="0.25">
      <c r="A209">
        <v>5001097</v>
      </c>
      <c r="B209" t="s">
        <v>3352</v>
      </c>
      <c r="H209">
        <v>27.2</v>
      </c>
      <c r="I209">
        <v>26.9</v>
      </c>
      <c r="N209">
        <v>27</v>
      </c>
      <c r="U209">
        <v>27.3</v>
      </c>
    </row>
    <row r="210" spans="1:21" x14ac:dyDescent="0.25">
      <c r="A210">
        <v>5001098</v>
      </c>
      <c r="B210" t="s">
        <v>3352</v>
      </c>
      <c r="E210">
        <v>29.3</v>
      </c>
      <c r="G210">
        <v>28.8</v>
      </c>
      <c r="H210">
        <v>29.2</v>
      </c>
    </row>
    <row r="211" spans="1:21" x14ac:dyDescent="0.25">
      <c r="A211">
        <v>5006152</v>
      </c>
      <c r="B211" t="s">
        <v>3352</v>
      </c>
      <c r="K211" s="3">
        <v>30.133199999999999</v>
      </c>
      <c r="L211" s="3"/>
      <c r="O211" s="3">
        <v>29.649799999999999</v>
      </c>
    </row>
    <row r="212" spans="1:21" x14ac:dyDescent="0.25">
      <c r="A212">
        <v>6012361</v>
      </c>
      <c r="B212" t="s">
        <v>3352</v>
      </c>
    </row>
    <row r="213" spans="1:21" x14ac:dyDescent="0.25">
      <c r="A213">
        <v>6015793</v>
      </c>
      <c r="B213" t="s">
        <v>3352</v>
      </c>
    </row>
    <row r="214" spans="1:21" x14ac:dyDescent="0.25">
      <c r="A214">
        <v>6043619</v>
      </c>
      <c r="B214" t="s">
        <v>3352</v>
      </c>
    </row>
    <row r="215" spans="1:21" x14ac:dyDescent="0.25">
      <c r="A215">
        <v>7001097</v>
      </c>
      <c r="B215" t="s">
        <v>3352</v>
      </c>
    </row>
    <row r="216" spans="1:21" x14ac:dyDescent="0.25">
      <c r="A216">
        <v>7011435</v>
      </c>
      <c r="B216" t="s">
        <v>3352</v>
      </c>
    </row>
    <row r="217" spans="1:21" x14ac:dyDescent="0.25">
      <c r="A217">
        <v>7045811</v>
      </c>
      <c r="B217" t="s">
        <v>3352</v>
      </c>
    </row>
    <row r="218" spans="1:21" x14ac:dyDescent="0.25">
      <c r="A218">
        <v>7071198</v>
      </c>
      <c r="B218" t="s">
        <v>3352</v>
      </c>
    </row>
    <row r="219" spans="1:21" x14ac:dyDescent="0.25">
      <c r="A219">
        <v>7101143</v>
      </c>
      <c r="B219" t="s">
        <v>3352</v>
      </c>
    </row>
    <row r="220" spans="1:21" x14ac:dyDescent="0.25">
      <c r="A220">
        <v>8073350</v>
      </c>
      <c r="B220" t="s">
        <v>3352</v>
      </c>
    </row>
    <row r="221" spans="1:21" x14ac:dyDescent="0.25">
      <c r="A221">
        <v>8073645</v>
      </c>
      <c r="B221" t="s">
        <v>3352</v>
      </c>
    </row>
    <row r="222" spans="1:21" x14ac:dyDescent="0.25">
      <c r="A222" s="23">
        <v>8089666</v>
      </c>
      <c r="B222" t="s">
        <v>3352</v>
      </c>
      <c r="J222">
        <v>30</v>
      </c>
      <c r="K222">
        <v>29</v>
      </c>
      <c r="L222">
        <v>30</v>
      </c>
      <c r="N222" s="14">
        <v>30</v>
      </c>
      <c r="O222">
        <v>30</v>
      </c>
    </row>
    <row r="223" spans="1:21" x14ac:dyDescent="0.25">
      <c r="A223">
        <v>8103536</v>
      </c>
      <c r="B223" t="s">
        <v>3352</v>
      </c>
    </row>
    <row r="224" spans="1:21" x14ac:dyDescent="0.25">
      <c r="A224">
        <v>8124816</v>
      </c>
      <c r="B224" t="s">
        <v>3352</v>
      </c>
    </row>
    <row r="225" spans="1:17" x14ac:dyDescent="0.25">
      <c r="A225">
        <v>9003267</v>
      </c>
      <c r="B225" t="s">
        <v>3352</v>
      </c>
      <c r="O225" s="3">
        <v>28.1995</v>
      </c>
      <c r="P225" s="3">
        <v>27.5549</v>
      </c>
    </row>
    <row r="226" spans="1:17" x14ac:dyDescent="0.25">
      <c r="A226">
        <v>9036964</v>
      </c>
      <c r="B226" t="s">
        <v>3352</v>
      </c>
    </row>
    <row r="227" spans="1:17" x14ac:dyDescent="0.25">
      <c r="A227">
        <v>9090287</v>
      </c>
      <c r="B227" t="s">
        <v>3352</v>
      </c>
    </row>
    <row r="228" spans="1:17" x14ac:dyDescent="0.25">
      <c r="A228">
        <v>9095148</v>
      </c>
      <c r="B228" t="s">
        <v>3352</v>
      </c>
    </row>
    <row r="229" spans="1:17" x14ac:dyDescent="0.25">
      <c r="A229">
        <v>9104979</v>
      </c>
      <c r="B229" t="s">
        <v>3352</v>
      </c>
    </row>
    <row r="230" spans="1:17" x14ac:dyDescent="0.25">
      <c r="A230">
        <v>9139514</v>
      </c>
      <c r="B230" t="s">
        <v>3352</v>
      </c>
    </row>
    <row r="231" spans="1:17" x14ac:dyDescent="0.25">
      <c r="A231">
        <v>10020659</v>
      </c>
      <c r="B231" t="s">
        <v>3352</v>
      </c>
    </row>
    <row r="232" spans="1:17" x14ac:dyDescent="0.25">
      <c r="A232">
        <v>10025902</v>
      </c>
      <c r="B232" t="s">
        <v>3352</v>
      </c>
    </row>
    <row r="233" spans="1:17" x14ac:dyDescent="0.25">
      <c r="A233">
        <v>10027654</v>
      </c>
      <c r="B233" t="s">
        <v>3352</v>
      </c>
    </row>
    <row r="234" spans="1:17" x14ac:dyDescent="0.25">
      <c r="A234">
        <v>10084485</v>
      </c>
      <c r="B234" t="s">
        <v>3352</v>
      </c>
    </row>
    <row r="235" spans="1:17" x14ac:dyDescent="0.25">
      <c r="A235">
        <v>10098420</v>
      </c>
      <c r="B235" t="s">
        <v>3352</v>
      </c>
    </row>
    <row r="236" spans="1:17" x14ac:dyDescent="0.25">
      <c r="A236">
        <v>10129565</v>
      </c>
      <c r="B236" t="s">
        <v>3352</v>
      </c>
    </row>
    <row r="237" spans="1:17" x14ac:dyDescent="0.25">
      <c r="A237">
        <v>10146828</v>
      </c>
      <c r="B237" t="s">
        <v>3352</v>
      </c>
    </row>
    <row r="238" spans="1:17" x14ac:dyDescent="0.25">
      <c r="A238">
        <v>10163776</v>
      </c>
      <c r="B238" t="s">
        <v>3352</v>
      </c>
    </row>
    <row r="239" spans="1:17" x14ac:dyDescent="0.25">
      <c r="A239">
        <v>10173664</v>
      </c>
      <c r="B239" t="s">
        <v>3352</v>
      </c>
      <c r="Q239" s="3"/>
    </row>
  </sheetData>
  <conditionalFormatting sqref="A19">
    <cfRule type="duplicateValues" dxfId="4" priority="1"/>
  </conditionalFormatting>
  <pageMargins left="0.7" right="0.7" top="0.78740157499999996" bottom="0.78740157499999996" header="0.3" footer="0.3"/>
  <tableParts count="1">
    <tablePart r:id="rId1"/>
  </tableParts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1"/>
  <sheetViews>
    <sheetView workbookViewId="0">
      <selection activeCell="E25" sqref="E25"/>
    </sheetView>
  </sheetViews>
  <sheetFormatPr defaultColWidth="11.42578125" defaultRowHeight="15" x14ac:dyDescent="0.25"/>
  <cols>
    <col min="1" max="1" width="17.28515625" bestFit="1" customWidth="1"/>
    <col min="2" max="2" width="12.5703125" bestFit="1" customWidth="1"/>
    <col min="3" max="3" width="7.5703125" bestFit="1" customWidth="1"/>
    <col min="4" max="4" width="81.140625" bestFit="1" customWidth="1"/>
    <col min="5" max="5" width="30.28515625" bestFit="1" customWidth="1"/>
  </cols>
  <sheetData>
    <row r="1" spans="1:5" x14ac:dyDescent="0.25">
      <c r="A1" s="66" t="s">
        <v>59</v>
      </c>
      <c r="B1" s="66" t="s">
        <v>3346</v>
      </c>
      <c r="C1" s="66" t="s">
        <v>3419</v>
      </c>
      <c r="D1" s="66" t="s">
        <v>2564</v>
      </c>
      <c r="E1" s="66" t="s">
        <v>2523</v>
      </c>
    </row>
    <row r="2" spans="1:5" x14ac:dyDescent="0.25">
      <c r="A2" s="66">
        <v>1003215</v>
      </c>
      <c r="B2" s="66" t="s">
        <v>3400</v>
      </c>
      <c r="C2" s="66" t="s">
        <v>3419</v>
      </c>
      <c r="D2" s="66" t="s">
        <v>575</v>
      </c>
      <c r="E2" s="66">
        <v>1</v>
      </c>
    </row>
    <row r="3" spans="1:5" x14ac:dyDescent="0.25">
      <c r="A3" s="66">
        <v>10023001</v>
      </c>
      <c r="B3" s="66" t="s">
        <v>3347</v>
      </c>
      <c r="C3" s="66" t="s">
        <v>3419</v>
      </c>
      <c r="D3" s="66" t="s">
        <v>575</v>
      </c>
      <c r="E3" s="66">
        <v>1</v>
      </c>
    </row>
    <row r="4" spans="1:5" x14ac:dyDescent="0.25">
      <c r="A4" s="66">
        <v>1006143</v>
      </c>
      <c r="B4" s="66" t="s">
        <v>3347</v>
      </c>
      <c r="C4" s="66" t="s">
        <v>3419</v>
      </c>
      <c r="D4" s="66" t="s">
        <v>575</v>
      </c>
      <c r="E4" s="66">
        <v>1</v>
      </c>
    </row>
    <row r="5" spans="1:5" x14ac:dyDescent="0.25">
      <c r="A5" s="66">
        <v>9039416</v>
      </c>
      <c r="B5" s="66" t="s">
        <v>3350</v>
      </c>
      <c r="C5" s="66" t="s">
        <v>3419</v>
      </c>
      <c r="D5" s="66" t="s">
        <v>1619</v>
      </c>
      <c r="E5" s="66">
        <v>1</v>
      </c>
    </row>
    <row r="6" spans="1:5" x14ac:dyDescent="0.25">
      <c r="A6" s="66">
        <v>10010926</v>
      </c>
      <c r="B6" s="66" t="s">
        <v>3350</v>
      </c>
      <c r="C6" s="66" t="s">
        <v>3419</v>
      </c>
      <c r="D6" s="66" t="s">
        <v>3420</v>
      </c>
      <c r="E6" s="66">
        <v>6</v>
      </c>
    </row>
    <row r="7" spans="1:5" x14ac:dyDescent="0.25">
      <c r="A7" s="66">
        <v>1005522</v>
      </c>
      <c r="B7" s="66" t="s">
        <v>3350</v>
      </c>
      <c r="C7" s="66" t="s">
        <v>3419</v>
      </c>
      <c r="D7" s="66" t="s">
        <v>3421</v>
      </c>
      <c r="E7" s="66">
        <v>5</v>
      </c>
    </row>
    <row r="8" spans="1:5" x14ac:dyDescent="0.25">
      <c r="A8" s="66">
        <v>1009760</v>
      </c>
      <c r="B8" s="66" t="s">
        <v>3350</v>
      </c>
      <c r="C8" s="66" t="s">
        <v>3419</v>
      </c>
      <c r="D8" s="66" t="s">
        <v>3422</v>
      </c>
      <c r="E8" s="66">
        <v>4</v>
      </c>
    </row>
    <row r="9" spans="1:5" x14ac:dyDescent="0.25">
      <c r="A9" s="66">
        <v>2000646</v>
      </c>
      <c r="B9" s="66" t="s">
        <v>3350</v>
      </c>
      <c r="C9" s="66" t="s">
        <v>3419</v>
      </c>
      <c r="D9" s="66" t="s">
        <v>3423</v>
      </c>
      <c r="E9" s="66">
        <v>5</v>
      </c>
    </row>
    <row r="10" spans="1:5" x14ac:dyDescent="0.25">
      <c r="A10" s="66">
        <v>3016056</v>
      </c>
      <c r="B10" s="66" t="s">
        <v>3350</v>
      </c>
      <c r="C10" s="66" t="s">
        <v>3419</v>
      </c>
      <c r="D10" s="66" t="s">
        <v>3424</v>
      </c>
      <c r="E10" s="66">
        <v>2</v>
      </c>
    </row>
    <row r="11" spans="1:5" x14ac:dyDescent="0.25">
      <c r="A11" s="66">
        <v>4009906</v>
      </c>
      <c r="B11" s="66" t="s">
        <v>3350</v>
      </c>
      <c r="C11" s="66" t="s">
        <v>3419</v>
      </c>
      <c r="D11" s="66" t="s">
        <v>3425</v>
      </c>
      <c r="E11" s="66">
        <v>4</v>
      </c>
    </row>
    <row r="12" spans="1:5" x14ac:dyDescent="0.25">
      <c r="A12" s="66">
        <v>5004654</v>
      </c>
      <c r="B12" s="66" t="s">
        <v>3350</v>
      </c>
      <c r="C12" s="66" t="s">
        <v>3419</v>
      </c>
      <c r="D12" s="66" t="s">
        <v>3426</v>
      </c>
      <c r="E12" s="66">
        <v>7</v>
      </c>
    </row>
    <row r="13" spans="1:5" x14ac:dyDescent="0.25">
      <c r="A13" s="66">
        <v>6015647</v>
      </c>
      <c r="B13" s="66" t="s">
        <v>3351</v>
      </c>
      <c r="C13" s="66" t="s">
        <v>3419</v>
      </c>
      <c r="D13" s="66" t="s">
        <v>3427</v>
      </c>
      <c r="E13" s="66">
        <v>6</v>
      </c>
    </row>
    <row r="14" spans="1:5" x14ac:dyDescent="0.25">
      <c r="A14" s="66">
        <v>10102021</v>
      </c>
      <c r="B14" s="66" t="s">
        <v>3351</v>
      </c>
      <c r="C14" s="66" t="s">
        <v>3419</v>
      </c>
      <c r="D14" s="66" t="s">
        <v>3428</v>
      </c>
      <c r="E14" s="66">
        <v>2</v>
      </c>
    </row>
    <row r="15" spans="1:5" x14ac:dyDescent="0.25">
      <c r="A15" s="66">
        <v>2012014</v>
      </c>
      <c r="B15" s="66" t="s">
        <v>3352</v>
      </c>
      <c r="C15" s="66" t="s">
        <v>3419</v>
      </c>
      <c r="D15" s="66" t="s">
        <v>3429</v>
      </c>
      <c r="E15" s="66">
        <v>2</v>
      </c>
    </row>
    <row r="16" spans="1:5" x14ac:dyDescent="0.25">
      <c r="A16" s="66">
        <v>3015058</v>
      </c>
      <c r="B16" s="66" t="s">
        <v>3352</v>
      </c>
      <c r="C16" s="66" t="s">
        <v>3419</v>
      </c>
      <c r="D16" s="66" t="s">
        <v>3430</v>
      </c>
      <c r="E16" s="66">
        <v>5</v>
      </c>
    </row>
    <row r="17" spans="1:5" x14ac:dyDescent="0.25">
      <c r="A17" s="66">
        <v>5001097</v>
      </c>
      <c r="B17" s="66" t="s">
        <v>3352</v>
      </c>
      <c r="C17" s="66" t="s">
        <v>3419</v>
      </c>
      <c r="D17" s="66" t="s">
        <v>3431</v>
      </c>
      <c r="E17" s="66">
        <v>4</v>
      </c>
    </row>
    <row r="18" spans="1:5" x14ac:dyDescent="0.25">
      <c r="A18" s="66">
        <v>5001098</v>
      </c>
      <c r="B18" s="66" t="s">
        <v>3352</v>
      </c>
      <c r="C18" s="66" t="s">
        <v>3419</v>
      </c>
      <c r="D18" s="66" t="s">
        <v>3432</v>
      </c>
      <c r="E18" s="66">
        <v>3</v>
      </c>
    </row>
    <row r="19" spans="1:5" x14ac:dyDescent="0.25">
      <c r="A19" s="66">
        <v>5006152</v>
      </c>
      <c r="B19" s="66" t="s">
        <v>3352</v>
      </c>
      <c r="C19" s="66" t="s">
        <v>3419</v>
      </c>
      <c r="D19" s="66" t="s">
        <v>3433</v>
      </c>
      <c r="E19" s="66">
        <v>2</v>
      </c>
    </row>
    <row r="20" spans="1:5" x14ac:dyDescent="0.25">
      <c r="A20" s="66">
        <v>8089666</v>
      </c>
      <c r="B20" s="66" t="s">
        <v>3352</v>
      </c>
      <c r="C20" s="66" t="s">
        <v>3419</v>
      </c>
      <c r="D20" s="66" t="s">
        <v>3434</v>
      </c>
      <c r="E20" s="66">
        <v>5</v>
      </c>
    </row>
    <row r="21" spans="1:5" x14ac:dyDescent="0.25">
      <c r="A21" s="66">
        <v>9003267</v>
      </c>
      <c r="B21" s="66" t="s">
        <v>3352</v>
      </c>
      <c r="C21" s="66" t="s">
        <v>3419</v>
      </c>
      <c r="D21" s="66" t="s">
        <v>3435</v>
      </c>
      <c r="E21" s="66">
        <v>2</v>
      </c>
    </row>
  </sheetData>
  <phoneticPr fontId="6" type="noConversion"/>
  <pageMargins left="0.7" right="0.7" top="0.78740157499999996" bottom="0.78740157499999996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798A394-2263-454C-BA84-A51BF8CBF9D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65</vt:i4>
      </vt:variant>
    </vt:vector>
  </HeadingPairs>
  <TitlesOfParts>
    <vt:vector size="65" baseType="lpstr">
      <vt:lpstr>Arbeitsmaterial Literaturfälle</vt:lpstr>
      <vt:lpstr>CK</vt:lpstr>
      <vt:lpstr>CK Table</vt:lpstr>
      <vt:lpstr>CK-MB</vt:lpstr>
      <vt:lpstr>CK-MB Tabelle</vt:lpstr>
      <vt:lpstr>Quick</vt:lpstr>
      <vt:lpstr>Quick Tabelle</vt:lpstr>
      <vt:lpstr>INR</vt:lpstr>
      <vt:lpstr>INR Tabelle</vt:lpstr>
      <vt:lpstr>PTT</vt:lpstr>
      <vt:lpstr>PTT Tabelle</vt:lpstr>
      <vt:lpstr>Leukozyten</vt:lpstr>
      <vt:lpstr>Leukozyten Tabelle</vt:lpstr>
      <vt:lpstr>GOT</vt:lpstr>
      <vt:lpstr>GOT Tabelle</vt:lpstr>
      <vt:lpstr>GPT</vt:lpstr>
      <vt:lpstr>GPT Tabelle</vt:lpstr>
      <vt:lpstr>GGT</vt:lpstr>
      <vt:lpstr>GGT Tabelle</vt:lpstr>
      <vt:lpstr>LDH</vt:lpstr>
      <vt:lpstr>LDH Tabelle</vt:lpstr>
      <vt:lpstr>Lymphozyten</vt:lpstr>
      <vt:lpstr>Lymphozyten Tabelle</vt:lpstr>
      <vt:lpstr>Hb</vt:lpstr>
      <vt:lpstr>Hb Tabelle</vt:lpstr>
      <vt:lpstr>Bilirubin</vt:lpstr>
      <vt:lpstr>Bilirubin Tabelle</vt:lpstr>
      <vt:lpstr>Gesamteiweiß</vt:lpstr>
      <vt:lpstr>Gesamteiweiß Tabelle</vt:lpstr>
      <vt:lpstr>Ap</vt:lpstr>
      <vt:lpstr>Ap Tabelle</vt:lpstr>
      <vt:lpstr>Cholinesterase</vt:lpstr>
      <vt:lpstr>Cholinesterase Tabelle</vt:lpstr>
      <vt:lpstr>Kreatinin</vt:lpstr>
      <vt:lpstr>Kreatinin Tabelle</vt:lpstr>
      <vt:lpstr>Amylase</vt:lpstr>
      <vt:lpstr>Amylase Tabelle</vt:lpstr>
      <vt:lpstr>Lipase</vt:lpstr>
      <vt:lpstr>Lipase Tabelle</vt:lpstr>
      <vt:lpstr>CRP</vt:lpstr>
      <vt:lpstr>CRP Tabelle</vt:lpstr>
      <vt:lpstr>Harnstoff</vt:lpstr>
      <vt:lpstr>Harnstoff Tabelle</vt:lpstr>
      <vt:lpstr>Erythrozyten</vt:lpstr>
      <vt:lpstr>Erythrozyten Tabelle</vt:lpstr>
      <vt:lpstr>Thrombozyten</vt:lpstr>
      <vt:lpstr>Thrombozyten Tabelle</vt:lpstr>
      <vt:lpstr>BSG</vt:lpstr>
      <vt:lpstr>BSG Tabelle</vt:lpstr>
      <vt:lpstr>Monozyten</vt:lpstr>
      <vt:lpstr>Monozyten Tabelle</vt:lpstr>
      <vt:lpstr>Eosinophile</vt:lpstr>
      <vt:lpstr>Eosinophile Tabelle</vt:lpstr>
      <vt:lpstr>Neutrophile</vt:lpstr>
      <vt:lpstr>Neutrophile Tabelle</vt:lpstr>
      <vt:lpstr>Basophile</vt:lpstr>
      <vt:lpstr>Basophile Tabelle</vt:lpstr>
      <vt:lpstr>Albumin</vt:lpstr>
      <vt:lpstr>Tabelle16</vt:lpstr>
      <vt:lpstr>Hämatokrit</vt:lpstr>
      <vt:lpstr>Hämatokrit Tabelle</vt:lpstr>
      <vt:lpstr>MCV</vt:lpstr>
      <vt:lpstr>MCV Tabelle</vt:lpstr>
      <vt:lpstr>MCH</vt:lpstr>
      <vt:lpstr>MCH Tabelle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lw-r</dc:creator>
  <cp:lastModifiedBy>Kumar, Arun</cp:lastModifiedBy>
  <dcterms:created xsi:type="dcterms:W3CDTF">2021-10-06T10:42:20Z</dcterms:created>
  <dcterms:modified xsi:type="dcterms:W3CDTF">2023-04-19T17:50:25Z</dcterms:modified>
</cp:coreProperties>
</file>